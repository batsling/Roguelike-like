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24C8C27-E3BE-42C3-88D7-1AA426558D84}"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2" i="1" l="1"/>
  <c r="E486" i="1"/>
  <c r="E466" i="1"/>
  <c r="E347" i="1"/>
  <c r="E427" i="1"/>
  <c r="E102" i="1"/>
  <c r="E173" i="1"/>
  <c r="E192" i="1"/>
  <c r="E224" i="1"/>
  <c r="E296" i="1"/>
  <c r="E158" i="1"/>
  <c r="E262" i="1"/>
  <c r="E310" i="1"/>
  <c r="E94" i="1"/>
  <c r="E479" i="1"/>
  <c r="E135" i="1"/>
  <c r="E344" i="1"/>
  <c r="E255" i="1"/>
  <c r="E122" i="1"/>
  <c r="E400" i="1"/>
  <c r="E453" i="1"/>
  <c r="E41" i="1"/>
  <c r="E202" i="1"/>
  <c r="E414" i="1"/>
  <c r="E210" i="1"/>
  <c r="E152" i="1"/>
  <c r="E363" i="1"/>
  <c r="E226" i="1"/>
  <c r="E493" i="1"/>
  <c r="E482" i="1"/>
  <c r="E299" i="1"/>
  <c r="E424" i="1"/>
  <c r="E500" i="1"/>
  <c r="E481" i="1"/>
  <c r="E480" i="1"/>
  <c r="E127" i="1"/>
  <c r="E494" i="1"/>
  <c r="E483" i="1"/>
  <c r="E282" i="1"/>
  <c r="E61" i="1"/>
  <c r="E91" i="1"/>
  <c r="E397" i="1"/>
  <c r="E19" i="1"/>
  <c r="E425" i="1"/>
  <c r="E286" i="1"/>
  <c r="E398" i="1"/>
  <c r="E272" i="1"/>
  <c r="E279" i="1"/>
  <c r="E278" i="1"/>
  <c r="E441" i="1"/>
  <c r="E56" i="1"/>
  <c r="E40" i="1"/>
  <c r="E119" i="1"/>
  <c r="E134" i="1"/>
  <c r="E373" i="1"/>
  <c r="E109" i="1"/>
  <c r="E113" i="1"/>
  <c r="E416" i="1"/>
  <c r="E72" i="1"/>
  <c r="E132" i="1"/>
  <c r="E11" i="1"/>
  <c r="E81" i="1"/>
  <c r="E375" i="1"/>
  <c r="E293" i="1"/>
  <c r="E265" i="1"/>
  <c r="E33" i="1"/>
  <c r="E269" i="1"/>
  <c r="E370" i="1"/>
  <c r="E8" i="1"/>
  <c r="E465" i="1"/>
  <c r="E22" i="1"/>
  <c r="E60" i="1"/>
  <c r="E79" i="1"/>
  <c r="E464" i="1"/>
  <c r="E78" i="1"/>
  <c r="E335" i="1"/>
  <c r="E211" i="1"/>
  <c r="E146" i="1"/>
  <c r="E273" i="1"/>
  <c r="E80" i="1"/>
  <c r="E418" i="1"/>
  <c r="E10" i="1"/>
  <c r="E451" i="1"/>
  <c r="E320" i="1"/>
  <c r="E502" i="1"/>
  <c r="E308" i="1"/>
  <c r="E268" i="1"/>
  <c r="E3" i="1"/>
  <c r="E27" i="1"/>
  <c r="E339" i="1"/>
  <c r="E147" i="1"/>
  <c r="E217" i="1"/>
  <c r="E443" i="1"/>
  <c r="E503" i="1"/>
  <c r="E234" i="1"/>
  <c r="E235" i="1"/>
  <c r="E384" i="1"/>
  <c r="E330" i="1"/>
  <c r="E76" i="1"/>
  <c r="E170" i="1"/>
  <c r="E169" i="1"/>
  <c r="E331" i="1"/>
  <c r="E328" i="1"/>
  <c r="E385" i="1"/>
  <c r="E380" i="1"/>
  <c r="E326" i="1"/>
  <c r="E378" i="1"/>
  <c r="E177" i="1"/>
  <c r="E327" i="1"/>
  <c r="E142" i="1"/>
  <c r="E313" i="1"/>
  <c r="E329" i="1"/>
  <c r="E448" i="1"/>
  <c r="E381" i="1"/>
  <c r="E462" i="1"/>
  <c r="E383" i="1"/>
  <c r="E379" i="1"/>
  <c r="E461" i="1"/>
  <c r="E74" i="1"/>
  <c r="E382" i="1"/>
  <c r="E75" i="1"/>
  <c r="E287" i="1"/>
  <c r="E117" i="1"/>
  <c r="E197" i="1"/>
  <c r="E196" i="1"/>
  <c r="E422" i="1"/>
  <c r="E213" i="1"/>
  <c r="E275" i="1"/>
  <c r="E5" i="1"/>
  <c r="E256" i="1"/>
  <c r="E263" i="1"/>
  <c r="E257" i="1"/>
  <c r="E187" i="1"/>
  <c r="E108" i="1"/>
  <c r="E444" i="1"/>
  <c r="E160" i="1"/>
  <c r="E216" i="1"/>
  <c r="E126" i="1"/>
  <c r="E417" i="1"/>
  <c r="E473" i="1"/>
  <c r="E51" i="1"/>
  <c r="E17" i="1"/>
  <c r="E16" i="1"/>
  <c r="E23" i="1"/>
  <c r="E401" i="1"/>
  <c r="E317" i="1"/>
  <c r="E449" i="1"/>
  <c r="E191" i="1"/>
  <c r="E471" i="1"/>
  <c r="E93" i="1"/>
  <c r="E63" i="1"/>
  <c r="E168" i="1"/>
  <c r="E24" i="1"/>
  <c r="E84" i="1"/>
  <c r="E367" i="1"/>
  <c r="E368" i="1"/>
  <c r="E267" i="1"/>
  <c r="E438" i="1"/>
  <c r="E162" i="1"/>
  <c r="E457" i="1"/>
  <c r="E342" i="1"/>
  <c r="J4" i="8"/>
  <c r="I4" i="8"/>
  <c r="H4" i="8"/>
  <c r="G4" i="8"/>
  <c r="F4" i="8"/>
  <c r="Q3" i="8"/>
  <c r="Q4" i="8"/>
  <c r="Q5" i="8"/>
  <c r="Q2" i="8"/>
  <c r="Q6" i="8"/>
  <c r="O2" i="8"/>
  <c r="O3" i="8"/>
  <c r="O4" i="8"/>
  <c r="O5" i="8"/>
  <c r="O6" i="8"/>
  <c r="E193" i="1"/>
  <c r="E390" i="1"/>
  <c r="E228" i="1"/>
  <c r="E233" i="1"/>
  <c r="I6" i="8"/>
  <c r="H6" i="8"/>
  <c r="G6" i="8"/>
  <c r="I10" i="8"/>
  <c r="H10" i="8"/>
  <c r="G10" i="8"/>
  <c r="G9" i="8"/>
  <c r="F6" i="8"/>
  <c r="J9" i="8"/>
  <c r="F9" i="8"/>
  <c r="H9" i="8"/>
  <c r="I9" i="8"/>
  <c r="J10" i="8"/>
  <c r="F10" i="8"/>
  <c r="J6" i="8"/>
  <c r="E244" i="1"/>
  <c r="E251" i="1"/>
  <c r="E436" i="1"/>
  <c r="E362" i="1"/>
  <c r="E300" i="1"/>
  <c r="E194" i="1"/>
  <c r="E501" i="1"/>
  <c r="E250" i="1"/>
  <c r="E171" i="1"/>
  <c r="E164" i="1"/>
  <c r="E358" i="1"/>
  <c r="E292" i="1"/>
  <c r="E306"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4" i="1"/>
  <c r="E175" i="1"/>
  <c r="E176" i="1"/>
  <c r="E178" i="1"/>
  <c r="E179" i="1"/>
  <c r="E180" i="1"/>
  <c r="E181" i="1"/>
  <c r="E182" i="1"/>
  <c r="E183" i="1"/>
  <c r="E184" i="1"/>
  <c r="E185" i="1"/>
  <c r="E186" i="1"/>
  <c r="E188" i="1"/>
  <c r="E189" i="1"/>
  <c r="E190" i="1"/>
  <c r="E195" i="1"/>
  <c r="E198" i="1"/>
  <c r="E199" i="1"/>
  <c r="E200" i="1"/>
  <c r="E201" i="1"/>
  <c r="E203" i="1"/>
  <c r="E204" i="1"/>
  <c r="E205" i="1"/>
  <c r="E206" i="1"/>
  <c r="E207" i="1"/>
  <c r="E208" i="1"/>
  <c r="E209" i="1"/>
  <c r="E212" i="1"/>
  <c r="E214" i="1"/>
  <c r="E215" i="1"/>
  <c r="E218" i="1"/>
  <c r="E219" i="1"/>
  <c r="E220" i="1"/>
  <c r="E221" i="1"/>
  <c r="E222" i="1"/>
  <c r="E223" i="1"/>
  <c r="E225" i="1"/>
  <c r="E227" i="1"/>
  <c r="E229" i="1"/>
  <c r="E230" i="1"/>
  <c r="E231" i="1"/>
  <c r="E232" i="1"/>
  <c r="E236" i="1"/>
  <c r="E237" i="1"/>
  <c r="E238" i="1"/>
  <c r="E239" i="1"/>
  <c r="E240" i="1"/>
  <c r="E241" i="1"/>
  <c r="E242" i="1"/>
  <c r="E243" i="1"/>
  <c r="E245" i="1"/>
  <c r="E246" i="1"/>
  <c r="E247" i="1"/>
  <c r="E248" i="1"/>
  <c r="E249" i="1"/>
  <c r="E252" i="1"/>
  <c r="E253" i="1"/>
  <c r="E254" i="1"/>
  <c r="E258" i="1"/>
  <c r="E259" i="1"/>
  <c r="E260" i="1"/>
  <c r="E261" i="1"/>
  <c r="E264" i="1"/>
  <c r="E266" i="1"/>
  <c r="E270" i="1"/>
  <c r="E271" i="1"/>
  <c r="E274" i="1"/>
  <c r="E276" i="1"/>
  <c r="E277" i="1"/>
  <c r="E280" i="1"/>
  <c r="E281" i="1"/>
  <c r="E283" i="1"/>
  <c r="E284" i="1"/>
  <c r="E285" i="1"/>
  <c r="E288" i="1"/>
  <c r="E289" i="1"/>
  <c r="E290" i="1"/>
  <c r="E291" i="1"/>
  <c r="E294" i="1"/>
  <c r="E295" i="1"/>
  <c r="E297" i="1"/>
  <c r="E298" i="1"/>
  <c r="E301" i="1"/>
  <c r="E302" i="1"/>
  <c r="E303" i="1"/>
  <c r="E304" i="1"/>
  <c r="E305" i="1"/>
  <c r="E307" i="1"/>
  <c r="E309" i="1"/>
  <c r="E311" i="1"/>
  <c r="E312" i="1"/>
  <c r="E314" i="1"/>
  <c r="E315" i="1"/>
  <c r="E316" i="1"/>
  <c r="E318" i="1"/>
  <c r="E319" i="1"/>
  <c r="E321" i="1"/>
  <c r="E322" i="1"/>
  <c r="E323" i="1"/>
  <c r="E324" i="1"/>
  <c r="E325" i="1"/>
  <c r="E332" i="1"/>
  <c r="E333" i="1"/>
  <c r="E334" i="1"/>
  <c r="E336" i="1"/>
  <c r="E337" i="1"/>
  <c r="E338" i="1"/>
  <c r="E340" i="1"/>
  <c r="E341" i="1"/>
  <c r="E343" i="1"/>
  <c r="E345" i="1"/>
  <c r="E346" i="1"/>
  <c r="E348" i="1"/>
  <c r="E349" i="1"/>
  <c r="E350" i="1"/>
  <c r="E120" i="1"/>
  <c r="E351" i="1"/>
  <c r="E352" i="1"/>
  <c r="E353" i="1"/>
  <c r="E354" i="1"/>
  <c r="E355" i="1"/>
  <c r="E356" i="1"/>
  <c r="E357" i="1"/>
  <c r="E359" i="1"/>
  <c r="E360" i="1"/>
  <c r="E361" i="1"/>
  <c r="E364" i="1"/>
  <c r="E365" i="1"/>
  <c r="E366" i="1"/>
  <c r="E369" i="1"/>
  <c r="E371" i="1"/>
  <c r="E372" i="1"/>
  <c r="E374" i="1"/>
  <c r="E376" i="1"/>
  <c r="E377" i="1"/>
  <c r="E386" i="1"/>
  <c r="E387" i="1"/>
  <c r="E388" i="1"/>
  <c r="E389" i="1"/>
  <c r="E391" i="1"/>
  <c r="E392" i="1"/>
  <c r="E393" i="1"/>
  <c r="E394" i="1"/>
  <c r="E395" i="1"/>
  <c r="E396" i="1"/>
  <c r="E399" i="1"/>
  <c r="E402" i="1"/>
  <c r="E403" i="1"/>
  <c r="E404" i="1"/>
  <c r="E405" i="1"/>
  <c r="E406" i="1"/>
  <c r="E407" i="1"/>
  <c r="E408" i="1"/>
  <c r="E409" i="1"/>
  <c r="E410" i="1"/>
  <c r="E411" i="1"/>
  <c r="E412" i="1"/>
  <c r="E413" i="1"/>
  <c r="E415" i="1"/>
  <c r="E419" i="1"/>
  <c r="E420" i="1"/>
  <c r="E421" i="1"/>
  <c r="E423" i="1"/>
  <c r="E426" i="1"/>
  <c r="E428" i="1"/>
  <c r="E429" i="1"/>
  <c r="E430" i="1"/>
  <c r="E431" i="1"/>
  <c r="E432" i="1"/>
  <c r="E433" i="1"/>
  <c r="E434" i="1"/>
  <c r="E435" i="1"/>
  <c r="E437" i="1"/>
  <c r="E439" i="1"/>
  <c r="E440" i="1"/>
  <c r="E442" i="1"/>
  <c r="E445" i="1"/>
  <c r="E446" i="1"/>
  <c r="E447" i="1"/>
  <c r="E450" i="1"/>
  <c r="E452" i="1"/>
  <c r="E454" i="1"/>
  <c r="E455" i="1"/>
  <c r="E456" i="1"/>
  <c r="E458" i="1"/>
  <c r="E459" i="1"/>
  <c r="E460" i="1"/>
  <c r="E463" i="1"/>
  <c r="E467" i="1"/>
  <c r="E468" i="1"/>
  <c r="E469" i="1"/>
  <c r="E470" i="1"/>
  <c r="E472" i="1"/>
  <c r="E474" i="1"/>
  <c r="E475" i="1"/>
  <c r="E476" i="1"/>
  <c r="E477" i="1"/>
  <c r="E478" i="1"/>
  <c r="E484" i="1"/>
  <c r="E485" i="1"/>
  <c r="E487" i="1"/>
  <c r="E488" i="1"/>
  <c r="E489" i="1"/>
  <c r="E490" i="1"/>
  <c r="E491" i="1"/>
  <c r="E492" i="1"/>
  <c r="E495" i="1"/>
  <c r="E496" i="1"/>
  <c r="E497" i="1"/>
  <c r="E498" i="1"/>
  <c r="E499" i="1"/>
  <c r="E504" i="1"/>
  <c r="E505" i="1"/>
  <c r="E506" i="1"/>
  <c r="E507" i="1"/>
  <c r="E508"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<sst xmlns="http://schemas.openxmlformats.org/spreadsheetml/2006/main" count="3479" uniqueCount="1037">
  <si>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</si>
  <si>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</si>
  <si>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</si>
  <si>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</si>
  <si>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</si>
  <si>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</si>
  <si>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</si>
  <si>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</si>
  <si>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</si>
  <si>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</si>
  <si>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</si>
  <si>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</si>
  <si>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</si>
  <si>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</si>
  <si>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</si>
  <si>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</si>
  <si>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</si>
  <si>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</si>
  <si>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</si>
  <si>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</si>
  <si>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</si>
  <si>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</si>
  <si>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</si>
  <si>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</si>
  <si>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</si>
  <si>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</si>
  <si>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</si>
  <si>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</si>
  <si>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</si>
  <si>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</si>
  <si>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</si>
  <si>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</si>
  <si>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</si>
  <si>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</si>
  <si>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</si>
  <si>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</si>
  <si>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</si>
  <si>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</si>
  <si>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</si>
  <si>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</si>
  <si>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</si>
  <si>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</si>
  <si>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</si>
  <si>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</si>
  <si>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</si>
  <si>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</si>
  <si>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</si>
  <si>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</si>
  <si>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</si>
  <si>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</si>
  <si>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</si>
  <si>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</si>
  <si>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</si>
  <si>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</si>
  <si>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</si>
  <si>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</si>
  <si>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</si>
  <si>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</si>
  <si>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</si>
  <si>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</si>
  <si>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</si>
  <si>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</si>
  <si>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</si>
  <si>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</si>
  <si>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</si>
  <si>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</si>
  <si>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</si>
  <si>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</si>
  <si>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</si>
  <si>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</si>
  <si>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</si>
  <si>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</si>
  <si>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</si>
  <si>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</si>
  <si>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</si>
  <si>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</si>
  <si>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</si>
  <si>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</si>
  <si>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</si>
  <si>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</si>
  <si>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</si>
  <si>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</si>
  <si>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</si>
  <si>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</si>
  <si>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</si>
  <si>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</si>
  <si>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</si>
  <si>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</si>
  <si>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</si>
  <si>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</si>
  <si>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</si>
  <si>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</si>
  <si>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</si>
  <si>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</si>
  <si>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</si>
  <si>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</si>
  <si>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</si>
  <si>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</si>
  <si>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</si>
  <si>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</si>
  <si>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</si>
  <si>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</si>
  <si>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</si>
  <si>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</si>
  <si>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</si>
  <si>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</si>
  <si>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</si>
  <si>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</si>
  <si>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</si>
  <si>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</si>
  <si>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</si>
  <si>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</si>
  <si>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</si>
  <si>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</si>
  <si>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</si>
  <si>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</si>
  <si>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</si>
  <si>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</si>
  <si>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</si>
  <si>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</si>
  <si>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</si>
  <si>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</si>
  <si>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</si>
  <si>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</si>
  <si>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</si>
  <si>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</si>
  <si>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</si>
  <si>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</si>
  <si>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</si>
  <si>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</si>
  <si>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</si>
  <si>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</si>
  <si>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</si>
  <si>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</si>
  <si>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</si>
  <si>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</si>
  <si>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</si>
  <si>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</si>
  <si>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</si>
  <si>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</si>
  <si>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</si>
  <si>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</si>
  <si>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</si>
  <si>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</si>
  <si>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</si>
  <si>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</si>
  <si>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</si>
  <si>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</si>
  <si>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</si>
  <si>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</si>
  <si>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</si>
  <si>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</si>
  <si>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</si>
  <si>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</si>
  <si>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</si>
  <si>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</si>
  <si>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</si>
  <si>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</si>
  <si>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</si>
  <si>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</si>
  <si>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</si>
  <si>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</si>
  <si>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</si>
  <si>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</si>
  <si>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</si>
  <si>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</si>
  <si>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</si>
  <si>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</si>
  <si>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</si>
  <si>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</si>
  <si>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</si>
  <si>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</si>
  <si>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</si>
  <si>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</si>
  <si>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</si>
  <si>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</si>
  <si>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</si>
  <si>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</si>
  <si>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</si>
  <si>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</si>
  <si>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</si>
  <si>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</si>
  <si>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</si>
  <si>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</si>
  <si>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</si>
  <si>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</si>
  <si>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</si>
  <si>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</si>
  <si>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</si>
  <si>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</si>
  <si>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</si>
  <si>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</si>
  <si>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</si>
  <si>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</si>
  <si>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</si>
  <si>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</si>
  <si>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</si>
  <si>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</si>
  <si>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</si>
  <si>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</si>
  <si>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</si>
  <si>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</si>
  <si>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</si>
  <si>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</si>
  <si>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</si>
  <si>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</si>
  <si>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</si>
  <si>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</si>
  <si>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</si>
  <si>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</si>
  <si>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</si>
  <si>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</si>
  <si>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</si>
  <si>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</si>
  <si>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</si>
  <si>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</si>
  <si>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</si>
  <si>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</si>
  <si>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</si>
  <si>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</si>
  <si>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</si>
  <si>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</si>
  <si>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</si>
  <si>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</si>
  <si>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</si>
  <si>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</si>
  <si>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</si>
  <si>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</si>
  <si>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</si>
  <si>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</si>
  <si>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</si>
  <si>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</si>
  <si>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</si>
  <si>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</si>
  <si>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</si>
  <si>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</si>
  <si>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</si>
  <si>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</si>
  <si>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</si>
  <si>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</si>
  <si>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</si>
  <si>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</si>
  <si>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</si>
  <si>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</si>
  <si>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</si>
  <si>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</si>
  <si>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</si>
  <si>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</si>
  <si>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</si>
  <si>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</si>
  <si>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</si>
  <si>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</si>
  <si>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</si>
  <si>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</si>
  <si>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</si>
  <si>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20 Minutes Until Dawn</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</si>
  <si>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</si>
  <si>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</si>
  <si>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</si>
  <si>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</si>
  <si>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</si>
  <si>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</si>
  <si>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</si>
  <si>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</si>
  <si>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</si>
  <si>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</si>
  <si>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</si>
  <si>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</si>
  <si>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</si>
  <si>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</si>
  <si>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</si>
  <si>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</si>
  <si>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</si>
  <si>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</si>
  <si>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</si>
  <si>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</si>
  <si>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</si>
  <si>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</si>
  <si>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</si>
  <si>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</si>
  <si>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</si>
  <si>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</si>
  <si>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</si>
  <si>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</si>
  <si>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</si>
  <si>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</si>
  <si>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</si>
  <si>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</si>
  <si>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</si>
  <si>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</si>
  <si>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</si>
  <si>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</si>
  <si>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</si>
  <si>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</si>
  <si>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</si>
  <si>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</si>
  <si>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</si>
  <si>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</si>
  <si>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</si>
  <si>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</si>
  <si>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</si>
  <si>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</si>
  <si>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</si>
  <si>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</si>
  <si>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</si>
  <si>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</si>
  <si>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</si>
  <si>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</si>
  <si>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</si>
  <si>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</si>
  <si>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</si>
  <si>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</si>
  <si>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</si>
  <si>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</si>
  <si>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Legend of Bumbo</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</si>
  <si>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</si>
  <si>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</si>
  <si>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</si>
  <si>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</si>
  <si>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</si>
  <si>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</si>
  <si>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</si>
  <si>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</si>
  <si>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</si>
  <si>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</si>
  <si>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</si>
  <si>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</si>
  <si>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</si>
  <si>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</si>
  <si>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</si>
  <si>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</si>
  <si>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</si>
  <si>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</si>
  <si>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</si>
  <si>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</si>
  <si>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</si>
  <si>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</si>
  <si>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</si>
  <si>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</si>
  <si>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</si>
  <si>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</si>
  <si>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</si>
  <si>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</si>
  <si>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</si>
  <si>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</si>
  <si>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</si>
  <si>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</si>
  <si>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</si>
  <si>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</si>
  <si>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</si>
  <si>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</si>
  <si>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</si>
  <si>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</si>
  <si>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</si>
  <si>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</si>
  <si>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</si>
  <si>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</si>
  <si>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</si>
  <si>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</si>
  <si>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</si>
  <si>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</si>
  <si>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</si>
  <si>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</si>
  <si>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</si>
  <si>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</si>
  <si>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</si>
  <si>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</si>
  <si>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</si>
  <si>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</si>
  <si>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</si>
  <si>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</si>
  <si>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</si>
  <si>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</si>
  <si>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</si>
  <si>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</si>
  <si>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</si>
  <si>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</si>
  <si>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</si>
  <si>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</si>
  <si>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</si>
  <si>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</si>
  <si>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</si>
  <si>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</si>
  <si>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</si>
  <si>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</si>
  <si>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</si>
  <si>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</si>
  <si>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</si>
  <si>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</si>
  <si>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</si>
  <si>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</si>
  <si>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</si>
  <si>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</si>
  <si>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</si>
  <si>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</si>
  <si>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</si>
  <si>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</si>
  <si>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</si>
  <si>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</si>
  <si>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</si>
  <si>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</si>
  <si>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</si>
  <si>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</si>
  <si>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</si>
  <si>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</si>
  <si>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</si>
  <si>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</si>
  <si>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</si>
  <si>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</si>
  <si>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</si>
  <si>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</si>
  <si>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Move to a space of your choice in the same year you are on</t>
  </si>
  <si>
    <t>Hollow Heart</t>
  </si>
  <si>
    <t>Phase</t>
  </si>
  <si>
    <t>Exploration</t>
  </si>
  <si>
    <t>Ride the Bus</t>
  </si>
  <si>
    <t>Teleport to a random Deckbuilder space</t>
  </si>
  <si>
    <t>Poop</t>
  </si>
  <si>
    <t>Winged Boots</t>
  </si>
  <si>
    <t>Passive</t>
  </si>
  <si>
    <t>Usable</t>
  </si>
  <si>
    <t>Ventricle Razor</t>
  </si>
  <si>
    <t>On the first use, create a portal. On second use, return to the space you created the portal on</t>
  </si>
  <si>
    <t>Cut Through Fate</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</si>
  <si>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</si>
  <si>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</si>
  <si>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</si>
  <si>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</si>
  <si>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</si>
  <si>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</si>
  <si>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</si>
  <si>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</si>
  <si>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</si>
  <si>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</si>
  <si>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</si>
  <si>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</si>
  <si>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</si>
  <si>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</si>
  <si>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</si>
  <si>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</si>
  <si>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</si>
  <si>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</si>
  <si>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</si>
  <si>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</si>
  <si>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</si>
  <si>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</si>
  <si>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</si>
  <si>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</si>
  <si>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</si>
  <si>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</si>
  <si>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</si>
  <si>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</si>
  <si>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</si>
  <si>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</si>
  <si>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</si>
  <si>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</si>
  <si>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</si>
  <si>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</si>
  <si>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</si>
  <si>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</si>
  <si>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</si>
  <si>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</si>
  <si>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</si>
  <si>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</si>
  <si>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</si>
  <si>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</si>
  <si>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</si>
  <si>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</si>
  <si>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</si>
  <si>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Rougebook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</si>
  <si>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</si>
  <si>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</si>
  <si>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</si>
  <si>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</si>
  <si>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</si>
  <si>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</si>
  <si>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</si>
  <si>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</si>
  <si>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</si>
  <si>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</si>
  <si>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</si>
  <si>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</si>
  <si>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</si>
  <si>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</si>
  <si>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</si>
  <si>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</si>
  <si>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</si>
  <si>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</si>
  <si>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</si>
  <si>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</si>
  <si>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</si>
  <si>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</si>
  <si>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</si>
  <si>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</si>
  <si>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</si>
  <si>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</si>
  <si>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</si>
  <si>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</si>
  <si>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</si>
  <si>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</si>
  <si>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</si>
  <si>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</si>
  <si>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</si>
  <si>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</si>
  <si>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</si>
  <si>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</si>
  <si>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</si>
  <si>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</si>
  <si>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</si>
  <si>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</si>
  <si>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</si>
  <si>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</si>
  <si>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</si>
  <si>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</si>
  <si>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</si>
  <si>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</si>
  <si>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</si>
  <si>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</si>
  <si>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</si>
  <si>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</si>
  <si>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</si>
  <si>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</si>
  <si>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</si>
  <si>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</si>
  <si>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</si>
  <si>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</si>
  <si>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</si>
  <si>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</si>
  <si>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</si>
  <si>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</si>
  <si>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</si>
  <si>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</si>
  <si>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</si>
  <si>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</si>
  <si>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</si>
  <si>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</si>
  <si>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</si>
  <si>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</si>
  <si>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</si>
  <si>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</si>
  <si>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</si>
  <si>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</si>
  <si>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</si>
  <si>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</si>
  <si>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</si>
  <si>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</si>
  <si>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</si>
  <si>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</si>
  <si>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</si>
  <si>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</si>
  <si>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</si>
  <si>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</si>
  <si>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</si>
  <si>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</si>
  <si>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</si>
  <si>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</si>
  <si>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</si>
  <si>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</si>
  <si>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</si>
  <si>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</si>
  <si>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</si>
  <si>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</si>
  <si>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</si>
  <si>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</si>
  <si>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</si>
  <si>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</si>
  <si>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</si>
  <si>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</si>
  <si>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</si>
  <si>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</si>
  <si>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</si>
  <si>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</si>
  <si>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</si>
  <si>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</si>
  <si>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</si>
  <si>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</si>
  <si>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</si>
  <si>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</si>
  <si>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</si>
  <si>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</si>
  <si>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</si>
  <si>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</si>
  <si>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</si>
  <si>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</si>
  <si>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</si>
  <si>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</si>
  <si>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</si>
  <si>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</si>
  <si>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</si>
  <si>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</si>
  <si>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</si>
  <si>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</si>
  <si>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</si>
  <si>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</si>
  <si>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</si>
  <si>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</si>
  <si>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</si>
  <si>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</si>
  <si>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</si>
  <si>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</si>
  <si>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</si>
  <si>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</si>
  <si>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</si>
  <si>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</si>
  <si>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</si>
  <si>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</si>
  <si>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</si>
  <si>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</si>
  <si>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</si>
  <si>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</si>
  <si>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</si>
  <si>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</si>
  <si>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</si>
  <si>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</si>
  <si>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</si>
  <si>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</si>
  <si>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</si>
  <si>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</si>
  <si>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</si>
  <si>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</si>
  <si>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</si>
  <si>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</si>
  <si>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</si>
  <si>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</si>
  <si>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</si>
  <si>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</si>
  <si>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</si>
  <si>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</si>
  <si>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</si>
  <si>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</si>
  <si>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Space Choices contain two less options</t>
  </si>
  <si>
    <t>Until 1 Space Choice Chosen</t>
  </si>
  <si>
    <t>Until 2 Space Choices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</si>
  <si>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</si>
  <si>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</si>
  <si>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</si>
  <si>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</si>
  <si>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Subtract 2 from your roll</t>
  </si>
  <si>
    <t>Subtract 3 from your roll</t>
  </si>
  <si>
    <t>Subtract 4 from your roll</t>
  </si>
  <si>
    <t>1 Roll</t>
  </si>
  <si>
    <t>Until 1 Encounter Finished</t>
  </si>
  <si>
    <t>Until 2 Encounters Finished</t>
  </si>
  <si>
    <t>Until 3 Encounters Finished</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</si>
  <si>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</si>
  <si>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</si>
  <si>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</si>
  <si>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</si>
  <si>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</si>
  <si>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</si>
  <si>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</si>
  <si>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</si>
  <si>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</si>
  <si>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</si>
  <si>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</si>
  <si>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</si>
  <si>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</si>
  <si>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</si>
  <si>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</si>
  <si>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</si>
  <si>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</si>
  <si>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</si>
  <si>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</si>
  <si>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</si>
  <si>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</si>
  <si>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</si>
  <si>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</si>
  <si>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</si>
  <si>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</si>
  <si>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</si>
  <si>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</si>
  <si>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</si>
  <si>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</si>
  <si>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</si>
  <si>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</si>
  <si>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</si>
  <si>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</si>
  <si>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</si>
  <si>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</si>
  <si>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</si>
  <si>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</si>
  <si>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</si>
  <si>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</si>
  <si>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</si>
  <si>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</si>
  <si>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</si>
  <si>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</si>
  <si>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</si>
  <si>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Less Options I</t>
  </si>
  <si>
    <t>Curse of Less Options II</t>
  </si>
  <si>
    <t>Curse of Less Options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</si>
  <si>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</si>
  <si>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</si>
  <si>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</si>
  <si>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</si>
  <si>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</si>
  <si>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</si>
  <si>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</si>
  <si>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</si>
  <si>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</si>
  <si>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</si>
  <si>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</si>
  <si>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</si>
  <si>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</si>
  <si>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</si>
  <si>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</si>
  <si>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</si>
  <si>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</si>
  <si>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</si>
  <si>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</si>
  <si>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</si>
  <si>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</si>
  <si>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</si>
  <si>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When you buy something from a shop, lose 5 Gold</t>
  </si>
  <si>
    <t>When you buy something from a shop, lose 10 Gold</t>
  </si>
  <si>
    <t>When you buy something from a shop, lose 15 Gold</t>
  </si>
  <si>
    <t>When you roll a 1 (before adding to the roll), take 2 damage</t>
  </si>
  <si>
    <t>When you roll a 1 (before adding to the roll), take 3 damage</t>
  </si>
  <si>
    <t>When you roll a 1 (before adding to the roll), take 4 damage</t>
  </si>
  <si>
    <t>Curse of the Faliure I</t>
  </si>
  <si>
    <t>Curse of the Faliure II</t>
  </si>
  <si>
    <t>Curse of the Faliure III</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</si>
  <si>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</si>
  <si>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</si>
  <si>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</si>
  <si>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</si>
  <si>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</si>
  <si>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</si>
  <si>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</si>
  <si>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</si>
  <si>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</si>
  <si>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</si>
  <si>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</si>
  <si>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</si>
  <si>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</si>
  <si>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</si>
  <si>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</si>
  <si>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</si>
  <si>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</si>
  <si>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</si>
  <si>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</si>
  <si>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</si>
  <si>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</si>
  <si>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</si>
  <si>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</si>
  <si>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</si>
  <si>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</si>
  <si>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</si>
  <si>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</si>
  <si>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</si>
  <si>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</si>
  <si>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</si>
  <si>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</si>
  <si>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</si>
  <si>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</si>
  <si>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</si>
  <si>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</si>
  <si>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</si>
  <si>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</si>
  <si>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</si>
  <si>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</si>
  <si>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</si>
  <si>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</si>
  <si>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</si>
  <si>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</si>
  <si>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</si>
  <si>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</si>
  <si>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</si>
  <si>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</si>
  <si>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</si>
  <si>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</si>
  <si>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</si>
  <si>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</si>
  <si>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</si>
  <si>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</si>
  <si>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</si>
  <si>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</si>
  <si>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</si>
  <si>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</si>
  <si>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</si>
  <si>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</si>
  <si>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</si>
  <si>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</si>
  <si>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</si>
  <si>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</si>
  <si>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</si>
  <si>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</si>
  <si>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</si>
  <si>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</si>
  <si>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</si>
  <si>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</si>
  <si>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</si>
  <si>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</si>
  <si>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</si>
  <si>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</si>
  <si>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</si>
  <si>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</si>
  <si>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</si>
  <si>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</si>
  <si>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</si>
  <si>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</si>
  <si>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</si>
  <si>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</si>
  <si>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</si>
  <si>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</si>
  <si>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</si>
  <si>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</si>
  <si>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</si>
  <si>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</si>
  <si>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</si>
  <si>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</si>
  <si>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</si>
  <si>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</si>
  <si>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</si>
  <si>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</si>
  <si>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</si>
  <si>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</si>
  <si>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</si>
  <si>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</si>
  <si>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</si>
  <si>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</si>
  <si>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</si>
  <si>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</si>
  <si>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</si>
  <si>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</si>
  <si>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</si>
  <si>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</si>
  <si>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</si>
  <si>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</si>
  <si>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</si>
  <si>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</si>
  <si>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</si>
  <si>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</si>
  <si>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</si>
  <si>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</si>
  <si>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</si>
  <si>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</si>
  <si>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</si>
  <si>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</si>
  <si>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</si>
  <si>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</si>
  <si>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</si>
  <si>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</si>
  <si>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</si>
  <si>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</si>
  <si>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</si>
  <si>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</si>
  <si>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</si>
  <si>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</si>
  <si>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</si>
  <si>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</si>
  <si>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</si>
  <si>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</si>
  <si>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</si>
  <si>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</si>
  <si>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</si>
  <si>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</si>
  <si>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</si>
  <si>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</si>
  <si>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</si>
  <si>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</si>
  <si>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</si>
  <si>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</si>
  <si>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</si>
  <si>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</si>
  <si>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</si>
  <si>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</si>
  <si>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</si>
  <si>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</si>
  <si>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</si>
  <si>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</si>
  <si>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</si>
  <si>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</si>
  <si>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</si>
  <si>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</si>
  <si>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</si>
  <si>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</si>
  <si>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</si>
  <si>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</si>
  <si>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</si>
  <si>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</si>
  <si>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</si>
  <si>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</si>
  <si>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</si>
  <si>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</si>
  <si>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</si>
  <si>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</si>
  <si>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</si>
  <si>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</si>
  <si>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</si>
  <si>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</si>
  <si>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</si>
  <si>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</si>
  <si>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</si>
  <si>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</si>
  <si>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</si>
  <si>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</si>
  <si>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</si>
  <si>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</si>
  <si>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</si>
  <si>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</si>
  <si>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</si>
  <si>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</si>
  <si>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</si>
  <si>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</si>
  <si>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</si>
  <si>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</si>
  <si>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</si>
  <si>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</si>
  <si>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</si>
  <si>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</si>
  <si>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</si>
  <si>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</si>
  <si>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</si>
  <si>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</si>
  <si>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</si>
  <si>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</si>
  <si>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</si>
  <si>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</si>
  <si>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</si>
  <si>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</si>
  <si>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</si>
  <si>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</si>
  <si>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</si>
  <si>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</si>
  <si>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</si>
  <si>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</si>
  <si>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</si>
  <si>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</si>
  <si>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</si>
  <si>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</si>
  <si>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</si>
  <si>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</si>
  <si>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</si>
  <si>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</si>
  <si>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</si>
  <si>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</si>
  <si>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</si>
  <si>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</si>
  <si>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</si>
  <si>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</si>
  <si>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</si>
  <si>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</si>
  <si>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</si>
  <si>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</si>
  <si>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</si>
  <si>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</si>
  <si>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</si>
  <si>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</si>
  <si>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</si>
  <si>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</si>
  <si>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</si>
  <si>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</si>
  <si>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</si>
  <si>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</si>
  <si>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</si>
  <si>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</si>
  <si>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</si>
  <si>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</si>
  <si>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</si>
  <si>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</si>
  <si>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</si>
  <si>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</si>
  <si>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</si>
  <si>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</si>
  <si>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</si>
  <si>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</si>
  <si>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</si>
  <si>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During game selection, use to see each of those game's next selection options</t>
  </si>
  <si>
    <t>Reference</t>
  </si>
  <si>
    <t>D6</t>
  </si>
  <si>
    <t>Isaac</t>
  </si>
  <si>
    <t>Cursed Slash</t>
  </si>
  <si>
    <t>Lose half of your max health. When you beat a game, Heal +1 Health</t>
  </si>
  <si>
    <t>Triggered</t>
  </si>
  <si>
    <t>Charm of the Vampire</t>
  </si>
  <si>
    <t>When you defeat an enemy, 50% chance to Heal +1 Health</t>
  </si>
  <si>
    <t>Unlock Condition</t>
  </si>
  <si>
    <t>N/A</t>
  </si>
  <si>
    <t>Sunglasses</t>
  </si>
  <si>
    <t>Gain +1 Luck</t>
  </si>
  <si>
    <t>Gungeon</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</si>
  <si>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</si>
  <si>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</si>
  <si>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</si>
  <si>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</si>
  <si>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</si>
  <si>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</si>
  <si>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</si>
  <si>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</si>
  <si>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</si>
  <si>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</si>
  <si>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</si>
  <si>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</si>
  <si>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</si>
  <si>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</si>
  <si>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https://imgur.com/0Xl0rkM</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</si>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</sst>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8" totalsRowShown="0">
  <autoFilter ref="A1:F508" xr:uid="{B6483008-1301-4642-B9B1-3650CE0178F4}"/>
  <sortState xmlns:xlrd2="http://schemas.microsoft.com/office/spreadsheetml/2017/richdata2" ref="A2:E508">
    <sortCondition ref="A500:A508"/>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4" totalsRowShown="0">
  <autoFilter ref="A1:I24" xr:uid="{F494E157-094C-4C81-8AAB-0F1D4FD4F75A}"/>
  <sortState xmlns:xlrd2="http://schemas.microsoft.com/office/spreadsheetml/2017/richdata2" ref="A2:H25">
    <sortCondition ref="A9:A25"/>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E37" totalsRowShown="0">
  <autoFilter ref="A1:E37" xr:uid="{49FC0178-5E2D-44BB-9C10-17DE9B9C9EB6}"/>
  <sortState xmlns:xlrd2="http://schemas.microsoft.com/office/spreadsheetml/2017/richdata2" ref="A2:E34">
    <sortCondition ref="B2:B34"/>
    <sortCondition ref="A2:A34"/>
  </sortState>
  <tableColumns count="5">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RETSDm3" TargetMode="External"/><Relationship Id="rId13" Type="http://schemas.openxmlformats.org/officeDocument/2006/relationships/hyperlink" Target="https://imgur.com/99fmzLa" TargetMode="External"/><Relationship Id="rId18" Type="http://schemas.openxmlformats.org/officeDocument/2006/relationships/hyperlink" Target="https://imgur.com/7PwYlLV" TargetMode="External"/><Relationship Id="rId3" Type="http://schemas.openxmlformats.org/officeDocument/2006/relationships/hyperlink" Target="https://imgur.com/7ZFcskE" TargetMode="External"/><Relationship Id="rId21" Type="http://schemas.openxmlformats.org/officeDocument/2006/relationships/hyperlink" Target="https://imgur.com/FxQnJNs" TargetMode="External"/><Relationship Id="rId7" Type="http://schemas.openxmlformats.org/officeDocument/2006/relationships/hyperlink" Target="https://imgur.com/fru3Gyw" TargetMode="External"/><Relationship Id="rId12" Type="http://schemas.openxmlformats.org/officeDocument/2006/relationships/hyperlink" Target="https://imgur.com/ZfpzXcZ" TargetMode="External"/><Relationship Id="rId17" Type="http://schemas.openxmlformats.org/officeDocument/2006/relationships/hyperlink" Target="https://imgur.com/mRtclGk" TargetMode="External"/><Relationship Id="rId2" Type="http://schemas.openxmlformats.org/officeDocument/2006/relationships/hyperlink" Target="https://imgur.com/1Yg6lUW" TargetMode="External"/><Relationship Id="rId16" Type="http://schemas.openxmlformats.org/officeDocument/2006/relationships/hyperlink" Target="https://imgur.com/xSDhE5U" TargetMode="External"/><Relationship Id="rId20" Type="http://schemas.openxmlformats.org/officeDocument/2006/relationships/hyperlink" Target="https://imgur.com/xTULxCS" TargetMode="External"/><Relationship Id="rId1" Type="http://schemas.openxmlformats.org/officeDocument/2006/relationships/hyperlink" Target="https://imgur.com/0Xl0rkM" TargetMode="External"/><Relationship Id="rId6" Type="http://schemas.openxmlformats.org/officeDocument/2006/relationships/hyperlink" Target="https://imgur.com/mHg7pUP" TargetMode="External"/><Relationship Id="rId11" Type="http://schemas.openxmlformats.org/officeDocument/2006/relationships/hyperlink" Target="https://imgur.com/xHGuThN" TargetMode="External"/><Relationship Id="rId24" Type="http://schemas.openxmlformats.org/officeDocument/2006/relationships/table" Target="../tables/table3.xml"/><Relationship Id="rId5" Type="http://schemas.openxmlformats.org/officeDocument/2006/relationships/hyperlink" Target="https://imgur.com/XkprgSn" TargetMode="External"/><Relationship Id="rId15" Type="http://schemas.openxmlformats.org/officeDocument/2006/relationships/hyperlink" Target="https://imgur.com/vuYYwHg" TargetMode="External"/><Relationship Id="rId23" Type="http://schemas.openxmlformats.org/officeDocument/2006/relationships/hyperlink" Target="https://imgur.com/WQA1brB" TargetMode="External"/><Relationship Id="rId10" Type="http://schemas.openxmlformats.org/officeDocument/2006/relationships/hyperlink" Target="https://imgur.com/htl7FIW" TargetMode="External"/><Relationship Id="rId19" Type="http://schemas.openxmlformats.org/officeDocument/2006/relationships/hyperlink" Target="https://imgur.com/lh7ebwI" TargetMode="External"/><Relationship Id="rId4" Type="http://schemas.openxmlformats.org/officeDocument/2006/relationships/hyperlink" Target="https://imgur.com/a38hVSs" TargetMode="External"/><Relationship Id="rId9" Type="http://schemas.openxmlformats.org/officeDocument/2006/relationships/hyperlink" Target="https://imgur.com/hiX14wX" TargetMode="External"/><Relationship Id="rId14" Type="http://schemas.openxmlformats.org/officeDocument/2006/relationships/hyperlink" Target="https://imgur.com/kHsgAAB" TargetMode="External"/><Relationship Id="rId22" Type="http://schemas.openxmlformats.org/officeDocument/2006/relationships/hyperlink" Target="https://imgur.com/wS3xMs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8"/>
  <sheetViews>
    <sheetView tabSelected="1" topLeftCell="A433" workbookViewId="0">
      <selection activeCell="A486" sqref="A4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530</v>
      </c>
      <c r="E1" t="s">
        <v>534</v>
      </c>
      <c r="F1" t="s">
        <v>1035</v>
      </c>
    </row>
    <row r="2" spans="1:6" x14ac:dyDescent="0.25">
      <c r="A2" t="s">
        <v>502</v>
      </c>
      <c r="B2">
        <v>2024</v>
      </c>
      <c r="C2" t="s">
        <v>108</v>
      </c>
      <c r="D2" t="b">
        <v>1</v>
      </c>
      <c r="E2" t="b">
        <f>COUNTIF(connections!A:A, A2) &gt; 0</f>
        <v>0</v>
      </c>
    </row>
    <row r="3" spans="1:6" x14ac:dyDescent="0.25">
      <c r="A3" t="s">
        <v>830</v>
      </c>
      <c r="B3">
        <v>2010</v>
      </c>
      <c r="C3" t="s">
        <v>107</v>
      </c>
      <c r="D3" t="b">
        <v>1</v>
      </c>
      <c r="E3" t="b">
        <f>COUNTIF(connections!A:A, A3) &gt; 0</f>
        <v>1</v>
      </c>
    </row>
    <row r="4" spans="1:6" x14ac:dyDescent="0.25">
      <c r="A4" t="s">
        <v>709</v>
      </c>
      <c r="B4">
        <v>2022</v>
      </c>
      <c r="C4" t="s">
        <v>108</v>
      </c>
      <c r="D4" t="b">
        <v>1</v>
      </c>
      <c r="E4" t="b">
        <f>COUNTIF(connections!A:A, A4) &gt; 0</f>
        <v>0</v>
      </c>
    </row>
    <row r="5" spans="1:6" x14ac:dyDescent="0.25">
      <c r="A5" t="s">
        <v>778</v>
      </c>
      <c r="B5">
        <v>2024</v>
      </c>
      <c r="C5" t="s">
        <v>110</v>
      </c>
      <c r="D5" t="b">
        <v>1</v>
      </c>
      <c r="E5" t="b">
        <f>COUNTIF(connections!A:A, A5) &gt; 0</f>
        <v>0</v>
      </c>
    </row>
    <row r="6" spans="1:6" x14ac:dyDescent="0.25">
      <c r="A6" t="s">
        <v>486</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864</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838</v>
      </c>
      <c r="B10">
        <v>2021</v>
      </c>
      <c r="C10" t="s">
        <v>110</v>
      </c>
      <c r="D10" t="b">
        <v>1</v>
      </c>
      <c r="E10" t="b">
        <f>COUNTIF(connections!A:A, A10) &gt; 0</f>
        <v>1</v>
      </c>
    </row>
    <row r="11" spans="1:6" x14ac:dyDescent="0.25">
      <c r="A11" t="s">
        <v>878</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760</v>
      </c>
      <c r="B16">
        <v>2022</v>
      </c>
      <c r="C16" t="s">
        <v>109</v>
      </c>
      <c r="D16" t="b">
        <v>0</v>
      </c>
      <c r="E16" t="b">
        <f>COUNTIF(connections!A:A, A16) &gt; 0</f>
        <v>1</v>
      </c>
    </row>
    <row r="17" spans="1:5" x14ac:dyDescent="0.25">
      <c r="A17" t="s">
        <v>761</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904</v>
      </c>
      <c r="B19">
        <v>2025</v>
      </c>
      <c r="C19" t="s">
        <v>108</v>
      </c>
      <c r="D19" t="b">
        <v>0</v>
      </c>
      <c r="E19" t="b">
        <f>COUNTIF(connections!A:A, A19) &gt; 0</f>
        <v>0</v>
      </c>
    </row>
    <row r="20" spans="1:5" x14ac:dyDescent="0.25">
      <c r="A20" t="s">
        <v>367</v>
      </c>
      <c r="B20">
        <v>2020</v>
      </c>
      <c r="C20" t="s">
        <v>110</v>
      </c>
      <c r="D20" t="b">
        <v>1</v>
      </c>
      <c r="E20" t="b">
        <f>COUNTIF(connections!A:A, A20) &gt; 0</f>
        <v>0</v>
      </c>
    </row>
    <row r="21" spans="1:5" x14ac:dyDescent="0.25">
      <c r="A21" t="s">
        <v>462</v>
      </c>
      <c r="B21">
        <v>2024</v>
      </c>
      <c r="C21" t="s">
        <v>108</v>
      </c>
      <c r="D21" t="b">
        <v>1</v>
      </c>
      <c r="E21" t="b">
        <f>COUNTIF(connections!A:A, A21) &gt; 0</f>
        <v>0</v>
      </c>
    </row>
    <row r="22" spans="1:5" x14ac:dyDescent="0.25">
      <c r="A22" t="s">
        <v>859</v>
      </c>
      <c r="B22">
        <v>2025</v>
      </c>
      <c r="C22" t="s">
        <v>110</v>
      </c>
      <c r="D22" t="b">
        <v>1</v>
      </c>
      <c r="E22" t="b">
        <f>COUNTIF(connections!A:A, A22) &gt; 0</f>
        <v>0</v>
      </c>
    </row>
    <row r="23" spans="1:5" x14ac:dyDescent="0.25">
      <c r="A23" t="s">
        <v>757</v>
      </c>
      <c r="B23">
        <v>2025</v>
      </c>
      <c r="C23" t="s">
        <v>110</v>
      </c>
      <c r="D23" t="b">
        <v>1</v>
      </c>
      <c r="E23" t="b">
        <f>COUNTIF(connections!A:A, A23) &gt; 0</f>
        <v>0</v>
      </c>
    </row>
    <row r="24" spans="1:5" x14ac:dyDescent="0.25">
      <c r="A24" t="s">
        <v>728</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828</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279</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447</v>
      </c>
      <c r="B32">
        <v>2020</v>
      </c>
      <c r="C32" t="s">
        <v>109</v>
      </c>
      <c r="D32" t="b">
        <v>1</v>
      </c>
      <c r="E32" t="b">
        <f>COUNTIF(connections!A:A, A32) &gt; 0</f>
        <v>0</v>
      </c>
    </row>
    <row r="33" spans="1:5" x14ac:dyDescent="0.25">
      <c r="A33" t="s">
        <v>871</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359</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483</v>
      </c>
      <c r="B37">
        <v>1998</v>
      </c>
      <c r="C37" t="s">
        <v>108</v>
      </c>
      <c r="D37" t="b">
        <v>1</v>
      </c>
      <c r="E37" t="b">
        <f>COUNTIF(connections!A:A, A37) &gt; 0</f>
        <v>0</v>
      </c>
    </row>
    <row r="38" spans="1:5" x14ac:dyDescent="0.25">
      <c r="A38" t="s">
        <v>484</v>
      </c>
      <c r="B38">
        <v>2007</v>
      </c>
      <c r="C38" t="s">
        <v>108</v>
      </c>
      <c r="D38" t="b">
        <v>0</v>
      </c>
      <c r="E38" t="b">
        <f>COUNTIF(connections!A:A, A38) &gt; 0</f>
        <v>0</v>
      </c>
    </row>
    <row r="39" spans="1:5" x14ac:dyDescent="0.25">
      <c r="A39" t="s">
        <v>316</v>
      </c>
      <c r="B39">
        <v>2017</v>
      </c>
      <c r="C39" t="s">
        <v>109</v>
      </c>
      <c r="D39" t="b">
        <v>1</v>
      </c>
      <c r="E39" t="b">
        <f>COUNTIF(connections!A:A, A39) &gt; 0</f>
        <v>1</v>
      </c>
    </row>
    <row r="40" spans="1:5" x14ac:dyDescent="0.25">
      <c r="A40" t="s">
        <v>891</v>
      </c>
      <c r="B40">
        <v>2025</v>
      </c>
      <c r="C40" t="s">
        <v>110</v>
      </c>
      <c r="D40" t="b">
        <v>1</v>
      </c>
      <c r="E40" t="b">
        <f>COUNTIF(connections!A:A, A40) &gt; 0</f>
        <v>0</v>
      </c>
    </row>
    <row r="41" spans="1:5" x14ac:dyDescent="0.25">
      <c r="A41" t="s">
        <v>934</v>
      </c>
      <c r="B41">
        <v>2024</v>
      </c>
      <c r="C41" t="s">
        <v>108</v>
      </c>
      <c r="D41" t="b">
        <v>1</v>
      </c>
      <c r="E41" t="b">
        <f>COUNTIF(connections!A:A, A41) &gt; 0</f>
        <v>0</v>
      </c>
    </row>
    <row r="42" spans="1:5" x14ac:dyDescent="0.25">
      <c r="A42" t="s">
        <v>526</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520</v>
      </c>
      <c r="B45">
        <v>2023</v>
      </c>
      <c r="C45" t="s">
        <v>108</v>
      </c>
      <c r="D45" t="b">
        <v>1</v>
      </c>
      <c r="E45" t="b">
        <f>COUNTIF(connections!A:A, A45) &gt; 0</f>
        <v>0</v>
      </c>
    </row>
    <row r="46" spans="1:5" x14ac:dyDescent="0.25">
      <c r="A46" t="s">
        <v>368</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511</v>
      </c>
      <c r="B48">
        <v>2023</v>
      </c>
      <c r="C48" t="s">
        <v>109</v>
      </c>
      <c r="D48" t="b">
        <v>0</v>
      </c>
      <c r="E48" t="b">
        <f>COUNTIF(connections!A:A, A48) &gt; 0</f>
        <v>1</v>
      </c>
    </row>
    <row r="49" spans="1:5" x14ac:dyDescent="0.25">
      <c r="A49" t="s">
        <v>512</v>
      </c>
      <c r="B49">
        <v>2024</v>
      </c>
      <c r="C49" t="s">
        <v>109</v>
      </c>
      <c r="D49" t="b">
        <v>0</v>
      </c>
      <c r="E49" t="b">
        <f>COUNTIF(connections!A:A, A49) &gt; 0</f>
        <v>0</v>
      </c>
    </row>
    <row r="50" spans="1:5" x14ac:dyDescent="0.25">
      <c r="A50" t="s">
        <v>459</v>
      </c>
      <c r="B50">
        <v>2023</v>
      </c>
      <c r="C50" t="s">
        <v>108</v>
      </c>
      <c r="D50" t="b">
        <v>1</v>
      </c>
      <c r="E50" t="b">
        <f>COUNTIF(connections!A:A, A50) &gt; 0</f>
        <v>0</v>
      </c>
    </row>
    <row r="51" spans="1:5" x14ac:dyDescent="0.25">
      <c r="A51" t="s">
        <v>762</v>
      </c>
      <c r="B51">
        <v>2025</v>
      </c>
      <c r="C51" t="s">
        <v>109</v>
      </c>
      <c r="D51" t="b">
        <v>0</v>
      </c>
      <c r="E51" t="b">
        <f>COUNTIF(connections!A:A, A51) &gt; 0</f>
        <v>0</v>
      </c>
    </row>
    <row r="52" spans="1:5" x14ac:dyDescent="0.25">
      <c r="A52" t="s">
        <v>256</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257</v>
      </c>
      <c r="B54">
        <v>2022</v>
      </c>
      <c r="C54" t="s">
        <v>108</v>
      </c>
      <c r="D54" t="b">
        <v>1</v>
      </c>
      <c r="E54" t="b">
        <f>COUNTIF(connections!A:A, A54) &gt; 0</f>
        <v>0</v>
      </c>
    </row>
    <row r="55" spans="1:5" x14ac:dyDescent="0.25">
      <c r="A55" t="s">
        <v>370</v>
      </c>
      <c r="B55">
        <v>2020</v>
      </c>
      <c r="C55" t="s">
        <v>108</v>
      </c>
      <c r="D55" t="b">
        <v>1</v>
      </c>
      <c r="E55" t="b">
        <f>COUNTIF(connections!A:A, A55) &gt; 0</f>
        <v>0</v>
      </c>
    </row>
    <row r="56" spans="1:5" x14ac:dyDescent="0.25">
      <c r="A56" t="s">
        <v>894</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312</v>
      </c>
      <c r="B59">
        <v>2021</v>
      </c>
      <c r="C59" t="s">
        <v>109</v>
      </c>
      <c r="D59" t="b">
        <v>1</v>
      </c>
      <c r="E59" t="b">
        <f>COUNTIF(connections!A:A, A59) &gt; 0</f>
        <v>0</v>
      </c>
    </row>
    <row r="60" spans="1:5" x14ac:dyDescent="0.25">
      <c r="A60" t="s">
        <v>858</v>
      </c>
      <c r="B60">
        <v>2024</v>
      </c>
      <c r="C60" t="s">
        <v>109</v>
      </c>
      <c r="D60" t="b">
        <v>1</v>
      </c>
      <c r="E60" t="b">
        <f>COUNTIF(connections!A:A, A60) &gt; 0</f>
        <v>1</v>
      </c>
    </row>
    <row r="61" spans="1:5" x14ac:dyDescent="0.25">
      <c r="A61" t="s">
        <v>907</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745</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477</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268</v>
      </c>
      <c r="B71">
        <v>2023</v>
      </c>
      <c r="C71" t="s">
        <v>108</v>
      </c>
      <c r="D71" t="b">
        <v>1</v>
      </c>
      <c r="E71" t="b">
        <f>COUNTIF(connections!A:A, A71) &gt; 0</f>
        <v>0</v>
      </c>
    </row>
    <row r="72" spans="1:5" x14ac:dyDescent="0.25">
      <c r="A72" t="s">
        <v>880</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792</v>
      </c>
      <c r="B74">
        <v>1998</v>
      </c>
      <c r="C74" t="s">
        <v>107</v>
      </c>
      <c r="D74" t="b">
        <v>1</v>
      </c>
      <c r="E74" t="b">
        <f>COUNTIF(connections!A:A, A74) &gt; 0</f>
        <v>1</v>
      </c>
    </row>
    <row r="75" spans="1:5" x14ac:dyDescent="0.25">
      <c r="A75" t="s">
        <v>790</v>
      </c>
      <c r="B75">
        <v>1997</v>
      </c>
      <c r="C75" t="s">
        <v>107</v>
      </c>
      <c r="D75" t="b">
        <v>1</v>
      </c>
      <c r="E75" t="b">
        <f>COUNTIF(connections!A:A, A75) &gt; 0</f>
        <v>1</v>
      </c>
    </row>
    <row r="76" spans="1:5" x14ac:dyDescent="0.25">
      <c r="A76" t="s">
        <v>813</v>
      </c>
      <c r="B76">
        <v>2019</v>
      </c>
      <c r="C76" t="s">
        <v>107</v>
      </c>
      <c r="D76" t="b">
        <v>1</v>
      </c>
      <c r="E76" t="b">
        <f>COUNTIF(connections!A:A, A76) &gt; 0</f>
        <v>0</v>
      </c>
    </row>
    <row r="77" spans="1:5" x14ac:dyDescent="0.25">
      <c r="A77" t="s">
        <v>432</v>
      </c>
      <c r="B77">
        <v>2019</v>
      </c>
      <c r="C77" t="s">
        <v>110</v>
      </c>
      <c r="D77" t="b">
        <v>1</v>
      </c>
      <c r="E77" t="b">
        <f>COUNTIF(connections!A:A, A77) &gt; 0</f>
        <v>0</v>
      </c>
    </row>
    <row r="78" spans="1:5" x14ac:dyDescent="0.25">
      <c r="A78" t="s">
        <v>852</v>
      </c>
      <c r="B78">
        <v>2025</v>
      </c>
      <c r="C78" t="s">
        <v>108</v>
      </c>
      <c r="D78" t="b">
        <v>1</v>
      </c>
      <c r="E78" t="b">
        <f>COUNTIF(connections!A:A, A78) &gt; 0</f>
        <v>0</v>
      </c>
    </row>
    <row r="79" spans="1:5" x14ac:dyDescent="0.25">
      <c r="A79" t="s">
        <v>856</v>
      </c>
      <c r="B79">
        <v>2025</v>
      </c>
      <c r="C79" t="s">
        <v>109</v>
      </c>
      <c r="D79" t="b">
        <v>1</v>
      </c>
      <c r="E79" t="b">
        <f>COUNTIF(connections!A:A, A79) &gt; 0</f>
        <v>0</v>
      </c>
    </row>
    <row r="80" spans="1:5" x14ac:dyDescent="0.25">
      <c r="A80" t="s">
        <v>844</v>
      </c>
      <c r="B80">
        <v>2025</v>
      </c>
      <c r="C80" t="s">
        <v>110</v>
      </c>
      <c r="D80" t="b">
        <v>1</v>
      </c>
      <c r="E80" t="b">
        <f>COUNTIF(connections!A:A, A80) &gt; 0</f>
        <v>0</v>
      </c>
    </row>
    <row r="81" spans="1:5" x14ac:dyDescent="0.25">
      <c r="A81" t="s">
        <v>877</v>
      </c>
      <c r="B81">
        <v>2025</v>
      </c>
      <c r="C81" t="s">
        <v>109</v>
      </c>
      <c r="D81" t="b">
        <v>0</v>
      </c>
      <c r="E81" t="b">
        <f>COUNTIF(connections!A:A, A81) &gt; 0</f>
        <v>0</v>
      </c>
    </row>
    <row r="82" spans="1:5" x14ac:dyDescent="0.25">
      <c r="A82" t="s">
        <v>320</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727</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328</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348</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906</v>
      </c>
      <c r="B91">
        <v>2023</v>
      </c>
      <c r="C91" t="s">
        <v>110</v>
      </c>
      <c r="D91" t="b">
        <v>1</v>
      </c>
      <c r="E91" t="b">
        <f>COUNTIF(connections!A:A, A91) &gt; 0</f>
        <v>0</v>
      </c>
    </row>
    <row r="92" spans="1:5" x14ac:dyDescent="0.25">
      <c r="A92" t="s">
        <v>347</v>
      </c>
      <c r="B92">
        <v>2020</v>
      </c>
      <c r="C92" t="s">
        <v>109</v>
      </c>
      <c r="D92" t="b">
        <v>0</v>
      </c>
      <c r="E92" t="b">
        <f>COUNTIF(connections!A:A, A92) &gt; 0</f>
        <v>0</v>
      </c>
    </row>
    <row r="93" spans="1:5" x14ac:dyDescent="0.25">
      <c r="A93" t="s">
        <v>746</v>
      </c>
      <c r="B93">
        <v>2025</v>
      </c>
      <c r="C93" t="s">
        <v>110</v>
      </c>
      <c r="D93" t="b">
        <v>1</v>
      </c>
      <c r="E93" t="b">
        <f>COUNTIF(connections!A:A, A93) &gt; 0</f>
        <v>0</v>
      </c>
    </row>
    <row r="94" spans="1:5" x14ac:dyDescent="0.25">
      <c r="A94" t="s">
        <v>954</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516</v>
      </c>
      <c r="B100">
        <v>2023</v>
      </c>
      <c r="C100" t="s">
        <v>108</v>
      </c>
      <c r="D100" t="b">
        <v>0</v>
      </c>
      <c r="E100" t="b">
        <f>COUNTIF(connections!A:A, A100) &gt; 0</f>
        <v>0</v>
      </c>
    </row>
    <row r="101" spans="1:5" x14ac:dyDescent="0.25">
      <c r="A101" t="s">
        <v>533</v>
      </c>
      <c r="B101">
        <v>2019</v>
      </c>
      <c r="C101" t="s">
        <v>108</v>
      </c>
      <c r="D101" t="b">
        <v>1</v>
      </c>
      <c r="E101" t="b">
        <f>COUNTIF(connections!A:A, A101) &gt; 0</f>
        <v>1</v>
      </c>
    </row>
    <row r="102" spans="1:5" x14ac:dyDescent="0.25">
      <c r="A102" t="s">
        <v>966</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771</v>
      </c>
      <c r="B108">
        <v>2025</v>
      </c>
      <c r="C108" t="s">
        <v>108</v>
      </c>
      <c r="D108" t="b">
        <v>0</v>
      </c>
      <c r="E108" t="b">
        <f>COUNTIF(connections!A:A, A108) &gt; 0</f>
        <v>0</v>
      </c>
    </row>
    <row r="109" spans="1:5" x14ac:dyDescent="0.25">
      <c r="A109" t="s">
        <v>886</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399</v>
      </c>
      <c r="B111">
        <v>2023</v>
      </c>
      <c r="C111" t="s">
        <v>110</v>
      </c>
      <c r="D111" t="b">
        <v>1</v>
      </c>
      <c r="E111" t="b">
        <f>COUNTIF(connections!A:A, A111) &gt; 0</f>
        <v>0</v>
      </c>
    </row>
    <row r="112" spans="1:5" x14ac:dyDescent="0.25">
      <c r="A112" t="s">
        <v>989</v>
      </c>
      <c r="B112">
        <v>2025</v>
      </c>
      <c r="C112" t="s">
        <v>110</v>
      </c>
      <c r="D112" t="b">
        <v>1</v>
      </c>
      <c r="E112" t="b">
        <f>COUNTIF(connections!A:A, A112) &gt; 0</f>
        <v>0</v>
      </c>
    </row>
    <row r="113" spans="1:5" x14ac:dyDescent="0.25">
      <c r="A113" t="s">
        <v>885</v>
      </c>
      <c r="B113">
        <v>2025</v>
      </c>
      <c r="C113" t="s">
        <v>110</v>
      </c>
      <c r="D113" t="b">
        <v>1</v>
      </c>
      <c r="E113" t="b">
        <f>COUNTIF(connections!A:A, A113) &gt; 0</f>
        <v>0</v>
      </c>
    </row>
    <row r="114" spans="1:5" x14ac:dyDescent="0.25">
      <c r="A114" t="s">
        <v>398</v>
      </c>
      <c r="B114">
        <v>2014</v>
      </c>
      <c r="C114" t="s">
        <v>108</v>
      </c>
      <c r="D114" t="b">
        <v>1</v>
      </c>
      <c r="E114" t="b">
        <f>COUNTIF(connections!A:A, A114) &gt; 0</f>
        <v>0</v>
      </c>
    </row>
    <row r="115" spans="1:5" x14ac:dyDescent="0.25">
      <c r="A115" t="s">
        <v>262</v>
      </c>
      <c r="B115">
        <v>2024</v>
      </c>
      <c r="C115" t="s">
        <v>108</v>
      </c>
      <c r="D115" t="b">
        <v>1</v>
      </c>
      <c r="E115" t="b">
        <f>COUNTIF(connections!A:A, A115) &gt; 0</f>
        <v>1</v>
      </c>
    </row>
    <row r="116" spans="1:5" x14ac:dyDescent="0.25">
      <c r="A116" t="s">
        <v>400</v>
      </c>
      <c r="B116">
        <v>2018</v>
      </c>
      <c r="C116" t="s">
        <v>110</v>
      </c>
      <c r="D116" t="b">
        <v>1</v>
      </c>
      <c r="E116" t="b">
        <f>COUNTIF(connections!A:A, A116) &gt; 0</f>
        <v>1</v>
      </c>
    </row>
    <row r="117" spans="1:5" x14ac:dyDescent="0.25">
      <c r="A117" t="s">
        <v>788</v>
      </c>
      <c r="B117">
        <v>2012</v>
      </c>
      <c r="C117" t="s">
        <v>108</v>
      </c>
      <c r="D117" t="b">
        <v>0</v>
      </c>
      <c r="E117" t="b">
        <f>COUNTIF(connections!A:A, A117) &gt; 0</f>
        <v>0</v>
      </c>
    </row>
    <row r="118" spans="1:5" x14ac:dyDescent="0.25">
      <c r="A118" t="s">
        <v>749</v>
      </c>
      <c r="B118">
        <v>2019</v>
      </c>
      <c r="C118" t="s">
        <v>109</v>
      </c>
      <c r="D118" t="b">
        <v>0</v>
      </c>
      <c r="E118" t="b">
        <f>COUNTIF(connections!A:A, A118) &gt; 0</f>
        <v>0</v>
      </c>
    </row>
    <row r="119" spans="1:5" x14ac:dyDescent="0.25">
      <c r="A119" t="s">
        <v>890</v>
      </c>
      <c r="B119">
        <v>2025</v>
      </c>
      <c r="C119" t="s">
        <v>110</v>
      </c>
      <c r="D119" t="b">
        <v>1</v>
      </c>
      <c r="E119" t="b">
        <f>COUNTIF(connections!A:A, A119) &gt; 0</f>
        <v>0</v>
      </c>
    </row>
    <row r="120" spans="1:5" x14ac:dyDescent="0.25">
      <c r="A120" t="s">
        <v>863</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944</v>
      </c>
      <c r="B122">
        <v>2025</v>
      </c>
      <c r="C122" t="s">
        <v>108</v>
      </c>
      <c r="D122" t="b">
        <v>1</v>
      </c>
      <c r="E122" t="b">
        <f>COUNTIF(connections!A:A, A122) &gt; 0</f>
        <v>0</v>
      </c>
    </row>
    <row r="123" spans="1:5" x14ac:dyDescent="0.25">
      <c r="A123" t="s">
        <v>264</v>
      </c>
      <c r="B123">
        <v>2021</v>
      </c>
      <c r="C123" t="s">
        <v>108</v>
      </c>
      <c r="D123" t="b">
        <v>1</v>
      </c>
      <c r="E123" t="b">
        <f>COUNTIF(connections!A:A, A123) &gt; 0</f>
        <v>1</v>
      </c>
    </row>
    <row r="124" spans="1:5" x14ac:dyDescent="0.25">
      <c r="A124" t="s">
        <v>372</v>
      </c>
      <c r="B124">
        <v>2019</v>
      </c>
      <c r="C124" t="s">
        <v>108</v>
      </c>
      <c r="D124" t="b">
        <v>1</v>
      </c>
      <c r="E124" t="b">
        <f>COUNTIF(connections!A:A, A124) &gt; 0</f>
        <v>0</v>
      </c>
    </row>
    <row r="125" spans="1:5" x14ac:dyDescent="0.25">
      <c r="A125" t="s">
        <v>375</v>
      </c>
      <c r="B125">
        <v>2024</v>
      </c>
      <c r="C125" t="s">
        <v>110</v>
      </c>
      <c r="D125" t="b">
        <v>1</v>
      </c>
      <c r="E125" t="b">
        <f>COUNTIF(connections!A:A, A125) &gt; 0</f>
        <v>0</v>
      </c>
    </row>
    <row r="126" spans="1:5" x14ac:dyDescent="0.25">
      <c r="A126" t="s">
        <v>766</v>
      </c>
      <c r="B126">
        <v>2025</v>
      </c>
      <c r="C126" t="s">
        <v>109</v>
      </c>
      <c r="D126" t="b">
        <v>0</v>
      </c>
      <c r="E126" t="b">
        <f>COUNTIF(connections!A:A, A126) &gt; 0</f>
        <v>0</v>
      </c>
    </row>
    <row r="127" spans="1:5" x14ac:dyDescent="0.25">
      <c r="A127" t="s">
        <v>912</v>
      </c>
      <c r="B127">
        <v>2025</v>
      </c>
      <c r="C127" t="s">
        <v>110</v>
      </c>
      <c r="D127" t="b">
        <v>1</v>
      </c>
      <c r="E127" t="b">
        <f>COUNTIF(connections!A:A, A127) &gt; 0</f>
        <v>0</v>
      </c>
    </row>
    <row r="128" spans="1:5" x14ac:dyDescent="0.25">
      <c r="A128" t="s">
        <v>468</v>
      </c>
      <c r="B128">
        <v>2024</v>
      </c>
      <c r="C128" t="s">
        <v>110</v>
      </c>
      <c r="D128" t="b">
        <v>1</v>
      </c>
      <c r="E128" t="b">
        <f>COUNTIF(connections!A:A, A128) &gt; 0</f>
        <v>0</v>
      </c>
    </row>
    <row r="129" spans="1:5" x14ac:dyDescent="0.25">
      <c r="A129" t="s">
        <v>435</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879</v>
      </c>
      <c r="B132">
        <v>2024</v>
      </c>
      <c r="C132" t="s">
        <v>110</v>
      </c>
      <c r="D132" t="b">
        <v>1</v>
      </c>
      <c r="E132" t="b">
        <f>COUNTIF(connections!A:A, A132) &gt; 0</f>
        <v>0</v>
      </c>
    </row>
    <row r="133" spans="1:5" x14ac:dyDescent="0.25">
      <c r="A133" t="s">
        <v>377</v>
      </c>
      <c r="B133">
        <v>2024</v>
      </c>
      <c r="C133" t="s">
        <v>110</v>
      </c>
      <c r="D133" t="b">
        <v>1</v>
      </c>
      <c r="E133" t="b">
        <f>COUNTIF(connections!A:A, A133) &gt; 0</f>
        <v>0</v>
      </c>
    </row>
    <row r="134" spans="1:5" x14ac:dyDescent="0.25">
      <c r="A134" t="s">
        <v>888</v>
      </c>
      <c r="B134">
        <v>2025</v>
      </c>
      <c r="C134" t="s">
        <v>110</v>
      </c>
      <c r="D134" t="b">
        <v>1</v>
      </c>
      <c r="E134" t="b">
        <f>COUNTIF(connections!A:A, A134) &gt; 0</f>
        <v>0</v>
      </c>
    </row>
    <row r="135" spans="1:5" x14ac:dyDescent="0.25">
      <c r="A135" t="s">
        <v>950</v>
      </c>
      <c r="B135">
        <v>2025</v>
      </c>
      <c r="C135" t="s">
        <v>110</v>
      </c>
      <c r="D135" t="b">
        <v>1</v>
      </c>
      <c r="E135" t="b">
        <f>COUNTIF(connections!A:A, A135) &gt; 0</f>
        <v>0</v>
      </c>
    </row>
    <row r="136" spans="1:5" x14ac:dyDescent="0.25">
      <c r="A136" t="s">
        <v>297</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405</v>
      </c>
      <c r="B139">
        <v>2002</v>
      </c>
      <c r="C139" t="s">
        <v>107</v>
      </c>
      <c r="D139" t="b">
        <v>1</v>
      </c>
      <c r="E139" t="b">
        <f>COUNTIF(connections!A:A, A139) &gt; 0</f>
        <v>1</v>
      </c>
    </row>
    <row r="140" spans="1:5" x14ac:dyDescent="0.25">
      <c r="A140" t="s">
        <v>363</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802</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433</v>
      </c>
      <c r="B145">
        <v>2020</v>
      </c>
      <c r="C145" t="s">
        <v>108</v>
      </c>
      <c r="D145" t="b">
        <v>1</v>
      </c>
      <c r="E145" t="b">
        <f>COUNTIF(connections!A:A, A145) &gt; 0</f>
        <v>0</v>
      </c>
    </row>
    <row r="146" spans="1:5" x14ac:dyDescent="0.25">
      <c r="A146" t="s">
        <v>848</v>
      </c>
      <c r="B146">
        <v>2025</v>
      </c>
      <c r="C146" t="s">
        <v>109</v>
      </c>
      <c r="D146" t="b">
        <v>1</v>
      </c>
      <c r="E146" t="b">
        <f>COUNTIF(connections!A:A, A146) &gt; 0</f>
        <v>0</v>
      </c>
    </row>
    <row r="147" spans="1:5" x14ac:dyDescent="0.25">
      <c r="A147" t="s">
        <v>824</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291</v>
      </c>
      <c r="B150">
        <v>2021</v>
      </c>
      <c r="C150" t="s">
        <v>109</v>
      </c>
      <c r="D150" t="b">
        <v>0</v>
      </c>
      <c r="E150" t="b">
        <f>COUNTIF(connections!A:A, A150) &gt; 0</f>
        <v>0</v>
      </c>
    </row>
    <row r="151" spans="1:5" x14ac:dyDescent="0.25">
      <c r="A151" t="s">
        <v>481</v>
      </c>
      <c r="B151">
        <v>1993</v>
      </c>
      <c r="C151" t="s">
        <v>108</v>
      </c>
      <c r="D151" t="b">
        <v>0</v>
      </c>
      <c r="E151" t="b">
        <f>COUNTIF(connections!A:A, A151) &gt; 0</f>
        <v>0</v>
      </c>
    </row>
    <row r="152" spans="1:5" x14ac:dyDescent="0.25">
      <c r="A152" t="s">
        <v>928</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454</v>
      </c>
      <c r="B155">
        <v>2024</v>
      </c>
      <c r="C155" t="s">
        <v>108</v>
      </c>
      <c r="D155" t="b">
        <v>1</v>
      </c>
      <c r="E155" t="b">
        <f>COUNTIF(connections!A:A, A155) &gt; 0</f>
        <v>0</v>
      </c>
    </row>
    <row r="156" spans="1:5" x14ac:dyDescent="0.25">
      <c r="A156" t="s">
        <v>402</v>
      </c>
      <c r="B156">
        <v>2011</v>
      </c>
      <c r="C156" t="s">
        <v>107</v>
      </c>
      <c r="D156" t="b">
        <v>1</v>
      </c>
      <c r="E156" t="b">
        <f>COUNTIF(connections!A:A, A156) &gt; 0</f>
        <v>0</v>
      </c>
    </row>
    <row r="157" spans="1:5" x14ac:dyDescent="0.25">
      <c r="A157" t="s">
        <v>352</v>
      </c>
      <c r="B157">
        <v>2018</v>
      </c>
      <c r="C157" t="s">
        <v>108</v>
      </c>
      <c r="D157" t="b">
        <v>1</v>
      </c>
      <c r="E157" t="b">
        <f>COUNTIF(connections!A:A, A157) &gt; 0</f>
        <v>1</v>
      </c>
    </row>
    <row r="158" spans="1:5" x14ac:dyDescent="0.25">
      <c r="A158" t="s">
        <v>960</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769</v>
      </c>
      <c r="B160">
        <v>2025</v>
      </c>
      <c r="C160" t="s">
        <v>108</v>
      </c>
      <c r="D160" t="b">
        <v>0</v>
      </c>
      <c r="E160" t="b">
        <f>COUNTIF(connections!A:A, A160) &gt; 0</f>
        <v>0</v>
      </c>
    </row>
    <row r="161" spans="1:5" x14ac:dyDescent="0.25">
      <c r="A161" t="s">
        <v>241</v>
      </c>
      <c r="B161">
        <v>2023</v>
      </c>
      <c r="C161" t="s">
        <v>108</v>
      </c>
      <c r="D161" t="b">
        <v>1</v>
      </c>
      <c r="E161" t="b">
        <f>COUNTIF(connections!A:A, A161) &gt; 0</f>
        <v>0</v>
      </c>
    </row>
    <row r="162" spans="1:5" x14ac:dyDescent="0.25">
      <c r="A162" t="s">
        <v>708</v>
      </c>
      <c r="B162">
        <v>2024</v>
      </c>
      <c r="C162" t="s">
        <v>107</v>
      </c>
      <c r="D162" t="b">
        <v>1</v>
      </c>
      <c r="E162" t="b">
        <f>COUNTIF(connections!A:A, A162) &gt; 0</f>
        <v>0</v>
      </c>
    </row>
    <row r="163" spans="1:5" x14ac:dyDescent="0.25">
      <c r="A163" t="s">
        <v>40</v>
      </c>
      <c r="B163">
        <v>2008</v>
      </c>
      <c r="C163" t="s">
        <v>107</v>
      </c>
      <c r="D163" t="b">
        <v>1</v>
      </c>
      <c r="E163" t="b">
        <f>COUNTIF(connections!A:A, A163) &gt; 0</f>
        <v>1</v>
      </c>
    </row>
    <row r="164" spans="1:5" x14ac:dyDescent="0.25">
      <c r="A164" t="s">
        <v>539</v>
      </c>
      <c r="B164">
        <v>2022</v>
      </c>
      <c r="C164" t="s">
        <v>108</v>
      </c>
      <c r="D164" t="b">
        <v>1</v>
      </c>
      <c r="E164" t="b">
        <f>COUNTIF(connections!A:A, A164) &gt; 0</f>
        <v>1</v>
      </c>
    </row>
    <row r="165" spans="1:5" x14ac:dyDescent="0.25">
      <c r="A165" t="s">
        <v>450</v>
      </c>
      <c r="B165">
        <v>2024</v>
      </c>
      <c r="C165" t="s">
        <v>109</v>
      </c>
      <c r="D165" t="b">
        <v>1</v>
      </c>
      <c r="E165" t="b">
        <f>COUNTIF(connections!A:A, A165) &gt; 0</f>
        <v>0</v>
      </c>
    </row>
    <row r="166" spans="1:5" x14ac:dyDescent="0.25">
      <c r="A166" t="s">
        <v>436</v>
      </c>
      <c r="B166">
        <v>2023</v>
      </c>
      <c r="C166" t="s">
        <v>110</v>
      </c>
      <c r="D166" t="b">
        <v>1</v>
      </c>
      <c r="E166" t="b">
        <f>COUNTIF(connections!A:A, A166) &gt; 0</f>
        <v>0</v>
      </c>
    </row>
    <row r="167" spans="1:5" x14ac:dyDescent="0.25">
      <c r="A167" t="s">
        <v>185</v>
      </c>
      <c r="B167">
        <v>2016</v>
      </c>
      <c r="C167" t="s">
        <v>108</v>
      </c>
      <c r="D167" t="b">
        <v>1</v>
      </c>
      <c r="E167" t="b">
        <f>COUNTIF(connections!A:A, A167) &gt; 0</f>
        <v>1</v>
      </c>
    </row>
    <row r="168" spans="1:5" x14ac:dyDescent="0.25">
      <c r="A168" t="s">
        <v>742</v>
      </c>
      <c r="B168">
        <v>2025</v>
      </c>
      <c r="C168" t="s">
        <v>109</v>
      </c>
      <c r="D168" t="b">
        <v>1</v>
      </c>
      <c r="E168" t="b">
        <f>COUNTIF(connections!A:A, A168) &gt; 0</f>
        <v>0</v>
      </c>
    </row>
    <row r="169" spans="1:5" x14ac:dyDescent="0.25">
      <c r="A169" t="s">
        <v>811</v>
      </c>
      <c r="B169">
        <v>2015</v>
      </c>
      <c r="C169" t="s">
        <v>107</v>
      </c>
      <c r="D169" t="b">
        <v>1</v>
      </c>
      <c r="E169" t="b">
        <f>COUNTIF(connections!A:A, A169) &gt; 0</f>
        <v>1</v>
      </c>
    </row>
    <row r="170" spans="1:5" x14ac:dyDescent="0.25">
      <c r="A170" t="s">
        <v>812</v>
      </c>
      <c r="B170">
        <v>2017</v>
      </c>
      <c r="C170" t="s">
        <v>107</v>
      </c>
      <c r="D170" t="b">
        <v>1</v>
      </c>
      <c r="E170" t="b">
        <f>COUNTIF(connections!A:A, A170) &gt; 0</f>
        <v>0</v>
      </c>
    </row>
    <row r="171" spans="1:5" x14ac:dyDescent="0.25">
      <c r="A171" t="s">
        <v>540</v>
      </c>
      <c r="B171">
        <v>2023</v>
      </c>
      <c r="C171" t="s">
        <v>108</v>
      </c>
      <c r="D171" t="b">
        <v>0</v>
      </c>
      <c r="E171" t="b">
        <f>COUNTIF(connections!A:A, A171) &gt; 0</f>
        <v>0</v>
      </c>
    </row>
    <row r="172" spans="1:5" x14ac:dyDescent="0.25">
      <c r="A172" t="s">
        <v>187</v>
      </c>
      <c r="B172">
        <v>2020</v>
      </c>
      <c r="C172" t="s">
        <v>108</v>
      </c>
      <c r="D172" t="b">
        <v>1</v>
      </c>
      <c r="E172" t="b">
        <f>COUNTIF(connections!A:A, A172) &gt; 0</f>
        <v>0</v>
      </c>
    </row>
    <row r="173" spans="1:5" x14ac:dyDescent="0.25">
      <c r="A173" t="s">
        <v>964</v>
      </c>
      <c r="B173">
        <v>1990</v>
      </c>
      <c r="C173" t="s">
        <v>107</v>
      </c>
      <c r="D173" t="b">
        <v>1</v>
      </c>
      <c r="E173" t="b">
        <f>COUNTIF(connections!A:A, A173) &gt; 0</f>
        <v>0</v>
      </c>
    </row>
    <row r="174" spans="1:5" x14ac:dyDescent="0.25">
      <c r="A174" t="s">
        <v>327</v>
      </c>
      <c r="B174">
        <v>2018</v>
      </c>
      <c r="C174" t="s">
        <v>109</v>
      </c>
      <c r="D174" t="b">
        <v>1</v>
      </c>
      <c r="E174" t="b">
        <f>COUNTIF(connections!A:A, A174) &gt; 0</f>
        <v>0</v>
      </c>
    </row>
    <row r="175" spans="1:5" x14ac:dyDescent="0.25">
      <c r="A175" t="s">
        <v>305</v>
      </c>
      <c r="B175">
        <v>2024</v>
      </c>
      <c r="C175" t="s">
        <v>109</v>
      </c>
      <c r="D175" t="b">
        <v>1</v>
      </c>
      <c r="E175" t="b">
        <f>COUNTIF(connections!A:A, A175) &gt; 0</f>
        <v>0</v>
      </c>
    </row>
    <row r="176" spans="1:5" x14ac:dyDescent="0.25">
      <c r="A176" t="s">
        <v>427</v>
      </c>
      <c r="B176">
        <v>2021</v>
      </c>
      <c r="C176" t="s">
        <v>110</v>
      </c>
      <c r="D176" t="b">
        <v>1</v>
      </c>
      <c r="E176" t="b">
        <f>COUNTIF(connections!A:A, A176) &gt; 0</f>
        <v>1</v>
      </c>
    </row>
    <row r="177" spans="1:5" x14ac:dyDescent="0.25">
      <c r="A177" t="s">
        <v>804</v>
      </c>
      <c r="B177">
        <v>2007</v>
      </c>
      <c r="C177" t="s">
        <v>107</v>
      </c>
      <c r="D177" t="b">
        <v>1</v>
      </c>
      <c r="E177" t="b">
        <f>COUNTIF(connections!A:A, A177) &gt; 0</f>
        <v>1</v>
      </c>
    </row>
    <row r="178" spans="1:5" x14ac:dyDescent="0.25">
      <c r="A178" t="s">
        <v>285</v>
      </c>
      <c r="B178">
        <v>2024</v>
      </c>
      <c r="C178" t="s">
        <v>108</v>
      </c>
      <c r="D178" t="b">
        <v>1</v>
      </c>
      <c r="E178" t="b">
        <f>COUNTIF(connections!A:A, A178) &gt; 0</f>
        <v>0</v>
      </c>
    </row>
    <row r="179" spans="1:5" x14ac:dyDescent="0.25">
      <c r="A179" t="s">
        <v>251</v>
      </c>
      <c r="B179">
        <v>2022</v>
      </c>
      <c r="C179" t="s">
        <v>108</v>
      </c>
      <c r="D179" t="b">
        <v>1</v>
      </c>
      <c r="E179" t="b">
        <f>COUNTIF(connections!A:A, A179) &gt; 0</f>
        <v>1</v>
      </c>
    </row>
    <row r="180" spans="1:5" x14ac:dyDescent="0.25">
      <c r="A180" t="s">
        <v>180</v>
      </c>
      <c r="B180">
        <v>2017</v>
      </c>
      <c r="C180" t="s">
        <v>108</v>
      </c>
      <c r="D180" t="b">
        <v>1</v>
      </c>
      <c r="E180" t="b">
        <f>COUNTIF(connections!A:A, A180) &gt; 0</f>
        <v>0</v>
      </c>
    </row>
    <row r="181" spans="1:5" x14ac:dyDescent="0.25">
      <c r="A181" t="s">
        <v>321</v>
      </c>
      <c r="B181">
        <v>2018</v>
      </c>
      <c r="C181" t="s">
        <v>109</v>
      </c>
      <c r="D181" t="b">
        <v>1</v>
      </c>
      <c r="E181" t="b">
        <f>COUNTIF(connections!A:A, A181) &gt; 0</f>
        <v>1</v>
      </c>
    </row>
    <row r="182" spans="1:5" x14ac:dyDescent="0.25">
      <c r="A182" t="s">
        <v>322</v>
      </c>
      <c r="B182">
        <v>2023</v>
      </c>
      <c r="C182" t="s">
        <v>109</v>
      </c>
      <c r="D182" t="b">
        <v>1</v>
      </c>
      <c r="E182" t="b">
        <f>COUNTIF(connections!A:A, A182) &gt; 0</f>
        <v>0</v>
      </c>
    </row>
    <row r="183" spans="1:5" x14ac:dyDescent="0.25">
      <c r="A183" t="s">
        <v>194</v>
      </c>
      <c r="B183">
        <v>2022</v>
      </c>
      <c r="C183" t="s">
        <v>109</v>
      </c>
      <c r="D183" t="b">
        <v>1</v>
      </c>
      <c r="E183" t="b">
        <f>COUNTIF(connections!A:A, A183) &gt; 0</f>
        <v>0</v>
      </c>
    </row>
    <row r="184" spans="1:5" x14ac:dyDescent="0.25">
      <c r="A184" t="s">
        <v>311</v>
      </c>
      <c r="B184">
        <v>2017</v>
      </c>
      <c r="C184" t="s">
        <v>108</v>
      </c>
      <c r="D184" t="b">
        <v>1</v>
      </c>
      <c r="E184" t="b">
        <f>COUNTIF(connections!A:A, A184) &gt; 0</f>
        <v>0</v>
      </c>
    </row>
    <row r="185" spans="1:5" x14ac:dyDescent="0.25">
      <c r="A185" t="s">
        <v>78</v>
      </c>
      <c r="B185">
        <v>2012</v>
      </c>
      <c r="C185" t="s">
        <v>109</v>
      </c>
      <c r="D185" t="b">
        <v>1</v>
      </c>
      <c r="E185" t="b">
        <f>COUNTIF(connections!A:A, A185) &gt; 0</f>
        <v>1</v>
      </c>
    </row>
    <row r="186" spans="1:5" x14ac:dyDescent="0.25">
      <c r="A186" t="s">
        <v>430</v>
      </c>
      <c r="B186">
        <v>2020</v>
      </c>
      <c r="C186" t="s">
        <v>108</v>
      </c>
      <c r="D186" t="b">
        <v>1</v>
      </c>
      <c r="E186" t="b">
        <f>COUNTIF(connections!A:A, A186) &gt; 0</f>
        <v>0</v>
      </c>
    </row>
    <row r="187" spans="1:5" x14ac:dyDescent="0.25">
      <c r="A187" t="s">
        <v>772</v>
      </c>
      <c r="B187">
        <v>2024</v>
      </c>
      <c r="C187" t="s">
        <v>108</v>
      </c>
      <c r="D187" t="b">
        <v>1</v>
      </c>
      <c r="E187" t="b">
        <f>COUNTIF(connections!A:A, A187) &gt; 0</f>
        <v>0</v>
      </c>
    </row>
    <row r="188" spans="1:5" x14ac:dyDescent="0.25">
      <c r="A188" t="s">
        <v>334</v>
      </c>
      <c r="B188">
        <v>2024</v>
      </c>
      <c r="C188" t="s">
        <v>108</v>
      </c>
      <c r="D188" t="b">
        <v>0</v>
      </c>
      <c r="E188" t="b">
        <f>COUNTIF(connections!A:A, A188) &gt; 0</f>
        <v>0</v>
      </c>
    </row>
    <row r="189" spans="1:5" x14ac:dyDescent="0.25">
      <c r="A189" t="s">
        <v>289</v>
      </c>
      <c r="B189">
        <v>2020</v>
      </c>
      <c r="C189" t="s">
        <v>108</v>
      </c>
      <c r="D189" t="b">
        <v>0</v>
      </c>
      <c r="E189" t="b">
        <f>COUNTIF(connections!A:A, A189) &gt; 0</f>
        <v>1</v>
      </c>
    </row>
    <row r="190" spans="1:5" x14ac:dyDescent="0.25">
      <c r="A190" t="s">
        <v>290</v>
      </c>
      <c r="B190">
        <v>2023</v>
      </c>
      <c r="C190" t="s">
        <v>108</v>
      </c>
      <c r="D190" t="b">
        <v>0</v>
      </c>
      <c r="E190" t="b">
        <f>COUNTIF(connections!A:A, A190) &gt; 0</f>
        <v>0</v>
      </c>
    </row>
    <row r="191" spans="1:5" x14ac:dyDescent="0.25">
      <c r="A191" t="s">
        <v>750</v>
      </c>
      <c r="B191">
        <v>2025</v>
      </c>
      <c r="C191" t="s">
        <v>109</v>
      </c>
      <c r="D191" t="b">
        <v>0</v>
      </c>
      <c r="E191" t="b">
        <f>COUNTIF(connections!A:A, A191) &gt; 0</f>
        <v>0</v>
      </c>
    </row>
    <row r="192" spans="1:5" x14ac:dyDescent="0.25">
      <c r="A192" t="s">
        <v>963</v>
      </c>
      <c r="B192">
        <v>2025</v>
      </c>
      <c r="C192" t="s">
        <v>108</v>
      </c>
      <c r="D192" t="b">
        <v>0</v>
      </c>
      <c r="E192" t="b">
        <f>COUNTIF(connections!A:A, A192) &gt; 0</f>
        <v>0</v>
      </c>
    </row>
    <row r="193" spans="1:5" x14ac:dyDescent="0.25">
      <c r="A193" t="s">
        <v>592</v>
      </c>
      <c r="B193">
        <v>2014</v>
      </c>
      <c r="C193" t="s">
        <v>107</v>
      </c>
      <c r="D193" t="b">
        <v>1</v>
      </c>
      <c r="E193" t="b">
        <f>COUNTIF(connections!A:A, A193) &gt; 0</f>
        <v>0</v>
      </c>
    </row>
    <row r="194" spans="1:5" x14ac:dyDescent="0.25">
      <c r="A194" t="s">
        <v>557</v>
      </c>
      <c r="B194">
        <v>2020</v>
      </c>
      <c r="C194" t="s">
        <v>108</v>
      </c>
      <c r="D194" t="b">
        <v>1</v>
      </c>
      <c r="E194" t="b">
        <f>COUNTIF(connections!A:A, A194) &gt; 0</f>
        <v>0</v>
      </c>
    </row>
    <row r="195" spans="1:5" x14ac:dyDescent="0.25">
      <c r="A195" t="s">
        <v>117</v>
      </c>
      <c r="B195">
        <v>2022</v>
      </c>
      <c r="C195" t="s">
        <v>108</v>
      </c>
      <c r="D195" t="b">
        <v>1</v>
      </c>
      <c r="E195" t="b">
        <f>COUNTIF(connections!A:A, A195) &gt; 0</f>
        <v>0</v>
      </c>
    </row>
    <row r="196" spans="1:5" x14ac:dyDescent="0.25">
      <c r="A196" t="s">
        <v>784</v>
      </c>
      <c r="B196">
        <v>2016</v>
      </c>
      <c r="C196" t="s">
        <v>108</v>
      </c>
      <c r="D196" t="b">
        <v>1</v>
      </c>
      <c r="E196" t="b">
        <f>COUNTIF(connections!A:A, A196) &gt; 0</f>
        <v>1</v>
      </c>
    </row>
    <row r="197" spans="1:5" x14ac:dyDescent="0.25">
      <c r="A197" t="s">
        <v>787</v>
      </c>
      <c r="B197">
        <v>2020</v>
      </c>
      <c r="C197" t="s">
        <v>108</v>
      </c>
      <c r="D197" t="b">
        <v>1</v>
      </c>
      <c r="E197" t="b">
        <f>COUNTIF(connections!A:A, A197) &gt; 0</f>
        <v>0</v>
      </c>
    </row>
    <row r="198" spans="1:5" x14ac:dyDescent="0.25">
      <c r="A198" t="s">
        <v>247</v>
      </c>
      <c r="B198">
        <v>2023</v>
      </c>
      <c r="C198" t="s">
        <v>108</v>
      </c>
      <c r="D198" t="b">
        <v>1</v>
      </c>
      <c r="E198" t="b">
        <f>COUNTIF(connections!A:A, A198) &gt; 0</f>
        <v>0</v>
      </c>
    </row>
    <row r="199" spans="1:5" x14ac:dyDescent="0.25">
      <c r="A199" t="s">
        <v>111</v>
      </c>
      <c r="B199">
        <v>2020</v>
      </c>
      <c r="C199" t="s">
        <v>110</v>
      </c>
      <c r="D199" t="b">
        <v>1</v>
      </c>
      <c r="E199" t="b">
        <f>COUNTIF(connections!A:A, A199) &gt; 0</f>
        <v>0</v>
      </c>
    </row>
    <row r="200" spans="1:5" x14ac:dyDescent="0.25">
      <c r="A200" t="s">
        <v>201</v>
      </c>
      <c r="B200">
        <v>2020</v>
      </c>
      <c r="C200" t="s">
        <v>108</v>
      </c>
      <c r="D200" t="b">
        <v>1</v>
      </c>
      <c r="E200" t="b">
        <f>COUNTIF(connections!A:A, A200) &gt; 0</f>
        <v>1</v>
      </c>
    </row>
    <row r="201" spans="1:5" x14ac:dyDescent="0.25">
      <c r="A201" t="s">
        <v>365</v>
      </c>
      <c r="B201">
        <v>2022</v>
      </c>
      <c r="C201" t="s">
        <v>108</v>
      </c>
      <c r="D201" t="b">
        <v>1</v>
      </c>
      <c r="E201" t="b">
        <f>COUNTIF(connections!A:A, A201) &gt; 0</f>
        <v>1</v>
      </c>
    </row>
    <row r="202" spans="1:5" x14ac:dyDescent="0.25">
      <c r="A202" t="s">
        <v>932</v>
      </c>
      <c r="B202">
        <v>2025</v>
      </c>
      <c r="C202" t="s">
        <v>108</v>
      </c>
      <c r="D202" t="b">
        <v>1</v>
      </c>
      <c r="E202" t="b">
        <f>COUNTIF(connections!A:A, A202) &gt; 0</f>
        <v>0</v>
      </c>
    </row>
    <row r="203" spans="1:5" x14ac:dyDescent="0.25">
      <c r="A203" t="s">
        <v>27</v>
      </c>
      <c r="B203">
        <v>1984</v>
      </c>
      <c r="C203" t="s">
        <v>107</v>
      </c>
      <c r="D203" t="b">
        <v>1</v>
      </c>
      <c r="E203" t="b">
        <f>COUNTIF(connections!A:A, A203) &gt; 0</f>
        <v>1</v>
      </c>
    </row>
    <row r="204" spans="1:5" x14ac:dyDescent="0.25">
      <c r="A204" t="s">
        <v>97</v>
      </c>
      <c r="B204">
        <v>2021</v>
      </c>
      <c r="C204" t="s">
        <v>110</v>
      </c>
      <c r="D204" t="b">
        <v>1</v>
      </c>
      <c r="E204" t="b">
        <f>COUNTIF(connections!A:A, A204) &gt; 0</f>
        <v>0</v>
      </c>
    </row>
    <row r="205" spans="1:5" x14ac:dyDescent="0.25">
      <c r="A205" t="s">
        <v>196</v>
      </c>
      <c r="B205">
        <v>2019</v>
      </c>
      <c r="C205" t="s">
        <v>108</v>
      </c>
      <c r="D205" t="b">
        <v>1</v>
      </c>
      <c r="E205" t="b">
        <f>COUNTIF(connections!A:A, A205) &gt; 0</f>
        <v>1</v>
      </c>
    </row>
    <row r="206" spans="1:5" x14ac:dyDescent="0.25">
      <c r="A206" t="s">
        <v>230</v>
      </c>
      <c r="B206">
        <v>2024</v>
      </c>
      <c r="C206" t="s">
        <v>108</v>
      </c>
      <c r="D206" t="b">
        <v>1</v>
      </c>
      <c r="E206" t="b">
        <f>COUNTIF(connections!A:A, A206) &gt; 0</f>
        <v>0</v>
      </c>
    </row>
    <row r="207" spans="1:5" x14ac:dyDescent="0.25">
      <c r="A207" t="s">
        <v>238</v>
      </c>
      <c r="B207">
        <v>2023</v>
      </c>
      <c r="C207" t="s">
        <v>108</v>
      </c>
      <c r="D207" t="b">
        <v>1</v>
      </c>
      <c r="E207" t="b">
        <f>COUNTIF(connections!A:A, A207) &gt; 0</f>
        <v>1</v>
      </c>
    </row>
    <row r="208" spans="1:5" x14ac:dyDescent="0.25">
      <c r="A208" t="s">
        <v>283</v>
      </c>
      <c r="B208">
        <v>2014</v>
      </c>
      <c r="C208" t="s">
        <v>110</v>
      </c>
      <c r="D208" t="b">
        <v>1</v>
      </c>
      <c r="E208" t="b">
        <f>COUNTIF(connections!A:A, A208) &gt; 0</f>
        <v>1</v>
      </c>
    </row>
    <row r="209" spans="1:5" x14ac:dyDescent="0.25">
      <c r="A209" t="s">
        <v>284</v>
      </c>
      <c r="B209">
        <v>2017</v>
      </c>
      <c r="C209" t="s">
        <v>110</v>
      </c>
      <c r="D209" t="b">
        <v>1</v>
      </c>
      <c r="E209" t="b">
        <f>COUNTIF(connections!A:A, A209) &gt; 0</f>
        <v>0</v>
      </c>
    </row>
    <row r="210" spans="1:5" x14ac:dyDescent="0.25">
      <c r="A210" t="s">
        <v>930</v>
      </c>
      <c r="B210">
        <v>2017</v>
      </c>
      <c r="C210" t="s">
        <v>108</v>
      </c>
      <c r="D210" t="b">
        <v>1</v>
      </c>
      <c r="E210" t="b">
        <f>COUNTIF(connections!A:A, A210) &gt; 0</f>
        <v>0</v>
      </c>
    </row>
    <row r="211" spans="1:5" x14ac:dyDescent="0.25">
      <c r="A211" t="s">
        <v>849</v>
      </c>
      <c r="B211">
        <v>2025</v>
      </c>
      <c r="C211" t="s">
        <v>108</v>
      </c>
      <c r="D211" t="b">
        <v>0</v>
      </c>
      <c r="E211" t="b">
        <f>COUNTIF(connections!A:A, A211) &gt; 0</f>
        <v>0</v>
      </c>
    </row>
    <row r="212" spans="1:5" x14ac:dyDescent="0.25">
      <c r="A212" t="s">
        <v>379</v>
      </c>
      <c r="B212">
        <v>2022</v>
      </c>
      <c r="C212" t="s">
        <v>108</v>
      </c>
      <c r="D212" t="b">
        <v>1</v>
      </c>
      <c r="E212" t="b">
        <f>COUNTIF(connections!A:A, A212) &gt; 0</f>
        <v>0</v>
      </c>
    </row>
    <row r="213" spans="1:5" x14ac:dyDescent="0.25">
      <c r="A213" t="s">
        <v>781</v>
      </c>
      <c r="B213">
        <v>2025</v>
      </c>
      <c r="C213" t="s">
        <v>110</v>
      </c>
      <c r="D213" t="b">
        <v>1</v>
      </c>
      <c r="E213" t="b">
        <f>COUNTIF(connections!A:A, A213) &gt; 0</f>
        <v>0</v>
      </c>
    </row>
    <row r="214" spans="1:5" x14ac:dyDescent="0.25">
      <c r="A214" t="s">
        <v>299</v>
      </c>
      <c r="B214">
        <v>2023</v>
      </c>
      <c r="C214" t="s">
        <v>108</v>
      </c>
      <c r="D214" t="b">
        <v>0</v>
      </c>
      <c r="E214" t="b">
        <f>COUNTIF(connections!A:A, A214) &gt; 0</f>
        <v>0</v>
      </c>
    </row>
    <row r="215" spans="1:5" x14ac:dyDescent="0.25">
      <c r="A215" t="s">
        <v>278</v>
      </c>
      <c r="B215">
        <v>2014</v>
      </c>
      <c r="C215" t="s">
        <v>108</v>
      </c>
      <c r="D215" t="b">
        <v>0</v>
      </c>
      <c r="E215" t="b">
        <f>COUNTIF(connections!A:A, A215) &gt; 0</f>
        <v>0</v>
      </c>
    </row>
    <row r="216" spans="1:5" x14ac:dyDescent="0.25">
      <c r="A216" t="s">
        <v>768</v>
      </c>
      <c r="B216">
        <v>2025</v>
      </c>
      <c r="C216" t="s">
        <v>108</v>
      </c>
      <c r="D216" t="b">
        <v>1</v>
      </c>
      <c r="E216" t="b">
        <f>COUNTIF(connections!A:A, A216) &gt; 0</f>
        <v>0</v>
      </c>
    </row>
    <row r="217" spans="1:5" x14ac:dyDescent="0.25">
      <c r="A217" t="s">
        <v>823</v>
      </c>
      <c r="B217">
        <v>2023</v>
      </c>
      <c r="C217" t="s">
        <v>108</v>
      </c>
      <c r="D217" t="b">
        <v>0</v>
      </c>
      <c r="E217" t="b">
        <f>COUNTIF(connections!A:A, A217) &gt; 0</f>
        <v>0</v>
      </c>
    </row>
    <row r="218" spans="1:5" x14ac:dyDescent="0.25">
      <c r="A218" t="s">
        <v>94</v>
      </c>
      <c r="B218">
        <v>2023</v>
      </c>
      <c r="C218" t="s">
        <v>110</v>
      </c>
      <c r="D218" t="b">
        <v>1</v>
      </c>
      <c r="E218" t="b">
        <f>COUNTIF(connections!A:A, A218) &gt; 0</f>
        <v>0</v>
      </c>
    </row>
    <row r="219" spans="1:5" x14ac:dyDescent="0.25">
      <c r="A219" t="s">
        <v>425</v>
      </c>
      <c r="B219">
        <v>2025</v>
      </c>
      <c r="C219" t="s">
        <v>108</v>
      </c>
      <c r="D219" t="b">
        <v>1</v>
      </c>
      <c r="E219" t="b">
        <f>COUNTIF(connections!A:A, A219) &gt; 0</f>
        <v>0</v>
      </c>
    </row>
    <row r="220" spans="1:5" x14ac:dyDescent="0.25">
      <c r="A220" t="s">
        <v>248</v>
      </c>
      <c r="B220">
        <v>2023</v>
      </c>
      <c r="C220" t="s">
        <v>108</v>
      </c>
      <c r="D220" t="b">
        <v>1</v>
      </c>
      <c r="E220" t="b">
        <f>COUNTIF(connections!A:A, A220) &gt; 0</f>
        <v>0</v>
      </c>
    </row>
    <row r="221" spans="1:5" x14ac:dyDescent="0.25">
      <c r="A221" t="s">
        <v>280</v>
      </c>
      <c r="B221">
        <v>2018</v>
      </c>
      <c r="C221" t="s">
        <v>108</v>
      </c>
      <c r="D221" t="b">
        <v>1</v>
      </c>
      <c r="E221" t="b">
        <f>COUNTIF(connections!A:A, A221) &gt; 0</f>
        <v>1</v>
      </c>
    </row>
    <row r="222" spans="1:5" x14ac:dyDescent="0.25">
      <c r="A222" t="s">
        <v>707</v>
      </c>
      <c r="B222">
        <v>2025</v>
      </c>
      <c r="C222" t="s">
        <v>108</v>
      </c>
      <c r="D222" t="b">
        <v>1</v>
      </c>
      <c r="E222" t="b">
        <f>COUNTIF(connections!A:A, A222) &gt; 0</f>
        <v>0</v>
      </c>
    </row>
    <row r="223" spans="1:5" x14ac:dyDescent="0.25">
      <c r="A223" t="s">
        <v>710</v>
      </c>
      <c r="B223">
        <v>2023</v>
      </c>
      <c r="C223" t="s">
        <v>108</v>
      </c>
      <c r="D223" t="b">
        <v>1</v>
      </c>
      <c r="E223" t="b">
        <f>COUNTIF(connections!A:A, A223) &gt; 0</f>
        <v>0</v>
      </c>
    </row>
    <row r="224" spans="1:5" x14ac:dyDescent="0.25">
      <c r="A224" t="s">
        <v>962</v>
      </c>
      <c r="B224">
        <v>2025</v>
      </c>
      <c r="C224" t="s">
        <v>108</v>
      </c>
      <c r="D224" t="b">
        <v>1</v>
      </c>
      <c r="E224" t="b">
        <f>COUNTIF(connections!A:A, A224) &gt; 0</f>
        <v>0</v>
      </c>
    </row>
    <row r="225" spans="1:5" x14ac:dyDescent="0.25">
      <c r="A225" t="s">
        <v>277</v>
      </c>
      <c r="B225">
        <v>2022</v>
      </c>
      <c r="C225" t="s">
        <v>108</v>
      </c>
      <c r="D225" t="b">
        <v>1</v>
      </c>
      <c r="E225" t="b">
        <f>COUNTIF(connections!A:A, A225) &gt; 0</f>
        <v>0</v>
      </c>
    </row>
    <row r="226" spans="1:5" x14ac:dyDescent="0.25">
      <c r="A226" t="s">
        <v>926</v>
      </c>
      <c r="B226">
        <v>2017</v>
      </c>
      <c r="C226" t="s">
        <v>108</v>
      </c>
      <c r="D226" t="b">
        <v>1</v>
      </c>
      <c r="E226" t="b">
        <f>COUNTIF(connections!A:A, A226) &gt; 0</f>
        <v>0</v>
      </c>
    </row>
    <row r="227" spans="1:5" x14ac:dyDescent="0.25">
      <c r="A227" t="s">
        <v>495</v>
      </c>
      <c r="B227">
        <v>2015</v>
      </c>
      <c r="C227" t="s">
        <v>109</v>
      </c>
      <c r="D227" t="b">
        <v>1</v>
      </c>
      <c r="E227" t="b">
        <f>COUNTIF(connections!A:A, A227) &gt; 0</f>
        <v>0</v>
      </c>
    </row>
    <row r="228" spans="1:5" x14ac:dyDescent="0.25">
      <c r="A228" t="s">
        <v>589</v>
      </c>
      <c r="B228">
        <v>2011</v>
      </c>
      <c r="C228" t="s">
        <v>107</v>
      </c>
      <c r="D228" t="b">
        <v>1</v>
      </c>
      <c r="E228" t="b">
        <f>COUNTIF(connections!A:A, A228) &gt; 0</f>
        <v>0</v>
      </c>
    </row>
    <row r="229" spans="1:5" x14ac:dyDescent="0.25">
      <c r="A229" t="s">
        <v>293</v>
      </c>
      <c r="B229">
        <v>2021</v>
      </c>
      <c r="C229" t="s">
        <v>110</v>
      </c>
      <c r="D229" t="b">
        <v>1</v>
      </c>
      <c r="E229" t="b">
        <f>COUNTIF(connections!A:A, A229) &gt; 0</f>
        <v>1</v>
      </c>
    </row>
    <row r="230" spans="1:5" x14ac:dyDescent="0.25">
      <c r="A230" t="s">
        <v>80</v>
      </c>
      <c r="B230">
        <v>2021</v>
      </c>
      <c r="C230" t="s">
        <v>109</v>
      </c>
      <c r="D230" t="b">
        <v>1</v>
      </c>
      <c r="E230" t="b">
        <f>COUNTIF(connections!A:A, A230) &gt; 0</f>
        <v>0</v>
      </c>
    </row>
    <row r="231" spans="1:5" x14ac:dyDescent="0.25">
      <c r="A231" t="s">
        <v>89</v>
      </c>
      <c r="B231">
        <v>2018</v>
      </c>
      <c r="C231" t="s">
        <v>109</v>
      </c>
      <c r="D231" t="b">
        <v>1</v>
      </c>
      <c r="E231" t="b">
        <f>COUNTIF(connections!A:A, A231) &gt; 0</f>
        <v>1</v>
      </c>
    </row>
    <row r="232" spans="1:5" x14ac:dyDescent="0.25">
      <c r="A232" t="s">
        <v>472</v>
      </c>
      <c r="B232">
        <v>2019</v>
      </c>
      <c r="C232" t="s">
        <v>109</v>
      </c>
      <c r="D232" t="b">
        <v>1</v>
      </c>
      <c r="E232" t="b">
        <f>COUNTIF(connections!A:A, A232) &gt; 0</f>
        <v>0</v>
      </c>
    </row>
    <row r="233" spans="1:5" x14ac:dyDescent="0.25">
      <c r="A233" t="s">
        <v>587</v>
      </c>
      <c r="B233">
        <v>2001</v>
      </c>
      <c r="C233" t="s">
        <v>107</v>
      </c>
      <c r="D233" t="b">
        <v>1</v>
      </c>
      <c r="E233" t="b">
        <f>COUNTIF(connections!A:A, A233) &gt; 0</f>
        <v>0</v>
      </c>
    </row>
    <row r="234" spans="1:5" x14ac:dyDescent="0.25">
      <c r="A234" t="s">
        <v>818</v>
      </c>
      <c r="B234">
        <v>2007</v>
      </c>
      <c r="C234" t="s">
        <v>107</v>
      </c>
      <c r="D234" t="b">
        <v>1</v>
      </c>
      <c r="E234" t="b">
        <f>COUNTIF(connections!A:A, A234) &gt; 0</f>
        <v>0</v>
      </c>
    </row>
    <row r="235" spans="1:5" x14ac:dyDescent="0.25">
      <c r="A235" t="s">
        <v>817</v>
      </c>
      <c r="B235">
        <v>2006</v>
      </c>
      <c r="C235" t="s">
        <v>107</v>
      </c>
      <c r="D235" t="b">
        <v>1</v>
      </c>
      <c r="E235" t="b">
        <f>COUNTIF(connections!A:A, A235) &gt; 0</f>
        <v>1</v>
      </c>
    </row>
    <row r="236" spans="1:5" x14ac:dyDescent="0.25">
      <c r="A236" t="s">
        <v>340</v>
      </c>
      <c r="B236">
        <v>2025</v>
      </c>
      <c r="C236" t="s">
        <v>108</v>
      </c>
      <c r="D236" t="b">
        <v>1</v>
      </c>
      <c r="E236" t="b">
        <f>COUNTIF(connections!A:A, A236) &gt; 0</f>
        <v>0</v>
      </c>
    </row>
    <row r="237" spans="1:5" x14ac:dyDescent="0.25">
      <c r="A237" t="s">
        <v>404</v>
      </c>
      <c r="B237">
        <v>2019</v>
      </c>
      <c r="C237" t="s">
        <v>107</v>
      </c>
      <c r="D237" t="b">
        <v>1</v>
      </c>
      <c r="E237" t="b">
        <f>COUNTIF(connections!A:A, A237) &gt; 0</f>
        <v>0</v>
      </c>
    </row>
    <row r="238" spans="1:5" x14ac:dyDescent="0.25">
      <c r="A238" t="s">
        <v>269</v>
      </c>
      <c r="B238">
        <v>2023</v>
      </c>
      <c r="C238" t="s">
        <v>108</v>
      </c>
      <c r="D238" t="b">
        <v>1</v>
      </c>
      <c r="E238" t="b">
        <f>COUNTIF(connections!A:A, A238) &gt; 0</f>
        <v>0</v>
      </c>
    </row>
    <row r="239" spans="1:5" x14ac:dyDescent="0.25">
      <c r="A239" t="s">
        <v>150</v>
      </c>
      <c r="B239">
        <v>2024</v>
      </c>
      <c r="C239" t="s">
        <v>109</v>
      </c>
      <c r="D239" t="b">
        <v>1</v>
      </c>
      <c r="E239" t="b">
        <f>COUNTIF(connections!A:A, A239) &gt; 0</f>
        <v>0</v>
      </c>
    </row>
    <row r="240" spans="1:5" x14ac:dyDescent="0.25">
      <c r="A240" t="s">
        <v>239</v>
      </c>
      <c r="B240">
        <v>2023</v>
      </c>
      <c r="C240" t="s">
        <v>108</v>
      </c>
      <c r="D240" t="b">
        <v>1</v>
      </c>
      <c r="E240" t="b">
        <f>COUNTIF(connections!A:A, A240) &gt; 0</f>
        <v>0</v>
      </c>
    </row>
    <row r="241" spans="1:5" x14ac:dyDescent="0.25">
      <c r="A241" t="s">
        <v>296</v>
      </c>
      <c r="B241">
        <v>2016</v>
      </c>
      <c r="C241" t="s">
        <v>109</v>
      </c>
      <c r="D241" t="b">
        <v>1</v>
      </c>
      <c r="E241" t="b">
        <f>COUNTIF(connections!A:A, A241) &gt; 0</f>
        <v>1</v>
      </c>
    </row>
    <row r="242" spans="1:5" x14ac:dyDescent="0.25">
      <c r="A242" t="s">
        <v>361</v>
      </c>
      <c r="B242">
        <v>2025</v>
      </c>
      <c r="C242" t="s">
        <v>109</v>
      </c>
      <c r="D242" t="b">
        <v>1</v>
      </c>
      <c r="E242" t="b">
        <f>COUNTIF(connections!A:A, A242) &gt; 0</f>
        <v>0</v>
      </c>
    </row>
    <row r="243" spans="1:5" x14ac:dyDescent="0.25">
      <c r="A243" t="s">
        <v>426</v>
      </c>
      <c r="B243">
        <v>2025</v>
      </c>
      <c r="C243" t="s">
        <v>110</v>
      </c>
      <c r="D243" t="b">
        <v>1</v>
      </c>
      <c r="E243" t="b">
        <f>COUNTIF(connections!A:A, A243) &gt; 0</f>
        <v>0</v>
      </c>
    </row>
    <row r="244" spans="1:5" x14ac:dyDescent="0.25">
      <c r="A244" t="s">
        <v>575</v>
      </c>
      <c r="B244">
        <v>2020</v>
      </c>
      <c r="C244" t="s">
        <v>110</v>
      </c>
      <c r="D244" t="b">
        <v>1</v>
      </c>
      <c r="E244" t="b">
        <f>COUNTIF(connections!A:A, A244) &gt; 0</f>
        <v>0</v>
      </c>
    </row>
    <row r="245" spans="1:5" x14ac:dyDescent="0.25">
      <c r="A245" t="s">
        <v>225</v>
      </c>
      <c r="B245">
        <v>2024</v>
      </c>
      <c r="C245" t="s">
        <v>108</v>
      </c>
      <c r="D245" t="b">
        <v>1</v>
      </c>
      <c r="E245" t="b">
        <f>COUNTIF(connections!A:A, A245) &gt; 0</f>
        <v>0</v>
      </c>
    </row>
    <row r="246" spans="1:5" x14ac:dyDescent="0.25">
      <c r="A246" t="s">
        <v>12</v>
      </c>
      <c r="B246">
        <v>1986</v>
      </c>
      <c r="C246" t="s">
        <v>107</v>
      </c>
      <c r="D246" t="b">
        <v>1</v>
      </c>
      <c r="E246" t="b">
        <f>COUNTIF(connections!A:A, A246) &gt; 0</f>
        <v>0</v>
      </c>
    </row>
    <row r="247" spans="1:5" x14ac:dyDescent="0.25">
      <c r="A247" t="s">
        <v>356</v>
      </c>
      <c r="B247">
        <v>2019</v>
      </c>
      <c r="C247" t="s">
        <v>109</v>
      </c>
      <c r="D247" t="b">
        <v>1</v>
      </c>
      <c r="E247" t="b">
        <f>COUNTIF(connections!A:A, A247) &gt; 0</f>
        <v>0</v>
      </c>
    </row>
    <row r="248" spans="1:5" x14ac:dyDescent="0.25">
      <c r="A248" t="s">
        <v>474</v>
      </c>
      <c r="B248">
        <v>2024</v>
      </c>
      <c r="C248" t="s">
        <v>108</v>
      </c>
      <c r="D248" t="b">
        <v>1</v>
      </c>
      <c r="E248" t="b">
        <f>COUNTIF(connections!A:A, A248) &gt; 0</f>
        <v>0</v>
      </c>
    </row>
    <row r="249" spans="1:5" x14ac:dyDescent="0.25">
      <c r="A249" t="s">
        <v>42</v>
      </c>
      <c r="B249">
        <v>1995</v>
      </c>
      <c r="C249" t="s">
        <v>107</v>
      </c>
      <c r="D249" t="b">
        <v>1</v>
      </c>
      <c r="E249" t="b">
        <f>COUNTIF(connections!A:A, A249) &gt; 0</f>
        <v>1</v>
      </c>
    </row>
    <row r="250" spans="1:5" x14ac:dyDescent="0.25">
      <c r="A250" t="s">
        <v>541</v>
      </c>
      <c r="B250">
        <v>2023</v>
      </c>
      <c r="C250" t="s">
        <v>108</v>
      </c>
      <c r="D250" t="b">
        <v>1</v>
      </c>
      <c r="E250" t="b">
        <f>COUNTIF(connections!A:A, A250) &gt; 0</f>
        <v>0</v>
      </c>
    </row>
    <row r="251" spans="1:5" x14ac:dyDescent="0.25">
      <c r="A251" t="s">
        <v>574</v>
      </c>
      <c r="B251">
        <v>2024</v>
      </c>
      <c r="C251" t="s">
        <v>109</v>
      </c>
      <c r="D251" t="b">
        <v>1</v>
      </c>
      <c r="E251" t="b">
        <f>COUNTIF(connections!A:A, A251) &gt; 0</f>
        <v>0</v>
      </c>
    </row>
    <row r="252" spans="1:5" x14ac:dyDescent="0.25">
      <c r="A252" t="s">
        <v>292</v>
      </c>
      <c r="B252">
        <v>2021</v>
      </c>
      <c r="C252" t="s">
        <v>109</v>
      </c>
      <c r="D252" t="b">
        <v>1</v>
      </c>
      <c r="E252" t="b">
        <f>COUNTIF(connections!A:A, A252) &gt; 0</f>
        <v>1</v>
      </c>
    </row>
    <row r="253" spans="1:5" x14ac:dyDescent="0.25">
      <c r="A253" t="s">
        <v>525</v>
      </c>
      <c r="B253">
        <v>2017</v>
      </c>
      <c r="C253" t="s">
        <v>109</v>
      </c>
      <c r="D253" t="b">
        <v>1</v>
      </c>
      <c r="E253" t="b">
        <f>COUNTIF(connections!A:A, A253) &gt; 0</f>
        <v>0</v>
      </c>
    </row>
    <row r="254" spans="1:5" x14ac:dyDescent="0.25">
      <c r="A254" t="s">
        <v>298</v>
      </c>
      <c r="B254">
        <v>2022</v>
      </c>
      <c r="C254" t="s">
        <v>109</v>
      </c>
      <c r="D254" t="b">
        <v>0</v>
      </c>
      <c r="E254" t="b">
        <f>COUNTIF(connections!A:A, A254) &gt; 0</f>
        <v>0</v>
      </c>
    </row>
    <row r="255" spans="1:5" x14ac:dyDescent="0.25">
      <c r="A255" t="s">
        <v>945</v>
      </c>
      <c r="B255">
        <v>2019</v>
      </c>
      <c r="C255" t="s">
        <v>107</v>
      </c>
      <c r="D255" t="b">
        <v>1</v>
      </c>
      <c r="E255" t="b">
        <f>COUNTIF(connections!A:A, A255) &gt; 0</f>
        <v>0</v>
      </c>
    </row>
    <row r="256" spans="1:5" x14ac:dyDescent="0.25">
      <c r="A256" t="s">
        <v>776</v>
      </c>
      <c r="B256">
        <v>2025</v>
      </c>
      <c r="C256" t="s">
        <v>108</v>
      </c>
      <c r="D256" t="b">
        <v>1</v>
      </c>
      <c r="E256" t="b">
        <f>COUNTIF(connections!A:A, A256) &gt; 0</f>
        <v>0</v>
      </c>
    </row>
    <row r="257" spans="1:5" x14ac:dyDescent="0.25">
      <c r="A257" t="s">
        <v>773</v>
      </c>
      <c r="B257">
        <v>2024</v>
      </c>
      <c r="C257" t="s">
        <v>110</v>
      </c>
      <c r="D257" t="b">
        <v>1</v>
      </c>
      <c r="E257" t="b">
        <f>COUNTIF(connections!A:A, A257) &gt; 0</f>
        <v>0</v>
      </c>
    </row>
    <row r="258" spans="1:5" x14ac:dyDescent="0.25">
      <c r="A258" t="s">
        <v>126</v>
      </c>
      <c r="B258">
        <v>2021</v>
      </c>
      <c r="C258" t="s">
        <v>110</v>
      </c>
      <c r="D258" t="b">
        <v>1</v>
      </c>
      <c r="E258" t="b">
        <f>COUNTIF(connections!A:A, A258) &gt; 0</f>
        <v>1</v>
      </c>
    </row>
    <row r="259" spans="1:5" x14ac:dyDescent="0.25">
      <c r="A259" t="s">
        <v>351</v>
      </c>
      <c r="B259">
        <v>2023</v>
      </c>
      <c r="C259" t="s">
        <v>110</v>
      </c>
      <c r="D259" t="b">
        <v>1</v>
      </c>
      <c r="E259" t="b">
        <f>COUNTIF(connections!A:A, A259) &gt; 0</f>
        <v>0</v>
      </c>
    </row>
    <row r="260" spans="1:5" x14ac:dyDescent="0.25">
      <c r="A260" t="s">
        <v>233</v>
      </c>
      <c r="B260">
        <v>2019</v>
      </c>
      <c r="C260" t="s">
        <v>108</v>
      </c>
      <c r="D260" t="b">
        <v>1</v>
      </c>
      <c r="E260" t="b">
        <f>COUNTIF(connections!A:A, A260) &gt; 0</f>
        <v>1</v>
      </c>
    </row>
    <row r="261" spans="1:5" x14ac:dyDescent="0.25">
      <c r="A261" t="s">
        <v>476</v>
      </c>
      <c r="B261">
        <v>2023</v>
      </c>
      <c r="C261" t="s">
        <v>108</v>
      </c>
      <c r="D261" t="b">
        <v>1</v>
      </c>
      <c r="E261" t="b">
        <f>COUNTIF(connections!A:A, A261) &gt; 0</f>
        <v>0</v>
      </c>
    </row>
    <row r="262" spans="1:5" x14ac:dyDescent="0.25">
      <c r="A262" t="s">
        <v>958</v>
      </c>
      <c r="B262">
        <v>2020</v>
      </c>
      <c r="C262" t="s">
        <v>107</v>
      </c>
      <c r="D262" t="b">
        <v>1</v>
      </c>
      <c r="E262" t="b">
        <f>COUNTIF(connections!A:A, A262) &gt; 0</f>
        <v>0</v>
      </c>
    </row>
    <row r="263" spans="1:5" x14ac:dyDescent="0.25">
      <c r="A263" t="s">
        <v>774</v>
      </c>
      <c r="B263">
        <v>2025</v>
      </c>
      <c r="C263" t="s">
        <v>108</v>
      </c>
      <c r="D263" t="b">
        <v>1</v>
      </c>
      <c r="E263" t="b">
        <f>COUNTIF(connections!A:A, A263) &gt; 0</f>
        <v>0</v>
      </c>
    </row>
    <row r="264" spans="1:5" x14ac:dyDescent="0.25">
      <c r="A264" t="s">
        <v>513</v>
      </c>
      <c r="B264">
        <v>2022</v>
      </c>
      <c r="C264" t="s">
        <v>109</v>
      </c>
      <c r="D264" t="b">
        <v>0</v>
      </c>
      <c r="E264" t="b">
        <f>COUNTIF(connections!A:A, A264) &gt; 0</f>
        <v>0</v>
      </c>
    </row>
    <row r="265" spans="1:5" x14ac:dyDescent="0.25">
      <c r="A265" t="s">
        <v>873</v>
      </c>
      <c r="B265">
        <v>2025</v>
      </c>
      <c r="C265" t="s">
        <v>108</v>
      </c>
      <c r="D265" t="b">
        <v>1</v>
      </c>
      <c r="E265" t="b">
        <f>COUNTIF(connections!A:A, A265) &gt; 0</f>
        <v>0</v>
      </c>
    </row>
    <row r="266" spans="1:5" x14ac:dyDescent="0.25">
      <c r="A266" t="s">
        <v>145</v>
      </c>
      <c r="B266">
        <v>2024</v>
      </c>
      <c r="C266" t="s">
        <v>110</v>
      </c>
      <c r="D266" t="b">
        <v>1</v>
      </c>
      <c r="E266" t="b">
        <f>COUNTIF(connections!A:A, A266) &gt; 0</f>
        <v>0</v>
      </c>
    </row>
    <row r="267" spans="1:5" x14ac:dyDescent="0.25">
      <c r="A267" t="s">
        <v>723</v>
      </c>
      <c r="B267">
        <v>2024</v>
      </c>
      <c r="C267" t="s">
        <v>110</v>
      </c>
      <c r="D267" t="b">
        <v>1</v>
      </c>
      <c r="E267" t="b">
        <f>COUNTIF(connections!A:A, A267) &gt; 0</f>
        <v>0</v>
      </c>
    </row>
    <row r="268" spans="1:5" x14ac:dyDescent="0.25">
      <c r="A268" t="s">
        <v>831</v>
      </c>
      <c r="B268">
        <v>2025</v>
      </c>
      <c r="C268" t="s">
        <v>110</v>
      </c>
      <c r="D268" t="b">
        <v>1</v>
      </c>
      <c r="E268" t="b">
        <f>COUNTIF(connections!A:A, A268) &gt; 0</f>
        <v>0</v>
      </c>
    </row>
    <row r="269" spans="1:5" x14ac:dyDescent="0.25">
      <c r="A269" t="s">
        <v>870</v>
      </c>
      <c r="B269">
        <v>2024</v>
      </c>
      <c r="C269" t="s">
        <v>109</v>
      </c>
      <c r="D269" t="b">
        <v>1</v>
      </c>
      <c r="E269" t="b">
        <f>COUNTIF(connections!A:A, A269) &gt; 0</f>
        <v>0</v>
      </c>
    </row>
    <row r="270" spans="1:5" x14ac:dyDescent="0.25">
      <c r="A270" t="s">
        <v>345</v>
      </c>
      <c r="B270">
        <v>2020</v>
      </c>
      <c r="C270" t="s">
        <v>108</v>
      </c>
      <c r="D270" t="b">
        <v>1</v>
      </c>
      <c r="E270" t="b">
        <f>COUNTIF(connections!A:A, A270) &gt; 0</f>
        <v>0</v>
      </c>
    </row>
    <row r="271" spans="1:5" x14ac:dyDescent="0.25">
      <c r="A271" t="s">
        <v>380</v>
      </c>
      <c r="B271">
        <v>2021</v>
      </c>
      <c r="C271" t="s">
        <v>108</v>
      </c>
      <c r="D271" t="b">
        <v>0</v>
      </c>
      <c r="E271" t="b">
        <f>COUNTIF(connections!A:A, A271) &gt; 0</f>
        <v>0</v>
      </c>
    </row>
    <row r="272" spans="1:5" x14ac:dyDescent="0.25">
      <c r="A272" t="s">
        <v>899</v>
      </c>
      <c r="B272">
        <v>2025</v>
      </c>
      <c r="C272" t="s">
        <v>108</v>
      </c>
      <c r="D272" t="b">
        <v>0</v>
      </c>
      <c r="E272" t="b">
        <f>COUNTIF(connections!A:A, A272) &gt; 0</f>
        <v>0</v>
      </c>
    </row>
    <row r="273" spans="1:5" x14ac:dyDescent="0.25">
      <c r="A273" t="s">
        <v>847</v>
      </c>
      <c r="B273">
        <v>2023</v>
      </c>
      <c r="C273" t="s">
        <v>108</v>
      </c>
      <c r="D273" t="b">
        <v>1</v>
      </c>
      <c r="E273" t="b">
        <f>COUNTIF(connections!A:A, A273) &gt; 0</f>
        <v>0</v>
      </c>
    </row>
    <row r="274" spans="1:5" x14ac:dyDescent="0.25">
      <c r="A274" t="s">
        <v>168</v>
      </c>
      <c r="B274">
        <v>2020</v>
      </c>
      <c r="C274" t="s">
        <v>110</v>
      </c>
      <c r="D274" t="b">
        <v>1</v>
      </c>
      <c r="E274" t="b">
        <f>COUNTIF(connections!A:A, A274) &gt; 0</f>
        <v>1</v>
      </c>
    </row>
    <row r="275" spans="1:5" x14ac:dyDescent="0.25">
      <c r="A275" t="s">
        <v>780</v>
      </c>
      <c r="B275">
        <v>2025</v>
      </c>
      <c r="C275" t="s">
        <v>110</v>
      </c>
      <c r="D275" t="b">
        <v>1</v>
      </c>
      <c r="E275" t="b">
        <f>COUNTIF(connections!A:A, A275) &gt; 0</f>
        <v>0</v>
      </c>
    </row>
    <row r="276" spans="1:5" x14ac:dyDescent="0.25">
      <c r="A276" t="s">
        <v>308</v>
      </c>
      <c r="B276">
        <v>2015</v>
      </c>
      <c r="C276" t="s">
        <v>108</v>
      </c>
      <c r="D276" t="b">
        <v>1</v>
      </c>
      <c r="E276" t="b">
        <f>COUNTIF(connections!A:A, A276) &gt; 0</f>
        <v>0</v>
      </c>
    </row>
    <row r="277" spans="1:5" x14ac:dyDescent="0.25">
      <c r="A277" t="s">
        <v>507</v>
      </c>
      <c r="B277">
        <v>2024</v>
      </c>
      <c r="C277" t="s">
        <v>108</v>
      </c>
      <c r="D277" t="b">
        <v>1</v>
      </c>
      <c r="E277" t="b">
        <f>COUNTIF(connections!A:A, A277) &gt; 0</f>
        <v>0</v>
      </c>
    </row>
    <row r="278" spans="1:5" x14ac:dyDescent="0.25">
      <c r="A278" t="s">
        <v>896</v>
      </c>
      <c r="B278">
        <v>2018</v>
      </c>
      <c r="C278" t="s">
        <v>108</v>
      </c>
      <c r="D278" t="b">
        <v>1</v>
      </c>
      <c r="E278" t="b">
        <f>COUNTIF(connections!A:A, A278) &gt; 0</f>
        <v>1</v>
      </c>
    </row>
    <row r="279" spans="1:5" x14ac:dyDescent="0.25">
      <c r="A279" t="s">
        <v>898</v>
      </c>
      <c r="B279">
        <v>2025</v>
      </c>
      <c r="C279" t="s">
        <v>108</v>
      </c>
      <c r="D279" t="b">
        <v>1</v>
      </c>
      <c r="E279" t="b">
        <f>COUNTIF(connections!A:A, A279) &gt; 0</f>
        <v>0</v>
      </c>
    </row>
    <row r="280" spans="1:5" x14ac:dyDescent="0.25">
      <c r="A280" t="s">
        <v>455</v>
      </c>
      <c r="B280">
        <v>2023</v>
      </c>
      <c r="C280" t="s">
        <v>107</v>
      </c>
      <c r="D280" t="b">
        <v>1</v>
      </c>
      <c r="E280" t="b">
        <f>COUNTIF(connections!A:A, A280) &gt; 0</f>
        <v>0</v>
      </c>
    </row>
    <row r="281" spans="1:5" x14ac:dyDescent="0.25">
      <c r="A281" t="s">
        <v>19</v>
      </c>
      <c r="B281">
        <v>1983</v>
      </c>
      <c r="C281" t="s">
        <v>107</v>
      </c>
      <c r="D281" t="b">
        <v>1</v>
      </c>
      <c r="E281" t="b">
        <f>COUNTIF(connections!A:A, A281) &gt; 0</f>
        <v>1</v>
      </c>
    </row>
    <row r="282" spans="1:5" x14ac:dyDescent="0.25">
      <c r="A282" t="s">
        <v>908</v>
      </c>
      <c r="B282">
        <v>2025</v>
      </c>
      <c r="C282" t="s">
        <v>108</v>
      </c>
      <c r="D282" t="b">
        <v>0</v>
      </c>
      <c r="E282" t="b">
        <f>COUNTIF(connections!A:A, A282) &gt; 0</f>
        <v>0</v>
      </c>
    </row>
    <row r="283" spans="1:5" x14ac:dyDescent="0.25">
      <c r="A283" t="s">
        <v>381</v>
      </c>
      <c r="B283">
        <v>2023</v>
      </c>
      <c r="C283" t="s">
        <v>108</v>
      </c>
      <c r="D283" t="b">
        <v>1</v>
      </c>
      <c r="E283" t="b">
        <f>COUNTIF(connections!A:A, A283) &gt; 0</f>
        <v>0</v>
      </c>
    </row>
    <row r="284" spans="1:5" x14ac:dyDescent="0.25">
      <c r="A284" t="s">
        <v>489</v>
      </c>
      <c r="B284">
        <v>2018</v>
      </c>
      <c r="C284" t="s">
        <v>108</v>
      </c>
      <c r="D284" t="b">
        <v>1</v>
      </c>
      <c r="E284" t="b">
        <f>COUNTIF(connections!A:A, A284) &gt; 0</f>
        <v>0</v>
      </c>
    </row>
    <row r="285" spans="1:5" x14ac:dyDescent="0.25">
      <c r="A285" t="s">
        <v>331</v>
      </c>
      <c r="B285">
        <v>2021</v>
      </c>
      <c r="C285" t="s">
        <v>108</v>
      </c>
      <c r="D285" t="b">
        <v>1</v>
      </c>
      <c r="E285" t="b">
        <f>COUNTIF(connections!A:A, A285) &gt; 0</f>
        <v>0</v>
      </c>
    </row>
    <row r="286" spans="1:5" x14ac:dyDescent="0.25">
      <c r="A286" t="s">
        <v>901</v>
      </c>
      <c r="B286">
        <v>2025</v>
      </c>
      <c r="C286" t="s">
        <v>110</v>
      </c>
      <c r="D286" t="b">
        <v>1</v>
      </c>
      <c r="E286" t="b">
        <f>COUNTIF(connections!A:A, A286) &gt; 0</f>
        <v>0</v>
      </c>
    </row>
    <row r="287" spans="1:5" x14ac:dyDescent="0.25">
      <c r="A287" t="s">
        <v>789</v>
      </c>
      <c r="B287">
        <v>1995</v>
      </c>
      <c r="C287" t="s">
        <v>107</v>
      </c>
      <c r="D287" t="b">
        <v>1</v>
      </c>
      <c r="E287" t="b">
        <f>COUNTIF(connections!A:A, A287) &gt; 0</f>
        <v>1</v>
      </c>
    </row>
    <row r="288" spans="1:5" x14ac:dyDescent="0.25">
      <c r="A288" t="s">
        <v>464</v>
      </c>
      <c r="B288">
        <v>2022</v>
      </c>
      <c r="C288" t="s">
        <v>108</v>
      </c>
      <c r="D288" t="b">
        <v>1</v>
      </c>
      <c r="E288" t="b">
        <f>COUNTIF(connections!A:A, A288) &gt; 0</f>
        <v>0</v>
      </c>
    </row>
    <row r="289" spans="1:5" x14ac:dyDescent="0.25">
      <c r="A289" t="s">
        <v>337</v>
      </c>
      <c r="B289">
        <v>2024</v>
      </c>
      <c r="C289" t="s">
        <v>109</v>
      </c>
      <c r="D289" t="b">
        <v>0</v>
      </c>
      <c r="E289" t="b">
        <f>COUNTIF(connections!A:A, A289) &gt; 0</f>
        <v>0</v>
      </c>
    </row>
    <row r="290" spans="1:5" x14ac:dyDescent="0.25">
      <c r="A290" t="s">
        <v>338</v>
      </c>
      <c r="B290">
        <v>2022</v>
      </c>
      <c r="C290" t="s">
        <v>108</v>
      </c>
      <c r="D290" t="b">
        <v>1</v>
      </c>
      <c r="E290" t="b">
        <f>COUNTIF(connections!A:A, A290) &gt; 0</f>
        <v>1</v>
      </c>
    </row>
    <row r="291" spans="1:5" x14ac:dyDescent="0.25">
      <c r="A291" t="s">
        <v>339</v>
      </c>
      <c r="B291">
        <v>2024</v>
      </c>
      <c r="C291" t="s">
        <v>108</v>
      </c>
      <c r="D291" t="b">
        <v>1</v>
      </c>
      <c r="E291" t="b">
        <f>COUNTIF(connections!A:A, A291) &gt; 0</f>
        <v>0</v>
      </c>
    </row>
    <row r="292" spans="1:5" x14ac:dyDescent="0.25">
      <c r="A292" t="s">
        <v>536</v>
      </c>
      <c r="B292">
        <v>2019</v>
      </c>
      <c r="C292" t="s">
        <v>108</v>
      </c>
      <c r="D292" t="b">
        <v>1</v>
      </c>
      <c r="E292" t="b">
        <f>COUNTIF(connections!A:A, A292) &gt; 0</f>
        <v>1</v>
      </c>
    </row>
    <row r="293" spans="1:5" x14ac:dyDescent="0.25">
      <c r="A293" t="s">
        <v>874</v>
      </c>
      <c r="B293">
        <v>2025</v>
      </c>
      <c r="C293" t="s">
        <v>108</v>
      </c>
      <c r="D293" t="b">
        <v>1</v>
      </c>
      <c r="E293" t="b">
        <f>COUNTIF(connections!A:A, A293) &gt; 0</f>
        <v>0</v>
      </c>
    </row>
    <row r="294" spans="1:5" x14ac:dyDescent="0.25">
      <c r="A294" t="s">
        <v>250</v>
      </c>
      <c r="B294">
        <v>2022</v>
      </c>
      <c r="C294" t="s">
        <v>108</v>
      </c>
      <c r="D294" t="b">
        <v>1</v>
      </c>
      <c r="E294" t="b">
        <f>COUNTIF(connections!A:A, A294) &gt; 0</f>
        <v>0</v>
      </c>
    </row>
    <row r="295" spans="1:5" x14ac:dyDescent="0.25">
      <c r="A295" t="s">
        <v>31</v>
      </c>
      <c r="B295">
        <v>1987</v>
      </c>
      <c r="C295" t="s">
        <v>107</v>
      </c>
      <c r="D295" t="b">
        <v>1</v>
      </c>
      <c r="E295" t="b">
        <f>COUNTIF(connections!A:A, A295) &gt; 0</f>
        <v>1</v>
      </c>
    </row>
    <row r="296" spans="1:5" x14ac:dyDescent="0.25">
      <c r="A296" t="s">
        <v>961</v>
      </c>
      <c r="B296">
        <v>2025</v>
      </c>
      <c r="C296" t="s">
        <v>108</v>
      </c>
      <c r="D296" t="b">
        <v>1</v>
      </c>
      <c r="E296" t="b">
        <f>COUNTIF(connections!A:A, A296) &gt; 0</f>
        <v>0</v>
      </c>
    </row>
    <row r="297" spans="1:5" x14ac:dyDescent="0.25">
      <c r="A297" t="s">
        <v>287</v>
      </c>
      <c r="B297">
        <v>2019</v>
      </c>
      <c r="C297" t="s">
        <v>108</v>
      </c>
      <c r="D297" t="b">
        <v>1</v>
      </c>
      <c r="E297" t="b">
        <f>COUNTIF(connections!A:A, A297) &gt; 0</f>
        <v>1</v>
      </c>
    </row>
    <row r="298" spans="1:5" x14ac:dyDescent="0.25">
      <c r="A298" t="s">
        <v>259</v>
      </c>
      <c r="B298">
        <v>2022</v>
      </c>
      <c r="C298" t="s">
        <v>108</v>
      </c>
      <c r="D298" t="b">
        <v>1</v>
      </c>
      <c r="E298" t="b">
        <f>COUNTIF(connections!A:A, A298) &gt; 0</f>
        <v>0</v>
      </c>
    </row>
    <row r="299" spans="1:5" x14ac:dyDescent="0.25">
      <c r="A299" t="s">
        <v>920</v>
      </c>
      <c r="B299">
        <v>2025</v>
      </c>
      <c r="C299" t="s">
        <v>108</v>
      </c>
      <c r="D299" t="b">
        <v>1</v>
      </c>
      <c r="E299" t="b">
        <f>COUNTIF(connections!A:A, A299) &gt; 0</f>
        <v>0</v>
      </c>
    </row>
    <row r="300" spans="1:5" x14ac:dyDescent="0.25">
      <c r="A300" t="s">
        <v>570</v>
      </c>
      <c r="B300">
        <v>2025</v>
      </c>
      <c r="C300" t="s">
        <v>109</v>
      </c>
      <c r="D300" t="b">
        <v>1</v>
      </c>
      <c r="E300" t="b">
        <f>COUNTIF(connections!A:A, A300) &gt; 0</f>
        <v>0</v>
      </c>
    </row>
    <row r="301" spans="1:5" x14ac:dyDescent="0.25">
      <c r="A301" t="s">
        <v>261</v>
      </c>
      <c r="B301">
        <v>2022</v>
      </c>
      <c r="C301" t="s">
        <v>108</v>
      </c>
      <c r="D301" t="b">
        <v>1</v>
      </c>
      <c r="E301" t="b">
        <f>COUNTIF(connections!A:A, A301) &gt; 0</f>
        <v>0</v>
      </c>
    </row>
    <row r="302" spans="1:5" x14ac:dyDescent="0.25">
      <c r="A302" t="s">
        <v>324</v>
      </c>
      <c r="B302">
        <v>2019</v>
      </c>
      <c r="C302" t="s">
        <v>108</v>
      </c>
      <c r="D302" t="b">
        <v>1</v>
      </c>
      <c r="E302" t="b">
        <f>COUNTIF(connections!A:A, A302) &gt; 0</f>
        <v>0</v>
      </c>
    </row>
    <row r="303" spans="1:5" x14ac:dyDescent="0.25">
      <c r="A303" t="s">
        <v>517</v>
      </c>
      <c r="B303">
        <v>2024</v>
      </c>
      <c r="C303" t="s">
        <v>109</v>
      </c>
      <c r="D303" t="b">
        <v>1</v>
      </c>
      <c r="E303" t="b">
        <f>COUNTIF(connections!A:A, A303) &gt; 0</f>
        <v>0</v>
      </c>
    </row>
    <row r="304" spans="1:5" x14ac:dyDescent="0.25">
      <c r="A304" t="s">
        <v>183</v>
      </c>
      <c r="B304">
        <v>2015</v>
      </c>
      <c r="C304" t="s">
        <v>108</v>
      </c>
      <c r="D304" t="b">
        <v>1</v>
      </c>
      <c r="E304" t="b">
        <f>COUNTIF(connections!A:A, A304) &gt; 0</f>
        <v>1</v>
      </c>
    </row>
    <row r="305" spans="1:5" x14ac:dyDescent="0.25">
      <c r="A305" t="s">
        <v>393</v>
      </c>
      <c r="B305">
        <v>2025</v>
      </c>
      <c r="C305" t="s">
        <v>108</v>
      </c>
      <c r="D305" t="b">
        <v>1</v>
      </c>
      <c r="E305" t="b">
        <f>COUNTIF(connections!A:A, A305) &gt; 0</f>
        <v>0</v>
      </c>
    </row>
    <row r="306" spans="1:5" x14ac:dyDescent="0.25">
      <c r="A306" t="s">
        <v>535</v>
      </c>
      <c r="B306">
        <v>2018</v>
      </c>
      <c r="C306" t="s">
        <v>108</v>
      </c>
      <c r="D306" t="b">
        <v>0</v>
      </c>
      <c r="E306" t="b">
        <f>COUNTIF(connections!A:A, A306) &gt; 0</f>
        <v>0</v>
      </c>
    </row>
    <row r="307" spans="1:5" x14ac:dyDescent="0.25">
      <c r="A307" t="s">
        <v>519</v>
      </c>
      <c r="B307">
        <v>2025</v>
      </c>
      <c r="C307" t="s">
        <v>108</v>
      </c>
      <c r="D307" t="b">
        <v>1</v>
      </c>
      <c r="E307" t="b">
        <f>COUNTIF(connections!A:A, A307) &gt; 0</f>
        <v>0</v>
      </c>
    </row>
    <row r="308" spans="1:5" x14ac:dyDescent="0.25">
      <c r="A308" t="s">
        <v>832</v>
      </c>
      <c r="B308">
        <v>2025</v>
      </c>
      <c r="C308" t="s">
        <v>110</v>
      </c>
      <c r="D308" t="b">
        <v>1</v>
      </c>
      <c r="E308" t="b">
        <f>COUNTIF(connections!A:A, A308) &gt; 0</f>
        <v>0</v>
      </c>
    </row>
    <row r="309" spans="1:5" x14ac:dyDescent="0.25">
      <c r="A309" t="s">
        <v>192</v>
      </c>
      <c r="B309">
        <v>2020</v>
      </c>
      <c r="C309" t="s">
        <v>108</v>
      </c>
      <c r="D309" t="b">
        <v>1</v>
      </c>
      <c r="E309" t="b">
        <f>COUNTIF(connections!A:A, A309) &gt; 0</f>
        <v>0</v>
      </c>
    </row>
    <row r="310" spans="1:5" x14ac:dyDescent="0.25">
      <c r="A310" t="s">
        <v>956</v>
      </c>
      <c r="B310">
        <v>2019</v>
      </c>
      <c r="C310" t="s">
        <v>107</v>
      </c>
      <c r="D310" t="b">
        <v>1</v>
      </c>
      <c r="E310" t="b">
        <f>COUNTIF(connections!A:A, A310) &gt; 0</f>
        <v>0</v>
      </c>
    </row>
    <row r="311" spans="1:5" x14ac:dyDescent="0.25">
      <c r="A311" t="s">
        <v>396</v>
      </c>
      <c r="B311">
        <v>2023</v>
      </c>
      <c r="C311" t="s">
        <v>108</v>
      </c>
      <c r="D311" t="b">
        <v>0</v>
      </c>
      <c r="E311" t="b">
        <f>COUNTIF(connections!A:A, A311) &gt; 0</f>
        <v>0</v>
      </c>
    </row>
    <row r="312" spans="1:5" x14ac:dyDescent="0.25">
      <c r="A312" t="s">
        <v>509</v>
      </c>
      <c r="B312">
        <v>2025</v>
      </c>
      <c r="C312" t="s">
        <v>110</v>
      </c>
      <c r="D312" t="b">
        <v>1</v>
      </c>
      <c r="E312" t="b">
        <f>COUNTIF(connections!A:A, A312) &gt; 0</f>
        <v>0</v>
      </c>
    </row>
    <row r="313" spans="1:5" x14ac:dyDescent="0.25">
      <c r="A313" t="s">
        <v>800</v>
      </c>
      <c r="B313">
        <v>2025</v>
      </c>
      <c r="C313" t="s">
        <v>107</v>
      </c>
      <c r="D313" t="b">
        <v>1</v>
      </c>
      <c r="E313" t="b">
        <f>COUNTIF(connections!A:A, A313) &gt; 0</f>
        <v>0</v>
      </c>
    </row>
    <row r="314" spans="1:5" x14ac:dyDescent="0.25">
      <c r="A314" t="s">
        <v>506</v>
      </c>
      <c r="B314">
        <v>2023</v>
      </c>
      <c r="C314" t="s">
        <v>108</v>
      </c>
      <c r="D314" t="b">
        <v>1</v>
      </c>
      <c r="E314" t="b">
        <f>COUNTIF(connections!A:A, A314) &gt; 0</f>
        <v>0</v>
      </c>
    </row>
    <row r="315" spans="1:5" x14ac:dyDescent="0.25">
      <c r="A315" t="s">
        <v>153</v>
      </c>
      <c r="B315">
        <v>2021</v>
      </c>
      <c r="C315" t="s">
        <v>108</v>
      </c>
      <c r="D315" t="b">
        <v>1</v>
      </c>
      <c r="E315" t="b">
        <f>COUNTIF(connections!A:A, A315) &gt; 0</f>
        <v>1</v>
      </c>
    </row>
    <row r="316" spans="1:5" x14ac:dyDescent="0.25">
      <c r="A316" t="s">
        <v>48</v>
      </c>
      <c r="B316">
        <v>2023</v>
      </c>
      <c r="C316" t="s">
        <v>107</v>
      </c>
      <c r="D316" t="b">
        <v>1</v>
      </c>
      <c r="E316" t="b">
        <f>COUNTIF(connections!A:A, A316) &gt; 0</f>
        <v>0</v>
      </c>
    </row>
    <row r="317" spans="1:5" x14ac:dyDescent="0.25">
      <c r="A317" t="s">
        <v>754</v>
      </c>
      <c r="B317">
        <v>2021</v>
      </c>
      <c r="C317" t="s">
        <v>109</v>
      </c>
      <c r="D317" t="b">
        <v>1</v>
      </c>
      <c r="E317" t="b">
        <f>COUNTIF(connections!A:A, A317) &gt; 0</f>
        <v>1</v>
      </c>
    </row>
    <row r="318" spans="1:5" x14ac:dyDescent="0.25">
      <c r="A318" t="s">
        <v>113</v>
      </c>
      <c r="B318">
        <v>2022</v>
      </c>
      <c r="C318" t="s">
        <v>110</v>
      </c>
      <c r="D318" t="b">
        <v>1</v>
      </c>
      <c r="E318" t="b">
        <f>COUNTIF(connections!A:A, A318) &gt; 0</f>
        <v>1</v>
      </c>
    </row>
    <row r="319" spans="1:5" x14ac:dyDescent="0.25">
      <c r="A319" t="s">
        <v>237</v>
      </c>
      <c r="B319">
        <v>2023</v>
      </c>
      <c r="C319" t="s">
        <v>108</v>
      </c>
      <c r="D319" t="b">
        <v>1</v>
      </c>
      <c r="E319" t="b">
        <f>COUNTIF(connections!A:A, A319) &gt; 0</f>
        <v>0</v>
      </c>
    </row>
    <row r="320" spans="1:5" x14ac:dyDescent="0.25">
      <c r="A320" t="s">
        <v>835</v>
      </c>
      <c r="B320">
        <v>2025</v>
      </c>
      <c r="C320" t="s">
        <v>110</v>
      </c>
      <c r="D320" t="b">
        <v>1</v>
      </c>
      <c r="E320" t="b">
        <f>COUNTIF(connections!A:A, A320) &gt; 0</f>
        <v>0</v>
      </c>
    </row>
    <row r="321" spans="1:6" x14ac:dyDescent="0.25">
      <c r="A321" t="s">
        <v>73</v>
      </c>
      <c r="B321">
        <v>2012</v>
      </c>
      <c r="C321" t="s">
        <v>107</v>
      </c>
      <c r="D321" t="b">
        <v>1</v>
      </c>
      <c r="E321" t="b">
        <f>COUNTIF(connections!A:A, A321) &gt; 0</f>
        <v>1</v>
      </c>
    </row>
    <row r="322" spans="1:6" x14ac:dyDescent="0.25">
      <c r="A322" t="s">
        <v>323</v>
      </c>
      <c r="B322">
        <v>2022</v>
      </c>
      <c r="C322" t="s">
        <v>109</v>
      </c>
      <c r="D322" t="b">
        <v>0</v>
      </c>
      <c r="E322" t="b">
        <f>COUNTIF(connections!A:A, A322) &gt; 0</f>
        <v>0</v>
      </c>
    </row>
    <row r="323" spans="1:6" x14ac:dyDescent="0.25">
      <c r="A323" t="s">
        <v>523</v>
      </c>
      <c r="B323">
        <v>2021</v>
      </c>
      <c r="C323" t="s">
        <v>110</v>
      </c>
      <c r="D323" t="b">
        <v>1</v>
      </c>
      <c r="E323" t="b">
        <f>COUNTIF(connections!A:A, A323) &gt; 0</f>
        <v>0</v>
      </c>
    </row>
    <row r="324" spans="1:6" x14ac:dyDescent="0.25">
      <c r="A324" t="s">
        <v>294</v>
      </c>
      <c r="B324">
        <v>2022</v>
      </c>
      <c r="C324" t="s">
        <v>110</v>
      </c>
      <c r="D324" t="b">
        <v>1</v>
      </c>
      <c r="E324" t="b">
        <f>COUNTIF(connections!A:A, A324) &gt; 0</f>
        <v>0</v>
      </c>
    </row>
    <row r="325" spans="1:6" x14ac:dyDescent="0.25">
      <c r="A325" t="s">
        <v>505</v>
      </c>
      <c r="B325">
        <v>2024</v>
      </c>
      <c r="C325" t="s">
        <v>108</v>
      </c>
      <c r="D325" t="b">
        <v>0</v>
      </c>
      <c r="E325" t="b">
        <f>COUNTIF(connections!A:A, A325) &gt; 0</f>
        <v>0</v>
      </c>
    </row>
    <row r="326" spans="1:6" x14ac:dyDescent="0.25">
      <c r="A326" t="s">
        <v>806</v>
      </c>
      <c r="B326">
        <v>2009</v>
      </c>
      <c r="C326" t="s">
        <v>107</v>
      </c>
      <c r="D326" t="b">
        <v>1</v>
      </c>
      <c r="E326" t="b">
        <f>COUNTIF(connections!A:A, A326) &gt; 0</f>
        <v>0</v>
      </c>
      <c r="F326" t="s">
        <v>1036</v>
      </c>
    </row>
    <row r="327" spans="1:6" x14ac:dyDescent="0.25">
      <c r="A327" t="s">
        <v>803</v>
      </c>
      <c r="B327">
        <v>2007</v>
      </c>
      <c r="C327" t="s">
        <v>107</v>
      </c>
      <c r="D327" t="b">
        <v>1</v>
      </c>
      <c r="E327" t="b">
        <f>COUNTIF(connections!A:A, A327) &gt; 0</f>
        <v>1</v>
      </c>
      <c r="F327" t="s">
        <v>1036</v>
      </c>
    </row>
    <row r="328" spans="1:6" x14ac:dyDescent="0.25">
      <c r="A328" t="s">
        <v>809</v>
      </c>
      <c r="B328">
        <v>2012</v>
      </c>
      <c r="C328" t="s">
        <v>107</v>
      </c>
      <c r="D328" t="b">
        <v>1</v>
      </c>
      <c r="E328" t="b">
        <f>COUNTIF(connections!A:A, A328) &gt; 0</f>
        <v>0</v>
      </c>
      <c r="F328" t="s">
        <v>1036</v>
      </c>
    </row>
    <row r="329" spans="1:6" x14ac:dyDescent="0.25">
      <c r="A329" t="s">
        <v>799</v>
      </c>
      <c r="B329">
        <v>2005</v>
      </c>
      <c r="C329" t="s">
        <v>107</v>
      </c>
      <c r="D329" t="b">
        <v>1</v>
      </c>
      <c r="E329" t="b">
        <f>COUNTIF(connections!A:A, A329) &gt; 0</f>
        <v>1</v>
      </c>
      <c r="F329" t="s">
        <v>1036</v>
      </c>
    </row>
    <row r="330" spans="1:6" x14ac:dyDescent="0.25">
      <c r="A330" t="s">
        <v>814</v>
      </c>
      <c r="B330">
        <v>2020</v>
      </c>
      <c r="C330" t="s">
        <v>107</v>
      </c>
      <c r="D330" t="b">
        <v>1</v>
      </c>
      <c r="E330" t="b">
        <f>COUNTIF(connections!A:A, A330) &gt; 0</f>
        <v>0</v>
      </c>
      <c r="F330" t="s">
        <v>1036</v>
      </c>
    </row>
    <row r="331" spans="1:6" x14ac:dyDescent="0.25">
      <c r="A331" t="s">
        <v>810</v>
      </c>
      <c r="B331">
        <v>2015</v>
      </c>
      <c r="C331" t="s">
        <v>107</v>
      </c>
      <c r="D331" t="b">
        <v>1</v>
      </c>
      <c r="E331" t="b">
        <f>COUNTIF(connections!A:A, A331) &gt; 0</f>
        <v>0</v>
      </c>
      <c r="F331" t="s">
        <v>1036</v>
      </c>
    </row>
    <row r="332" spans="1:6" x14ac:dyDescent="0.25">
      <c r="A332" t="s">
        <v>178</v>
      </c>
      <c r="B332">
        <v>2024</v>
      </c>
      <c r="C332" t="s">
        <v>109</v>
      </c>
      <c r="D332" t="b">
        <v>1</v>
      </c>
      <c r="E332" t="b">
        <f>COUNTIF(connections!A:A, A332) &gt; 0</f>
        <v>0</v>
      </c>
      <c r="F332" t="s">
        <v>1036</v>
      </c>
    </row>
    <row r="333" spans="1:6" x14ac:dyDescent="0.25">
      <c r="A333" t="s">
        <v>139</v>
      </c>
      <c r="B333">
        <v>2020</v>
      </c>
      <c r="C333" t="s">
        <v>109</v>
      </c>
      <c r="D333" t="b">
        <v>1</v>
      </c>
      <c r="E333" t="b">
        <f>COUNTIF(connections!A:A, A333) &gt; 0</f>
        <v>1</v>
      </c>
    </row>
    <row r="334" spans="1:6" x14ac:dyDescent="0.25">
      <c r="A334" t="s">
        <v>55</v>
      </c>
      <c r="B334">
        <v>2003</v>
      </c>
      <c r="C334" t="s">
        <v>107</v>
      </c>
      <c r="D334" t="b">
        <v>1</v>
      </c>
      <c r="E334" t="b">
        <f>COUNTIF(connections!A:A, A334) &gt; 0</f>
        <v>1</v>
      </c>
    </row>
    <row r="335" spans="1:6" x14ac:dyDescent="0.25">
      <c r="A335" t="s">
        <v>851</v>
      </c>
      <c r="B335">
        <v>2024</v>
      </c>
      <c r="C335" t="s">
        <v>108</v>
      </c>
      <c r="D335" t="b">
        <v>1</v>
      </c>
      <c r="E335" t="b">
        <f>COUNTIF(connections!A:A, A335) &gt; 0</f>
        <v>0</v>
      </c>
    </row>
    <row r="336" spans="1:6" x14ac:dyDescent="0.25">
      <c r="A336" t="s">
        <v>274</v>
      </c>
      <c r="B336">
        <v>2022</v>
      </c>
      <c r="C336" t="s">
        <v>108</v>
      </c>
      <c r="D336" t="b">
        <v>1</v>
      </c>
      <c r="E336" t="b">
        <f>COUNTIF(connections!A:A, A336) &gt; 0</f>
        <v>0</v>
      </c>
    </row>
    <row r="337" spans="1:5" x14ac:dyDescent="0.25">
      <c r="A337" t="s">
        <v>441</v>
      </c>
      <c r="B337">
        <v>2023</v>
      </c>
      <c r="C337" t="s">
        <v>107</v>
      </c>
      <c r="D337" t="b">
        <v>1</v>
      </c>
      <c r="E337" t="b">
        <f>COUNTIF(connections!A:A, A337) &gt; 0</f>
        <v>0</v>
      </c>
    </row>
    <row r="338" spans="1:5" x14ac:dyDescent="0.25">
      <c r="A338" t="s">
        <v>329</v>
      </c>
      <c r="B338">
        <v>2024</v>
      </c>
      <c r="C338" t="s">
        <v>108</v>
      </c>
      <c r="D338" t="b">
        <v>0</v>
      </c>
      <c r="E338" t="b">
        <f>COUNTIF(connections!A:A, A338) &gt; 0</f>
        <v>0</v>
      </c>
    </row>
    <row r="339" spans="1:5" x14ac:dyDescent="0.25">
      <c r="A339" t="s">
        <v>826</v>
      </c>
      <c r="B339">
        <v>2024</v>
      </c>
      <c r="C339" t="s">
        <v>109</v>
      </c>
      <c r="D339" t="b">
        <v>1</v>
      </c>
      <c r="E339" t="b">
        <f>COUNTIF(connections!A:A, A339) &gt; 0</f>
        <v>0</v>
      </c>
    </row>
    <row r="340" spans="1:5" x14ac:dyDescent="0.25">
      <c r="A340" t="s">
        <v>480</v>
      </c>
      <c r="B340">
        <v>1992</v>
      </c>
      <c r="C340" t="s">
        <v>107</v>
      </c>
      <c r="D340" t="b">
        <v>1</v>
      </c>
      <c r="E340" t="b">
        <f>COUNTIF(connections!A:A, A340) &gt; 0</f>
        <v>0</v>
      </c>
    </row>
    <row r="341" spans="1:5" x14ac:dyDescent="0.25">
      <c r="A341" t="s">
        <v>504</v>
      </c>
      <c r="B341">
        <v>2024</v>
      </c>
      <c r="C341" t="s">
        <v>108</v>
      </c>
      <c r="D341" t="b">
        <v>1</v>
      </c>
      <c r="E341" t="b">
        <f>COUNTIF(connections!A:A, A341) &gt; 0</f>
        <v>0</v>
      </c>
    </row>
    <row r="342" spans="1:5" x14ac:dyDescent="0.25">
      <c r="A342" t="s">
        <v>599</v>
      </c>
      <c r="B342">
        <v>2019</v>
      </c>
      <c r="C342" t="s">
        <v>110</v>
      </c>
      <c r="D342" t="b">
        <v>1</v>
      </c>
      <c r="E342" t="b">
        <f>COUNTIF(connections!A:A, A342) &gt; 0</f>
        <v>0</v>
      </c>
    </row>
    <row r="343" spans="1:5" x14ac:dyDescent="0.25">
      <c r="A343" t="s">
        <v>166</v>
      </c>
      <c r="B343">
        <v>2023</v>
      </c>
      <c r="C343" t="s">
        <v>108</v>
      </c>
      <c r="D343" t="b">
        <v>1</v>
      </c>
      <c r="E343" t="b">
        <f>COUNTIF(connections!A:A, A343) &gt; 0</f>
        <v>1</v>
      </c>
    </row>
    <row r="344" spans="1:5" x14ac:dyDescent="0.25">
      <c r="A344" t="s">
        <v>948</v>
      </c>
      <c r="B344">
        <v>2024</v>
      </c>
      <c r="C344" t="s">
        <v>108</v>
      </c>
      <c r="D344" t="b">
        <v>1</v>
      </c>
      <c r="E344" t="b">
        <f>COUNTIF(connections!A:A, A344) &gt; 0</f>
        <v>0</v>
      </c>
    </row>
    <row r="345" spans="1:5" x14ac:dyDescent="0.25">
      <c r="A345" t="s">
        <v>431</v>
      </c>
      <c r="B345">
        <v>2022</v>
      </c>
      <c r="C345" t="s">
        <v>108</v>
      </c>
      <c r="D345" t="b">
        <v>1</v>
      </c>
      <c r="E345" t="b">
        <f>COUNTIF(connections!A:A, A345) &gt; 0</f>
        <v>0</v>
      </c>
    </row>
    <row r="346" spans="1:5" x14ac:dyDescent="0.25">
      <c r="A346" t="s">
        <v>246</v>
      </c>
      <c r="B346">
        <v>2023</v>
      </c>
      <c r="C346" t="s">
        <v>108</v>
      </c>
      <c r="D346" t="b">
        <v>1</v>
      </c>
      <c r="E346" t="b">
        <f>COUNTIF(connections!A:A, A346) &gt; 0</f>
        <v>0</v>
      </c>
    </row>
    <row r="347" spans="1:5" x14ac:dyDescent="0.25">
      <c r="A347" t="s">
        <v>984</v>
      </c>
      <c r="B347">
        <v>2023</v>
      </c>
      <c r="C347" t="s">
        <v>108</v>
      </c>
      <c r="D347" t="b">
        <v>1</v>
      </c>
      <c r="E347" t="b">
        <f>COUNTIF(connections!A:A, A347) &gt; 0</f>
        <v>1</v>
      </c>
    </row>
    <row r="348" spans="1:5" x14ac:dyDescent="0.25">
      <c r="A348" t="s">
        <v>309</v>
      </c>
      <c r="B348">
        <v>2021</v>
      </c>
      <c r="C348" t="s">
        <v>108</v>
      </c>
      <c r="D348" t="b">
        <v>1</v>
      </c>
      <c r="E348" t="b">
        <f>COUNTIF(connections!A:A, A348) &gt; 0</f>
        <v>0</v>
      </c>
    </row>
    <row r="349" spans="1:5" x14ac:dyDescent="0.25">
      <c r="A349" t="s">
        <v>50</v>
      </c>
      <c r="B349">
        <v>2020</v>
      </c>
      <c r="C349" t="s">
        <v>107</v>
      </c>
      <c r="D349" t="b">
        <v>1</v>
      </c>
      <c r="E349" t="b">
        <f>COUNTIF(connections!A:A, A349) &gt; 0</f>
        <v>1</v>
      </c>
    </row>
    <row r="350" spans="1:5" x14ac:dyDescent="0.25">
      <c r="A350" t="s">
        <v>53</v>
      </c>
      <c r="B350">
        <v>2024</v>
      </c>
      <c r="C350" t="s">
        <v>107</v>
      </c>
      <c r="D350" t="b">
        <v>1</v>
      </c>
      <c r="E350" t="b">
        <f>COUNTIF(connections!A:A, A350) &gt; 0</f>
        <v>0</v>
      </c>
    </row>
    <row r="351" spans="1:5" x14ac:dyDescent="0.25">
      <c r="A351" t="s">
        <v>105</v>
      </c>
      <c r="B351">
        <v>2020</v>
      </c>
      <c r="C351" t="s">
        <v>109</v>
      </c>
      <c r="D351" t="b">
        <v>1</v>
      </c>
      <c r="E351" t="b">
        <f>COUNTIF(connections!A:A, A351) &gt; 0</f>
        <v>0</v>
      </c>
    </row>
    <row r="352" spans="1:5" x14ac:dyDescent="0.25">
      <c r="A352" t="s">
        <v>174</v>
      </c>
      <c r="B352">
        <v>2013</v>
      </c>
      <c r="C352" t="s">
        <v>108</v>
      </c>
      <c r="D352" t="b">
        <v>1</v>
      </c>
      <c r="E352" t="b">
        <f>COUNTIF(connections!A:A, A352) &gt; 0</f>
        <v>1</v>
      </c>
    </row>
    <row r="353" spans="1:5" x14ac:dyDescent="0.25">
      <c r="A353" t="s">
        <v>177</v>
      </c>
      <c r="B353">
        <v>2020</v>
      </c>
      <c r="C353" t="s">
        <v>108</v>
      </c>
      <c r="D353" t="b">
        <v>1</v>
      </c>
      <c r="E353" t="b">
        <f>COUNTIF(connections!A:A, A353) &gt; 0</f>
        <v>1</v>
      </c>
    </row>
    <row r="354" spans="1:5" x14ac:dyDescent="0.25">
      <c r="A354" t="s">
        <v>179</v>
      </c>
      <c r="B354">
        <v>2023</v>
      </c>
      <c r="C354" t="s">
        <v>108</v>
      </c>
      <c r="D354" t="b">
        <v>1</v>
      </c>
      <c r="E354" t="b">
        <f>COUNTIF(connections!A:A, A354) &gt; 0</f>
        <v>0</v>
      </c>
    </row>
    <row r="355" spans="1:5" x14ac:dyDescent="0.25">
      <c r="A355" t="s">
        <v>490</v>
      </c>
      <c r="B355">
        <v>2014</v>
      </c>
      <c r="C355" t="s">
        <v>109</v>
      </c>
      <c r="D355" t="b">
        <v>1</v>
      </c>
      <c r="E355" t="b">
        <f>COUNTIF(connections!A:A, A355) &gt; 0</f>
        <v>0</v>
      </c>
    </row>
    <row r="356" spans="1:5" x14ac:dyDescent="0.25">
      <c r="A356" t="s">
        <v>206</v>
      </c>
      <c r="B356">
        <v>2020</v>
      </c>
      <c r="C356" t="s">
        <v>108</v>
      </c>
      <c r="D356" t="b">
        <v>1</v>
      </c>
      <c r="E356" t="b">
        <f>COUNTIF(connections!A:A, A356) &gt; 0</f>
        <v>1</v>
      </c>
    </row>
    <row r="357" spans="1:5" x14ac:dyDescent="0.25">
      <c r="A357" t="s">
        <v>0</v>
      </c>
      <c r="B357">
        <v>1980</v>
      </c>
      <c r="C357" t="s">
        <v>107</v>
      </c>
      <c r="D357" t="b">
        <v>1</v>
      </c>
      <c r="E357" t="b">
        <f>COUNTIF(connections!A:A, A357) &gt; 0</f>
        <v>1</v>
      </c>
    </row>
    <row r="358" spans="1:5" x14ac:dyDescent="0.25">
      <c r="A358" t="s">
        <v>537</v>
      </c>
      <c r="B358">
        <v>2021</v>
      </c>
      <c r="C358" t="s">
        <v>108</v>
      </c>
      <c r="D358" t="b">
        <v>1</v>
      </c>
      <c r="E358" t="b">
        <f>COUNTIF(connections!A:A, A358) &gt; 0</f>
        <v>0</v>
      </c>
    </row>
    <row r="359" spans="1:5" x14ac:dyDescent="0.25">
      <c r="A359" t="s">
        <v>102</v>
      </c>
      <c r="B359">
        <v>2013</v>
      </c>
      <c r="C359" t="s">
        <v>108</v>
      </c>
      <c r="D359" t="b">
        <v>1</v>
      </c>
      <c r="E359" t="b">
        <f>COUNTIF(connections!A:A, A359) &gt; 0</f>
        <v>1</v>
      </c>
    </row>
    <row r="360" spans="1:5" x14ac:dyDescent="0.25">
      <c r="A360" t="s">
        <v>176</v>
      </c>
      <c r="B360">
        <v>2020</v>
      </c>
      <c r="C360" t="s">
        <v>108</v>
      </c>
      <c r="D360" t="b">
        <v>1</v>
      </c>
      <c r="E360" t="b">
        <f>COUNTIF(connections!A:A, A360) &gt; 0</f>
        <v>0</v>
      </c>
    </row>
    <row r="361" spans="1:5" x14ac:dyDescent="0.25">
      <c r="A361" t="s">
        <v>119</v>
      </c>
      <c r="B361">
        <v>2021</v>
      </c>
      <c r="C361" t="s">
        <v>110</v>
      </c>
      <c r="D361" t="b">
        <v>1</v>
      </c>
      <c r="E361" t="b">
        <f>COUNTIF(connections!A:A, A361) &gt; 0</f>
        <v>0</v>
      </c>
    </row>
    <row r="362" spans="1:5" x14ac:dyDescent="0.25">
      <c r="A362" t="s">
        <v>571</v>
      </c>
      <c r="B362">
        <v>2022</v>
      </c>
      <c r="C362" t="s">
        <v>109</v>
      </c>
      <c r="D362" t="b">
        <v>1</v>
      </c>
      <c r="E362" t="b">
        <f>COUNTIF(connections!A:A, A362) &gt; 0</f>
        <v>1</v>
      </c>
    </row>
    <row r="363" spans="1:5" x14ac:dyDescent="0.25">
      <c r="A363" t="s">
        <v>927</v>
      </c>
      <c r="B363">
        <v>2016</v>
      </c>
      <c r="C363" t="s">
        <v>109</v>
      </c>
      <c r="D363" t="b">
        <v>0</v>
      </c>
      <c r="E363" t="b">
        <f>COUNTIF(connections!A:A, A363) &gt; 0</f>
        <v>0</v>
      </c>
    </row>
    <row r="364" spans="1:5" x14ac:dyDescent="0.25">
      <c r="A364" t="s">
        <v>253</v>
      </c>
      <c r="B364">
        <v>2022</v>
      </c>
      <c r="C364" t="s">
        <v>108</v>
      </c>
      <c r="D364" t="b">
        <v>1</v>
      </c>
      <c r="E364" t="b">
        <f>COUNTIF(connections!A:A, A364) &gt; 0</f>
        <v>0</v>
      </c>
    </row>
    <row r="365" spans="1:5" x14ac:dyDescent="0.25">
      <c r="A365" t="s">
        <v>470</v>
      </c>
      <c r="B365">
        <v>2021</v>
      </c>
      <c r="C365" t="s">
        <v>110</v>
      </c>
      <c r="D365" t="b">
        <v>1</v>
      </c>
      <c r="E365" t="b">
        <f>COUNTIF(connections!A:A, A365) &gt; 0</f>
        <v>0</v>
      </c>
    </row>
    <row r="366" spans="1:5" x14ac:dyDescent="0.25">
      <c r="A366" t="s">
        <v>25</v>
      </c>
      <c r="B366">
        <v>2023</v>
      </c>
      <c r="C366" t="s">
        <v>107</v>
      </c>
      <c r="D366" t="b">
        <v>1</v>
      </c>
      <c r="E366" t="b">
        <f>COUNTIF(connections!A:A, A366) &gt; 0</f>
        <v>0</v>
      </c>
    </row>
    <row r="367" spans="1:5" x14ac:dyDescent="0.25">
      <c r="A367" t="s">
        <v>667</v>
      </c>
      <c r="B367">
        <v>2021</v>
      </c>
      <c r="C367" t="s">
        <v>109</v>
      </c>
      <c r="D367" t="b">
        <v>1</v>
      </c>
      <c r="E367" t="b">
        <f>COUNTIF(connections!A:A, A367) &gt; 0</f>
        <v>1</v>
      </c>
    </row>
    <row r="368" spans="1:5" x14ac:dyDescent="0.25">
      <c r="A368" t="s">
        <v>724</v>
      </c>
      <c r="B368">
        <v>2024</v>
      </c>
      <c r="C368" t="s">
        <v>109</v>
      </c>
      <c r="D368" t="b">
        <v>1</v>
      </c>
      <c r="E368" t="b">
        <f>COUNTIF(connections!A:A, A368) &gt; 0</f>
        <v>0</v>
      </c>
    </row>
    <row r="369" spans="1:5" x14ac:dyDescent="0.25">
      <c r="A369" t="s">
        <v>335</v>
      </c>
      <c r="B369">
        <v>2021</v>
      </c>
      <c r="C369" t="s">
        <v>108</v>
      </c>
      <c r="D369" t="b">
        <v>0</v>
      </c>
      <c r="E369" t="b">
        <f>COUNTIF(connections!A:A, A369) &gt; 0</f>
        <v>0</v>
      </c>
    </row>
    <row r="370" spans="1:5" x14ac:dyDescent="0.25">
      <c r="A370" t="s">
        <v>866</v>
      </c>
      <c r="B370">
        <v>2025</v>
      </c>
      <c r="C370" t="s">
        <v>110</v>
      </c>
      <c r="D370" t="b">
        <v>1</v>
      </c>
      <c r="E370" t="b">
        <f>COUNTIF(connections!A:A, A370) &gt; 0</f>
        <v>0</v>
      </c>
    </row>
    <row r="371" spans="1:5" x14ac:dyDescent="0.25">
      <c r="A371" t="s">
        <v>249</v>
      </c>
      <c r="B371">
        <v>2022</v>
      </c>
      <c r="C371" t="s">
        <v>108</v>
      </c>
      <c r="D371" t="b">
        <v>1</v>
      </c>
      <c r="E371" t="b">
        <f>COUNTIF(connections!A:A, A371) &gt; 0</f>
        <v>0</v>
      </c>
    </row>
    <row r="372" spans="1:5" x14ac:dyDescent="0.25">
      <c r="A372" t="s">
        <v>244</v>
      </c>
      <c r="B372">
        <v>2023</v>
      </c>
      <c r="C372" t="s">
        <v>108</v>
      </c>
      <c r="D372" t="b">
        <v>1</v>
      </c>
      <c r="E372" t="b">
        <f>COUNTIF(connections!A:A, A372) &gt; 0</f>
        <v>0</v>
      </c>
    </row>
    <row r="373" spans="1:5" x14ac:dyDescent="0.25">
      <c r="A373" t="s">
        <v>887</v>
      </c>
      <c r="B373">
        <v>2025</v>
      </c>
      <c r="C373" t="s">
        <v>108</v>
      </c>
      <c r="D373" t="b">
        <v>1</v>
      </c>
      <c r="E373" t="b">
        <f>COUNTIF(connections!A:A, A373) &gt; 0</f>
        <v>0</v>
      </c>
    </row>
    <row r="374" spans="1:5" x14ac:dyDescent="0.25">
      <c r="A374" t="s">
        <v>465</v>
      </c>
      <c r="B374">
        <v>2025</v>
      </c>
      <c r="C374" t="s">
        <v>109</v>
      </c>
      <c r="D374" t="b">
        <v>1</v>
      </c>
      <c r="E374" t="b">
        <f>COUNTIF(connections!A:A, A374) &gt; 0</f>
        <v>0</v>
      </c>
    </row>
    <row r="375" spans="1:5" x14ac:dyDescent="0.25">
      <c r="A375" t="s">
        <v>875</v>
      </c>
      <c r="B375">
        <v>2025</v>
      </c>
      <c r="C375" t="s">
        <v>108</v>
      </c>
      <c r="D375" t="b">
        <v>1</v>
      </c>
      <c r="E375" t="b">
        <f>COUNTIF(connections!A:A, A375) &gt; 0</f>
        <v>0</v>
      </c>
    </row>
    <row r="376" spans="1:5" x14ac:dyDescent="0.25">
      <c r="A376" t="s">
        <v>74</v>
      </c>
      <c r="B376">
        <v>2014</v>
      </c>
      <c r="C376" t="s">
        <v>107</v>
      </c>
      <c r="D376" t="b">
        <v>1</v>
      </c>
      <c r="E376" t="b">
        <f>COUNTIF(connections!A:A, A376) &gt; 0</f>
        <v>0</v>
      </c>
    </row>
    <row r="377" spans="1:5" x14ac:dyDescent="0.25">
      <c r="A377" t="s">
        <v>358</v>
      </c>
      <c r="B377">
        <v>2022</v>
      </c>
      <c r="C377" t="s">
        <v>108</v>
      </c>
      <c r="D377" t="b">
        <v>1</v>
      </c>
      <c r="E377" t="b">
        <f>COUNTIF(connections!A:A, A377) &gt; 0</f>
        <v>0</v>
      </c>
    </row>
    <row r="378" spans="1:5" x14ac:dyDescent="0.25">
      <c r="A378" t="s">
        <v>805</v>
      </c>
      <c r="B378">
        <v>2008</v>
      </c>
      <c r="C378" t="s">
        <v>107</v>
      </c>
      <c r="D378" t="b">
        <v>1</v>
      </c>
      <c r="E378" t="b">
        <f>COUNTIF(connections!A:A, A378) &gt; 0</f>
        <v>1</v>
      </c>
    </row>
    <row r="379" spans="1:5" x14ac:dyDescent="0.25">
      <c r="A379" t="s">
        <v>794</v>
      </c>
      <c r="B379">
        <v>2000</v>
      </c>
      <c r="C379" t="s">
        <v>107</v>
      </c>
      <c r="D379" t="b">
        <v>1</v>
      </c>
      <c r="E379" t="b">
        <f>COUNTIF(connections!A:A, A379) &gt; 0</f>
        <v>1</v>
      </c>
    </row>
    <row r="380" spans="1:5" x14ac:dyDescent="0.25">
      <c r="A380" t="s">
        <v>807</v>
      </c>
      <c r="B380">
        <v>2010</v>
      </c>
      <c r="C380" t="s">
        <v>107</v>
      </c>
      <c r="D380" t="b">
        <v>1</v>
      </c>
      <c r="E380" t="b">
        <f>COUNTIF(connections!A:A, A380) &gt; 0</f>
        <v>1</v>
      </c>
    </row>
    <row r="381" spans="1:5" x14ac:dyDescent="0.25">
      <c r="A381" t="s">
        <v>797</v>
      </c>
      <c r="B381">
        <v>2002</v>
      </c>
      <c r="C381" t="s">
        <v>107</v>
      </c>
      <c r="D381" t="b">
        <v>1</v>
      </c>
      <c r="E381" t="b">
        <f>COUNTIF(connections!A:A, A381) &gt; 0</f>
        <v>0</v>
      </c>
    </row>
    <row r="382" spans="1:5" x14ac:dyDescent="0.25">
      <c r="A382" t="s">
        <v>791</v>
      </c>
      <c r="B382">
        <v>1996</v>
      </c>
      <c r="C382" t="s">
        <v>107</v>
      </c>
      <c r="D382" t="b">
        <v>1</v>
      </c>
      <c r="E382" t="b">
        <f>COUNTIF(connections!A:A, A382) &gt; 0</f>
        <v>1</v>
      </c>
    </row>
    <row r="383" spans="1:5" x14ac:dyDescent="0.25">
      <c r="A383" t="s">
        <v>795</v>
      </c>
      <c r="B383">
        <v>2001</v>
      </c>
      <c r="C383" t="s">
        <v>107</v>
      </c>
      <c r="D383" t="b">
        <v>1</v>
      </c>
      <c r="E383" t="b">
        <f>COUNTIF(connections!A:A, A383) &gt; 0</f>
        <v>0</v>
      </c>
    </row>
    <row r="384" spans="1:5" x14ac:dyDescent="0.25">
      <c r="A384" t="s">
        <v>815</v>
      </c>
      <c r="B384">
        <v>2024</v>
      </c>
      <c r="C384" t="s">
        <v>107</v>
      </c>
      <c r="D384" t="b">
        <v>1</v>
      </c>
      <c r="E384" t="b">
        <f>COUNTIF(connections!A:A, A384) &gt; 0</f>
        <v>0</v>
      </c>
    </row>
    <row r="385" spans="1:5" x14ac:dyDescent="0.25">
      <c r="A385" t="s">
        <v>808</v>
      </c>
      <c r="B385">
        <v>2010</v>
      </c>
      <c r="C385" t="s">
        <v>107</v>
      </c>
      <c r="D385" t="b">
        <v>1</v>
      </c>
      <c r="E385" t="b">
        <f>COUNTIF(connections!A:A, A385) &gt; 0</f>
        <v>1</v>
      </c>
    </row>
    <row r="386" spans="1:5" x14ac:dyDescent="0.25">
      <c r="A386" t="s">
        <v>162</v>
      </c>
      <c r="B386">
        <v>2023</v>
      </c>
      <c r="C386" t="s">
        <v>109</v>
      </c>
      <c r="D386" t="b">
        <v>1</v>
      </c>
      <c r="E386" t="b">
        <f>COUNTIF(connections!A:A, A386) &gt; 0</f>
        <v>0</v>
      </c>
    </row>
    <row r="387" spans="1:5" x14ac:dyDescent="0.25">
      <c r="A387" t="s">
        <v>182</v>
      </c>
      <c r="B387">
        <v>2010</v>
      </c>
      <c r="C387" t="s">
        <v>108</v>
      </c>
      <c r="D387" t="b">
        <v>1</v>
      </c>
      <c r="E387" t="b">
        <f>COUNTIF(connections!A:A, A387) &gt; 0</f>
        <v>1</v>
      </c>
    </row>
    <row r="388" spans="1:5" x14ac:dyDescent="0.25">
      <c r="A388" t="s">
        <v>369</v>
      </c>
      <c r="B388">
        <v>2022</v>
      </c>
      <c r="C388" t="s">
        <v>109</v>
      </c>
      <c r="D388" t="b">
        <v>1</v>
      </c>
      <c r="E388" t="b">
        <f>COUNTIF(connections!A:A, A388) &gt; 0</f>
        <v>1</v>
      </c>
    </row>
    <row r="389" spans="1:5" x14ac:dyDescent="0.25">
      <c r="A389" t="s">
        <v>382</v>
      </c>
      <c r="B389">
        <v>2022</v>
      </c>
      <c r="C389" t="s">
        <v>108</v>
      </c>
      <c r="D389" t="b">
        <v>1</v>
      </c>
      <c r="E389" t="b">
        <f>COUNTIF(connections!A:A, A389) &gt; 0</f>
        <v>0</v>
      </c>
    </row>
    <row r="390" spans="1:5" x14ac:dyDescent="0.25">
      <c r="A390" t="s">
        <v>590</v>
      </c>
      <c r="B390">
        <v>2012</v>
      </c>
      <c r="C390" t="s">
        <v>107</v>
      </c>
      <c r="D390" t="b">
        <v>1</v>
      </c>
      <c r="E390" t="b">
        <f>COUNTIF(connections!A:A, A390) &gt; 0</f>
        <v>0</v>
      </c>
    </row>
    <row r="391" spans="1:5" x14ac:dyDescent="0.25">
      <c r="A391" t="s">
        <v>342</v>
      </c>
      <c r="B391">
        <v>2020</v>
      </c>
      <c r="C391" t="s">
        <v>108</v>
      </c>
      <c r="D391" t="b">
        <v>1</v>
      </c>
      <c r="E391" t="b">
        <f>COUNTIF(connections!A:A, A391) &gt; 0</f>
        <v>1</v>
      </c>
    </row>
    <row r="392" spans="1:5" x14ac:dyDescent="0.25">
      <c r="A392" t="s">
        <v>135</v>
      </c>
      <c r="B392">
        <v>2024</v>
      </c>
      <c r="C392" t="s">
        <v>110</v>
      </c>
      <c r="D392" t="b">
        <v>1</v>
      </c>
      <c r="E392" t="b">
        <f>COUNTIF(connections!A:A, A392) &gt; 0</f>
        <v>0</v>
      </c>
    </row>
    <row r="393" spans="1:5" x14ac:dyDescent="0.25">
      <c r="A393" t="s">
        <v>531</v>
      </c>
      <c r="B393">
        <v>2018</v>
      </c>
      <c r="C393" t="s">
        <v>108</v>
      </c>
      <c r="D393" t="b">
        <v>0</v>
      </c>
      <c r="E393" t="b">
        <f>COUNTIF(connections!A:A, A393) &gt; 0</f>
        <v>0</v>
      </c>
    </row>
    <row r="394" spans="1:5" x14ac:dyDescent="0.25">
      <c r="A394" t="s">
        <v>88</v>
      </c>
      <c r="B394">
        <v>2017</v>
      </c>
      <c r="C394" t="s">
        <v>110</v>
      </c>
      <c r="D394" t="b">
        <v>1</v>
      </c>
      <c r="E394" t="b">
        <f>COUNTIF(connections!A:A, A394) &gt; 0</f>
        <v>1</v>
      </c>
    </row>
    <row r="395" spans="1:5" x14ac:dyDescent="0.25">
      <c r="A395" t="s">
        <v>92</v>
      </c>
      <c r="B395">
        <v>2018</v>
      </c>
      <c r="C395" t="s">
        <v>109</v>
      </c>
      <c r="D395" t="b">
        <v>1</v>
      </c>
      <c r="E395" t="b">
        <f>COUNTIF(connections!A:A, A395) &gt; 0</f>
        <v>1</v>
      </c>
    </row>
    <row r="396" spans="1:5" x14ac:dyDescent="0.25">
      <c r="A396" t="s">
        <v>242</v>
      </c>
      <c r="B396">
        <v>2023</v>
      </c>
      <c r="C396" t="s">
        <v>108</v>
      </c>
      <c r="D396" t="b">
        <v>1</v>
      </c>
      <c r="E396" t="b">
        <f>COUNTIF(connections!A:A, A396) &gt; 0</f>
        <v>0</v>
      </c>
    </row>
    <row r="397" spans="1:5" x14ac:dyDescent="0.25">
      <c r="A397" t="s">
        <v>905</v>
      </c>
      <c r="B397">
        <v>2025</v>
      </c>
      <c r="C397" t="s">
        <v>110</v>
      </c>
      <c r="D397" t="b">
        <v>0</v>
      </c>
      <c r="E397" t="b">
        <f>COUNTIF(connections!A:A, A397) &gt; 0</f>
        <v>0</v>
      </c>
    </row>
    <row r="398" spans="1:5" x14ac:dyDescent="0.25">
      <c r="A398" t="s">
        <v>900</v>
      </c>
      <c r="B398">
        <v>2025</v>
      </c>
      <c r="C398" t="s">
        <v>110</v>
      </c>
      <c r="D398" t="b">
        <v>0</v>
      </c>
      <c r="E398" t="b">
        <f>COUNTIF(connections!A:A, A398) &gt; 0</f>
        <v>0</v>
      </c>
    </row>
    <row r="399" spans="1:5" x14ac:dyDescent="0.25">
      <c r="A399" t="s">
        <v>267</v>
      </c>
      <c r="B399">
        <v>2021</v>
      </c>
      <c r="C399" t="s">
        <v>108</v>
      </c>
      <c r="D399" t="b">
        <v>1</v>
      </c>
      <c r="E399" t="b">
        <f>COUNTIF(connections!A:A, A399) &gt; 0</f>
        <v>1</v>
      </c>
    </row>
    <row r="400" spans="1:5" x14ac:dyDescent="0.25">
      <c r="A400" t="s">
        <v>941</v>
      </c>
      <c r="B400">
        <v>2025</v>
      </c>
      <c r="C400" t="s">
        <v>108</v>
      </c>
      <c r="D400" t="b">
        <v>1</v>
      </c>
      <c r="E400" t="b">
        <f>COUNTIF(connections!A:A, A400) &gt; 0</f>
        <v>0</v>
      </c>
    </row>
    <row r="401" spans="1:5" x14ac:dyDescent="0.25">
      <c r="A401" t="s">
        <v>756</v>
      </c>
      <c r="B401">
        <v>2025</v>
      </c>
      <c r="C401" t="s">
        <v>109</v>
      </c>
      <c r="D401" t="b">
        <v>0</v>
      </c>
      <c r="E401" t="b">
        <f>COUNTIF(connections!A:A, A401) &gt; 0</f>
        <v>0</v>
      </c>
    </row>
    <row r="402" spans="1:5" x14ac:dyDescent="0.25">
      <c r="A402" t="s">
        <v>529</v>
      </c>
      <c r="B402">
        <v>2016</v>
      </c>
      <c r="C402" t="s">
        <v>110</v>
      </c>
      <c r="D402" t="b">
        <v>0</v>
      </c>
      <c r="E402" t="b">
        <f>COUNTIF(connections!A:A, A402) &gt; 0</f>
        <v>0</v>
      </c>
    </row>
    <row r="403" spans="1:5" x14ac:dyDescent="0.25">
      <c r="A403" t="s">
        <v>252</v>
      </c>
      <c r="B403">
        <v>2022</v>
      </c>
      <c r="C403" t="s">
        <v>108</v>
      </c>
      <c r="D403" t="b">
        <v>1</v>
      </c>
      <c r="E403" t="b">
        <f>COUNTIF(connections!A:A, A403) &gt; 0</f>
        <v>0</v>
      </c>
    </row>
    <row r="404" spans="1:5" x14ac:dyDescent="0.25">
      <c r="A404" t="s">
        <v>332</v>
      </c>
      <c r="B404">
        <v>2015</v>
      </c>
      <c r="C404" t="s">
        <v>108</v>
      </c>
      <c r="D404" t="b">
        <v>0</v>
      </c>
      <c r="E404" t="b">
        <f>COUNTIF(connections!A:A, A404) &gt; 0</f>
        <v>0</v>
      </c>
    </row>
    <row r="405" spans="1:5" x14ac:dyDescent="0.25">
      <c r="A405" t="s">
        <v>258</v>
      </c>
      <c r="B405">
        <v>2022</v>
      </c>
      <c r="C405" t="s">
        <v>108</v>
      </c>
      <c r="D405" t="b">
        <v>1</v>
      </c>
      <c r="E405" t="b">
        <f>COUNTIF(connections!A:A, A405) &gt; 0</f>
        <v>0</v>
      </c>
    </row>
    <row r="406" spans="1:5" x14ac:dyDescent="0.25">
      <c r="A406" t="s">
        <v>318</v>
      </c>
      <c r="B406">
        <v>2024</v>
      </c>
      <c r="C406" t="s">
        <v>110</v>
      </c>
      <c r="D406" t="b">
        <v>1</v>
      </c>
      <c r="E406" t="b">
        <f>COUNTIF(connections!A:A, A406) &gt; 0</f>
        <v>0</v>
      </c>
    </row>
    <row r="407" spans="1:5" x14ac:dyDescent="0.25">
      <c r="A407" t="s">
        <v>67</v>
      </c>
      <c r="B407">
        <v>2012</v>
      </c>
      <c r="C407" t="s">
        <v>108</v>
      </c>
      <c r="D407" t="b">
        <v>1</v>
      </c>
      <c r="E407" t="b">
        <f>COUNTIF(connections!A:A, A407) &gt; 0</f>
        <v>1</v>
      </c>
    </row>
    <row r="408" spans="1:5" x14ac:dyDescent="0.25">
      <c r="A408" t="s">
        <v>68</v>
      </c>
      <c r="B408">
        <v>2020</v>
      </c>
      <c r="C408" t="s">
        <v>108</v>
      </c>
      <c r="D408" t="b">
        <v>1</v>
      </c>
      <c r="E408" t="b">
        <f>COUNTIF(connections!A:A, A408) &gt; 0</f>
        <v>0</v>
      </c>
    </row>
    <row r="409" spans="1:5" x14ac:dyDescent="0.25">
      <c r="A409" t="s">
        <v>64</v>
      </c>
      <c r="B409">
        <v>2008</v>
      </c>
      <c r="C409" t="s">
        <v>108</v>
      </c>
      <c r="D409" t="b">
        <v>1</v>
      </c>
      <c r="E409" t="b">
        <f>COUNTIF(connections!A:A, A409) &gt; 0</f>
        <v>1</v>
      </c>
    </row>
    <row r="410" spans="1:5" x14ac:dyDescent="0.25">
      <c r="A410" t="s">
        <v>510</v>
      </c>
      <c r="B410">
        <v>2024</v>
      </c>
      <c r="C410" t="s">
        <v>110</v>
      </c>
      <c r="D410" t="b">
        <v>1</v>
      </c>
      <c r="E410" t="b">
        <f>COUNTIF(connections!A:A, A410) &gt; 0</f>
        <v>0</v>
      </c>
    </row>
    <row r="411" spans="1:5" x14ac:dyDescent="0.25">
      <c r="A411" t="s">
        <v>260</v>
      </c>
      <c r="B411">
        <v>2022</v>
      </c>
      <c r="C411" t="s">
        <v>108</v>
      </c>
      <c r="D411" t="b">
        <v>1</v>
      </c>
      <c r="E411" t="b">
        <f>COUNTIF(connections!A:A, A411) &gt; 0</f>
        <v>0</v>
      </c>
    </row>
    <row r="412" spans="1:5" x14ac:dyDescent="0.25">
      <c r="A412" t="s">
        <v>336</v>
      </c>
      <c r="B412">
        <v>2023</v>
      </c>
      <c r="C412" t="s">
        <v>108</v>
      </c>
      <c r="D412" t="b">
        <v>1</v>
      </c>
      <c r="E412" t="b">
        <f>COUNTIF(connections!A:A, A412) &gt; 0</f>
        <v>0</v>
      </c>
    </row>
    <row r="413" spans="1:5" x14ac:dyDescent="0.25">
      <c r="A413" t="s">
        <v>395</v>
      </c>
      <c r="B413">
        <v>2019</v>
      </c>
      <c r="C413" t="s">
        <v>108</v>
      </c>
      <c r="D413" t="b">
        <v>1</v>
      </c>
      <c r="E413" t="b">
        <f>COUNTIF(connections!A:A, A413) &gt; 0</f>
        <v>0</v>
      </c>
    </row>
    <row r="414" spans="1:5" x14ac:dyDescent="0.25">
      <c r="A414" t="s">
        <v>931</v>
      </c>
      <c r="B414">
        <v>2025</v>
      </c>
      <c r="C414" t="s">
        <v>110</v>
      </c>
      <c r="D414" t="b">
        <v>1</v>
      </c>
      <c r="E414" t="b">
        <f>COUNTIF(connections!A:A, A414) &gt; 0</f>
        <v>0</v>
      </c>
    </row>
    <row r="415" spans="1:5" x14ac:dyDescent="0.25">
      <c r="A415" t="s">
        <v>349</v>
      </c>
      <c r="B415">
        <v>2017</v>
      </c>
      <c r="C415" t="s">
        <v>108</v>
      </c>
      <c r="D415" t="b">
        <v>1</v>
      </c>
      <c r="E415" t="b">
        <f>COUNTIF(connections!A:A, A415) &gt; 0</f>
        <v>0</v>
      </c>
    </row>
    <row r="416" spans="1:5" x14ac:dyDescent="0.25">
      <c r="A416" t="s">
        <v>883</v>
      </c>
      <c r="B416">
        <v>2025</v>
      </c>
      <c r="C416" t="s">
        <v>108</v>
      </c>
      <c r="D416" t="b">
        <v>1</v>
      </c>
      <c r="E416" t="b">
        <f>COUNTIF(connections!A:A, A416) &gt; 0</f>
        <v>0</v>
      </c>
    </row>
    <row r="417" spans="1:5" x14ac:dyDescent="0.25">
      <c r="A417" t="s">
        <v>764</v>
      </c>
      <c r="B417">
        <v>2025</v>
      </c>
      <c r="C417" t="s">
        <v>110</v>
      </c>
      <c r="D417" t="b">
        <v>1</v>
      </c>
      <c r="E417" t="b">
        <f>COUNTIF(connections!A:A, A417) &gt; 0</f>
        <v>0</v>
      </c>
    </row>
    <row r="418" spans="1:5" x14ac:dyDescent="0.25">
      <c r="A418" t="s">
        <v>842</v>
      </c>
      <c r="B418">
        <v>2025</v>
      </c>
      <c r="C418" t="s">
        <v>110</v>
      </c>
      <c r="D418" t="b">
        <v>1</v>
      </c>
      <c r="E418" t="b">
        <f>COUNTIF(connections!A:A, A418) &gt; 0</f>
        <v>0</v>
      </c>
    </row>
    <row r="419" spans="1:5" x14ac:dyDescent="0.25">
      <c r="A419" t="s">
        <v>443</v>
      </c>
      <c r="B419">
        <v>2020</v>
      </c>
      <c r="C419" t="s">
        <v>107</v>
      </c>
      <c r="D419" t="b">
        <v>1</v>
      </c>
      <c r="E419" t="b">
        <f>COUNTIF(connections!A:A, A419) &gt; 0</f>
        <v>0</v>
      </c>
    </row>
    <row r="420" spans="1:5" x14ac:dyDescent="0.25">
      <c r="A420" t="s">
        <v>493</v>
      </c>
      <c r="B420">
        <v>2002</v>
      </c>
      <c r="C420" t="s">
        <v>109</v>
      </c>
      <c r="D420" t="b">
        <v>1</v>
      </c>
      <c r="E420" t="b">
        <f>COUNTIF(connections!A:A, A420) &gt; 0</f>
        <v>1</v>
      </c>
    </row>
    <row r="421" spans="1:5" x14ac:dyDescent="0.25">
      <c r="A421" t="s">
        <v>203</v>
      </c>
      <c r="B421">
        <v>2019</v>
      </c>
      <c r="C421" t="s">
        <v>108</v>
      </c>
      <c r="D421" t="b">
        <v>1</v>
      </c>
      <c r="E421" t="b">
        <f>COUNTIF(connections!A:A, A421) &gt; 0</f>
        <v>0</v>
      </c>
    </row>
    <row r="422" spans="1:5" x14ac:dyDescent="0.25">
      <c r="A422" t="s">
        <v>782</v>
      </c>
      <c r="B422">
        <v>2024</v>
      </c>
      <c r="C422" t="s">
        <v>108</v>
      </c>
      <c r="D422" t="b">
        <v>1</v>
      </c>
      <c r="E422" t="b">
        <f>COUNTIF(connections!A:A, A422) &gt; 0</f>
        <v>0</v>
      </c>
    </row>
    <row r="423" spans="1:5" x14ac:dyDescent="0.25">
      <c r="A423" t="s">
        <v>151</v>
      </c>
      <c r="B423">
        <v>2021</v>
      </c>
      <c r="C423" t="s">
        <v>109</v>
      </c>
      <c r="D423" t="b">
        <v>1</v>
      </c>
      <c r="E423" t="b">
        <f>COUNTIF(connections!A:A, A423) &gt; 0</f>
        <v>1</v>
      </c>
    </row>
    <row r="424" spans="1:5" x14ac:dyDescent="0.25">
      <c r="A424" t="s">
        <v>918</v>
      </c>
      <c r="B424">
        <v>2022</v>
      </c>
      <c r="C424" t="s">
        <v>110</v>
      </c>
      <c r="D424" t="b">
        <v>0</v>
      </c>
      <c r="E424" t="b">
        <f>COUNTIF(connections!A:A, A424) &gt; 0</f>
        <v>0</v>
      </c>
    </row>
    <row r="425" spans="1:5" x14ac:dyDescent="0.25">
      <c r="A425" t="s">
        <v>903</v>
      </c>
      <c r="B425">
        <v>2025</v>
      </c>
      <c r="C425" t="s">
        <v>109</v>
      </c>
      <c r="D425" t="b">
        <v>1</v>
      </c>
      <c r="E425" t="b">
        <f>COUNTIF(connections!A:A, A425) &gt; 0</f>
        <v>0</v>
      </c>
    </row>
    <row r="426" spans="1:5" x14ac:dyDescent="0.25">
      <c r="A426" t="s">
        <v>333</v>
      </c>
      <c r="B426">
        <v>2013</v>
      </c>
      <c r="C426" t="s">
        <v>108</v>
      </c>
      <c r="D426" t="b">
        <v>1</v>
      </c>
      <c r="E426" t="b">
        <f>COUNTIF(connections!A:A, A426) &gt; 0</f>
        <v>1</v>
      </c>
    </row>
    <row r="427" spans="1:5" x14ac:dyDescent="0.25">
      <c r="A427" t="s">
        <v>983</v>
      </c>
      <c r="B427">
        <v>2025</v>
      </c>
      <c r="C427" t="s">
        <v>108</v>
      </c>
      <c r="D427" t="b">
        <v>1</v>
      </c>
      <c r="E427" t="b">
        <f>COUNTIF(connections!A:A, A427) &gt; 0</f>
        <v>0</v>
      </c>
    </row>
    <row r="428" spans="1:5" x14ac:dyDescent="0.25">
      <c r="A428" t="s">
        <v>231</v>
      </c>
      <c r="B428">
        <v>2025</v>
      </c>
      <c r="C428" t="s">
        <v>108</v>
      </c>
      <c r="D428" t="b">
        <v>1</v>
      </c>
      <c r="E428" t="b">
        <f>COUNTIF(connections!A:A, A428) &gt; 0</f>
        <v>0</v>
      </c>
    </row>
    <row r="429" spans="1:5" x14ac:dyDescent="0.25">
      <c r="A429" t="s">
        <v>501</v>
      </c>
      <c r="B429">
        <v>2021</v>
      </c>
      <c r="C429" t="s">
        <v>108</v>
      </c>
      <c r="D429" t="b">
        <v>1</v>
      </c>
      <c r="E429" t="b">
        <f>COUNTIF(connections!A:A, A429) &gt; 0</f>
        <v>0</v>
      </c>
    </row>
    <row r="430" spans="1:5" x14ac:dyDescent="0.25">
      <c r="A430" t="s">
        <v>500</v>
      </c>
      <c r="B430">
        <v>2018</v>
      </c>
      <c r="C430" t="s">
        <v>108</v>
      </c>
      <c r="D430" t="b">
        <v>1</v>
      </c>
      <c r="E430" t="b">
        <f>COUNTIF(connections!A:A, A430) &gt; 0</f>
        <v>1</v>
      </c>
    </row>
    <row r="431" spans="1:5" x14ac:dyDescent="0.25">
      <c r="A431" t="s">
        <v>49</v>
      </c>
      <c r="B431">
        <v>1998</v>
      </c>
      <c r="C431" t="s">
        <v>107</v>
      </c>
      <c r="D431" t="b">
        <v>1</v>
      </c>
      <c r="E431" t="b">
        <f>COUNTIF(connections!A:A, A431) &gt; 0</f>
        <v>1</v>
      </c>
    </row>
    <row r="432" spans="1:5" x14ac:dyDescent="0.25">
      <c r="A432" t="s">
        <v>69</v>
      </c>
      <c r="B432">
        <v>2017</v>
      </c>
      <c r="C432" t="s">
        <v>107</v>
      </c>
      <c r="D432" t="b">
        <v>1</v>
      </c>
      <c r="E432" t="b">
        <f>COUNTIF(connections!A:A, A432) &gt; 0</f>
        <v>0</v>
      </c>
    </row>
    <row r="433" spans="1:6" x14ac:dyDescent="0.25">
      <c r="A433" t="s">
        <v>354</v>
      </c>
      <c r="B433">
        <v>2023</v>
      </c>
      <c r="C433" t="s">
        <v>108</v>
      </c>
      <c r="D433" t="b">
        <v>1</v>
      </c>
      <c r="E433" t="b">
        <f>COUNTIF(connections!A:A, A433) &gt; 0</f>
        <v>0</v>
      </c>
    </row>
    <row r="434" spans="1:6" x14ac:dyDescent="0.25">
      <c r="A434" t="s">
        <v>362</v>
      </c>
      <c r="B434">
        <v>2019</v>
      </c>
      <c r="C434" t="s">
        <v>109</v>
      </c>
      <c r="D434" t="b">
        <v>1</v>
      </c>
      <c r="E434" t="b">
        <f>COUNTIF(connections!A:A, A434) &gt; 0</f>
        <v>1</v>
      </c>
    </row>
    <row r="435" spans="1:6" x14ac:dyDescent="0.25">
      <c r="A435" t="s">
        <v>392</v>
      </c>
      <c r="B435">
        <v>2024</v>
      </c>
      <c r="C435" t="s">
        <v>108</v>
      </c>
      <c r="D435" t="b">
        <v>1</v>
      </c>
      <c r="E435" t="b">
        <f>COUNTIF(connections!A:A, A435) &gt; 0</f>
        <v>0</v>
      </c>
    </row>
    <row r="436" spans="1:6" x14ac:dyDescent="0.25">
      <c r="A436" t="s">
        <v>572</v>
      </c>
      <c r="B436">
        <v>2024</v>
      </c>
      <c r="C436" t="s">
        <v>108</v>
      </c>
      <c r="D436" t="b">
        <v>1</v>
      </c>
      <c r="E436" t="b">
        <f>COUNTIF(connections!A:A, A436) &gt; 0</f>
        <v>0</v>
      </c>
    </row>
    <row r="437" spans="1:6" x14ac:dyDescent="0.25">
      <c r="A437" t="s">
        <v>353</v>
      </c>
      <c r="B437">
        <v>2022</v>
      </c>
      <c r="C437" t="s">
        <v>109</v>
      </c>
      <c r="D437" t="b">
        <v>1</v>
      </c>
      <c r="E437" t="b">
        <f>COUNTIF(connections!A:A, A437) &gt; 0</f>
        <v>0</v>
      </c>
    </row>
    <row r="438" spans="1:6" x14ac:dyDescent="0.25">
      <c r="A438" t="s">
        <v>711</v>
      </c>
      <c r="B438">
        <v>2024</v>
      </c>
      <c r="C438" t="s">
        <v>108</v>
      </c>
      <c r="D438" t="b">
        <v>1</v>
      </c>
      <c r="E438" t="b">
        <f>COUNTIF(connections!A:A, A438) &gt; 0</f>
        <v>0</v>
      </c>
    </row>
    <row r="439" spans="1:6" x14ac:dyDescent="0.25">
      <c r="A439" t="s">
        <v>98</v>
      </c>
      <c r="B439">
        <v>2011</v>
      </c>
      <c r="C439" t="s">
        <v>108</v>
      </c>
      <c r="D439" t="b">
        <v>1</v>
      </c>
      <c r="E439" t="b">
        <f>COUNTIF(connections!A:A, A439) &gt; 0</f>
        <v>1</v>
      </c>
    </row>
    <row r="440" spans="1:6" x14ac:dyDescent="0.25">
      <c r="A440" t="s">
        <v>104</v>
      </c>
      <c r="B440">
        <v>2014</v>
      </c>
      <c r="C440" t="s">
        <v>108</v>
      </c>
      <c r="D440" t="b">
        <v>1</v>
      </c>
      <c r="E440" t="b">
        <f>COUNTIF(connections!A:A, A440) &gt; 0</f>
        <v>0</v>
      </c>
    </row>
    <row r="441" spans="1:6" x14ac:dyDescent="0.25">
      <c r="A441" t="s">
        <v>895</v>
      </c>
      <c r="B441">
        <v>2025</v>
      </c>
      <c r="C441" t="s">
        <v>110</v>
      </c>
      <c r="D441" t="b">
        <v>0</v>
      </c>
      <c r="E441" t="b">
        <f>COUNTIF(connections!A:A, A441) &gt; 0</f>
        <v>0</v>
      </c>
      <c r="F441" t="s">
        <v>1036</v>
      </c>
    </row>
    <row r="442" spans="1:6" x14ac:dyDescent="0.25">
      <c r="A442" t="s">
        <v>438</v>
      </c>
      <c r="B442">
        <v>2016</v>
      </c>
      <c r="C442" t="s">
        <v>108</v>
      </c>
      <c r="D442" t="b">
        <v>1</v>
      </c>
      <c r="E442" t="b">
        <f>COUNTIF(connections!A:A, A442) &gt; 0</f>
        <v>0</v>
      </c>
    </row>
    <row r="443" spans="1:6" x14ac:dyDescent="0.25">
      <c r="A443" t="s">
        <v>820</v>
      </c>
      <c r="B443">
        <v>2013</v>
      </c>
      <c r="C443" t="s">
        <v>107</v>
      </c>
      <c r="D443" t="b">
        <v>1</v>
      </c>
      <c r="E443" t="b">
        <f>COUNTIF(connections!A:A, A443) &gt; 0</f>
        <v>0</v>
      </c>
    </row>
    <row r="444" spans="1:6" x14ac:dyDescent="0.25">
      <c r="A444" t="s">
        <v>770</v>
      </c>
      <c r="B444">
        <v>2025</v>
      </c>
      <c r="C444" t="s">
        <v>109</v>
      </c>
      <c r="D444" t="b">
        <v>0</v>
      </c>
      <c r="E444" t="b">
        <f>COUNTIF(connections!A:A, A444) &gt; 0</f>
        <v>0</v>
      </c>
    </row>
    <row r="445" spans="1:6" x14ac:dyDescent="0.25">
      <c r="A445" t="s">
        <v>140</v>
      </c>
      <c r="B445">
        <v>2024</v>
      </c>
      <c r="C445" t="s">
        <v>109</v>
      </c>
      <c r="D445" t="b">
        <v>1</v>
      </c>
      <c r="E445" t="b">
        <f>COUNTIF(connections!A:A, A445) &gt; 0</f>
        <v>0</v>
      </c>
    </row>
    <row r="446" spans="1:6" x14ac:dyDescent="0.25">
      <c r="A446" t="s">
        <v>315</v>
      </c>
      <c r="B446">
        <v>2021</v>
      </c>
      <c r="C446" t="s">
        <v>109</v>
      </c>
      <c r="D446" t="b">
        <v>1</v>
      </c>
      <c r="E446" t="b">
        <f>COUNTIF(connections!A:A, A446) &gt; 0</f>
        <v>0</v>
      </c>
    </row>
    <row r="447" spans="1:6" x14ac:dyDescent="0.25">
      <c r="A447" t="s">
        <v>191</v>
      </c>
      <c r="B447">
        <v>2019</v>
      </c>
      <c r="C447" t="s">
        <v>109</v>
      </c>
      <c r="D447" t="b">
        <v>1</v>
      </c>
      <c r="E447" t="b">
        <f>COUNTIF(connections!A:A, A447) &gt; 0</f>
        <v>0</v>
      </c>
    </row>
    <row r="448" spans="1:6" x14ac:dyDescent="0.25">
      <c r="A448" t="s">
        <v>798</v>
      </c>
      <c r="B448">
        <v>2004</v>
      </c>
      <c r="C448" t="s">
        <v>107</v>
      </c>
      <c r="D448" t="b">
        <v>1</v>
      </c>
      <c r="E448" t="b">
        <f>COUNTIF(connections!A:A, A448) &gt; 0</f>
        <v>0</v>
      </c>
    </row>
    <row r="449" spans="1:6" x14ac:dyDescent="0.25">
      <c r="A449" t="s">
        <v>751</v>
      </c>
      <c r="B449">
        <v>2023</v>
      </c>
      <c r="C449" t="s">
        <v>109</v>
      </c>
      <c r="D449" t="b">
        <v>1</v>
      </c>
      <c r="E449" t="b">
        <f>COUNTIF(connections!A:A, A449) &gt; 0</f>
        <v>0</v>
      </c>
    </row>
    <row r="450" spans="1:6" x14ac:dyDescent="0.25">
      <c r="A450" t="s">
        <v>385</v>
      </c>
      <c r="B450">
        <v>2024</v>
      </c>
      <c r="C450" t="s">
        <v>108</v>
      </c>
      <c r="D450" t="b">
        <v>1</v>
      </c>
      <c r="E450" t="b">
        <f>COUNTIF(connections!A:A, A450) &gt; 0</f>
        <v>0</v>
      </c>
    </row>
    <row r="451" spans="1:6" x14ac:dyDescent="0.25">
      <c r="A451" t="s">
        <v>837</v>
      </c>
      <c r="B451">
        <v>2025</v>
      </c>
      <c r="C451" t="s">
        <v>110</v>
      </c>
      <c r="D451" t="b">
        <v>1</v>
      </c>
      <c r="E451" t="b">
        <f>COUNTIF(connections!A:A, A451) &gt; 0</f>
        <v>0</v>
      </c>
    </row>
    <row r="452" spans="1:6" x14ac:dyDescent="0.25">
      <c r="A452" t="s">
        <v>263</v>
      </c>
      <c r="B452">
        <v>2024</v>
      </c>
      <c r="C452" t="s">
        <v>108</v>
      </c>
      <c r="D452" t="b">
        <v>1</v>
      </c>
      <c r="E452" t="b">
        <f>COUNTIF(connections!A:A, A452) &gt; 0</f>
        <v>0</v>
      </c>
    </row>
    <row r="453" spans="1:6" x14ac:dyDescent="0.25">
      <c r="A453" t="s">
        <v>939</v>
      </c>
      <c r="B453">
        <v>2022</v>
      </c>
      <c r="C453" t="s">
        <v>108</v>
      </c>
      <c r="D453" t="b">
        <v>1</v>
      </c>
      <c r="E453" t="b">
        <f>COUNTIF(connections!A:A, A453) &gt; 0</f>
        <v>0</v>
      </c>
    </row>
    <row r="454" spans="1:6" x14ac:dyDescent="0.25">
      <c r="A454" t="s">
        <v>387</v>
      </c>
      <c r="B454">
        <v>2018</v>
      </c>
      <c r="C454" t="s">
        <v>108</v>
      </c>
      <c r="D454" t="b">
        <v>1</v>
      </c>
      <c r="E454" t="b">
        <f>COUNTIF(connections!A:A, A454) &gt; 0</f>
        <v>0</v>
      </c>
    </row>
    <row r="455" spans="1:6" x14ac:dyDescent="0.25">
      <c r="A455" t="s">
        <v>245</v>
      </c>
      <c r="B455">
        <v>2023</v>
      </c>
      <c r="C455" t="s">
        <v>108</v>
      </c>
      <c r="D455" t="b">
        <v>1</v>
      </c>
      <c r="E455" t="b">
        <f>COUNTIF(connections!A:A, A455) &gt; 0</f>
        <v>0</v>
      </c>
    </row>
    <row r="456" spans="1:6" x14ac:dyDescent="0.25">
      <c r="A456" t="s">
        <v>272</v>
      </c>
      <c r="B456">
        <v>2022</v>
      </c>
      <c r="C456" t="s">
        <v>108</v>
      </c>
      <c r="D456" t="b">
        <v>1</v>
      </c>
      <c r="E456" t="b">
        <f>COUNTIF(connections!A:A, A456) &gt; 0</f>
        <v>0</v>
      </c>
    </row>
    <row r="457" spans="1:6" x14ac:dyDescent="0.25">
      <c r="A457" t="s">
        <v>706</v>
      </c>
      <c r="B457">
        <v>2022</v>
      </c>
      <c r="C457" t="s">
        <v>109</v>
      </c>
      <c r="D457" t="b">
        <v>1</v>
      </c>
      <c r="E457" t="b">
        <f>COUNTIF(connections!A:A, A457) &gt; 0</f>
        <v>0</v>
      </c>
    </row>
    <row r="458" spans="1:6" x14ac:dyDescent="0.25">
      <c r="A458" t="s">
        <v>445</v>
      </c>
      <c r="B458">
        <v>1991</v>
      </c>
      <c r="C458" t="s">
        <v>108</v>
      </c>
      <c r="D458" t="b">
        <v>1</v>
      </c>
      <c r="E458" t="b">
        <f>COUNTIF(connections!A:A, A458) &gt; 0</f>
        <v>1</v>
      </c>
    </row>
    <row r="459" spans="1:6" x14ac:dyDescent="0.25">
      <c r="A459" t="s">
        <v>449</v>
      </c>
      <c r="B459">
        <v>2019</v>
      </c>
      <c r="C459" t="s">
        <v>108</v>
      </c>
      <c r="D459" t="b">
        <v>1</v>
      </c>
      <c r="E459" t="b">
        <f>COUNTIF(connections!A:A, A459) &gt; 0</f>
        <v>0</v>
      </c>
    </row>
    <row r="460" spans="1:6" x14ac:dyDescent="0.25">
      <c r="A460" t="s">
        <v>515</v>
      </c>
      <c r="B460">
        <v>2022</v>
      </c>
      <c r="C460" t="s">
        <v>108</v>
      </c>
      <c r="D460" t="b">
        <v>1</v>
      </c>
      <c r="E460" t="b">
        <f>COUNTIF(connections!A:A, A460) &gt; 0</f>
        <v>0</v>
      </c>
    </row>
    <row r="461" spans="1:6" x14ac:dyDescent="0.25">
      <c r="A461" t="s">
        <v>793</v>
      </c>
      <c r="B461">
        <v>1999</v>
      </c>
      <c r="C461" t="s">
        <v>107</v>
      </c>
      <c r="D461" t="b">
        <v>1</v>
      </c>
      <c r="E461" t="b">
        <f>COUNTIF(connections!A:A, A461) &gt; 0</f>
        <v>1</v>
      </c>
    </row>
    <row r="462" spans="1:6" x14ac:dyDescent="0.25">
      <c r="A462" t="s">
        <v>796</v>
      </c>
      <c r="B462">
        <v>2002</v>
      </c>
      <c r="C462" t="s">
        <v>107</v>
      </c>
      <c r="D462" t="b">
        <v>1</v>
      </c>
      <c r="E462" t="b">
        <f>COUNTIF(connections!A:A, A462) &gt; 0</f>
        <v>0</v>
      </c>
    </row>
    <row r="463" spans="1:6" x14ac:dyDescent="0.25">
      <c r="A463" t="s">
        <v>4</v>
      </c>
      <c r="B463">
        <v>1993</v>
      </c>
      <c r="C463" t="s">
        <v>107</v>
      </c>
      <c r="D463" t="b">
        <v>1</v>
      </c>
      <c r="E463" t="b">
        <f>COUNTIF(connections!A:A, A463) &gt; 0</f>
        <v>1</v>
      </c>
    </row>
    <row r="464" spans="1:6" x14ac:dyDescent="0.25">
      <c r="A464" t="s">
        <v>854</v>
      </c>
      <c r="B464">
        <v>2025</v>
      </c>
      <c r="C464" t="s">
        <v>107</v>
      </c>
      <c r="D464" t="b">
        <v>1</v>
      </c>
      <c r="E464" t="b">
        <f>COUNTIF(connections!A:A, A464) &gt; 0</f>
        <v>0</v>
      </c>
      <c r="F464" t="s">
        <v>1036</v>
      </c>
    </row>
    <row r="465" spans="1:6" x14ac:dyDescent="0.25">
      <c r="A465" t="s">
        <v>861</v>
      </c>
      <c r="B465">
        <v>2022</v>
      </c>
      <c r="C465" t="s">
        <v>110</v>
      </c>
      <c r="D465" t="b">
        <v>1</v>
      </c>
      <c r="E465" t="b">
        <f>COUNTIF(connections!A:A, A465) &gt; 0</f>
        <v>0</v>
      </c>
      <c r="F465" t="s">
        <v>1036</v>
      </c>
    </row>
    <row r="466" spans="1:6" x14ac:dyDescent="0.25">
      <c r="A466" t="s">
        <v>987</v>
      </c>
      <c r="B466">
        <v>2025</v>
      </c>
      <c r="C466" t="s">
        <v>109</v>
      </c>
      <c r="D466" t="b">
        <v>1</v>
      </c>
      <c r="E466" t="b">
        <f>COUNTIF(connections!A:A, A466) &gt; 0</f>
        <v>0</v>
      </c>
    </row>
    <row r="467" spans="1:6" x14ac:dyDescent="0.25">
      <c r="A467" t="s">
        <v>498</v>
      </c>
      <c r="B467">
        <v>2024</v>
      </c>
      <c r="C467" t="s">
        <v>109</v>
      </c>
      <c r="D467" t="b">
        <v>1</v>
      </c>
      <c r="E467" t="b">
        <f>COUNTIF(connections!A:A, A467) &gt; 0</f>
        <v>0</v>
      </c>
    </row>
    <row r="468" spans="1:6" x14ac:dyDescent="0.25">
      <c r="A468" t="s">
        <v>487</v>
      </c>
      <c r="B468">
        <v>2014</v>
      </c>
      <c r="C468" t="s">
        <v>108</v>
      </c>
      <c r="D468" t="b">
        <v>1</v>
      </c>
      <c r="E468" t="b">
        <f>COUNTIF(connections!A:A, A468) &gt; 0</f>
        <v>1</v>
      </c>
    </row>
    <row r="469" spans="1:6" x14ac:dyDescent="0.25">
      <c r="A469" t="s">
        <v>453</v>
      </c>
      <c r="B469">
        <v>2012</v>
      </c>
      <c r="C469" t="s">
        <v>107</v>
      </c>
      <c r="D469" t="b">
        <v>1</v>
      </c>
      <c r="E469" t="b">
        <f>COUNTIF(connections!A:A, A469) &gt; 0</f>
        <v>0</v>
      </c>
    </row>
    <row r="470" spans="1:6" x14ac:dyDescent="0.25">
      <c r="A470" t="s">
        <v>41</v>
      </c>
      <c r="B470">
        <v>2021</v>
      </c>
      <c r="C470" t="s">
        <v>107</v>
      </c>
      <c r="D470" t="b">
        <v>1</v>
      </c>
      <c r="E470" t="b">
        <f>COUNTIF(connections!A:A, A470) &gt; 0</f>
        <v>0</v>
      </c>
    </row>
    <row r="471" spans="1:6" x14ac:dyDescent="0.25">
      <c r="A471" t="s">
        <v>748</v>
      </c>
      <c r="B471">
        <v>2021</v>
      </c>
      <c r="C471" t="s">
        <v>109</v>
      </c>
      <c r="D471" t="b">
        <v>0</v>
      </c>
      <c r="E471" t="b">
        <f>COUNTIF(connections!A:A, A471) &gt; 0</f>
        <v>0</v>
      </c>
      <c r="F471" t="s">
        <v>1036</v>
      </c>
    </row>
    <row r="472" spans="1:6" x14ac:dyDescent="0.25">
      <c r="A472" t="s">
        <v>461</v>
      </c>
      <c r="B472">
        <v>2019</v>
      </c>
      <c r="C472" t="s">
        <v>108</v>
      </c>
      <c r="D472" t="b">
        <v>1</v>
      </c>
      <c r="E472" t="b">
        <f>COUNTIF(connections!A:A, A472) &gt; 0</f>
        <v>1</v>
      </c>
    </row>
    <row r="473" spans="1:6" x14ac:dyDescent="0.25">
      <c r="A473" t="s">
        <v>763</v>
      </c>
      <c r="B473">
        <v>2025</v>
      </c>
      <c r="C473" t="s">
        <v>108</v>
      </c>
      <c r="D473" t="b">
        <v>1</v>
      </c>
      <c r="E473" t="b">
        <f>COUNTIF(connections!A:A, A473) &gt; 0</f>
        <v>0</v>
      </c>
    </row>
    <row r="474" spans="1:6" x14ac:dyDescent="0.25">
      <c r="A474" t="s">
        <v>456</v>
      </c>
      <c r="B474">
        <v>2017</v>
      </c>
      <c r="C474" t="s">
        <v>108</v>
      </c>
      <c r="D474" t="b">
        <v>1</v>
      </c>
      <c r="E474" t="b">
        <f>COUNTIF(connections!A:A, A474) &gt; 0</f>
        <v>1</v>
      </c>
    </row>
    <row r="475" spans="1:6" x14ac:dyDescent="0.25">
      <c r="A475" t="s">
        <v>458</v>
      </c>
      <c r="B475">
        <v>2022</v>
      </c>
      <c r="C475" t="s">
        <v>108</v>
      </c>
      <c r="D475" t="b">
        <v>1</v>
      </c>
      <c r="E475" t="b">
        <f>COUNTIF(connections!A:A, A475) &gt; 0</f>
        <v>0</v>
      </c>
    </row>
    <row r="476" spans="1:6" x14ac:dyDescent="0.25">
      <c r="A476" t="s">
        <v>389</v>
      </c>
      <c r="B476">
        <v>2018</v>
      </c>
      <c r="C476" t="s">
        <v>108</v>
      </c>
      <c r="D476" t="b">
        <v>1</v>
      </c>
      <c r="E476" t="b">
        <f>COUNTIF(connections!A:A, A476) &gt; 0</f>
        <v>0</v>
      </c>
    </row>
    <row r="477" spans="1:6" x14ac:dyDescent="0.25">
      <c r="A477" t="s">
        <v>497</v>
      </c>
      <c r="B477">
        <v>2023</v>
      </c>
      <c r="C477" t="s">
        <v>108</v>
      </c>
      <c r="D477" t="b">
        <v>1</v>
      </c>
      <c r="E477" t="b">
        <f>COUNTIF(connections!A:A, A477) &gt; 0</f>
        <v>0</v>
      </c>
    </row>
    <row r="478" spans="1:6" x14ac:dyDescent="0.25">
      <c r="A478" t="s">
        <v>234</v>
      </c>
      <c r="B478">
        <v>2021</v>
      </c>
      <c r="C478" t="s">
        <v>108</v>
      </c>
      <c r="D478" t="b">
        <v>1</v>
      </c>
      <c r="E478" t="b">
        <f>COUNTIF(connections!A:A, A478) &gt; 0</f>
        <v>1</v>
      </c>
    </row>
    <row r="479" spans="1:6" x14ac:dyDescent="0.25">
      <c r="A479" t="s">
        <v>952</v>
      </c>
      <c r="B479">
        <v>2024</v>
      </c>
      <c r="C479" t="s">
        <v>108</v>
      </c>
      <c r="D479" t="b">
        <v>1</v>
      </c>
      <c r="E479" t="b">
        <f>COUNTIF(connections!A:A, A479) &gt; 0</f>
        <v>0</v>
      </c>
    </row>
    <row r="480" spans="1:6" x14ac:dyDescent="0.25">
      <c r="A480" t="s">
        <v>914</v>
      </c>
      <c r="B480">
        <v>2021</v>
      </c>
      <c r="C480" t="s">
        <v>110</v>
      </c>
      <c r="D480" t="b">
        <v>1</v>
      </c>
      <c r="E480" t="b">
        <f>COUNTIF(connections!A:A, A480) &gt; 0</f>
        <v>1</v>
      </c>
    </row>
    <row r="481" spans="1:5" x14ac:dyDescent="0.25">
      <c r="A481" t="s">
        <v>915</v>
      </c>
      <c r="B481">
        <v>2025</v>
      </c>
      <c r="C481" t="s">
        <v>110</v>
      </c>
      <c r="D481" t="b">
        <v>1</v>
      </c>
      <c r="E481" t="b">
        <f>COUNTIF(connections!A:A, A481) &gt; 0</f>
        <v>0</v>
      </c>
    </row>
    <row r="482" spans="1:5" x14ac:dyDescent="0.25">
      <c r="A482" t="s">
        <v>922</v>
      </c>
      <c r="B482">
        <v>2019</v>
      </c>
      <c r="C482" t="s">
        <v>108</v>
      </c>
      <c r="D482" t="b">
        <v>1</v>
      </c>
      <c r="E482" t="b">
        <f>COUNTIF(connections!A:A, A482) &gt; 0</f>
        <v>1</v>
      </c>
    </row>
    <row r="483" spans="1:5" x14ac:dyDescent="0.25">
      <c r="A483" t="s">
        <v>910</v>
      </c>
      <c r="B483">
        <v>2024</v>
      </c>
      <c r="C483" t="s">
        <v>109</v>
      </c>
      <c r="D483" t="b">
        <v>1</v>
      </c>
      <c r="E483" t="b">
        <f>COUNTIF(connections!A:A, A483) &gt; 0</f>
        <v>0</v>
      </c>
    </row>
    <row r="484" spans="1:5" x14ac:dyDescent="0.25">
      <c r="A484" t="s">
        <v>223</v>
      </c>
      <c r="B484">
        <v>2023</v>
      </c>
      <c r="C484" t="s">
        <v>108</v>
      </c>
      <c r="D484" t="b">
        <v>1</v>
      </c>
      <c r="E484" t="b">
        <f>COUNTIF(connections!A:A, A484) &gt; 0</f>
        <v>0</v>
      </c>
    </row>
    <row r="485" spans="1:5" x14ac:dyDescent="0.25">
      <c r="A485" t="s">
        <v>300</v>
      </c>
      <c r="B485">
        <v>2023</v>
      </c>
      <c r="C485" t="s">
        <v>109</v>
      </c>
      <c r="D485" t="b">
        <v>1</v>
      </c>
      <c r="E485" t="b">
        <f>COUNTIF(connections!A:A, A485) &gt; 0</f>
        <v>1</v>
      </c>
    </row>
    <row r="486" spans="1:5" x14ac:dyDescent="0.25">
      <c r="A486" t="s">
        <v>988</v>
      </c>
      <c r="B486">
        <v>2025</v>
      </c>
      <c r="C486" t="s">
        <v>109</v>
      </c>
      <c r="D486" t="b">
        <v>1</v>
      </c>
      <c r="E486" t="b">
        <f>COUNTIF(connections!A:A, A486) &gt; 0</f>
        <v>0</v>
      </c>
    </row>
    <row r="487" spans="1:5" x14ac:dyDescent="0.25">
      <c r="A487" t="s">
        <v>17</v>
      </c>
      <c r="B487">
        <v>2023</v>
      </c>
      <c r="C487" t="s">
        <v>107</v>
      </c>
      <c r="D487" t="b">
        <v>1</v>
      </c>
      <c r="E487" t="b">
        <f>COUNTIF(connections!A:A, A487) &gt; 0</f>
        <v>0</v>
      </c>
    </row>
    <row r="488" spans="1:5" x14ac:dyDescent="0.25">
      <c r="A488" t="s">
        <v>149</v>
      </c>
      <c r="B488">
        <v>2025</v>
      </c>
      <c r="C488" t="s">
        <v>108</v>
      </c>
      <c r="D488" t="b">
        <v>1</v>
      </c>
      <c r="E488" t="b">
        <f>COUNTIF(connections!A:A, A488) &gt; 0</f>
        <v>0</v>
      </c>
    </row>
    <row r="489" spans="1:5" x14ac:dyDescent="0.25">
      <c r="A489" t="s">
        <v>439</v>
      </c>
      <c r="B489">
        <v>2017</v>
      </c>
      <c r="C489" t="s">
        <v>109</v>
      </c>
      <c r="D489" t="b">
        <v>1</v>
      </c>
      <c r="E489" t="b">
        <f>COUNTIF(connections!A:A, A489) &gt; 0</f>
        <v>0</v>
      </c>
    </row>
    <row r="490" spans="1:5" x14ac:dyDescent="0.25">
      <c r="A490" t="s">
        <v>36</v>
      </c>
      <c r="B490">
        <v>2011</v>
      </c>
      <c r="C490" t="s">
        <v>107</v>
      </c>
      <c r="D490" t="b">
        <v>1</v>
      </c>
      <c r="E490" t="b">
        <f>COUNTIF(connections!A:A, A490) &gt; 0</f>
        <v>0</v>
      </c>
    </row>
    <row r="491" spans="1:5" x14ac:dyDescent="0.25">
      <c r="A491" t="s">
        <v>288</v>
      </c>
      <c r="B491">
        <v>2017</v>
      </c>
      <c r="C491" t="s">
        <v>108</v>
      </c>
      <c r="D491" t="b">
        <v>0</v>
      </c>
      <c r="E491" t="b">
        <f>COUNTIF(connections!A:A, A491) &gt; 0</f>
        <v>0</v>
      </c>
    </row>
    <row r="492" spans="1:5" x14ac:dyDescent="0.25">
      <c r="A492" t="s">
        <v>494</v>
      </c>
      <c r="B492">
        <v>2005</v>
      </c>
      <c r="C492" t="s">
        <v>109</v>
      </c>
      <c r="D492" t="b">
        <v>1</v>
      </c>
      <c r="E492" t="b">
        <f>COUNTIF(connections!A:A, A492) &gt; 0</f>
        <v>1</v>
      </c>
    </row>
    <row r="493" spans="1:5" x14ac:dyDescent="0.25">
      <c r="A493" t="s">
        <v>923</v>
      </c>
      <c r="B493">
        <v>2024</v>
      </c>
      <c r="C493" t="s">
        <v>108</v>
      </c>
      <c r="D493" t="b">
        <v>1</v>
      </c>
      <c r="E493" t="b">
        <f>COUNTIF(connections!A:A, A493) &gt; 0</f>
        <v>0</v>
      </c>
    </row>
    <row r="494" spans="1:5" x14ac:dyDescent="0.25">
      <c r="A494" t="s">
        <v>911</v>
      </c>
      <c r="B494">
        <v>2019</v>
      </c>
      <c r="C494" t="s">
        <v>109</v>
      </c>
      <c r="D494" t="b">
        <v>0</v>
      </c>
      <c r="E494" t="b">
        <f>COUNTIF(connections!A:A, A494) &gt; 0</f>
        <v>0</v>
      </c>
    </row>
    <row r="495" spans="1:5" x14ac:dyDescent="0.25">
      <c r="A495" t="s">
        <v>172</v>
      </c>
      <c r="B495">
        <v>2023</v>
      </c>
      <c r="C495" t="s">
        <v>110</v>
      </c>
      <c r="D495" t="b">
        <v>1</v>
      </c>
      <c r="E495" t="b">
        <f>COUNTIF(connections!A:A, A495) &gt; 0</f>
        <v>1</v>
      </c>
    </row>
    <row r="496" spans="1:5" x14ac:dyDescent="0.25">
      <c r="A496" t="s">
        <v>221</v>
      </c>
      <c r="B496">
        <v>2024</v>
      </c>
      <c r="C496" t="s">
        <v>108</v>
      </c>
      <c r="D496" t="b">
        <v>1</v>
      </c>
      <c r="E496" t="b">
        <f>COUNTIF(connections!A:A, A496) &gt; 0</f>
        <v>0</v>
      </c>
    </row>
    <row r="497" spans="1:6" x14ac:dyDescent="0.25">
      <c r="A497" t="s">
        <v>216</v>
      </c>
      <c r="B497">
        <v>2018</v>
      </c>
      <c r="C497" t="s">
        <v>108</v>
      </c>
      <c r="D497" t="b">
        <v>1</v>
      </c>
      <c r="E497" t="b">
        <f>COUNTIF(connections!A:A, A497) &gt; 0</f>
        <v>1</v>
      </c>
    </row>
    <row r="498" spans="1:6" x14ac:dyDescent="0.25">
      <c r="A498" t="s">
        <v>220</v>
      </c>
      <c r="B498">
        <v>2024</v>
      </c>
      <c r="C498" t="s">
        <v>108</v>
      </c>
      <c r="D498" t="b">
        <v>1</v>
      </c>
      <c r="E498" t="b">
        <f>COUNTIF(connections!A:A, A498) &gt; 0</f>
        <v>0</v>
      </c>
    </row>
    <row r="499" spans="1:6" x14ac:dyDescent="0.25">
      <c r="A499" t="s">
        <v>496</v>
      </c>
      <c r="B499">
        <v>2021</v>
      </c>
      <c r="C499" t="s">
        <v>109</v>
      </c>
      <c r="D499" t="b">
        <v>1</v>
      </c>
      <c r="E499" t="b">
        <f>COUNTIF(connections!A:A, A499) &gt; 0</f>
        <v>0</v>
      </c>
    </row>
    <row r="500" spans="1:6" x14ac:dyDescent="0.25">
      <c r="A500" t="s">
        <v>917</v>
      </c>
      <c r="B500">
        <v>2025</v>
      </c>
      <c r="C500" t="s">
        <v>110</v>
      </c>
      <c r="D500" t="b">
        <v>1</v>
      </c>
      <c r="E500" t="b">
        <f>COUNTIF(connections!A:A, A500) &gt; 0</f>
        <v>0</v>
      </c>
    </row>
    <row r="501" spans="1:6" x14ac:dyDescent="0.25">
      <c r="A501" t="s">
        <v>556</v>
      </c>
      <c r="B501">
        <v>2022</v>
      </c>
      <c r="C501" t="s">
        <v>110</v>
      </c>
      <c r="D501" t="b">
        <v>1</v>
      </c>
      <c r="E501" t="b">
        <f>COUNTIF(connections!A:A, A501) &gt; 0</f>
        <v>0</v>
      </c>
    </row>
    <row r="502" spans="1:6" x14ac:dyDescent="0.25">
      <c r="A502" t="s">
        <v>834</v>
      </c>
      <c r="B502">
        <v>2024</v>
      </c>
      <c r="C502" t="s">
        <v>110</v>
      </c>
      <c r="D502" t="b">
        <v>1</v>
      </c>
      <c r="E502" t="b">
        <f>COUNTIF(connections!A:A, A502) &gt; 0</f>
        <v>0</v>
      </c>
      <c r="F502" t="s">
        <v>1036</v>
      </c>
    </row>
    <row r="503" spans="1:6" x14ac:dyDescent="0.25">
      <c r="A503" t="s">
        <v>819</v>
      </c>
      <c r="B503">
        <v>2010</v>
      </c>
      <c r="C503" t="s">
        <v>107</v>
      </c>
      <c r="D503" t="b">
        <v>1</v>
      </c>
      <c r="E503" t="b">
        <f>COUNTIF(connections!A:A, A503) &gt; 0</f>
        <v>1</v>
      </c>
    </row>
    <row r="504" spans="1:6" x14ac:dyDescent="0.25">
      <c r="A504" t="s">
        <v>38</v>
      </c>
      <c r="B504">
        <v>1994</v>
      </c>
      <c r="C504" t="s">
        <v>107</v>
      </c>
      <c r="D504" t="b">
        <v>1</v>
      </c>
      <c r="E504" t="b">
        <f>COUNTIF(connections!A:A, A504) &gt; 0</f>
        <v>1</v>
      </c>
    </row>
    <row r="505" spans="1:6" x14ac:dyDescent="0.25">
      <c r="A505" t="s">
        <v>390</v>
      </c>
      <c r="B505">
        <v>2024</v>
      </c>
      <c r="C505" t="s">
        <v>110</v>
      </c>
      <c r="D505" t="b">
        <v>1</v>
      </c>
      <c r="E505" t="b">
        <f>COUNTIF(connections!A:A, A505) &gt; 0</f>
        <v>0</v>
      </c>
    </row>
    <row r="506" spans="1:6" x14ac:dyDescent="0.25">
      <c r="A506" t="s">
        <v>527</v>
      </c>
      <c r="B506">
        <v>2014</v>
      </c>
      <c r="C506" t="s">
        <v>108</v>
      </c>
      <c r="D506" t="b">
        <v>1</v>
      </c>
      <c r="E506" t="b">
        <f>COUNTIF(connections!A:A, A506) &gt; 0</f>
        <v>1</v>
      </c>
    </row>
    <row r="507" spans="1:6" x14ac:dyDescent="0.25">
      <c r="A507" t="s">
        <v>528</v>
      </c>
      <c r="B507">
        <v>2020</v>
      </c>
      <c r="C507" t="s">
        <v>108</v>
      </c>
      <c r="D507" t="b">
        <v>1</v>
      </c>
      <c r="E507" t="b">
        <f>COUNTIF(connections!A:A, A507) &gt; 0</f>
        <v>0</v>
      </c>
    </row>
    <row r="508" spans="1:6" x14ac:dyDescent="0.25">
      <c r="A508" t="s">
        <v>344</v>
      </c>
      <c r="B508">
        <v>2023</v>
      </c>
      <c r="C508" t="s">
        <v>110</v>
      </c>
      <c r="D508" t="b">
        <v>1</v>
      </c>
      <c r="E508" t="b">
        <f>COUNTIF(connections!A:A, A508)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03" zoomScaleNormal="100" workbookViewId="0">
      <selection activeCell="B540" sqref="B5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830</v>
      </c>
      <c r="B2" t="s">
        <v>828</v>
      </c>
      <c r="C2">
        <v>2010</v>
      </c>
      <c r="D2" t="s">
        <v>54</v>
      </c>
      <c r="E2" s="1"/>
    </row>
    <row r="3" spans="1:5" x14ac:dyDescent="0.25">
      <c r="A3" t="s">
        <v>838</v>
      </c>
      <c r="B3" t="s">
        <v>837</v>
      </c>
      <c r="C3">
        <v>2021</v>
      </c>
      <c r="E3" s="1" t="s">
        <v>839</v>
      </c>
    </row>
    <row r="4" spans="1:5" x14ac:dyDescent="0.25">
      <c r="A4" t="s">
        <v>26</v>
      </c>
      <c r="B4" t="s">
        <v>35</v>
      </c>
      <c r="C4">
        <v>1994</v>
      </c>
      <c r="E4" s="1"/>
    </row>
    <row r="5" spans="1:5" x14ac:dyDescent="0.25">
      <c r="A5" t="s">
        <v>26</v>
      </c>
      <c r="B5" t="s">
        <v>40</v>
      </c>
      <c r="C5">
        <v>1994</v>
      </c>
      <c r="E5" s="1"/>
    </row>
    <row r="6" spans="1:5" x14ac:dyDescent="0.25">
      <c r="A6" t="s">
        <v>26</v>
      </c>
      <c r="B6" t="s">
        <v>455</v>
      </c>
      <c r="C6">
        <v>1994</v>
      </c>
      <c r="E6" s="1" t="s">
        <v>93</v>
      </c>
    </row>
    <row r="7" spans="1:5" x14ac:dyDescent="0.25">
      <c r="A7" t="s">
        <v>26</v>
      </c>
      <c r="B7" t="s">
        <v>443</v>
      </c>
      <c r="C7">
        <v>1994</v>
      </c>
      <c r="E7" s="1" t="s">
        <v>444</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589</v>
      </c>
      <c r="C11">
        <v>1990</v>
      </c>
      <c r="E11" s="1" t="s">
        <v>93</v>
      </c>
    </row>
    <row r="12" spans="1:5" x14ac:dyDescent="0.25">
      <c r="A12" t="s">
        <v>21</v>
      </c>
      <c r="B12" t="s">
        <v>590</v>
      </c>
      <c r="C12">
        <v>1990</v>
      </c>
      <c r="E12" s="1" t="s">
        <v>591</v>
      </c>
    </row>
    <row r="13" spans="1:5" x14ac:dyDescent="0.25">
      <c r="A13" t="s">
        <v>760</v>
      </c>
      <c r="B13" t="s">
        <v>761</v>
      </c>
      <c r="C13">
        <v>2022</v>
      </c>
      <c r="D13" t="s">
        <v>54</v>
      </c>
      <c r="E13" s="1"/>
    </row>
    <row r="14" spans="1:5" x14ac:dyDescent="0.25">
      <c r="A14" t="s">
        <v>142</v>
      </c>
      <c r="B14" t="s">
        <v>140</v>
      </c>
      <c r="C14">
        <v>2020</v>
      </c>
      <c r="E14" s="1" t="s">
        <v>143</v>
      </c>
    </row>
    <row r="15" spans="1:5" x14ac:dyDescent="0.25">
      <c r="A15" t="s">
        <v>828</v>
      </c>
      <c r="B15" t="s">
        <v>826</v>
      </c>
      <c r="C15">
        <v>2014</v>
      </c>
      <c r="E15" s="1" t="s">
        <v>827</v>
      </c>
    </row>
    <row r="16" spans="1:5" x14ac:dyDescent="0.25">
      <c r="A16" t="s">
        <v>159</v>
      </c>
      <c r="B16" t="s">
        <v>361</v>
      </c>
      <c r="C16">
        <v>2023</v>
      </c>
      <c r="E16" s="1" t="s">
        <v>360</v>
      </c>
    </row>
    <row r="17" spans="1:5" x14ac:dyDescent="0.25">
      <c r="A17" t="s">
        <v>159</v>
      </c>
      <c r="B17" t="s">
        <v>781</v>
      </c>
      <c r="C17">
        <v>2023</v>
      </c>
      <c r="E17" s="1" t="s">
        <v>93</v>
      </c>
    </row>
    <row r="18" spans="1:5" x14ac:dyDescent="0.25">
      <c r="A18" t="s">
        <v>158</v>
      </c>
      <c r="B18" t="s">
        <v>507</v>
      </c>
      <c r="C18">
        <v>2022</v>
      </c>
      <c r="D18" t="s">
        <v>54</v>
      </c>
      <c r="E18" s="1"/>
    </row>
    <row r="19" spans="1:5" x14ac:dyDescent="0.25">
      <c r="A19" t="s">
        <v>158</v>
      </c>
      <c r="B19" t="s">
        <v>510</v>
      </c>
      <c r="C19">
        <v>2022</v>
      </c>
      <c r="E19" s="1" t="s">
        <v>93</v>
      </c>
    </row>
    <row r="20" spans="1:5" x14ac:dyDescent="0.25">
      <c r="A20" t="s">
        <v>131</v>
      </c>
      <c r="B20" t="s">
        <v>133</v>
      </c>
      <c r="C20">
        <v>2023</v>
      </c>
      <c r="E20" s="1" t="s">
        <v>134</v>
      </c>
    </row>
    <row r="21" spans="1:5" x14ac:dyDescent="0.25">
      <c r="A21" t="s">
        <v>131</v>
      </c>
      <c r="B21" t="s">
        <v>368</v>
      </c>
      <c r="C21">
        <v>2023</v>
      </c>
      <c r="E21" s="1" t="s">
        <v>93</v>
      </c>
    </row>
    <row r="22" spans="1:5" x14ac:dyDescent="0.25">
      <c r="A22" t="s">
        <v>131</v>
      </c>
      <c r="B22" t="s">
        <v>135</v>
      </c>
      <c r="C22">
        <v>2023</v>
      </c>
      <c r="E22" s="1" t="s">
        <v>136</v>
      </c>
    </row>
    <row r="23" spans="1:5" x14ac:dyDescent="0.25">
      <c r="A23" t="s">
        <v>131</v>
      </c>
      <c r="B23" t="s">
        <v>724</v>
      </c>
      <c r="C23">
        <v>2023</v>
      </c>
      <c r="E23" s="1" t="s">
        <v>725</v>
      </c>
    </row>
    <row r="24" spans="1:5" x14ac:dyDescent="0.25">
      <c r="A24" t="s">
        <v>131</v>
      </c>
      <c r="B24" t="s">
        <v>824</v>
      </c>
      <c r="C24">
        <v>2023</v>
      </c>
      <c r="E24" s="1" t="s">
        <v>825</v>
      </c>
    </row>
    <row r="25" spans="1:5" x14ac:dyDescent="0.25">
      <c r="A25" t="s">
        <v>131</v>
      </c>
      <c r="B25" t="s">
        <v>832</v>
      </c>
      <c r="C25">
        <v>2023</v>
      </c>
      <c r="E25" s="1" t="s">
        <v>833</v>
      </c>
    </row>
    <row r="26" spans="1:5" x14ac:dyDescent="0.25">
      <c r="A26" t="s">
        <v>131</v>
      </c>
      <c r="B26" t="s">
        <v>835</v>
      </c>
      <c r="C26">
        <v>2023</v>
      </c>
      <c r="E26" s="1" t="s">
        <v>836</v>
      </c>
    </row>
    <row r="27" spans="1:5" x14ac:dyDescent="0.25">
      <c r="A27" t="s">
        <v>131</v>
      </c>
      <c r="B27" t="s">
        <v>837</v>
      </c>
      <c r="C27">
        <v>2023</v>
      </c>
      <c r="E27" s="1" t="s">
        <v>839</v>
      </c>
    </row>
    <row r="28" spans="1:5" x14ac:dyDescent="0.25">
      <c r="A28" t="s">
        <v>131</v>
      </c>
      <c r="B28" t="s">
        <v>842</v>
      </c>
      <c r="C28">
        <v>2023</v>
      </c>
      <c r="E28" s="1" t="s">
        <v>843</v>
      </c>
    </row>
    <row r="29" spans="1:5" x14ac:dyDescent="0.25">
      <c r="A29" t="s">
        <v>131</v>
      </c>
      <c r="B29" t="s">
        <v>844</v>
      </c>
      <c r="C29">
        <v>2023</v>
      </c>
      <c r="E29" s="1" t="s">
        <v>845</v>
      </c>
    </row>
    <row r="30" spans="1:5" x14ac:dyDescent="0.25">
      <c r="A30" t="s">
        <v>131</v>
      </c>
      <c r="B30" t="s">
        <v>848</v>
      </c>
      <c r="C30">
        <v>2023</v>
      </c>
      <c r="E30" s="1" t="s">
        <v>93</v>
      </c>
    </row>
    <row r="31" spans="1:5" x14ac:dyDescent="0.25">
      <c r="A31" t="s">
        <v>131</v>
      </c>
      <c r="B31" t="s">
        <v>856</v>
      </c>
      <c r="C31">
        <v>2023</v>
      </c>
      <c r="E31" s="1" t="s">
        <v>857</v>
      </c>
    </row>
    <row r="32" spans="1:5" x14ac:dyDescent="0.25">
      <c r="A32" t="s">
        <v>131</v>
      </c>
      <c r="B32" t="s">
        <v>866</v>
      </c>
      <c r="C32">
        <v>2023</v>
      </c>
      <c r="E32" s="1" t="s">
        <v>867</v>
      </c>
    </row>
    <row r="33" spans="1:5" x14ac:dyDescent="0.25">
      <c r="A33" t="s">
        <v>131</v>
      </c>
      <c r="B33" t="s">
        <v>891</v>
      </c>
      <c r="C33">
        <v>2023</v>
      </c>
      <c r="E33" s="1" t="s">
        <v>892</v>
      </c>
    </row>
    <row r="34" spans="1:5" x14ac:dyDescent="0.25">
      <c r="A34" t="s">
        <v>131</v>
      </c>
      <c r="B34" t="s">
        <v>912</v>
      </c>
      <c r="C34">
        <v>2023</v>
      </c>
      <c r="E34" s="1" t="s">
        <v>913</v>
      </c>
    </row>
    <row r="35" spans="1:5" x14ac:dyDescent="0.25">
      <c r="A35" t="s">
        <v>131</v>
      </c>
      <c r="B35" t="s">
        <v>917</v>
      </c>
      <c r="C35">
        <v>2023</v>
      </c>
      <c r="E35" s="1" t="s">
        <v>919</v>
      </c>
    </row>
    <row r="36" spans="1:5" x14ac:dyDescent="0.25">
      <c r="A36" t="s">
        <v>131</v>
      </c>
      <c r="B36" t="s">
        <v>931</v>
      </c>
      <c r="C36">
        <v>2023</v>
      </c>
      <c r="E36" s="1" t="s">
        <v>169</v>
      </c>
    </row>
    <row r="37" spans="1:5" x14ac:dyDescent="0.25">
      <c r="A37" t="s">
        <v>131</v>
      </c>
      <c r="B37" t="s">
        <v>941</v>
      </c>
      <c r="C37">
        <v>2023</v>
      </c>
      <c r="E37" s="1" t="s">
        <v>942</v>
      </c>
    </row>
    <row r="38" spans="1:5" x14ac:dyDescent="0.25">
      <c r="A38" t="s">
        <v>131</v>
      </c>
      <c r="B38" t="s">
        <v>950</v>
      </c>
      <c r="C38">
        <v>2023</v>
      </c>
      <c r="E38" s="1" t="s">
        <v>949</v>
      </c>
    </row>
    <row r="39" spans="1:5" x14ac:dyDescent="0.25">
      <c r="A39" t="s">
        <v>129</v>
      </c>
      <c r="B39" t="s">
        <v>832</v>
      </c>
      <c r="C39">
        <v>2024</v>
      </c>
      <c r="E39" s="1" t="s">
        <v>833</v>
      </c>
    </row>
    <row r="40" spans="1:5" x14ac:dyDescent="0.25">
      <c r="A40" t="s">
        <v>316</v>
      </c>
      <c r="B40" t="s">
        <v>356</v>
      </c>
      <c r="C40">
        <v>2017</v>
      </c>
      <c r="E40" s="1" t="s">
        <v>357</v>
      </c>
    </row>
    <row r="41" spans="1:5" x14ac:dyDescent="0.25">
      <c r="A41" t="s">
        <v>316</v>
      </c>
      <c r="B41" t="s">
        <v>315</v>
      </c>
      <c r="C41">
        <v>2017</v>
      </c>
      <c r="E41" s="1" t="s">
        <v>317</v>
      </c>
    </row>
    <row r="42" spans="1:5" x14ac:dyDescent="0.25">
      <c r="A42" t="s">
        <v>511</v>
      </c>
      <c r="B42" t="s">
        <v>512</v>
      </c>
      <c r="C42">
        <v>2023</v>
      </c>
      <c r="D42" t="s">
        <v>54</v>
      </c>
      <c r="E42" s="1"/>
    </row>
    <row r="43" spans="1:5" x14ac:dyDescent="0.25">
      <c r="A43" t="s">
        <v>256</v>
      </c>
      <c r="B43" t="s">
        <v>934</v>
      </c>
      <c r="C43">
        <v>2022</v>
      </c>
      <c r="E43" s="1" t="s">
        <v>936</v>
      </c>
    </row>
    <row r="44" spans="1:5" x14ac:dyDescent="0.25">
      <c r="A44" t="s">
        <v>96</v>
      </c>
      <c r="B44" t="s">
        <v>94</v>
      </c>
      <c r="C44">
        <v>2018</v>
      </c>
      <c r="D44" t="s">
        <v>54</v>
      </c>
      <c r="E44" s="1" t="s">
        <v>95</v>
      </c>
    </row>
    <row r="45" spans="1:5" x14ac:dyDescent="0.25">
      <c r="A45" t="s">
        <v>14</v>
      </c>
      <c r="B45" t="s">
        <v>455</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456</v>
      </c>
      <c r="C48">
        <v>2009</v>
      </c>
      <c r="E48" s="1" t="s">
        <v>457</v>
      </c>
    </row>
    <row r="49" spans="1:5" x14ac:dyDescent="0.25">
      <c r="A49" t="s">
        <v>14</v>
      </c>
      <c r="B49" t="s">
        <v>17</v>
      </c>
      <c r="C49">
        <v>2009</v>
      </c>
      <c r="E49" s="1" t="s">
        <v>18</v>
      </c>
    </row>
    <row r="50" spans="1:5" x14ac:dyDescent="0.25">
      <c r="A50" t="s">
        <v>254</v>
      </c>
      <c r="B50" t="s">
        <v>826</v>
      </c>
      <c r="C50">
        <v>2022</v>
      </c>
      <c r="E50" s="1" t="s">
        <v>827</v>
      </c>
    </row>
    <row r="51" spans="1:5" x14ac:dyDescent="0.25">
      <c r="A51" t="s">
        <v>254</v>
      </c>
      <c r="B51" t="s">
        <v>920</v>
      </c>
      <c r="C51">
        <v>2022</v>
      </c>
      <c r="E51" s="1" t="s">
        <v>921</v>
      </c>
    </row>
    <row r="52" spans="1:5" x14ac:dyDescent="0.25">
      <c r="A52" t="s">
        <v>858</v>
      </c>
      <c r="B52" t="s">
        <v>856</v>
      </c>
      <c r="C52">
        <v>2024</v>
      </c>
      <c r="E52" s="1" t="s">
        <v>857</v>
      </c>
    </row>
    <row r="53" spans="1:5" x14ac:dyDescent="0.25">
      <c r="A53" t="s">
        <v>907</v>
      </c>
      <c r="B53" t="s">
        <v>906</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792</v>
      </c>
      <c r="B59" t="s">
        <v>804</v>
      </c>
      <c r="C59">
        <v>1998</v>
      </c>
      <c r="D59" t="s">
        <v>54</v>
      </c>
      <c r="E59" s="1"/>
    </row>
    <row r="60" spans="1:5" x14ac:dyDescent="0.25">
      <c r="A60" t="s">
        <v>790</v>
      </c>
      <c r="B60" t="s">
        <v>792</v>
      </c>
      <c r="C60">
        <v>1997</v>
      </c>
      <c r="D60" t="s">
        <v>54</v>
      </c>
      <c r="E60" s="1"/>
    </row>
    <row r="61" spans="1:5" x14ac:dyDescent="0.25">
      <c r="A61" t="s">
        <v>46</v>
      </c>
      <c r="B61" t="s">
        <v>958</v>
      </c>
      <c r="C61">
        <v>2017</v>
      </c>
      <c r="E61" s="1" t="s">
        <v>957</v>
      </c>
    </row>
    <row r="62" spans="1:5" x14ac:dyDescent="0.25">
      <c r="A62" t="s">
        <v>328</v>
      </c>
      <c r="B62" t="s">
        <v>952</v>
      </c>
      <c r="C62">
        <v>2023</v>
      </c>
      <c r="E62" s="1" t="s">
        <v>951</v>
      </c>
    </row>
    <row r="63" spans="1:5" x14ac:dyDescent="0.25">
      <c r="A63" t="s">
        <v>164</v>
      </c>
      <c r="B63" t="s">
        <v>370</v>
      </c>
      <c r="C63">
        <v>2015</v>
      </c>
      <c r="E63" s="1" t="s">
        <v>371</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533</v>
      </c>
      <c r="B68" t="s">
        <v>215</v>
      </c>
      <c r="C68">
        <v>2019</v>
      </c>
      <c r="D68" t="s">
        <v>54</v>
      </c>
      <c r="E68" s="1" t="s">
        <v>218</v>
      </c>
    </row>
    <row r="69" spans="1:5" x14ac:dyDescent="0.25">
      <c r="A69" t="s">
        <v>160</v>
      </c>
      <c r="B69" t="s">
        <v>432</v>
      </c>
      <c r="C69">
        <v>2016</v>
      </c>
      <c r="E69" s="1" t="s">
        <v>93</v>
      </c>
    </row>
    <row r="70" spans="1:5" x14ac:dyDescent="0.25">
      <c r="A70" t="s">
        <v>160</v>
      </c>
      <c r="B70" t="s">
        <v>165</v>
      </c>
      <c r="C70">
        <v>2016</v>
      </c>
      <c r="E70" s="1" t="s">
        <v>167</v>
      </c>
    </row>
    <row r="71" spans="1:5" x14ac:dyDescent="0.25">
      <c r="A71" t="s">
        <v>160</v>
      </c>
      <c r="B71" t="s">
        <v>533</v>
      </c>
      <c r="C71">
        <v>2016</v>
      </c>
      <c r="E71" s="1" t="s">
        <v>532</v>
      </c>
    </row>
    <row r="72" spans="1:5" x14ac:dyDescent="0.25">
      <c r="A72" t="s">
        <v>160</v>
      </c>
      <c r="B72" t="s">
        <v>161</v>
      </c>
      <c r="C72">
        <v>2016</v>
      </c>
      <c r="E72" s="1"/>
    </row>
    <row r="73" spans="1:5" x14ac:dyDescent="0.25">
      <c r="A73" t="s">
        <v>160</v>
      </c>
      <c r="B73" t="s">
        <v>400</v>
      </c>
      <c r="C73">
        <v>2016</v>
      </c>
      <c r="E73" s="1" t="s">
        <v>401</v>
      </c>
    </row>
    <row r="74" spans="1:5" x14ac:dyDescent="0.25">
      <c r="A74" t="s">
        <v>160</v>
      </c>
      <c r="B74" t="s">
        <v>472</v>
      </c>
      <c r="C74">
        <v>2016</v>
      </c>
      <c r="E74" s="1" t="s">
        <v>473</v>
      </c>
    </row>
    <row r="75" spans="1:5" x14ac:dyDescent="0.25">
      <c r="A75" t="s">
        <v>160</v>
      </c>
      <c r="B75" t="s">
        <v>356</v>
      </c>
      <c r="C75">
        <v>2016</v>
      </c>
      <c r="E75" s="1" t="s">
        <v>357</v>
      </c>
    </row>
    <row r="76" spans="1:5" x14ac:dyDescent="0.25">
      <c r="A76" t="s">
        <v>160</v>
      </c>
      <c r="B76" t="s">
        <v>465</v>
      </c>
      <c r="C76">
        <v>2016</v>
      </c>
      <c r="E76" s="1" t="s">
        <v>466</v>
      </c>
    </row>
    <row r="77" spans="1:5" x14ac:dyDescent="0.25">
      <c r="A77" t="s">
        <v>160</v>
      </c>
      <c r="B77" t="s">
        <v>162</v>
      </c>
      <c r="C77">
        <v>2016</v>
      </c>
      <c r="E77" s="1" t="s">
        <v>163</v>
      </c>
    </row>
    <row r="78" spans="1:5" x14ac:dyDescent="0.25">
      <c r="A78" t="s">
        <v>160</v>
      </c>
      <c r="B78" t="s">
        <v>443</v>
      </c>
      <c r="C78">
        <v>2016</v>
      </c>
      <c r="E78" s="1" t="s">
        <v>444</v>
      </c>
    </row>
    <row r="79" spans="1:5" x14ac:dyDescent="0.25">
      <c r="A79" t="s">
        <v>160</v>
      </c>
      <c r="B79" t="s">
        <v>706</v>
      </c>
      <c r="C79">
        <v>2016</v>
      </c>
      <c r="E79" s="1" t="s">
        <v>93</v>
      </c>
    </row>
    <row r="80" spans="1:5" x14ac:dyDescent="0.25">
      <c r="A80" t="s">
        <v>160</v>
      </c>
      <c r="B80" t="s">
        <v>742</v>
      </c>
      <c r="C80">
        <v>2016</v>
      </c>
      <c r="E80" s="1" t="s">
        <v>743</v>
      </c>
    </row>
    <row r="81" spans="1:5" x14ac:dyDescent="0.25">
      <c r="A81" t="s">
        <v>160</v>
      </c>
      <c r="B81" t="s">
        <v>757</v>
      </c>
      <c r="C81">
        <v>2016</v>
      </c>
      <c r="D81" t="s">
        <v>759</v>
      </c>
      <c r="E81" s="1" t="s">
        <v>758</v>
      </c>
    </row>
    <row r="82" spans="1:5" x14ac:dyDescent="0.25">
      <c r="A82" t="s">
        <v>160</v>
      </c>
      <c r="B82" t="s">
        <v>768</v>
      </c>
      <c r="C82">
        <v>2016</v>
      </c>
      <c r="E82" s="1" t="s">
        <v>767</v>
      </c>
    </row>
    <row r="83" spans="1:5" x14ac:dyDescent="0.25">
      <c r="A83" t="s">
        <v>160</v>
      </c>
      <c r="B83" t="s">
        <v>773</v>
      </c>
      <c r="C83">
        <v>2016</v>
      </c>
      <c r="E83" s="1" t="s">
        <v>93</v>
      </c>
    </row>
    <row r="84" spans="1:5" x14ac:dyDescent="0.25">
      <c r="A84" t="s">
        <v>160</v>
      </c>
      <c r="B84" t="s">
        <v>838</v>
      </c>
      <c r="C84">
        <v>2016</v>
      </c>
      <c r="E84" s="1" t="s">
        <v>841</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372</v>
      </c>
      <c r="C87">
        <v>2018</v>
      </c>
      <c r="E87" s="1" t="s">
        <v>373</v>
      </c>
    </row>
    <row r="88" spans="1:5" x14ac:dyDescent="0.25">
      <c r="A88" t="s">
        <v>197</v>
      </c>
      <c r="B88" t="s">
        <v>433</v>
      </c>
      <c r="C88">
        <v>2018</v>
      </c>
      <c r="E88" s="1" t="s">
        <v>434</v>
      </c>
    </row>
    <row r="89" spans="1:5" x14ac:dyDescent="0.25">
      <c r="A89" t="s">
        <v>197</v>
      </c>
      <c r="B89" t="s">
        <v>539</v>
      </c>
      <c r="C89">
        <v>2018</v>
      </c>
      <c r="E89" s="1" t="s">
        <v>93</v>
      </c>
    </row>
    <row r="90" spans="1:5" x14ac:dyDescent="0.25">
      <c r="A90" t="s">
        <v>197</v>
      </c>
      <c r="B90" t="s">
        <v>430</v>
      </c>
      <c r="C90">
        <v>2018</v>
      </c>
      <c r="E90" s="1" t="s">
        <v>429</v>
      </c>
    </row>
    <row r="91" spans="1:5" x14ac:dyDescent="0.25">
      <c r="A91" t="s">
        <v>197</v>
      </c>
      <c r="B91" t="s">
        <v>345</v>
      </c>
      <c r="C91">
        <v>2018</v>
      </c>
      <c r="E91" s="1" t="s">
        <v>346</v>
      </c>
    </row>
    <row r="92" spans="1:5" x14ac:dyDescent="0.25">
      <c r="A92" t="s">
        <v>197</v>
      </c>
      <c r="B92" t="s">
        <v>206</v>
      </c>
      <c r="C92">
        <v>2018</v>
      </c>
      <c r="E92" s="1" t="s">
        <v>205</v>
      </c>
    </row>
    <row r="93" spans="1:5" x14ac:dyDescent="0.25">
      <c r="A93" t="s">
        <v>197</v>
      </c>
      <c r="B93" t="s">
        <v>385</v>
      </c>
      <c r="C93">
        <v>2018</v>
      </c>
      <c r="D93" t="s">
        <v>54</v>
      </c>
      <c r="E93" s="1" t="s">
        <v>384</v>
      </c>
    </row>
    <row r="94" spans="1:5" x14ac:dyDescent="0.25">
      <c r="A94" t="s">
        <v>197</v>
      </c>
      <c r="B94" t="s">
        <v>461</v>
      </c>
      <c r="C94">
        <v>2018</v>
      </c>
      <c r="E94" s="1" t="s">
        <v>460</v>
      </c>
    </row>
    <row r="95" spans="1:5" x14ac:dyDescent="0.25">
      <c r="A95" t="s">
        <v>197</v>
      </c>
      <c r="B95" t="s">
        <v>221</v>
      </c>
      <c r="C95">
        <v>2018</v>
      </c>
      <c r="D95" t="s">
        <v>54</v>
      </c>
      <c r="E95" s="1" t="s">
        <v>222</v>
      </c>
    </row>
    <row r="96" spans="1:5" x14ac:dyDescent="0.25">
      <c r="A96" t="s">
        <v>197</v>
      </c>
      <c r="B96" t="s">
        <v>864</v>
      </c>
      <c r="C96">
        <v>2018</v>
      </c>
      <c r="E96" s="1" t="s">
        <v>865</v>
      </c>
    </row>
    <row r="97" spans="1:5" x14ac:dyDescent="0.25">
      <c r="A97" t="s">
        <v>197</v>
      </c>
      <c r="B97" t="s">
        <v>878</v>
      </c>
      <c r="C97">
        <v>2018</v>
      </c>
      <c r="E97" s="1" t="s">
        <v>93</v>
      </c>
    </row>
    <row r="98" spans="1:5" x14ac:dyDescent="0.25">
      <c r="A98" t="s">
        <v>197</v>
      </c>
      <c r="B98" t="s">
        <v>960</v>
      </c>
      <c r="C98">
        <v>2018</v>
      </c>
      <c r="E98" s="1" t="s">
        <v>959</v>
      </c>
    </row>
    <row r="99" spans="1:5" x14ac:dyDescent="0.25">
      <c r="A99" t="s">
        <v>243</v>
      </c>
      <c r="B99" t="s">
        <v>340</v>
      </c>
      <c r="C99">
        <v>2023</v>
      </c>
      <c r="E99" s="1" t="s">
        <v>341</v>
      </c>
    </row>
    <row r="100" spans="1:5" x14ac:dyDescent="0.25">
      <c r="A100" t="s">
        <v>243</v>
      </c>
      <c r="B100" t="s">
        <v>263</v>
      </c>
      <c r="C100">
        <v>2023</v>
      </c>
      <c r="E100" s="1" t="s">
        <v>265</v>
      </c>
    </row>
    <row r="101" spans="1:5" x14ac:dyDescent="0.25">
      <c r="A101" t="s">
        <v>243</v>
      </c>
      <c r="B101" t="s">
        <v>934</v>
      </c>
      <c r="C101">
        <v>2023</v>
      </c>
      <c r="E101" s="1" t="s">
        <v>937</v>
      </c>
    </row>
    <row r="102" spans="1:5" x14ac:dyDescent="0.25">
      <c r="A102" t="s">
        <v>243</v>
      </c>
      <c r="B102" t="s">
        <v>941</v>
      </c>
      <c r="C102">
        <v>2023</v>
      </c>
      <c r="E102" s="1" t="s">
        <v>942</v>
      </c>
    </row>
    <row r="103" spans="1:5" x14ac:dyDescent="0.25">
      <c r="A103" t="s">
        <v>262</v>
      </c>
      <c r="B103" t="s">
        <v>263</v>
      </c>
      <c r="C103">
        <v>2024</v>
      </c>
      <c r="E103" s="1" t="s">
        <v>265</v>
      </c>
    </row>
    <row r="104" spans="1:5" x14ac:dyDescent="0.25">
      <c r="A104" t="s">
        <v>400</v>
      </c>
      <c r="B104" t="s">
        <v>399</v>
      </c>
      <c r="C104">
        <v>2018</v>
      </c>
      <c r="E104" s="1" t="s">
        <v>93</v>
      </c>
    </row>
    <row r="105" spans="1:5" x14ac:dyDescent="0.25">
      <c r="A105" t="s">
        <v>99</v>
      </c>
      <c r="B105" t="s">
        <v>98</v>
      </c>
      <c r="C105">
        <v>2010</v>
      </c>
      <c r="E105" s="1" t="s">
        <v>100</v>
      </c>
    </row>
    <row r="106" spans="1:5" x14ac:dyDescent="0.25">
      <c r="A106" t="s">
        <v>264</v>
      </c>
      <c r="B106" t="s">
        <v>242</v>
      </c>
      <c r="C106">
        <v>2021</v>
      </c>
      <c r="D106" t="s">
        <v>54</v>
      </c>
      <c r="E106" s="1"/>
    </row>
    <row r="107" spans="1:5" x14ac:dyDescent="0.25">
      <c r="A107" t="s">
        <v>120</v>
      </c>
      <c r="B107" t="s">
        <v>508</v>
      </c>
      <c r="C107">
        <v>2019</v>
      </c>
      <c r="E107" s="1" t="s">
        <v>93</v>
      </c>
    </row>
    <row r="108" spans="1:5" x14ac:dyDescent="0.25">
      <c r="A108" t="s">
        <v>120</v>
      </c>
      <c r="B108" t="s">
        <v>375</v>
      </c>
      <c r="C108">
        <v>2019</v>
      </c>
      <c r="E108" s="1" t="s">
        <v>374</v>
      </c>
    </row>
    <row r="109" spans="1:5" x14ac:dyDescent="0.25">
      <c r="A109" t="s">
        <v>120</v>
      </c>
      <c r="B109" t="s">
        <v>122</v>
      </c>
      <c r="C109">
        <v>2019</v>
      </c>
      <c r="E109" s="1" t="s">
        <v>121</v>
      </c>
    </row>
    <row r="110" spans="1:5" x14ac:dyDescent="0.25">
      <c r="A110" t="s">
        <v>120</v>
      </c>
      <c r="B110" t="s">
        <v>318</v>
      </c>
      <c r="C110">
        <v>2019</v>
      </c>
      <c r="E110" s="1" t="s">
        <v>93</v>
      </c>
    </row>
    <row r="111" spans="1:5" x14ac:dyDescent="0.25">
      <c r="A111" t="s">
        <v>120</v>
      </c>
      <c r="B111" t="s">
        <v>888</v>
      </c>
      <c r="C111">
        <v>2019</v>
      </c>
      <c r="E111" s="1" t="s">
        <v>889</v>
      </c>
    </row>
    <row r="112" spans="1:5" x14ac:dyDescent="0.25">
      <c r="A112" t="s">
        <v>120</v>
      </c>
      <c r="B112" t="s">
        <v>912</v>
      </c>
      <c r="C112">
        <v>2019</v>
      </c>
      <c r="E112" s="1" t="s">
        <v>913</v>
      </c>
    </row>
    <row r="113" spans="1:5" x14ac:dyDescent="0.25">
      <c r="A113" t="s">
        <v>297</v>
      </c>
      <c r="B113" t="s">
        <v>305</v>
      </c>
      <c r="C113">
        <v>2022</v>
      </c>
      <c r="E113" s="1" t="s">
        <v>306</v>
      </c>
    </row>
    <row r="114" spans="1:5" x14ac:dyDescent="0.25">
      <c r="A114" t="s">
        <v>297</v>
      </c>
      <c r="B114" t="s">
        <v>300</v>
      </c>
      <c r="C114">
        <v>2022</v>
      </c>
      <c r="E114" s="1" t="s">
        <v>301</v>
      </c>
    </row>
    <row r="115" spans="1:5" x14ac:dyDescent="0.25">
      <c r="A115" t="s">
        <v>228</v>
      </c>
      <c r="B115" t="s">
        <v>226</v>
      </c>
      <c r="C115">
        <v>2013</v>
      </c>
      <c r="E115" s="1" t="s">
        <v>227</v>
      </c>
    </row>
    <row r="116" spans="1:5" x14ac:dyDescent="0.25">
      <c r="A116" t="s">
        <v>228</v>
      </c>
      <c r="B116" t="s">
        <v>490</v>
      </c>
      <c r="C116">
        <v>2013</v>
      </c>
      <c r="E116" s="1" t="s">
        <v>491</v>
      </c>
    </row>
    <row r="117" spans="1:5" x14ac:dyDescent="0.25">
      <c r="A117" t="s">
        <v>228</v>
      </c>
      <c r="B117" t="s">
        <v>438</v>
      </c>
      <c r="C117">
        <v>2013</v>
      </c>
      <c r="E117" s="1" t="s">
        <v>437</v>
      </c>
    </row>
    <row r="118" spans="1:5" x14ac:dyDescent="0.25">
      <c r="A118" t="s">
        <v>405</v>
      </c>
      <c r="B118" t="s">
        <v>404</v>
      </c>
      <c r="C118">
        <v>2002</v>
      </c>
      <c r="D118" t="s">
        <v>54</v>
      </c>
      <c r="E118" s="1"/>
    </row>
    <row r="119" spans="1:5" x14ac:dyDescent="0.25">
      <c r="A119" t="s">
        <v>405</v>
      </c>
      <c r="B119" t="s">
        <v>441</v>
      </c>
      <c r="C119">
        <v>2002</v>
      </c>
      <c r="E119" s="1" t="s">
        <v>442</v>
      </c>
    </row>
    <row r="120" spans="1:5" x14ac:dyDescent="0.25">
      <c r="A120" t="s">
        <v>405</v>
      </c>
      <c r="B120" t="s">
        <v>589</v>
      </c>
      <c r="C120">
        <v>2002</v>
      </c>
      <c r="E120" s="1" t="s">
        <v>93</v>
      </c>
    </row>
    <row r="121" spans="1:5" x14ac:dyDescent="0.25">
      <c r="A121" t="s">
        <v>363</v>
      </c>
      <c r="B121" t="s">
        <v>362</v>
      </c>
      <c r="C121">
        <v>2019</v>
      </c>
      <c r="E121" s="1" t="s">
        <v>364</v>
      </c>
    </row>
    <row r="122" spans="1:5" x14ac:dyDescent="0.25">
      <c r="A122" t="s">
        <v>363</v>
      </c>
      <c r="B122" t="s">
        <v>914</v>
      </c>
      <c r="C122">
        <v>2019</v>
      </c>
      <c r="E122" s="1" t="s">
        <v>916</v>
      </c>
    </row>
    <row r="123" spans="1:5" x14ac:dyDescent="0.25">
      <c r="A123" t="s">
        <v>86</v>
      </c>
      <c r="B123" t="s">
        <v>541</v>
      </c>
      <c r="C123">
        <v>2015</v>
      </c>
      <c r="E123" s="1" t="s">
        <v>542</v>
      </c>
    </row>
    <row r="124" spans="1:5" x14ac:dyDescent="0.25">
      <c r="A124" t="s">
        <v>86</v>
      </c>
      <c r="B124" t="s">
        <v>525</v>
      </c>
      <c r="C124">
        <v>2015</v>
      </c>
      <c r="E124" s="1" t="s">
        <v>524</v>
      </c>
    </row>
    <row r="125" spans="1:5" x14ac:dyDescent="0.25">
      <c r="A125" t="s">
        <v>86</v>
      </c>
      <c r="B125" t="s">
        <v>382</v>
      </c>
      <c r="C125">
        <v>2015</v>
      </c>
      <c r="E125" s="1" t="s">
        <v>383</v>
      </c>
    </row>
    <row r="126" spans="1:5" x14ac:dyDescent="0.25">
      <c r="A126" t="s">
        <v>86</v>
      </c>
      <c r="B126" t="s">
        <v>784</v>
      </c>
      <c r="C126">
        <v>2015</v>
      </c>
      <c r="E126" s="1" t="s">
        <v>785</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389</v>
      </c>
      <c r="C133">
        <v>2018</v>
      </c>
      <c r="E133" s="1" t="s">
        <v>388</v>
      </c>
    </row>
    <row r="134" spans="1:5" x14ac:dyDescent="0.25">
      <c r="A134" t="s">
        <v>44</v>
      </c>
      <c r="B134" t="s">
        <v>592</v>
      </c>
      <c r="C134">
        <v>2006</v>
      </c>
      <c r="E134" s="1" t="s">
        <v>93</v>
      </c>
    </row>
    <row r="135" spans="1:5" x14ac:dyDescent="0.25">
      <c r="A135" t="s">
        <v>44</v>
      </c>
      <c r="B135" t="s">
        <v>854</v>
      </c>
      <c r="C135">
        <v>2006</v>
      </c>
      <c r="E135" s="1" t="s">
        <v>855</v>
      </c>
    </row>
    <row r="136" spans="1:5" x14ac:dyDescent="0.25">
      <c r="A136" t="s">
        <v>71</v>
      </c>
      <c r="B136" t="s">
        <v>69</v>
      </c>
      <c r="C136">
        <v>2010</v>
      </c>
      <c r="E136" s="1" t="s">
        <v>70</v>
      </c>
    </row>
    <row r="137" spans="1:5" x14ac:dyDescent="0.25">
      <c r="A137" t="s">
        <v>352</v>
      </c>
      <c r="B137" t="s">
        <v>887</v>
      </c>
      <c r="C137">
        <v>2018</v>
      </c>
      <c r="D137" t="s">
        <v>54</v>
      </c>
      <c r="E137" s="1"/>
    </row>
    <row r="138" spans="1:5" x14ac:dyDescent="0.25">
      <c r="A138" t="s">
        <v>33</v>
      </c>
      <c r="B138" t="s">
        <v>453</v>
      </c>
      <c r="C138">
        <v>2006</v>
      </c>
      <c r="E138" s="1" t="s">
        <v>452</v>
      </c>
    </row>
    <row r="139" spans="1:5" x14ac:dyDescent="0.25">
      <c r="A139" t="s">
        <v>33</v>
      </c>
      <c r="B139" t="s">
        <v>439</v>
      </c>
      <c r="C139">
        <v>2006</v>
      </c>
      <c r="E139" s="1" t="s">
        <v>440</v>
      </c>
    </row>
    <row r="140" spans="1:5" x14ac:dyDescent="0.25">
      <c r="A140" t="s">
        <v>33</v>
      </c>
      <c r="B140" t="s">
        <v>36</v>
      </c>
      <c r="C140">
        <v>2006</v>
      </c>
      <c r="E140" s="1" t="s">
        <v>37</v>
      </c>
    </row>
    <row r="141" spans="1:5" x14ac:dyDescent="0.25">
      <c r="A141" t="s">
        <v>33</v>
      </c>
      <c r="B141" t="s">
        <v>903</v>
      </c>
      <c r="C141">
        <v>2006</v>
      </c>
      <c r="E141" s="1" t="s">
        <v>902</v>
      </c>
    </row>
    <row r="142" spans="1:5" x14ac:dyDescent="0.25">
      <c r="A142" t="s">
        <v>33</v>
      </c>
      <c r="B142" t="s">
        <v>910</v>
      </c>
      <c r="C142">
        <v>2006</v>
      </c>
      <c r="E142" s="1" t="s">
        <v>909</v>
      </c>
    </row>
    <row r="143" spans="1:5" x14ac:dyDescent="0.25">
      <c r="A143" t="s">
        <v>40</v>
      </c>
      <c r="B143" t="s">
        <v>708</v>
      </c>
      <c r="C143">
        <v>2008</v>
      </c>
      <c r="D143" t="s">
        <v>54</v>
      </c>
      <c r="E143" s="1"/>
    </row>
    <row r="144" spans="1:5" x14ac:dyDescent="0.25">
      <c r="A144" t="s">
        <v>539</v>
      </c>
      <c r="B144" t="s">
        <v>952</v>
      </c>
      <c r="C144">
        <v>2022</v>
      </c>
      <c r="E144" s="1" t="s">
        <v>951</v>
      </c>
    </row>
    <row r="145" spans="1:5" x14ac:dyDescent="0.25">
      <c r="A145" t="s">
        <v>185</v>
      </c>
      <c r="B145" t="s">
        <v>190</v>
      </c>
      <c r="C145">
        <v>2016</v>
      </c>
      <c r="E145" s="1" t="s">
        <v>189</v>
      </c>
    </row>
    <row r="146" spans="1:5" x14ac:dyDescent="0.25">
      <c r="A146" t="s">
        <v>185</v>
      </c>
      <c r="B146" t="s">
        <v>520</v>
      </c>
      <c r="C146">
        <v>2016</v>
      </c>
      <c r="E146" s="1" t="s">
        <v>521</v>
      </c>
    </row>
    <row r="147" spans="1:5" x14ac:dyDescent="0.25">
      <c r="A147" t="s">
        <v>185</v>
      </c>
      <c r="B147" t="s">
        <v>312</v>
      </c>
      <c r="C147">
        <v>2016</v>
      </c>
      <c r="E147" s="1" t="s">
        <v>313</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464</v>
      </c>
      <c r="C152">
        <v>2016</v>
      </c>
      <c r="E152" s="1" t="s">
        <v>463</v>
      </c>
    </row>
    <row r="153" spans="1:5" x14ac:dyDescent="0.25">
      <c r="A153" t="s">
        <v>185</v>
      </c>
      <c r="B153" t="s">
        <v>519</v>
      </c>
      <c r="C153">
        <v>2016</v>
      </c>
      <c r="E153" s="1" t="s">
        <v>518</v>
      </c>
    </row>
    <row r="154" spans="1:5" x14ac:dyDescent="0.25">
      <c r="A154" t="s">
        <v>185</v>
      </c>
      <c r="B154" t="s">
        <v>504</v>
      </c>
      <c r="C154">
        <v>2016</v>
      </c>
      <c r="E154" s="1" t="s">
        <v>503</v>
      </c>
    </row>
    <row r="155" spans="1:5" x14ac:dyDescent="0.25">
      <c r="A155" t="s">
        <v>185</v>
      </c>
      <c r="B155" t="s">
        <v>272</v>
      </c>
      <c r="C155">
        <v>2016</v>
      </c>
      <c r="E155" s="1" t="s">
        <v>273</v>
      </c>
    </row>
    <row r="156" spans="1:5" x14ac:dyDescent="0.25">
      <c r="A156" t="s">
        <v>185</v>
      </c>
      <c r="B156" t="s">
        <v>515</v>
      </c>
      <c r="C156">
        <v>2016</v>
      </c>
      <c r="E156" s="1" t="s">
        <v>514</v>
      </c>
    </row>
    <row r="157" spans="1:5" x14ac:dyDescent="0.25">
      <c r="A157" t="s">
        <v>185</v>
      </c>
      <c r="B157" t="s">
        <v>742</v>
      </c>
      <c r="C157">
        <v>2016</v>
      </c>
      <c r="E157" s="1" t="s">
        <v>743</v>
      </c>
    </row>
    <row r="158" spans="1:5" x14ac:dyDescent="0.25">
      <c r="A158" t="s">
        <v>185</v>
      </c>
      <c r="B158" t="s">
        <v>887</v>
      </c>
      <c r="C158">
        <v>2016</v>
      </c>
      <c r="E158" s="1" t="s">
        <v>93</v>
      </c>
    </row>
    <row r="159" spans="1:5" x14ac:dyDescent="0.25">
      <c r="A159" t="s">
        <v>185</v>
      </c>
      <c r="B159" t="s">
        <v>939</v>
      </c>
      <c r="C159">
        <v>2016</v>
      </c>
      <c r="E159" s="1" t="s">
        <v>940</v>
      </c>
    </row>
    <row r="160" spans="1:5" x14ac:dyDescent="0.25">
      <c r="A160" t="s">
        <v>811</v>
      </c>
      <c r="B160" t="s">
        <v>812</v>
      </c>
      <c r="C160">
        <v>2015</v>
      </c>
      <c r="D160" t="s">
        <v>54</v>
      </c>
      <c r="E160" s="1"/>
    </row>
    <row r="161" spans="1:5" x14ac:dyDescent="0.25">
      <c r="A161" t="s">
        <v>427</v>
      </c>
      <c r="B161" t="s">
        <v>426</v>
      </c>
      <c r="C161">
        <v>2021</v>
      </c>
      <c r="D161" t="s">
        <v>54</v>
      </c>
      <c r="E161" s="1"/>
    </row>
    <row r="162" spans="1:5" x14ac:dyDescent="0.25">
      <c r="A162" t="s">
        <v>804</v>
      </c>
      <c r="B162" t="s">
        <v>813</v>
      </c>
      <c r="C162">
        <v>2007</v>
      </c>
      <c r="D162" t="s">
        <v>54</v>
      </c>
      <c r="E162" s="1"/>
    </row>
    <row r="163" spans="1:5" x14ac:dyDescent="0.25">
      <c r="A163" t="s">
        <v>251</v>
      </c>
      <c r="B163" t="s">
        <v>268</v>
      </c>
      <c r="C163">
        <v>2022</v>
      </c>
      <c r="E163" s="1" t="s">
        <v>270</v>
      </c>
    </row>
    <row r="164" spans="1:5" x14ac:dyDescent="0.25">
      <c r="A164" t="s">
        <v>321</v>
      </c>
      <c r="B164" t="s">
        <v>322</v>
      </c>
      <c r="C164">
        <v>2018</v>
      </c>
      <c r="D164" t="s">
        <v>54</v>
      </c>
      <c r="E164" s="1"/>
    </row>
    <row r="165" spans="1:5" x14ac:dyDescent="0.25">
      <c r="A165" t="s">
        <v>321</v>
      </c>
      <c r="B165" t="s">
        <v>356</v>
      </c>
      <c r="C165">
        <v>2018</v>
      </c>
      <c r="E165" s="1" t="s">
        <v>357</v>
      </c>
    </row>
    <row r="166" spans="1:5" x14ac:dyDescent="0.25">
      <c r="A166" t="s">
        <v>78</v>
      </c>
      <c r="B166" t="s">
        <v>367</v>
      </c>
      <c r="C166">
        <v>2018</v>
      </c>
      <c r="E166" s="1" t="s">
        <v>366</v>
      </c>
    </row>
    <row r="167" spans="1:5" x14ac:dyDescent="0.25">
      <c r="A167" t="s">
        <v>78</v>
      </c>
      <c r="B167" t="s">
        <v>84</v>
      </c>
      <c r="C167">
        <v>2012</v>
      </c>
      <c r="E167" s="1" t="s">
        <v>85</v>
      </c>
    </row>
    <row r="168" spans="1:5" x14ac:dyDescent="0.25">
      <c r="A168" t="s">
        <v>78</v>
      </c>
      <c r="B168" t="s">
        <v>399</v>
      </c>
      <c r="C168">
        <v>2012</v>
      </c>
      <c r="E168" s="1" t="s">
        <v>93</v>
      </c>
    </row>
    <row r="169" spans="1:5" x14ac:dyDescent="0.25">
      <c r="A169" t="s">
        <v>78</v>
      </c>
      <c r="B169" t="s">
        <v>400</v>
      </c>
      <c r="C169">
        <v>2012</v>
      </c>
      <c r="E169" s="1" t="s">
        <v>401</v>
      </c>
    </row>
    <row r="170" spans="1:5" x14ac:dyDescent="0.25">
      <c r="A170" t="s">
        <v>78</v>
      </c>
      <c r="B170" t="s">
        <v>468</v>
      </c>
      <c r="C170">
        <v>2012</v>
      </c>
      <c r="E170" s="1" t="s">
        <v>467</v>
      </c>
    </row>
    <row r="171" spans="1:5" x14ac:dyDescent="0.25">
      <c r="A171" t="s">
        <v>78</v>
      </c>
      <c r="B171" t="s">
        <v>283</v>
      </c>
      <c r="C171">
        <v>2012</v>
      </c>
      <c r="E171" s="1" t="s">
        <v>282</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308</v>
      </c>
      <c r="C174">
        <v>2012</v>
      </c>
      <c r="E174" s="1" t="s">
        <v>307</v>
      </c>
    </row>
    <row r="175" spans="1:5" x14ac:dyDescent="0.25">
      <c r="A175" t="s">
        <v>78</v>
      </c>
      <c r="B175" t="s">
        <v>192</v>
      </c>
      <c r="C175">
        <v>2012</v>
      </c>
      <c r="E175" s="1" t="s">
        <v>193</v>
      </c>
    </row>
    <row r="176" spans="1:5" x14ac:dyDescent="0.25">
      <c r="A176" t="s">
        <v>78</v>
      </c>
      <c r="B176" t="s">
        <v>490</v>
      </c>
      <c r="C176">
        <v>2012</v>
      </c>
      <c r="E176" s="1" t="s">
        <v>491</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353</v>
      </c>
      <c r="C179">
        <v>2012</v>
      </c>
      <c r="E179" s="1" t="s">
        <v>93</v>
      </c>
    </row>
    <row r="180" spans="1:5" x14ac:dyDescent="0.25">
      <c r="A180" t="s">
        <v>78</v>
      </c>
      <c r="B180" t="s">
        <v>17</v>
      </c>
      <c r="C180">
        <v>2012</v>
      </c>
      <c r="E180" s="1" t="s">
        <v>18</v>
      </c>
    </row>
    <row r="181" spans="1:5" x14ac:dyDescent="0.25">
      <c r="A181" t="s">
        <v>78</v>
      </c>
      <c r="B181" t="s">
        <v>574</v>
      </c>
      <c r="C181">
        <v>2012</v>
      </c>
      <c r="E181" s="1" t="s">
        <v>169</v>
      </c>
    </row>
    <row r="182" spans="1:5" x14ac:dyDescent="0.25">
      <c r="A182" t="s">
        <v>78</v>
      </c>
      <c r="B182" t="s">
        <v>875</v>
      </c>
      <c r="C182">
        <v>2012</v>
      </c>
      <c r="E182" s="1" t="s">
        <v>876</v>
      </c>
    </row>
    <row r="183" spans="1:5" x14ac:dyDescent="0.25">
      <c r="A183" t="s">
        <v>78</v>
      </c>
      <c r="B183" t="s">
        <v>910</v>
      </c>
      <c r="C183">
        <v>2012</v>
      </c>
      <c r="E183" s="1" t="s">
        <v>909</v>
      </c>
    </row>
    <row r="184" spans="1:5" x14ac:dyDescent="0.25">
      <c r="A184" t="s">
        <v>78</v>
      </c>
      <c r="B184" t="s">
        <v>922</v>
      </c>
      <c r="C184">
        <v>2012</v>
      </c>
      <c r="E184" s="1" t="s">
        <v>924</v>
      </c>
    </row>
    <row r="185" spans="1:5" x14ac:dyDescent="0.25">
      <c r="A185" t="s">
        <v>78</v>
      </c>
      <c r="B185" t="s">
        <v>930</v>
      </c>
      <c r="C185">
        <v>2012</v>
      </c>
      <c r="E185" s="1" t="s">
        <v>929</v>
      </c>
    </row>
    <row r="186" spans="1:5" x14ac:dyDescent="0.25">
      <c r="A186" t="s">
        <v>78</v>
      </c>
      <c r="B186" t="s">
        <v>954</v>
      </c>
      <c r="C186">
        <v>2012</v>
      </c>
      <c r="E186" s="1" t="s">
        <v>953</v>
      </c>
    </row>
    <row r="187" spans="1:5" x14ac:dyDescent="0.25">
      <c r="A187" t="s">
        <v>289</v>
      </c>
      <c r="B187" t="s">
        <v>290</v>
      </c>
      <c r="C187">
        <v>2020</v>
      </c>
      <c r="D187" t="s">
        <v>54</v>
      </c>
      <c r="E187" s="1"/>
    </row>
    <row r="188" spans="1:5" x14ac:dyDescent="0.25">
      <c r="A188" t="s">
        <v>784</v>
      </c>
      <c r="B188" t="s">
        <v>787</v>
      </c>
      <c r="C188">
        <v>2026</v>
      </c>
      <c r="D188" t="s">
        <v>54</v>
      </c>
      <c r="E188" s="1"/>
    </row>
    <row r="189" spans="1:5" x14ac:dyDescent="0.25">
      <c r="A189" t="s">
        <v>201</v>
      </c>
      <c r="B189" t="s">
        <v>206</v>
      </c>
      <c r="C189">
        <v>2020</v>
      </c>
      <c r="E189" s="1" t="s">
        <v>205</v>
      </c>
    </row>
    <row r="190" spans="1:5" x14ac:dyDescent="0.25">
      <c r="A190" t="s">
        <v>201</v>
      </c>
      <c r="B190" t="s">
        <v>952</v>
      </c>
      <c r="C190">
        <v>2020</v>
      </c>
      <c r="E190" s="1" t="s">
        <v>951</v>
      </c>
    </row>
    <row r="191" spans="1:5" x14ac:dyDescent="0.25">
      <c r="A191" t="s">
        <v>201</v>
      </c>
      <c r="B191" t="s">
        <v>966</v>
      </c>
      <c r="C191">
        <v>2020</v>
      </c>
      <c r="E191" s="1" t="s">
        <v>967</v>
      </c>
    </row>
    <row r="192" spans="1:5" x14ac:dyDescent="0.25">
      <c r="A192" t="s">
        <v>365</v>
      </c>
      <c r="B192" t="s">
        <v>932</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502</v>
      </c>
      <c r="C196">
        <v>2019</v>
      </c>
      <c r="E196" s="1" t="s">
        <v>169</v>
      </c>
    </row>
    <row r="197" spans="1:5" x14ac:dyDescent="0.25">
      <c r="A197" t="s">
        <v>196</v>
      </c>
      <c r="B197" t="s">
        <v>215</v>
      </c>
      <c r="C197">
        <v>2019</v>
      </c>
      <c r="E197" s="1" t="s">
        <v>218</v>
      </c>
    </row>
    <row r="198" spans="1:5" x14ac:dyDescent="0.25">
      <c r="A198" t="s">
        <v>196</v>
      </c>
      <c r="B198" t="s">
        <v>459</v>
      </c>
      <c r="C198">
        <v>2019</v>
      </c>
      <c r="E198" s="1" t="s">
        <v>93</v>
      </c>
    </row>
    <row r="199" spans="1:5" x14ac:dyDescent="0.25">
      <c r="A199" t="s">
        <v>196</v>
      </c>
      <c r="B199" t="s">
        <v>226</v>
      </c>
      <c r="C199">
        <v>2019</v>
      </c>
      <c r="E199" s="1" t="s">
        <v>227</v>
      </c>
    </row>
    <row r="200" spans="1:5" x14ac:dyDescent="0.25">
      <c r="A200" t="s">
        <v>196</v>
      </c>
      <c r="B200" t="s">
        <v>243</v>
      </c>
      <c r="C200">
        <v>2019</v>
      </c>
      <c r="E200" s="1" t="s">
        <v>266</v>
      </c>
    </row>
    <row r="201" spans="1:5" x14ac:dyDescent="0.25">
      <c r="A201" t="s">
        <v>196</v>
      </c>
      <c r="B201" t="s">
        <v>433</v>
      </c>
      <c r="C201">
        <v>2019</v>
      </c>
      <c r="E201" s="1" t="s">
        <v>434</v>
      </c>
    </row>
    <row r="202" spans="1:5" x14ac:dyDescent="0.25">
      <c r="A202" t="s">
        <v>196</v>
      </c>
      <c r="B202" t="s">
        <v>539</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379</v>
      </c>
      <c r="C205">
        <v>2019</v>
      </c>
      <c r="E205" s="1" t="s">
        <v>378</v>
      </c>
    </row>
    <row r="206" spans="1:5" x14ac:dyDescent="0.25">
      <c r="A206" t="s">
        <v>196</v>
      </c>
      <c r="B206" t="s">
        <v>425</v>
      </c>
      <c r="C206">
        <v>2019</v>
      </c>
      <c r="E206" s="1" t="s">
        <v>424</v>
      </c>
    </row>
    <row r="207" spans="1:5" x14ac:dyDescent="0.25">
      <c r="A207" t="s">
        <v>196</v>
      </c>
      <c r="B207" t="s">
        <v>393</v>
      </c>
      <c r="C207">
        <v>2019</v>
      </c>
      <c r="E207" s="1" t="s">
        <v>169</v>
      </c>
    </row>
    <row r="208" spans="1:5" x14ac:dyDescent="0.25">
      <c r="A208" t="s">
        <v>196</v>
      </c>
      <c r="B208" t="s">
        <v>274</v>
      </c>
      <c r="C208">
        <v>2019</v>
      </c>
      <c r="E208" s="1" t="s">
        <v>275</v>
      </c>
    </row>
    <row r="209" spans="1:5" x14ac:dyDescent="0.25">
      <c r="A209" t="s">
        <v>196</v>
      </c>
      <c r="B209" t="s">
        <v>358</v>
      </c>
      <c r="C209">
        <v>2019</v>
      </c>
      <c r="E209" s="1" t="s">
        <v>93</v>
      </c>
    </row>
    <row r="210" spans="1:5" x14ac:dyDescent="0.25">
      <c r="A210" t="s">
        <v>196</v>
      </c>
      <c r="B210" t="s">
        <v>252</v>
      </c>
      <c r="C210">
        <v>2019</v>
      </c>
      <c r="E210" s="1" t="s">
        <v>271</v>
      </c>
    </row>
    <row r="211" spans="1:5" x14ac:dyDescent="0.25">
      <c r="A211" t="s">
        <v>196</v>
      </c>
      <c r="B211" t="s">
        <v>336</v>
      </c>
      <c r="C211">
        <v>2019</v>
      </c>
      <c r="E211" s="1" t="s">
        <v>93</v>
      </c>
    </row>
    <row r="212" spans="1:5" x14ac:dyDescent="0.25">
      <c r="A212" t="s">
        <v>196</v>
      </c>
      <c r="B212" t="s">
        <v>231</v>
      </c>
      <c r="C212">
        <v>2019</v>
      </c>
      <c r="E212" s="1" t="s">
        <v>232</v>
      </c>
    </row>
    <row r="213" spans="1:5" x14ac:dyDescent="0.25">
      <c r="A213" t="s">
        <v>196</v>
      </c>
      <c r="B213" t="s">
        <v>354</v>
      </c>
      <c r="C213">
        <v>2019</v>
      </c>
      <c r="E213" s="1" t="s">
        <v>355</v>
      </c>
    </row>
    <row r="214" spans="1:5" x14ac:dyDescent="0.25">
      <c r="A214" t="s">
        <v>196</v>
      </c>
      <c r="B214" t="s">
        <v>392</v>
      </c>
      <c r="C214">
        <v>2019</v>
      </c>
      <c r="E214" s="1" t="s">
        <v>391</v>
      </c>
    </row>
    <row r="215" spans="1:5" x14ac:dyDescent="0.25">
      <c r="A215" t="s">
        <v>196</v>
      </c>
      <c r="B215" t="s">
        <v>272</v>
      </c>
      <c r="C215">
        <v>2019</v>
      </c>
      <c r="E215" s="1" t="s">
        <v>273</v>
      </c>
    </row>
    <row r="216" spans="1:5" x14ac:dyDescent="0.25">
      <c r="A216" t="s">
        <v>196</v>
      </c>
      <c r="B216" t="s">
        <v>390</v>
      </c>
      <c r="C216">
        <v>2019</v>
      </c>
      <c r="E216" s="1" t="s">
        <v>93</v>
      </c>
    </row>
    <row r="217" spans="1:5" x14ac:dyDescent="0.25">
      <c r="A217" t="s">
        <v>196</v>
      </c>
      <c r="B217" t="s">
        <v>728</v>
      </c>
      <c r="C217">
        <v>2019</v>
      </c>
      <c r="E217" s="1" t="s">
        <v>729</v>
      </c>
    </row>
    <row r="218" spans="1:5" x14ac:dyDescent="0.25">
      <c r="A218" t="s">
        <v>196</v>
      </c>
      <c r="B218" t="s">
        <v>768</v>
      </c>
      <c r="C218">
        <v>2019</v>
      </c>
      <c r="E218" s="1" t="s">
        <v>767</v>
      </c>
    </row>
    <row r="219" spans="1:5" x14ac:dyDescent="0.25">
      <c r="A219" t="s">
        <v>196</v>
      </c>
      <c r="B219" t="s">
        <v>776</v>
      </c>
      <c r="C219">
        <v>2019</v>
      </c>
      <c r="E219" s="1" t="s">
        <v>777</v>
      </c>
    </row>
    <row r="220" spans="1:5" x14ac:dyDescent="0.25">
      <c r="A220" t="s">
        <v>196</v>
      </c>
      <c r="B220" t="s">
        <v>883</v>
      </c>
      <c r="C220">
        <v>2019</v>
      </c>
      <c r="E220" s="1" t="s">
        <v>884</v>
      </c>
    </row>
    <row r="221" spans="1:5" x14ac:dyDescent="0.25">
      <c r="A221" t="s">
        <v>196</v>
      </c>
      <c r="B221" t="s">
        <v>903</v>
      </c>
      <c r="C221">
        <v>2019</v>
      </c>
      <c r="E221" s="1" t="s">
        <v>902</v>
      </c>
    </row>
    <row r="222" spans="1:5" x14ac:dyDescent="0.25">
      <c r="A222" t="s">
        <v>196</v>
      </c>
      <c r="B222" t="s">
        <v>939</v>
      </c>
      <c r="C222">
        <v>2019</v>
      </c>
      <c r="E222" s="1" t="s">
        <v>940</v>
      </c>
    </row>
    <row r="223" spans="1:5" x14ac:dyDescent="0.25">
      <c r="A223" t="s">
        <v>196</v>
      </c>
      <c r="B223" t="s">
        <v>948</v>
      </c>
      <c r="C223">
        <v>2019</v>
      </c>
      <c r="E223" s="1" t="s">
        <v>947</v>
      </c>
    </row>
    <row r="224" spans="1:5" x14ac:dyDescent="0.25">
      <c r="A224" t="s">
        <v>196</v>
      </c>
      <c r="B224" t="s">
        <v>952</v>
      </c>
      <c r="C224">
        <v>2019</v>
      </c>
      <c r="E224" s="1" t="s">
        <v>951</v>
      </c>
    </row>
    <row r="225" spans="1:5" x14ac:dyDescent="0.25">
      <c r="A225" t="s">
        <v>196</v>
      </c>
      <c r="B225" t="s">
        <v>960</v>
      </c>
      <c r="C225">
        <v>2019</v>
      </c>
      <c r="E225" s="1" t="s">
        <v>959</v>
      </c>
    </row>
    <row r="226" spans="1:5" x14ac:dyDescent="0.25">
      <c r="A226" t="s">
        <v>196</v>
      </c>
      <c r="B226" t="s">
        <v>966</v>
      </c>
      <c r="C226">
        <v>2019</v>
      </c>
      <c r="E226" s="1" t="s">
        <v>967</v>
      </c>
    </row>
    <row r="227" spans="1:5" x14ac:dyDescent="0.25">
      <c r="A227" t="s">
        <v>238</v>
      </c>
      <c r="B227" t="s">
        <v>340</v>
      </c>
      <c r="C227">
        <v>2023</v>
      </c>
      <c r="E227" s="1" t="s">
        <v>341</v>
      </c>
    </row>
    <row r="228" spans="1:5" x14ac:dyDescent="0.25">
      <c r="A228" t="s">
        <v>238</v>
      </c>
      <c r="B228" t="s">
        <v>934</v>
      </c>
      <c r="C228">
        <v>2023</v>
      </c>
      <c r="E228" s="1" t="s">
        <v>935</v>
      </c>
    </row>
    <row r="229" spans="1:5" x14ac:dyDescent="0.25">
      <c r="A229" t="s">
        <v>283</v>
      </c>
      <c r="B229" t="s">
        <v>284</v>
      </c>
      <c r="C229">
        <v>2014</v>
      </c>
      <c r="E229" s="1"/>
    </row>
    <row r="230" spans="1:5" x14ac:dyDescent="0.25">
      <c r="A230" t="s">
        <v>280</v>
      </c>
      <c r="B230" t="s">
        <v>281</v>
      </c>
      <c r="C230">
        <v>2018</v>
      </c>
      <c r="D230" t="s">
        <v>54</v>
      </c>
      <c r="E230" s="1"/>
    </row>
    <row r="231" spans="1:5" x14ac:dyDescent="0.25">
      <c r="A231" t="s">
        <v>280</v>
      </c>
      <c r="B231" t="s">
        <v>498</v>
      </c>
      <c r="C231">
        <v>2018</v>
      </c>
      <c r="E231" s="1" t="s">
        <v>93</v>
      </c>
    </row>
    <row r="232" spans="1:5" x14ac:dyDescent="0.25">
      <c r="A232" t="s">
        <v>280</v>
      </c>
      <c r="B232" t="s">
        <v>742</v>
      </c>
      <c r="C232">
        <v>2018</v>
      </c>
      <c r="E232" s="1" t="s">
        <v>743</v>
      </c>
    </row>
    <row r="233" spans="1:5" x14ac:dyDescent="0.25">
      <c r="A233" t="s">
        <v>293</v>
      </c>
      <c r="B233" t="s">
        <v>158</v>
      </c>
      <c r="C233">
        <v>2021</v>
      </c>
      <c r="E233" s="1" t="s">
        <v>93</v>
      </c>
    </row>
    <row r="234" spans="1:5" x14ac:dyDescent="0.25">
      <c r="A234" t="s">
        <v>293</v>
      </c>
      <c r="B234" t="s">
        <v>320</v>
      </c>
      <c r="C234">
        <v>2021</v>
      </c>
      <c r="E234" s="1" t="s">
        <v>319</v>
      </c>
    </row>
    <row r="235" spans="1:5" x14ac:dyDescent="0.25">
      <c r="A235" t="s">
        <v>293</v>
      </c>
      <c r="B235" t="s">
        <v>294</v>
      </c>
      <c r="C235">
        <v>2021</v>
      </c>
      <c r="E235" s="1" t="s">
        <v>295</v>
      </c>
    </row>
    <row r="236" spans="1:5" x14ac:dyDescent="0.25">
      <c r="A236" t="s">
        <v>293</v>
      </c>
      <c r="B236" t="s">
        <v>837</v>
      </c>
      <c r="C236">
        <v>2021</v>
      </c>
      <c r="E236" s="1" t="s">
        <v>839</v>
      </c>
    </row>
    <row r="237" spans="1:5" x14ac:dyDescent="0.25">
      <c r="A237" t="s">
        <v>293</v>
      </c>
      <c r="B237" t="s">
        <v>901</v>
      </c>
      <c r="C237">
        <v>2021</v>
      </c>
      <c r="E237" s="1" t="s">
        <v>93</v>
      </c>
    </row>
    <row r="238" spans="1:5" x14ac:dyDescent="0.25">
      <c r="A238" t="s">
        <v>293</v>
      </c>
      <c r="B238" t="s">
        <v>912</v>
      </c>
      <c r="C238">
        <v>2021</v>
      </c>
      <c r="E238" s="1" t="s">
        <v>913</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399</v>
      </c>
      <c r="C241">
        <v>2018</v>
      </c>
      <c r="E241" s="1" t="s">
        <v>93</v>
      </c>
    </row>
    <row r="242" spans="1:5" x14ac:dyDescent="0.25">
      <c r="A242" t="s">
        <v>89</v>
      </c>
      <c r="B242" t="s">
        <v>468</v>
      </c>
      <c r="C242">
        <v>2018</v>
      </c>
      <c r="E242" s="1" t="s">
        <v>467</v>
      </c>
    </row>
    <row r="243" spans="1:5" x14ac:dyDescent="0.25">
      <c r="A243" t="s">
        <v>89</v>
      </c>
      <c r="B243" t="s">
        <v>427</v>
      </c>
      <c r="C243">
        <v>2018</v>
      </c>
      <c r="E243" s="1" t="s">
        <v>428</v>
      </c>
    </row>
    <row r="244" spans="1:5" x14ac:dyDescent="0.25">
      <c r="A244" t="s">
        <v>89</v>
      </c>
      <c r="B244" t="s">
        <v>162</v>
      </c>
      <c r="C244">
        <v>2018</v>
      </c>
      <c r="E244" s="1" t="s">
        <v>163</v>
      </c>
    </row>
    <row r="245" spans="1:5" x14ac:dyDescent="0.25">
      <c r="A245" t="s">
        <v>89</v>
      </c>
      <c r="B245" t="s">
        <v>315</v>
      </c>
      <c r="C245">
        <v>2018</v>
      </c>
      <c r="E245" s="1" t="s">
        <v>317</v>
      </c>
    </row>
    <row r="246" spans="1:5" x14ac:dyDescent="0.25">
      <c r="A246" t="s">
        <v>89</v>
      </c>
      <c r="B246" t="s">
        <v>752</v>
      </c>
      <c r="C246">
        <v>2018</v>
      </c>
      <c r="E246" s="1" t="s">
        <v>753</v>
      </c>
    </row>
    <row r="247" spans="1:5" x14ac:dyDescent="0.25">
      <c r="A247" t="s">
        <v>89</v>
      </c>
      <c r="B247" t="s">
        <v>754</v>
      </c>
      <c r="C247">
        <v>2018</v>
      </c>
      <c r="E247" s="1" t="s">
        <v>755</v>
      </c>
    </row>
    <row r="248" spans="1:5" x14ac:dyDescent="0.25">
      <c r="A248" t="s">
        <v>89</v>
      </c>
      <c r="B248" t="s">
        <v>870</v>
      </c>
      <c r="C248">
        <v>2018</v>
      </c>
      <c r="E248" s="1" t="s">
        <v>869</v>
      </c>
    </row>
    <row r="249" spans="1:5" x14ac:dyDescent="0.25">
      <c r="A249" t="s">
        <v>817</v>
      </c>
      <c r="B249" t="s">
        <v>818</v>
      </c>
      <c r="C249">
        <v>2006</v>
      </c>
      <c r="D249" t="s">
        <v>54</v>
      </c>
      <c r="E249" s="1"/>
    </row>
    <row r="250" spans="1:5" x14ac:dyDescent="0.25">
      <c r="A250" t="s">
        <v>296</v>
      </c>
      <c r="B250" t="s">
        <v>297</v>
      </c>
      <c r="C250">
        <v>2016</v>
      </c>
      <c r="E250" s="1" t="s">
        <v>93</v>
      </c>
    </row>
    <row r="251" spans="1:5" x14ac:dyDescent="0.25">
      <c r="A251" t="s">
        <v>296</v>
      </c>
      <c r="B251" t="s">
        <v>599</v>
      </c>
      <c r="C251">
        <v>2016</v>
      </c>
      <c r="E251" s="1" t="s">
        <v>169</v>
      </c>
    </row>
    <row r="252" spans="1:5" x14ac:dyDescent="0.25">
      <c r="A252" t="s">
        <v>42</v>
      </c>
      <c r="B252" t="s">
        <v>44</v>
      </c>
      <c r="C252">
        <v>1995</v>
      </c>
      <c r="E252" s="1" t="s">
        <v>45</v>
      </c>
    </row>
    <row r="253" spans="1:5" x14ac:dyDescent="0.25">
      <c r="A253" t="s">
        <v>42</v>
      </c>
      <c r="B253" t="s">
        <v>493</v>
      </c>
      <c r="C253">
        <v>1995</v>
      </c>
      <c r="E253" s="1" t="s">
        <v>492</v>
      </c>
    </row>
    <row r="254" spans="1:5" x14ac:dyDescent="0.25">
      <c r="A254" t="s">
        <v>292</v>
      </c>
      <c r="B254" t="s">
        <v>903</v>
      </c>
      <c r="C254">
        <v>2021</v>
      </c>
      <c r="E254" s="1" t="s">
        <v>902</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368</v>
      </c>
      <c r="C258">
        <v>2021</v>
      </c>
      <c r="E258" s="1" t="s">
        <v>93</v>
      </c>
    </row>
    <row r="259" spans="1:5" x14ac:dyDescent="0.25">
      <c r="A259" t="s">
        <v>126</v>
      </c>
      <c r="B259" t="s">
        <v>130</v>
      </c>
      <c r="C259">
        <v>2021</v>
      </c>
      <c r="E259" s="1" t="s">
        <v>93</v>
      </c>
    </row>
    <row r="260" spans="1:5" x14ac:dyDescent="0.25">
      <c r="A260" t="s">
        <v>126</v>
      </c>
      <c r="B260" t="s">
        <v>377</v>
      </c>
      <c r="C260">
        <v>2021</v>
      </c>
      <c r="E260" s="1" t="s">
        <v>376</v>
      </c>
    </row>
    <row r="261" spans="1:5" x14ac:dyDescent="0.25">
      <c r="A261" t="s">
        <v>126</v>
      </c>
      <c r="B261" t="s">
        <v>128</v>
      </c>
      <c r="C261">
        <v>2021</v>
      </c>
      <c r="E261" s="1" t="s">
        <v>93</v>
      </c>
    </row>
    <row r="262" spans="1:5" x14ac:dyDescent="0.25">
      <c r="A262" t="s">
        <v>126</v>
      </c>
      <c r="B262" t="s">
        <v>436</v>
      </c>
      <c r="C262">
        <v>2021</v>
      </c>
      <c r="E262" s="1" t="s">
        <v>169</v>
      </c>
    </row>
    <row r="263" spans="1:5" x14ac:dyDescent="0.25">
      <c r="A263" t="s">
        <v>126</v>
      </c>
      <c r="B263" t="s">
        <v>351</v>
      </c>
      <c r="C263">
        <v>2021</v>
      </c>
      <c r="E263" s="1" t="s">
        <v>169</v>
      </c>
    </row>
    <row r="264" spans="1:5" x14ac:dyDescent="0.25">
      <c r="A264" t="s">
        <v>126</v>
      </c>
      <c r="B264" t="s">
        <v>523</v>
      </c>
      <c r="C264">
        <v>2021</v>
      </c>
      <c r="E264" s="1" t="s">
        <v>522</v>
      </c>
    </row>
    <row r="265" spans="1:5" x14ac:dyDescent="0.25">
      <c r="A265" t="s">
        <v>126</v>
      </c>
      <c r="B265" t="s">
        <v>510</v>
      </c>
      <c r="C265">
        <v>2021</v>
      </c>
      <c r="E265" s="1" t="s">
        <v>93</v>
      </c>
    </row>
    <row r="266" spans="1:5" x14ac:dyDescent="0.25">
      <c r="A266" t="s">
        <v>126</v>
      </c>
      <c r="B266" t="s">
        <v>745</v>
      </c>
      <c r="C266">
        <v>2021</v>
      </c>
      <c r="E266" s="1" t="s">
        <v>744</v>
      </c>
    </row>
    <row r="267" spans="1:5" x14ac:dyDescent="0.25">
      <c r="A267" t="s">
        <v>126</v>
      </c>
      <c r="B267" t="s">
        <v>832</v>
      </c>
      <c r="C267">
        <v>2021</v>
      </c>
      <c r="E267" s="1" t="s">
        <v>833</v>
      </c>
    </row>
    <row r="268" spans="1:5" x14ac:dyDescent="0.25">
      <c r="A268" t="s">
        <v>126</v>
      </c>
      <c r="B268" t="s">
        <v>842</v>
      </c>
      <c r="C268">
        <v>2021</v>
      </c>
      <c r="E268" s="1" t="s">
        <v>843</v>
      </c>
    </row>
    <row r="269" spans="1:5" x14ac:dyDescent="0.25">
      <c r="A269" t="s">
        <v>126</v>
      </c>
      <c r="B269" t="s">
        <v>866</v>
      </c>
      <c r="C269">
        <v>2021</v>
      </c>
      <c r="E269" s="1" t="s">
        <v>868</v>
      </c>
    </row>
    <row r="270" spans="1:5" x14ac:dyDescent="0.25">
      <c r="A270" t="s">
        <v>233</v>
      </c>
      <c r="B270" t="s">
        <v>234</v>
      </c>
      <c r="C270">
        <v>2019</v>
      </c>
      <c r="E270" s="1" t="s">
        <v>235</v>
      </c>
    </row>
    <row r="271" spans="1:5" x14ac:dyDescent="0.25">
      <c r="A271" t="s">
        <v>168</v>
      </c>
      <c r="B271" t="s">
        <v>468</v>
      </c>
      <c r="C271">
        <v>2020</v>
      </c>
      <c r="E271" s="1" t="s">
        <v>467</v>
      </c>
    </row>
    <row r="272" spans="1:5" x14ac:dyDescent="0.25">
      <c r="A272" t="s">
        <v>168</v>
      </c>
      <c r="B272" t="s">
        <v>358</v>
      </c>
      <c r="C272">
        <v>2020</v>
      </c>
      <c r="E272" s="1" t="s">
        <v>93</v>
      </c>
    </row>
    <row r="273" spans="1:5" x14ac:dyDescent="0.25">
      <c r="A273" t="s">
        <v>168</v>
      </c>
      <c r="B273" t="s">
        <v>172</v>
      </c>
      <c r="C273">
        <v>2020</v>
      </c>
      <c r="E273" s="1" t="s">
        <v>173</v>
      </c>
    </row>
    <row r="274" spans="1:5" x14ac:dyDescent="0.25">
      <c r="A274" t="s">
        <v>168</v>
      </c>
      <c r="B274" t="s">
        <v>780</v>
      </c>
      <c r="C274">
        <v>2020</v>
      </c>
      <c r="D274" t="s">
        <v>54</v>
      </c>
      <c r="E274" s="1"/>
    </row>
    <row r="275" spans="1:5" x14ac:dyDescent="0.25">
      <c r="A275" t="s">
        <v>168</v>
      </c>
      <c r="B275" t="s">
        <v>837</v>
      </c>
      <c r="C275">
        <v>2020</v>
      </c>
      <c r="E275" s="1" t="s">
        <v>839</v>
      </c>
    </row>
    <row r="276" spans="1:5" x14ac:dyDescent="0.25">
      <c r="A276" t="s">
        <v>168</v>
      </c>
      <c r="B276" t="s">
        <v>906</v>
      </c>
      <c r="C276">
        <v>2020</v>
      </c>
      <c r="E276" s="1" t="s">
        <v>93</v>
      </c>
    </row>
    <row r="277" spans="1:5" x14ac:dyDescent="0.25">
      <c r="A277" t="s">
        <v>168</v>
      </c>
      <c r="B277" t="s">
        <v>912</v>
      </c>
      <c r="C277">
        <v>2020</v>
      </c>
      <c r="E277" s="1" t="s">
        <v>913</v>
      </c>
    </row>
    <row r="278" spans="1:5" x14ac:dyDescent="0.25">
      <c r="A278" t="s">
        <v>896</v>
      </c>
      <c r="B278" t="s">
        <v>898</v>
      </c>
      <c r="C278">
        <v>2018</v>
      </c>
      <c r="D278" t="s">
        <v>54</v>
      </c>
      <c r="E278" s="1"/>
    </row>
    <row r="279" spans="1:5" x14ac:dyDescent="0.25">
      <c r="A279" t="s">
        <v>19</v>
      </c>
      <c r="B279" t="s">
        <v>21</v>
      </c>
      <c r="C279">
        <v>1983</v>
      </c>
      <c r="E279" s="1" t="s">
        <v>22</v>
      </c>
    </row>
    <row r="280" spans="1:5" x14ac:dyDescent="0.25">
      <c r="A280" t="s">
        <v>789</v>
      </c>
      <c r="B280" t="s">
        <v>791</v>
      </c>
      <c r="C280">
        <v>1995</v>
      </c>
      <c r="D280" t="s">
        <v>54</v>
      </c>
      <c r="E280" s="1"/>
    </row>
    <row r="281" spans="1:5" x14ac:dyDescent="0.25">
      <c r="A281" t="s">
        <v>789</v>
      </c>
      <c r="B281" t="s">
        <v>794</v>
      </c>
      <c r="C281">
        <v>1995</v>
      </c>
      <c r="D281" t="s">
        <v>54</v>
      </c>
      <c r="E281" s="1"/>
    </row>
    <row r="282" spans="1:5" x14ac:dyDescent="0.25">
      <c r="A282" t="s">
        <v>789</v>
      </c>
      <c r="B282" t="s">
        <v>69</v>
      </c>
      <c r="C282">
        <v>1995</v>
      </c>
      <c r="E282" s="1" t="s">
        <v>816</v>
      </c>
    </row>
    <row r="283" spans="1:5" x14ac:dyDescent="0.25">
      <c r="A283" t="s">
        <v>789</v>
      </c>
      <c r="B283" t="s">
        <v>830</v>
      </c>
      <c r="C283">
        <v>1995</v>
      </c>
      <c r="E283" s="1" t="s">
        <v>829</v>
      </c>
    </row>
    <row r="284" spans="1:5" x14ac:dyDescent="0.25">
      <c r="A284" t="s">
        <v>338</v>
      </c>
      <c r="B284" t="s">
        <v>339</v>
      </c>
      <c r="C284">
        <v>2022</v>
      </c>
      <c r="D284" t="s">
        <v>54</v>
      </c>
      <c r="E284" s="1"/>
    </row>
    <row r="285" spans="1:5" x14ac:dyDescent="0.25">
      <c r="A285" t="s">
        <v>338</v>
      </c>
      <c r="B285" t="s">
        <v>934</v>
      </c>
      <c r="C285">
        <v>2022</v>
      </c>
      <c r="E285" s="1" t="s">
        <v>938</v>
      </c>
    </row>
    <row r="286" spans="1:5" x14ac:dyDescent="0.25">
      <c r="A286" t="s">
        <v>536</v>
      </c>
      <c r="B286" t="s">
        <v>874</v>
      </c>
      <c r="C286">
        <v>2019</v>
      </c>
      <c r="D286" t="s">
        <v>54</v>
      </c>
      <c r="E286" s="1"/>
    </row>
    <row r="287" spans="1:5" x14ac:dyDescent="0.25">
      <c r="A287" t="s">
        <v>31</v>
      </c>
      <c r="B287" t="s">
        <v>63</v>
      </c>
      <c r="C287">
        <v>1987</v>
      </c>
      <c r="E287" s="1" t="s">
        <v>66</v>
      </c>
    </row>
    <row r="288" spans="1:5" x14ac:dyDescent="0.25">
      <c r="A288" t="s">
        <v>31</v>
      </c>
      <c r="B288" t="s">
        <v>398</v>
      </c>
      <c r="C288">
        <v>1987</v>
      </c>
      <c r="E288" s="1" t="s">
        <v>397</v>
      </c>
    </row>
    <row r="289" spans="1:5" x14ac:dyDescent="0.25">
      <c r="A289" t="s">
        <v>31</v>
      </c>
      <c r="B289" t="s">
        <v>76</v>
      </c>
      <c r="C289">
        <v>1987</v>
      </c>
      <c r="E289" s="1" t="s">
        <v>77</v>
      </c>
    </row>
    <row r="290" spans="1:5" x14ac:dyDescent="0.25">
      <c r="A290" t="s">
        <v>31</v>
      </c>
      <c r="B290" t="s">
        <v>402</v>
      </c>
      <c r="C290">
        <v>1987</v>
      </c>
      <c r="E290" s="1" t="s">
        <v>403</v>
      </c>
    </row>
    <row r="291" spans="1:5" x14ac:dyDescent="0.25">
      <c r="A291" t="s">
        <v>31</v>
      </c>
      <c r="B291" t="s">
        <v>40</v>
      </c>
      <c r="C291">
        <v>1987</v>
      </c>
      <c r="E291" s="1"/>
    </row>
    <row r="292" spans="1:5" x14ac:dyDescent="0.25">
      <c r="A292" t="s">
        <v>31</v>
      </c>
      <c r="B292" t="s">
        <v>327</v>
      </c>
      <c r="C292">
        <v>1987</v>
      </c>
      <c r="E292" s="1" t="s">
        <v>326</v>
      </c>
    </row>
    <row r="293" spans="1:5" x14ac:dyDescent="0.25">
      <c r="A293" t="s">
        <v>31</v>
      </c>
      <c r="B293" t="s">
        <v>42</v>
      </c>
      <c r="C293">
        <v>1987</v>
      </c>
      <c r="E293" s="1" t="s">
        <v>43</v>
      </c>
    </row>
    <row r="294" spans="1:5" x14ac:dyDescent="0.25">
      <c r="A294" t="s">
        <v>31</v>
      </c>
      <c r="B294" t="s">
        <v>455</v>
      </c>
      <c r="C294">
        <v>1987</v>
      </c>
      <c r="E294" s="1" t="s">
        <v>93</v>
      </c>
    </row>
    <row r="295" spans="1:5" x14ac:dyDescent="0.25">
      <c r="A295" t="s">
        <v>31</v>
      </c>
      <c r="B295" t="s">
        <v>55</v>
      </c>
      <c r="C295">
        <v>1987</v>
      </c>
      <c r="E295" s="1" t="s">
        <v>56</v>
      </c>
    </row>
    <row r="296" spans="1:5" x14ac:dyDescent="0.25">
      <c r="A296" t="s">
        <v>31</v>
      </c>
      <c r="B296" t="s">
        <v>480</v>
      </c>
      <c r="C296">
        <v>1987</v>
      </c>
      <c r="E296" s="1" t="s">
        <v>479</v>
      </c>
    </row>
    <row r="297" spans="1:5" x14ac:dyDescent="0.25">
      <c r="A297" t="s">
        <v>31</v>
      </c>
      <c r="B297" t="s">
        <v>64</v>
      </c>
      <c r="C297">
        <v>1987</v>
      </c>
      <c r="E297" s="1" t="s">
        <v>65</v>
      </c>
    </row>
    <row r="298" spans="1:5" x14ac:dyDescent="0.25">
      <c r="A298" t="s">
        <v>31</v>
      </c>
      <c r="B298" t="s">
        <v>493</v>
      </c>
      <c r="C298">
        <v>1987</v>
      </c>
      <c r="E298" s="1" t="s">
        <v>492</v>
      </c>
    </row>
    <row r="299" spans="1:5" x14ac:dyDescent="0.25">
      <c r="A299" t="s">
        <v>31</v>
      </c>
      <c r="B299" t="s">
        <v>587</v>
      </c>
      <c r="C299">
        <v>1987</v>
      </c>
      <c r="E299" s="1" t="s">
        <v>588</v>
      </c>
    </row>
    <row r="300" spans="1:5" x14ac:dyDescent="0.25">
      <c r="A300" t="s">
        <v>946</v>
      </c>
      <c r="B300" t="s">
        <v>945</v>
      </c>
      <c r="C300">
        <v>1987</v>
      </c>
      <c r="E300" s="1" t="s">
        <v>93</v>
      </c>
    </row>
    <row r="301" spans="1:5" x14ac:dyDescent="0.25">
      <c r="A301" t="s">
        <v>287</v>
      </c>
      <c r="B301" t="s">
        <v>476</v>
      </c>
      <c r="C301">
        <v>2019</v>
      </c>
      <c r="E301" s="1" t="s">
        <v>475</v>
      </c>
    </row>
    <row r="302" spans="1:5" x14ac:dyDescent="0.25">
      <c r="A302" t="s">
        <v>287</v>
      </c>
      <c r="B302" t="s">
        <v>782</v>
      </c>
      <c r="C302">
        <v>2019</v>
      </c>
      <c r="E302" s="1" t="s">
        <v>783</v>
      </c>
    </row>
    <row r="303" spans="1:5" x14ac:dyDescent="0.25">
      <c r="A303" t="s">
        <v>287</v>
      </c>
      <c r="B303" t="s">
        <v>851</v>
      </c>
      <c r="C303">
        <v>2019</v>
      </c>
      <c r="E303" s="1" t="s">
        <v>850</v>
      </c>
    </row>
    <row r="304" spans="1:5" x14ac:dyDescent="0.25">
      <c r="A304" t="s">
        <v>287</v>
      </c>
      <c r="B304" t="s">
        <v>852</v>
      </c>
      <c r="C304">
        <v>2019</v>
      </c>
      <c r="E304" s="1" t="s">
        <v>853</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541</v>
      </c>
      <c r="C308">
        <v>2015</v>
      </c>
      <c r="E308" s="1" t="s">
        <v>542</v>
      </c>
    </row>
    <row r="309" spans="1:5" x14ac:dyDescent="0.25">
      <c r="A309" t="s">
        <v>183</v>
      </c>
      <c r="B309" t="s">
        <v>464</v>
      </c>
      <c r="C309">
        <v>2015</v>
      </c>
      <c r="E309" s="1" t="s">
        <v>463</v>
      </c>
    </row>
    <row r="310" spans="1:5" x14ac:dyDescent="0.25">
      <c r="A310" t="s">
        <v>183</v>
      </c>
      <c r="B310" t="s">
        <v>519</v>
      </c>
      <c r="C310">
        <v>2015</v>
      </c>
      <c r="E310" s="1" t="s">
        <v>518</v>
      </c>
    </row>
    <row r="311" spans="1:5" x14ac:dyDescent="0.25">
      <c r="A311" t="s">
        <v>183</v>
      </c>
      <c r="B311" t="s">
        <v>192</v>
      </c>
      <c r="C311">
        <v>2015</v>
      </c>
      <c r="E311" s="1" t="s">
        <v>193</v>
      </c>
    </row>
    <row r="312" spans="1:5" x14ac:dyDescent="0.25">
      <c r="A312" t="s">
        <v>183</v>
      </c>
      <c r="B312" t="s">
        <v>504</v>
      </c>
      <c r="C312">
        <v>2015</v>
      </c>
      <c r="E312" s="1" t="s">
        <v>503</v>
      </c>
    </row>
    <row r="313" spans="1:5" x14ac:dyDescent="0.25">
      <c r="A313" t="s">
        <v>183</v>
      </c>
      <c r="B313" t="s">
        <v>431</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272</v>
      </c>
      <c r="C316">
        <v>2015</v>
      </c>
      <c r="E316" s="1" t="s">
        <v>273</v>
      </c>
    </row>
    <row r="317" spans="1:5" x14ac:dyDescent="0.25">
      <c r="A317" t="s">
        <v>183</v>
      </c>
      <c r="B317" t="s">
        <v>223</v>
      </c>
      <c r="C317">
        <v>2015</v>
      </c>
      <c r="E317" s="1" t="s">
        <v>224</v>
      </c>
    </row>
    <row r="318" spans="1:5" x14ac:dyDescent="0.25">
      <c r="A318" t="s">
        <v>183</v>
      </c>
      <c r="B318" t="s">
        <v>784</v>
      </c>
      <c r="C318">
        <v>2015</v>
      </c>
      <c r="E318" s="1" t="s">
        <v>786</v>
      </c>
    </row>
    <row r="319" spans="1:5" x14ac:dyDescent="0.25">
      <c r="A319" t="s">
        <v>153</v>
      </c>
      <c r="B319" t="s">
        <v>150</v>
      </c>
      <c r="C319">
        <v>2021</v>
      </c>
      <c r="E319" s="1" t="s">
        <v>93</v>
      </c>
    </row>
    <row r="320" spans="1:5" x14ac:dyDescent="0.25">
      <c r="A320" t="s">
        <v>754</v>
      </c>
      <c r="B320" t="s">
        <v>752</v>
      </c>
      <c r="C320">
        <v>2021</v>
      </c>
      <c r="E320" s="1" t="s">
        <v>753</v>
      </c>
    </row>
    <row r="321" spans="1:5" x14ac:dyDescent="0.25">
      <c r="A321" t="s">
        <v>113</v>
      </c>
      <c r="B321" t="s">
        <v>122</v>
      </c>
      <c r="C321">
        <v>2022</v>
      </c>
      <c r="E321" s="1" t="s">
        <v>121</v>
      </c>
    </row>
    <row r="322" spans="1:5" x14ac:dyDescent="0.25">
      <c r="A322" t="s">
        <v>113</v>
      </c>
      <c r="B322" t="s">
        <v>842</v>
      </c>
      <c r="C322">
        <v>2022</v>
      </c>
      <c r="E322" s="1" t="s">
        <v>843</v>
      </c>
    </row>
    <row r="323" spans="1:5" x14ac:dyDescent="0.25">
      <c r="A323" t="s">
        <v>113</v>
      </c>
      <c r="B323" t="s">
        <v>859</v>
      </c>
      <c r="C323">
        <v>2022</v>
      </c>
      <c r="E323" s="1" t="s">
        <v>860</v>
      </c>
    </row>
    <row r="324" spans="1:5" x14ac:dyDescent="0.25">
      <c r="A324" t="s">
        <v>73</v>
      </c>
      <c r="B324" t="s">
        <v>74</v>
      </c>
      <c r="C324">
        <v>2012</v>
      </c>
      <c r="D324" t="s">
        <v>54</v>
      </c>
      <c r="E324" s="1"/>
    </row>
    <row r="325" spans="1:5" x14ac:dyDescent="0.25">
      <c r="A325" t="s">
        <v>73</v>
      </c>
      <c r="B325" t="s">
        <v>956</v>
      </c>
      <c r="C325">
        <v>2012</v>
      </c>
      <c r="E325" s="1" t="s">
        <v>955</v>
      </c>
    </row>
    <row r="326" spans="1:5" x14ac:dyDescent="0.25">
      <c r="A326" t="s">
        <v>803</v>
      </c>
      <c r="B326" t="s">
        <v>806</v>
      </c>
      <c r="C326">
        <v>2007</v>
      </c>
      <c r="D326" t="s">
        <v>54</v>
      </c>
      <c r="E326" s="1"/>
    </row>
    <row r="327" spans="1:5" x14ac:dyDescent="0.25">
      <c r="A327" t="s">
        <v>799</v>
      </c>
      <c r="B327" t="s">
        <v>800</v>
      </c>
      <c r="C327">
        <v>2005</v>
      </c>
      <c r="E327" s="1" t="s">
        <v>801</v>
      </c>
    </row>
    <row r="328" spans="1:5" x14ac:dyDescent="0.25">
      <c r="A328" t="s">
        <v>799</v>
      </c>
      <c r="B328" t="s">
        <v>803</v>
      </c>
      <c r="C328">
        <v>2005</v>
      </c>
      <c r="D328" t="s">
        <v>54</v>
      </c>
      <c r="E328" s="1"/>
    </row>
    <row r="329" spans="1:5" x14ac:dyDescent="0.25">
      <c r="A329" t="s">
        <v>799</v>
      </c>
      <c r="B329" t="s">
        <v>809</v>
      </c>
      <c r="C329">
        <v>2005</v>
      </c>
      <c r="D329" t="s">
        <v>54</v>
      </c>
      <c r="E329" s="1"/>
    </row>
    <row r="330" spans="1:5" x14ac:dyDescent="0.25">
      <c r="A330" t="s">
        <v>799</v>
      </c>
      <c r="B330" t="s">
        <v>810</v>
      </c>
      <c r="C330">
        <v>2005</v>
      </c>
      <c r="D330" t="s">
        <v>54</v>
      </c>
      <c r="E330" s="1"/>
    </row>
    <row r="331" spans="1:5" x14ac:dyDescent="0.25">
      <c r="A331" t="s">
        <v>799</v>
      </c>
      <c r="B331" t="s">
        <v>814</v>
      </c>
      <c r="C331">
        <v>2005</v>
      </c>
      <c r="D331" t="s">
        <v>54</v>
      </c>
      <c r="E331" s="1"/>
    </row>
    <row r="332" spans="1:5" x14ac:dyDescent="0.25">
      <c r="A332" t="s">
        <v>139</v>
      </c>
      <c r="B332" t="s">
        <v>138</v>
      </c>
      <c r="C332">
        <v>2020</v>
      </c>
      <c r="E332" s="1" t="s">
        <v>137</v>
      </c>
    </row>
    <row r="333" spans="1:5" x14ac:dyDescent="0.25">
      <c r="A333" t="s">
        <v>55</v>
      </c>
      <c r="B333" t="s">
        <v>830</v>
      </c>
      <c r="C333">
        <v>2003</v>
      </c>
      <c r="E333" s="1" t="s">
        <v>829</v>
      </c>
    </row>
    <row r="334" spans="1:5" x14ac:dyDescent="0.25">
      <c r="A334" t="s">
        <v>166</v>
      </c>
      <c r="B334" t="s">
        <v>875</v>
      </c>
      <c r="C334">
        <v>2023</v>
      </c>
      <c r="E334" s="1" t="s">
        <v>876</v>
      </c>
    </row>
    <row r="335" spans="1:5" x14ac:dyDescent="0.25">
      <c r="A335" t="s">
        <v>984</v>
      </c>
      <c r="B335" t="s">
        <v>983</v>
      </c>
      <c r="C335">
        <v>2023</v>
      </c>
      <c r="E335" s="1" t="s">
        <v>982</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274</v>
      </c>
      <c r="C339">
        <v>2013</v>
      </c>
      <c r="E339" s="1" t="s">
        <v>275</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500</v>
      </c>
      <c r="C342">
        <v>2013</v>
      </c>
      <c r="E342" s="1" t="s">
        <v>499</v>
      </c>
    </row>
    <row r="343" spans="1:5" x14ac:dyDescent="0.25">
      <c r="A343" t="s">
        <v>174</v>
      </c>
      <c r="B343" t="s">
        <v>172</v>
      </c>
      <c r="C343">
        <v>2013</v>
      </c>
      <c r="E343" s="1" t="s">
        <v>173</v>
      </c>
    </row>
    <row r="344" spans="1:5" x14ac:dyDescent="0.25">
      <c r="A344" t="s">
        <v>174</v>
      </c>
      <c r="B344" t="s">
        <v>875</v>
      </c>
      <c r="C344">
        <v>2013</v>
      </c>
      <c r="E344" s="1" t="s">
        <v>876</v>
      </c>
    </row>
    <row r="345" spans="1:5" x14ac:dyDescent="0.25">
      <c r="A345" t="s">
        <v>177</v>
      </c>
      <c r="B345" t="s">
        <v>331</v>
      </c>
      <c r="C345">
        <v>2020</v>
      </c>
      <c r="E345" s="1" t="s">
        <v>330</v>
      </c>
    </row>
    <row r="346" spans="1:5" x14ac:dyDescent="0.25">
      <c r="A346" t="s">
        <v>177</v>
      </c>
      <c r="B346" t="s">
        <v>178</v>
      </c>
      <c r="C346">
        <v>2020</v>
      </c>
      <c r="E346" s="1" t="s">
        <v>93</v>
      </c>
    </row>
    <row r="347" spans="1:5" x14ac:dyDescent="0.25">
      <c r="A347" t="s">
        <v>177</v>
      </c>
      <c r="B347" t="s">
        <v>711</v>
      </c>
      <c r="C347">
        <v>2020</v>
      </c>
      <c r="E347" s="1" t="s">
        <v>712</v>
      </c>
    </row>
    <row r="348" spans="1:5" x14ac:dyDescent="0.25">
      <c r="A348" t="s">
        <v>177</v>
      </c>
      <c r="B348" t="s">
        <v>772</v>
      </c>
      <c r="C348">
        <v>2020</v>
      </c>
      <c r="E348" s="1" t="s">
        <v>169</v>
      </c>
    </row>
    <row r="349" spans="1:5" x14ac:dyDescent="0.25">
      <c r="A349" t="s">
        <v>177</v>
      </c>
      <c r="B349" t="s">
        <v>873</v>
      </c>
      <c r="C349">
        <v>2020</v>
      </c>
      <c r="E349" s="1" t="s">
        <v>93</v>
      </c>
    </row>
    <row r="350" spans="1:5" x14ac:dyDescent="0.25">
      <c r="A350" t="s">
        <v>177</v>
      </c>
      <c r="B350" t="s">
        <v>952</v>
      </c>
      <c r="C350">
        <v>2020</v>
      </c>
      <c r="E350" s="1" t="s">
        <v>951</v>
      </c>
    </row>
    <row r="351" spans="1:5" x14ac:dyDescent="0.25">
      <c r="A351" t="s">
        <v>177</v>
      </c>
      <c r="B351" t="s">
        <v>983</v>
      </c>
      <c r="C351">
        <v>2020</v>
      </c>
      <c r="E351" s="1" t="s">
        <v>982</v>
      </c>
    </row>
    <row r="352" spans="1:5" x14ac:dyDescent="0.25">
      <c r="A352" t="s">
        <v>206</v>
      </c>
      <c r="B352" t="s">
        <v>983</v>
      </c>
      <c r="C352">
        <v>2020</v>
      </c>
      <c r="E352" s="1" t="s">
        <v>982</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477</v>
      </c>
      <c r="C355">
        <v>1980</v>
      </c>
      <c r="E355" s="1" t="s">
        <v>478</v>
      </c>
    </row>
    <row r="356" spans="1:5" x14ac:dyDescent="0.25">
      <c r="A356" t="s">
        <v>0</v>
      </c>
      <c r="B356" t="s">
        <v>24</v>
      </c>
      <c r="C356">
        <v>1980</v>
      </c>
      <c r="E356" s="1" t="s">
        <v>175</v>
      </c>
    </row>
    <row r="357" spans="1:5" x14ac:dyDescent="0.25">
      <c r="A357" t="s">
        <v>0</v>
      </c>
      <c r="B357" t="s">
        <v>557</v>
      </c>
      <c r="C357">
        <v>1980</v>
      </c>
      <c r="E357" s="1" t="s">
        <v>558</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441</v>
      </c>
      <c r="C361">
        <v>1980</v>
      </c>
      <c r="E361" s="1" t="s">
        <v>442</v>
      </c>
    </row>
    <row r="362" spans="1:5" x14ac:dyDescent="0.25">
      <c r="A362" t="s">
        <v>0</v>
      </c>
      <c r="B362" t="s">
        <v>480</v>
      </c>
      <c r="C362">
        <v>1980</v>
      </c>
      <c r="E362" s="1" t="s">
        <v>479</v>
      </c>
    </row>
    <row r="363" spans="1:5" x14ac:dyDescent="0.25">
      <c r="A363" t="s">
        <v>0</v>
      </c>
      <c r="B363" t="s">
        <v>25</v>
      </c>
      <c r="C363">
        <v>1980</v>
      </c>
      <c r="E363" s="1" t="s">
        <v>30</v>
      </c>
    </row>
    <row r="364" spans="1:5" x14ac:dyDescent="0.25">
      <c r="A364" t="s">
        <v>0</v>
      </c>
      <c r="B364" t="s">
        <v>445</v>
      </c>
      <c r="C364">
        <v>1980</v>
      </c>
      <c r="E364" s="1" t="s">
        <v>446</v>
      </c>
    </row>
    <row r="365" spans="1:5" x14ac:dyDescent="0.25">
      <c r="A365" t="s">
        <v>0</v>
      </c>
      <c r="B365" t="s">
        <v>4</v>
      </c>
      <c r="C365">
        <v>1980</v>
      </c>
      <c r="E365" s="1" t="s">
        <v>9</v>
      </c>
    </row>
    <row r="366" spans="1:5" x14ac:dyDescent="0.25">
      <c r="A366" t="s">
        <v>0</v>
      </c>
      <c r="B366" t="s">
        <v>589</v>
      </c>
      <c r="C366">
        <v>1980</v>
      </c>
      <c r="E366" s="1" t="s">
        <v>93</v>
      </c>
    </row>
    <row r="367" spans="1:5" x14ac:dyDescent="0.25">
      <c r="A367" t="s">
        <v>0</v>
      </c>
      <c r="B367" t="s">
        <v>964</v>
      </c>
      <c r="C367">
        <v>1980</v>
      </c>
      <c r="E367" s="1" t="s">
        <v>965</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430</v>
      </c>
      <c r="C371">
        <v>2013</v>
      </c>
      <c r="E371" s="1" t="s">
        <v>429</v>
      </c>
    </row>
    <row r="372" spans="1:5" x14ac:dyDescent="0.25">
      <c r="A372" t="s">
        <v>102</v>
      </c>
      <c r="B372" t="s">
        <v>537</v>
      </c>
      <c r="C372">
        <v>2013</v>
      </c>
      <c r="E372" s="1" t="s">
        <v>538</v>
      </c>
    </row>
    <row r="373" spans="1:5" x14ac:dyDescent="0.25">
      <c r="A373" t="s">
        <v>102</v>
      </c>
      <c r="B373" t="s">
        <v>176</v>
      </c>
      <c r="C373">
        <v>2013</v>
      </c>
      <c r="D373" t="s">
        <v>54</v>
      </c>
      <c r="E373" s="1"/>
    </row>
    <row r="374" spans="1:5" x14ac:dyDescent="0.25">
      <c r="A374" t="s">
        <v>102</v>
      </c>
      <c r="B374" t="s">
        <v>461</v>
      </c>
      <c r="C374">
        <v>2013</v>
      </c>
      <c r="E374" s="1" t="s">
        <v>460</v>
      </c>
    </row>
    <row r="375" spans="1:5" x14ac:dyDescent="0.25">
      <c r="A375" t="s">
        <v>102</v>
      </c>
      <c r="B375" t="s">
        <v>896</v>
      </c>
      <c r="C375">
        <v>2013</v>
      </c>
      <c r="E375" s="1" t="s">
        <v>897</v>
      </c>
    </row>
    <row r="376" spans="1:5" x14ac:dyDescent="0.25">
      <c r="A376" t="s">
        <v>102</v>
      </c>
      <c r="B376" t="s">
        <v>926</v>
      </c>
      <c r="C376">
        <v>2013</v>
      </c>
      <c r="E376" s="1" t="s">
        <v>925</v>
      </c>
    </row>
    <row r="377" spans="1:5" x14ac:dyDescent="0.25">
      <c r="A377" t="s">
        <v>102</v>
      </c>
      <c r="B377" t="s">
        <v>960</v>
      </c>
      <c r="C377">
        <v>2013</v>
      </c>
      <c r="E377" s="1" t="s">
        <v>959</v>
      </c>
    </row>
    <row r="378" spans="1:5" x14ac:dyDescent="0.25">
      <c r="A378" t="s">
        <v>571</v>
      </c>
      <c r="B378" t="s">
        <v>570</v>
      </c>
      <c r="C378">
        <v>2022</v>
      </c>
      <c r="E378" s="1" t="s">
        <v>93</v>
      </c>
    </row>
    <row r="379" spans="1:5" x14ac:dyDescent="0.25">
      <c r="A379" t="s">
        <v>571</v>
      </c>
      <c r="B379" t="s">
        <v>987</v>
      </c>
      <c r="C379">
        <v>2022</v>
      </c>
      <c r="E379" s="1" t="s">
        <v>986</v>
      </c>
    </row>
    <row r="380" spans="1:5" x14ac:dyDescent="0.25">
      <c r="A380" t="s">
        <v>667</v>
      </c>
      <c r="B380" t="s">
        <v>724</v>
      </c>
      <c r="C380">
        <v>2021</v>
      </c>
      <c r="E380" s="1" t="s">
        <v>725</v>
      </c>
    </row>
    <row r="381" spans="1:5" x14ac:dyDescent="0.25">
      <c r="A381" t="s">
        <v>469</v>
      </c>
      <c r="B381" t="s">
        <v>468</v>
      </c>
      <c r="C381">
        <v>2021</v>
      </c>
      <c r="E381" s="1" t="s">
        <v>467</v>
      </c>
    </row>
    <row r="382" spans="1:5" x14ac:dyDescent="0.25">
      <c r="A382" t="s">
        <v>805</v>
      </c>
      <c r="B382" t="s">
        <v>807</v>
      </c>
      <c r="C382">
        <v>2008</v>
      </c>
      <c r="D382" t="s">
        <v>54</v>
      </c>
      <c r="E382" s="1"/>
    </row>
    <row r="383" spans="1:5" x14ac:dyDescent="0.25">
      <c r="A383" t="s">
        <v>794</v>
      </c>
      <c r="B383" t="s">
        <v>797</v>
      </c>
      <c r="C383">
        <v>2000</v>
      </c>
      <c r="D383" t="s">
        <v>54</v>
      </c>
      <c r="E383" s="1"/>
    </row>
    <row r="384" spans="1:5" x14ac:dyDescent="0.25">
      <c r="A384" t="s">
        <v>794</v>
      </c>
      <c r="B384" t="s">
        <v>805</v>
      </c>
      <c r="C384">
        <v>2000</v>
      </c>
      <c r="D384" t="s">
        <v>54</v>
      </c>
      <c r="E384" s="1"/>
    </row>
    <row r="385" spans="1:5" x14ac:dyDescent="0.25">
      <c r="A385" t="s">
        <v>807</v>
      </c>
      <c r="B385" t="s">
        <v>808</v>
      </c>
      <c r="C385">
        <v>2010</v>
      </c>
      <c r="D385" t="s">
        <v>54</v>
      </c>
      <c r="E385" s="1"/>
    </row>
    <row r="386" spans="1:5" x14ac:dyDescent="0.25">
      <c r="A386" t="s">
        <v>791</v>
      </c>
      <c r="B386" t="s">
        <v>795</v>
      </c>
      <c r="C386">
        <v>1996</v>
      </c>
      <c r="D386" t="s">
        <v>54</v>
      </c>
      <c r="E386" s="1"/>
    </row>
    <row r="387" spans="1:5" x14ac:dyDescent="0.25">
      <c r="A387" t="s">
        <v>808</v>
      </c>
      <c r="B387" t="s">
        <v>815</v>
      </c>
      <c r="C387">
        <v>2010</v>
      </c>
      <c r="D387" t="s">
        <v>54</v>
      </c>
      <c r="E387" s="1"/>
    </row>
    <row r="388" spans="1:5" x14ac:dyDescent="0.25">
      <c r="A388" t="s">
        <v>182</v>
      </c>
      <c r="B388" t="s">
        <v>183</v>
      </c>
      <c r="C388">
        <v>2010</v>
      </c>
      <c r="E388" s="1" t="s">
        <v>184</v>
      </c>
    </row>
    <row r="389" spans="1:5" x14ac:dyDescent="0.25">
      <c r="A389" t="s">
        <v>369</v>
      </c>
      <c r="B389" t="s">
        <v>368</v>
      </c>
      <c r="C389">
        <v>2022</v>
      </c>
      <c r="E389" s="1" t="s">
        <v>93</v>
      </c>
    </row>
    <row r="390" spans="1:5" x14ac:dyDescent="0.25">
      <c r="A390" t="s">
        <v>369</v>
      </c>
      <c r="B390" t="s">
        <v>752</v>
      </c>
      <c r="C390">
        <v>2022</v>
      </c>
      <c r="E390" s="1" t="s">
        <v>753</v>
      </c>
    </row>
    <row r="391" spans="1:5" x14ac:dyDescent="0.25">
      <c r="A391" t="s">
        <v>342</v>
      </c>
      <c r="B391" t="s">
        <v>948</v>
      </c>
      <c r="C391">
        <v>2020</v>
      </c>
      <c r="E391" s="1" t="s">
        <v>947</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367</v>
      </c>
      <c r="C394">
        <v>2017</v>
      </c>
      <c r="E394" s="1" t="s">
        <v>366</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359</v>
      </c>
      <c r="C397">
        <v>2017</v>
      </c>
      <c r="E397" s="1" t="s">
        <v>169</v>
      </c>
    </row>
    <row r="398" spans="1:5" x14ac:dyDescent="0.25">
      <c r="A398" t="s">
        <v>88</v>
      </c>
      <c r="B398" t="s">
        <v>115</v>
      </c>
      <c r="C398">
        <v>2017</v>
      </c>
      <c r="E398" s="1" t="s">
        <v>116</v>
      </c>
    </row>
    <row r="399" spans="1:5" x14ac:dyDescent="0.25">
      <c r="A399" t="s">
        <v>88</v>
      </c>
      <c r="B399" t="s">
        <v>432</v>
      </c>
      <c r="C399">
        <v>2017</v>
      </c>
      <c r="E399" s="1" t="s">
        <v>93</v>
      </c>
    </row>
    <row r="400" spans="1:5" x14ac:dyDescent="0.25">
      <c r="A400" t="s">
        <v>88</v>
      </c>
      <c r="B400" t="s">
        <v>320</v>
      </c>
      <c r="C400">
        <v>2017</v>
      </c>
      <c r="E400" s="1" t="s">
        <v>319</v>
      </c>
    </row>
    <row r="401" spans="1:5" x14ac:dyDescent="0.25">
      <c r="A401" t="s">
        <v>88</v>
      </c>
      <c r="B401" t="s">
        <v>468</v>
      </c>
      <c r="C401">
        <v>2017</v>
      </c>
      <c r="E401" s="1" t="s">
        <v>467</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539</v>
      </c>
      <c r="C404">
        <v>2017</v>
      </c>
      <c r="E404" s="1" t="s">
        <v>93</v>
      </c>
    </row>
    <row r="405" spans="1:5" x14ac:dyDescent="0.25">
      <c r="A405" t="s">
        <v>88</v>
      </c>
      <c r="B405" t="s">
        <v>450</v>
      </c>
      <c r="C405">
        <v>2017</v>
      </c>
      <c r="E405" s="1" t="s">
        <v>451</v>
      </c>
    </row>
    <row r="406" spans="1:5" x14ac:dyDescent="0.25">
      <c r="A406" t="s">
        <v>88</v>
      </c>
      <c r="B406" t="s">
        <v>427</v>
      </c>
      <c r="C406">
        <v>2017</v>
      </c>
      <c r="E406" s="1" t="s">
        <v>428</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472</v>
      </c>
      <c r="C412">
        <v>2017</v>
      </c>
      <c r="E412" s="1" t="s">
        <v>473</v>
      </c>
    </row>
    <row r="413" spans="1:5" x14ac:dyDescent="0.25">
      <c r="A413" t="s">
        <v>88</v>
      </c>
      <c r="B413" t="s">
        <v>150</v>
      </c>
      <c r="C413">
        <v>2017</v>
      </c>
      <c r="E413" s="1" t="s">
        <v>152</v>
      </c>
    </row>
    <row r="414" spans="1:5" x14ac:dyDescent="0.25">
      <c r="A414" t="s">
        <v>88</v>
      </c>
      <c r="B414" t="s">
        <v>356</v>
      </c>
      <c r="C414">
        <v>2017</v>
      </c>
      <c r="E414" s="1" t="s">
        <v>357</v>
      </c>
    </row>
    <row r="415" spans="1:5" x14ac:dyDescent="0.25">
      <c r="A415" t="s">
        <v>88</v>
      </c>
      <c r="B415" t="s">
        <v>126</v>
      </c>
      <c r="C415">
        <v>2017</v>
      </c>
      <c r="E415" s="1" t="s">
        <v>127</v>
      </c>
    </row>
    <row r="416" spans="1:5" x14ac:dyDescent="0.25">
      <c r="A416" t="s">
        <v>88</v>
      </c>
      <c r="B416" t="s">
        <v>476</v>
      </c>
      <c r="C416">
        <v>2017</v>
      </c>
      <c r="E416" s="1" t="s">
        <v>475</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381</v>
      </c>
      <c r="C419">
        <v>2017</v>
      </c>
      <c r="E419" s="1" t="s">
        <v>93</v>
      </c>
    </row>
    <row r="420" spans="1:5" x14ac:dyDescent="0.25">
      <c r="A420" t="s">
        <v>88</v>
      </c>
      <c r="B420" t="s">
        <v>192</v>
      </c>
      <c r="C420">
        <v>2017</v>
      </c>
      <c r="E420" s="1" t="s">
        <v>193</v>
      </c>
    </row>
    <row r="421" spans="1:5" x14ac:dyDescent="0.25">
      <c r="A421" t="s">
        <v>88</v>
      </c>
      <c r="B421" t="s">
        <v>509</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470</v>
      </c>
      <c r="C425">
        <v>2017</v>
      </c>
      <c r="E425" s="1" t="s">
        <v>471</v>
      </c>
    </row>
    <row r="426" spans="1:5" x14ac:dyDescent="0.25">
      <c r="A426" t="s">
        <v>88</v>
      </c>
      <c r="B426" t="s">
        <v>465</v>
      </c>
      <c r="C426">
        <v>2017</v>
      </c>
      <c r="E426" s="1" t="s">
        <v>466</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318</v>
      </c>
      <c r="C429">
        <v>2017</v>
      </c>
      <c r="E429" s="1" t="s">
        <v>93</v>
      </c>
    </row>
    <row r="430" spans="1:5" x14ac:dyDescent="0.25">
      <c r="A430" t="s">
        <v>88</v>
      </c>
      <c r="B430" t="s">
        <v>510</v>
      </c>
      <c r="C430">
        <v>2017</v>
      </c>
      <c r="E430" s="1" t="s">
        <v>93</v>
      </c>
    </row>
    <row r="431" spans="1:5" x14ac:dyDescent="0.25">
      <c r="A431" t="s">
        <v>88</v>
      </c>
      <c r="B431" t="s">
        <v>336</v>
      </c>
      <c r="C431">
        <v>2017</v>
      </c>
      <c r="E431" s="1" t="s">
        <v>93</v>
      </c>
    </row>
    <row r="432" spans="1:5" x14ac:dyDescent="0.25">
      <c r="A432" t="s">
        <v>88</v>
      </c>
      <c r="B432" t="s">
        <v>354</v>
      </c>
      <c r="C432">
        <v>2017</v>
      </c>
      <c r="E432" s="1" t="s">
        <v>355</v>
      </c>
    </row>
    <row r="433" spans="1:5" x14ac:dyDescent="0.25">
      <c r="A433" t="s">
        <v>88</v>
      </c>
      <c r="B433" t="s">
        <v>140</v>
      </c>
      <c r="C433">
        <v>2017</v>
      </c>
      <c r="E433" s="1" t="s">
        <v>141</v>
      </c>
    </row>
    <row r="434" spans="1:5" x14ac:dyDescent="0.25">
      <c r="A434" t="s">
        <v>88</v>
      </c>
      <c r="B434" t="s">
        <v>315</v>
      </c>
      <c r="C434">
        <v>2017</v>
      </c>
      <c r="E434" s="1" t="s">
        <v>317</v>
      </c>
    </row>
    <row r="435" spans="1:5" x14ac:dyDescent="0.25">
      <c r="A435" t="s">
        <v>88</v>
      </c>
      <c r="B435" t="s">
        <v>461</v>
      </c>
      <c r="C435">
        <v>2017</v>
      </c>
      <c r="E435" s="1" t="s">
        <v>460</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556</v>
      </c>
      <c r="C438">
        <v>2017</v>
      </c>
      <c r="E438" s="1" t="s">
        <v>555</v>
      </c>
    </row>
    <row r="439" spans="1:5" x14ac:dyDescent="0.25">
      <c r="A439" t="s">
        <v>88</v>
      </c>
      <c r="B439" t="s">
        <v>390</v>
      </c>
      <c r="C439">
        <v>2017</v>
      </c>
      <c r="E439" s="1" t="s">
        <v>93</v>
      </c>
    </row>
    <row r="440" spans="1:5" x14ac:dyDescent="0.25">
      <c r="A440" t="s">
        <v>88</v>
      </c>
      <c r="B440" t="s">
        <v>344</v>
      </c>
      <c r="C440">
        <v>2017</v>
      </c>
      <c r="E440" s="1" t="s">
        <v>343</v>
      </c>
    </row>
    <row r="441" spans="1:5" x14ac:dyDescent="0.25">
      <c r="A441" t="s">
        <v>88</v>
      </c>
      <c r="B441" t="s">
        <v>570</v>
      </c>
      <c r="C441">
        <v>2017</v>
      </c>
      <c r="E441" s="1" t="s">
        <v>93</v>
      </c>
    </row>
    <row r="442" spans="1:5" x14ac:dyDescent="0.25">
      <c r="A442" t="s">
        <v>88</v>
      </c>
      <c r="B442" t="s">
        <v>575</v>
      </c>
      <c r="C442">
        <v>2017</v>
      </c>
      <c r="E442" s="1" t="s">
        <v>93</v>
      </c>
    </row>
    <row r="443" spans="1:5" x14ac:dyDescent="0.25">
      <c r="A443" t="s">
        <v>88</v>
      </c>
      <c r="B443" t="s">
        <v>599</v>
      </c>
      <c r="C443">
        <v>2017</v>
      </c>
      <c r="E443" s="1" t="s">
        <v>169</v>
      </c>
    </row>
    <row r="444" spans="1:5" x14ac:dyDescent="0.25">
      <c r="A444" t="s">
        <v>88</v>
      </c>
      <c r="B444" t="s">
        <v>723</v>
      </c>
      <c r="C444">
        <v>2017</v>
      </c>
      <c r="E444" s="1" t="s">
        <v>722</v>
      </c>
    </row>
    <row r="445" spans="1:5" x14ac:dyDescent="0.25">
      <c r="A445" t="s">
        <v>88</v>
      </c>
      <c r="B445" t="s">
        <v>727</v>
      </c>
      <c r="C445">
        <v>2017</v>
      </c>
      <c r="E445" s="1" t="s">
        <v>726</v>
      </c>
    </row>
    <row r="446" spans="1:5" x14ac:dyDescent="0.25">
      <c r="A446" t="s">
        <v>88</v>
      </c>
      <c r="B446" t="s">
        <v>746</v>
      </c>
      <c r="C446">
        <v>2017</v>
      </c>
      <c r="E446" s="1" t="s">
        <v>747</v>
      </c>
    </row>
    <row r="447" spans="1:5" x14ac:dyDescent="0.25">
      <c r="A447" t="s">
        <v>88</v>
      </c>
      <c r="B447" t="s">
        <v>752</v>
      </c>
      <c r="C447">
        <v>2017</v>
      </c>
      <c r="E447" s="1" t="s">
        <v>753</v>
      </c>
    </row>
    <row r="448" spans="1:5" x14ac:dyDescent="0.25">
      <c r="A448" t="s">
        <v>88</v>
      </c>
      <c r="B448" t="s">
        <v>754</v>
      </c>
      <c r="C448">
        <v>2017</v>
      </c>
      <c r="E448" s="1" t="s">
        <v>755</v>
      </c>
    </row>
    <row r="449" spans="1:5" x14ac:dyDescent="0.25">
      <c r="A449" t="s">
        <v>88</v>
      </c>
      <c r="B449" t="s">
        <v>757</v>
      </c>
      <c r="C449">
        <v>2017</v>
      </c>
      <c r="E449" s="1" t="s">
        <v>93</v>
      </c>
    </row>
    <row r="450" spans="1:5" x14ac:dyDescent="0.25">
      <c r="A450" t="s">
        <v>88</v>
      </c>
      <c r="B450" t="s">
        <v>764</v>
      </c>
      <c r="C450">
        <v>2017</v>
      </c>
      <c r="E450" s="1" t="s">
        <v>765</v>
      </c>
    </row>
    <row r="451" spans="1:5" x14ac:dyDescent="0.25">
      <c r="A451" t="s">
        <v>88</v>
      </c>
      <c r="B451" t="s">
        <v>773</v>
      </c>
      <c r="C451">
        <v>2017</v>
      </c>
      <c r="E451" s="1" t="s">
        <v>93</v>
      </c>
    </row>
    <row r="452" spans="1:5" x14ac:dyDescent="0.25">
      <c r="A452" t="s">
        <v>88</v>
      </c>
      <c r="B452" t="s">
        <v>778</v>
      </c>
      <c r="C452">
        <v>2017</v>
      </c>
      <c r="E452" s="1" t="s">
        <v>779</v>
      </c>
    </row>
    <row r="453" spans="1:5" x14ac:dyDescent="0.25">
      <c r="A453" t="s">
        <v>88</v>
      </c>
      <c r="B453" t="s">
        <v>834</v>
      </c>
      <c r="C453">
        <v>2017</v>
      </c>
      <c r="E453" s="1" t="s">
        <v>169</v>
      </c>
    </row>
    <row r="454" spans="1:5" x14ac:dyDescent="0.25">
      <c r="A454" t="s">
        <v>88</v>
      </c>
      <c r="B454" t="s">
        <v>837</v>
      </c>
      <c r="C454">
        <v>2017</v>
      </c>
      <c r="E454" s="1" t="s">
        <v>839</v>
      </c>
    </row>
    <row r="455" spans="1:5" x14ac:dyDescent="0.25">
      <c r="A455" t="s">
        <v>88</v>
      </c>
      <c r="B455" t="s">
        <v>838</v>
      </c>
      <c r="C455">
        <v>2017</v>
      </c>
      <c r="E455" s="1" t="s">
        <v>840</v>
      </c>
    </row>
    <row r="456" spans="1:5" x14ac:dyDescent="0.25">
      <c r="A456" t="s">
        <v>88</v>
      </c>
      <c r="B456" t="s">
        <v>859</v>
      </c>
      <c r="C456">
        <v>2017</v>
      </c>
      <c r="E456" s="1" t="s">
        <v>860</v>
      </c>
    </row>
    <row r="457" spans="1:5" x14ac:dyDescent="0.25">
      <c r="A457" t="s">
        <v>88</v>
      </c>
      <c r="B457" t="s">
        <v>861</v>
      </c>
      <c r="C457">
        <v>2017</v>
      </c>
      <c r="E457" s="1" t="s">
        <v>862</v>
      </c>
    </row>
    <row r="458" spans="1:5" x14ac:dyDescent="0.25">
      <c r="A458" t="s">
        <v>88</v>
      </c>
      <c r="B458" t="s">
        <v>879</v>
      </c>
      <c r="C458">
        <v>2017</v>
      </c>
      <c r="E458" s="1" t="s">
        <v>93</v>
      </c>
    </row>
    <row r="459" spans="1:5" x14ac:dyDescent="0.25">
      <c r="A459" t="s">
        <v>88</v>
      </c>
      <c r="B459" t="s">
        <v>882</v>
      </c>
      <c r="C459">
        <v>2017</v>
      </c>
      <c r="E459" s="1" t="s">
        <v>881</v>
      </c>
    </row>
    <row r="460" spans="1:5" x14ac:dyDescent="0.25">
      <c r="A460" t="s">
        <v>88</v>
      </c>
      <c r="B460" t="s">
        <v>885</v>
      </c>
      <c r="C460">
        <v>2017</v>
      </c>
      <c r="E460" s="1" t="s">
        <v>93</v>
      </c>
    </row>
    <row r="461" spans="1:5" x14ac:dyDescent="0.25">
      <c r="A461" t="s">
        <v>88</v>
      </c>
      <c r="B461" t="s">
        <v>888</v>
      </c>
      <c r="C461">
        <v>2017</v>
      </c>
      <c r="E461" s="1" t="s">
        <v>889</v>
      </c>
    </row>
    <row r="462" spans="1:5" x14ac:dyDescent="0.25">
      <c r="A462" t="s">
        <v>88</v>
      </c>
      <c r="B462" t="s">
        <v>890</v>
      </c>
      <c r="C462">
        <v>2017</v>
      </c>
      <c r="E462" s="1" t="s">
        <v>93</v>
      </c>
    </row>
    <row r="463" spans="1:5" x14ac:dyDescent="0.25">
      <c r="A463" t="s">
        <v>88</v>
      </c>
      <c r="B463" t="s">
        <v>894</v>
      </c>
      <c r="C463">
        <v>2017</v>
      </c>
      <c r="E463" s="1" t="s">
        <v>893</v>
      </c>
    </row>
    <row r="464" spans="1:5" x14ac:dyDescent="0.25">
      <c r="A464" t="s">
        <v>88</v>
      </c>
      <c r="B464" t="s">
        <v>912</v>
      </c>
      <c r="C464">
        <v>2017</v>
      </c>
      <c r="E464" s="1" t="s">
        <v>913</v>
      </c>
    </row>
    <row r="465" spans="1:5" x14ac:dyDescent="0.25">
      <c r="A465" t="s">
        <v>88</v>
      </c>
      <c r="B465" t="s">
        <v>914</v>
      </c>
      <c r="C465">
        <v>2017</v>
      </c>
      <c r="E465" s="1" t="s">
        <v>916</v>
      </c>
    </row>
    <row r="466" spans="1:5" x14ac:dyDescent="0.25">
      <c r="A466" t="s">
        <v>88</v>
      </c>
      <c r="B466" t="s">
        <v>989</v>
      </c>
      <c r="C466">
        <v>2017</v>
      </c>
      <c r="E466" s="1" t="s">
        <v>990</v>
      </c>
    </row>
    <row r="467" spans="1:5" x14ac:dyDescent="0.25">
      <c r="A467" t="s">
        <v>92</v>
      </c>
      <c r="B467" t="s">
        <v>773</v>
      </c>
      <c r="C467">
        <v>2018</v>
      </c>
      <c r="E467" s="1" t="s">
        <v>93</v>
      </c>
    </row>
    <row r="468" spans="1:5" x14ac:dyDescent="0.25">
      <c r="A468" t="s">
        <v>267</v>
      </c>
      <c r="B468" t="s">
        <v>268</v>
      </c>
      <c r="C468">
        <v>2021</v>
      </c>
      <c r="E468" s="1" t="s">
        <v>270</v>
      </c>
    </row>
    <row r="469" spans="1:5" x14ac:dyDescent="0.25">
      <c r="A469" t="s">
        <v>267</v>
      </c>
      <c r="B469" t="s">
        <v>269</v>
      </c>
      <c r="C469">
        <v>2021</v>
      </c>
      <c r="E469" s="1" t="s">
        <v>169</v>
      </c>
    </row>
    <row r="470" spans="1:5" x14ac:dyDescent="0.25">
      <c r="A470" t="s">
        <v>267</v>
      </c>
      <c r="B470" t="s">
        <v>541</v>
      </c>
      <c r="C470">
        <v>2021</v>
      </c>
      <c r="E470" s="1" t="s">
        <v>542</v>
      </c>
    </row>
    <row r="471" spans="1:5" x14ac:dyDescent="0.25">
      <c r="A471" t="s">
        <v>267</v>
      </c>
      <c r="B471" t="s">
        <v>931</v>
      </c>
      <c r="C471">
        <v>2021</v>
      </c>
      <c r="E471" s="1" t="s">
        <v>93</v>
      </c>
    </row>
    <row r="472" spans="1:5" x14ac:dyDescent="0.25">
      <c r="A472" t="s">
        <v>67</v>
      </c>
      <c r="B472" t="s">
        <v>68</v>
      </c>
      <c r="C472">
        <v>2012</v>
      </c>
      <c r="D472" t="s">
        <v>54</v>
      </c>
      <c r="E472" s="1"/>
    </row>
    <row r="473" spans="1:5" x14ac:dyDescent="0.25">
      <c r="A473" t="s">
        <v>64</v>
      </c>
      <c r="B473" t="s">
        <v>486</v>
      </c>
      <c r="C473">
        <v>2008</v>
      </c>
      <c r="E473" s="1" t="s">
        <v>485</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468</v>
      </c>
      <c r="C478">
        <v>2008</v>
      </c>
      <c r="E478" s="1" t="s">
        <v>467</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305</v>
      </c>
      <c r="C481">
        <v>2008</v>
      </c>
      <c r="E481" s="1" t="s">
        <v>306</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525</v>
      </c>
      <c r="C484">
        <v>2008</v>
      </c>
      <c r="E484" s="1" t="s">
        <v>524</v>
      </c>
    </row>
    <row r="485" spans="1:5" x14ac:dyDescent="0.25">
      <c r="A485" t="s">
        <v>64</v>
      </c>
      <c r="B485" t="s">
        <v>308</v>
      </c>
      <c r="C485">
        <v>2008</v>
      </c>
      <c r="E485" s="1" t="s">
        <v>307</v>
      </c>
    </row>
    <row r="486" spans="1:5" x14ac:dyDescent="0.25">
      <c r="A486" t="s">
        <v>64</v>
      </c>
      <c r="B486" t="s">
        <v>287</v>
      </c>
      <c r="C486">
        <v>2008</v>
      </c>
      <c r="E486" s="1" t="s">
        <v>93</v>
      </c>
    </row>
    <row r="487" spans="1:5" x14ac:dyDescent="0.25">
      <c r="A487" t="s">
        <v>64</v>
      </c>
      <c r="B487" t="s">
        <v>102</v>
      </c>
      <c r="C487">
        <v>2008</v>
      </c>
      <c r="E487" s="1" t="s">
        <v>103</v>
      </c>
    </row>
    <row r="488" spans="1:5" x14ac:dyDescent="0.25">
      <c r="A488" t="s">
        <v>64</v>
      </c>
      <c r="B488" t="s">
        <v>382</v>
      </c>
      <c r="C488">
        <v>2008</v>
      </c>
      <c r="E488" s="1" t="s">
        <v>383</v>
      </c>
    </row>
    <row r="489" spans="1:5" x14ac:dyDescent="0.25">
      <c r="A489" t="s">
        <v>64</v>
      </c>
      <c r="B489" t="s">
        <v>67</v>
      </c>
      <c r="C489">
        <v>2008</v>
      </c>
      <c r="D489" t="s">
        <v>54</v>
      </c>
      <c r="E489" s="1"/>
    </row>
    <row r="490" spans="1:5" x14ac:dyDescent="0.25">
      <c r="A490" t="s">
        <v>64</v>
      </c>
      <c r="B490" t="s">
        <v>395</v>
      </c>
      <c r="C490">
        <v>2008</v>
      </c>
      <c r="E490" s="1" t="s">
        <v>394</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389</v>
      </c>
      <c r="C493">
        <v>2018</v>
      </c>
      <c r="E493" s="1" t="s">
        <v>388</v>
      </c>
    </row>
    <row r="494" spans="1:5" x14ac:dyDescent="0.25">
      <c r="A494" t="s">
        <v>64</v>
      </c>
      <c r="B494" t="s">
        <v>172</v>
      </c>
      <c r="C494">
        <v>2008</v>
      </c>
      <c r="E494" s="1" t="s">
        <v>173</v>
      </c>
    </row>
    <row r="495" spans="1:5" x14ac:dyDescent="0.25">
      <c r="A495" t="s">
        <v>64</v>
      </c>
      <c r="B495" t="s">
        <v>784</v>
      </c>
      <c r="C495">
        <v>2008</v>
      </c>
      <c r="E495" s="1" t="s">
        <v>786</v>
      </c>
    </row>
    <row r="496" spans="1:5" x14ac:dyDescent="0.25">
      <c r="A496" t="s">
        <v>64</v>
      </c>
      <c r="B496" t="s">
        <v>960</v>
      </c>
      <c r="C496">
        <v>2008</v>
      </c>
      <c r="E496" s="1" t="s">
        <v>959</v>
      </c>
    </row>
    <row r="497" spans="1:5" x14ac:dyDescent="0.25">
      <c r="A497" t="s">
        <v>493</v>
      </c>
      <c r="B497" t="s">
        <v>494</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361</v>
      </c>
      <c r="C500">
        <v>2021</v>
      </c>
      <c r="E500" s="1" t="s">
        <v>360</v>
      </c>
    </row>
    <row r="501" spans="1:5" x14ac:dyDescent="0.25">
      <c r="A501" t="s">
        <v>151</v>
      </c>
      <c r="B501" t="s">
        <v>517</v>
      </c>
      <c r="C501">
        <v>2021</v>
      </c>
      <c r="E501" s="1" t="s">
        <v>93</v>
      </c>
    </row>
    <row r="502" spans="1:5" x14ac:dyDescent="0.25">
      <c r="A502" t="s">
        <v>151</v>
      </c>
      <c r="B502" t="s">
        <v>831</v>
      </c>
      <c r="C502">
        <v>2021</v>
      </c>
      <c r="E502" s="1" t="s">
        <v>93</v>
      </c>
    </row>
    <row r="503" spans="1:5" x14ac:dyDescent="0.25">
      <c r="A503" t="s">
        <v>333</v>
      </c>
      <c r="B503" t="s">
        <v>784</v>
      </c>
      <c r="C503">
        <v>2013</v>
      </c>
      <c r="E503" s="1" t="s">
        <v>786</v>
      </c>
    </row>
    <row r="504" spans="1:5" x14ac:dyDescent="0.25">
      <c r="A504" t="s">
        <v>500</v>
      </c>
      <c r="B504" t="s">
        <v>501</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362</v>
      </c>
      <c r="B507" t="s">
        <v>361</v>
      </c>
      <c r="C507">
        <v>2019</v>
      </c>
      <c r="E507" s="1" t="s">
        <v>360</v>
      </c>
    </row>
    <row r="508" spans="1:5" x14ac:dyDescent="0.25">
      <c r="A508" t="s">
        <v>98</v>
      </c>
      <c r="B508" t="s">
        <v>486</v>
      </c>
      <c r="C508">
        <v>2011</v>
      </c>
      <c r="E508" s="1" t="s">
        <v>485</v>
      </c>
    </row>
    <row r="509" spans="1:5" x14ac:dyDescent="0.25">
      <c r="A509" t="s">
        <v>98</v>
      </c>
      <c r="B509" t="s">
        <v>207</v>
      </c>
      <c r="C509">
        <v>2011</v>
      </c>
      <c r="E509" s="1" t="s">
        <v>208</v>
      </c>
    </row>
    <row r="510" spans="1:5" x14ac:dyDescent="0.25">
      <c r="A510" t="s">
        <v>98</v>
      </c>
      <c r="B510" t="s">
        <v>520</v>
      </c>
      <c r="C510">
        <v>2011</v>
      </c>
      <c r="E510" s="1" t="s">
        <v>521</v>
      </c>
    </row>
    <row r="511" spans="1:5" x14ac:dyDescent="0.25">
      <c r="A511" t="s">
        <v>98</v>
      </c>
      <c r="B511" t="s">
        <v>188</v>
      </c>
      <c r="C511">
        <v>2011</v>
      </c>
      <c r="E511" s="1" t="s">
        <v>93</v>
      </c>
    </row>
    <row r="512" spans="1:5" x14ac:dyDescent="0.25">
      <c r="A512" t="s">
        <v>98</v>
      </c>
      <c r="B512" t="s">
        <v>312</v>
      </c>
      <c r="C512">
        <v>2011</v>
      </c>
      <c r="E512" s="1" t="s">
        <v>313</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372</v>
      </c>
      <c r="C519">
        <v>2011</v>
      </c>
      <c r="E519" s="1" t="s">
        <v>373</v>
      </c>
    </row>
    <row r="520" spans="1:5" x14ac:dyDescent="0.25">
      <c r="A520" t="s">
        <v>98</v>
      </c>
      <c r="B520" t="s">
        <v>433</v>
      </c>
      <c r="C520">
        <v>2011</v>
      </c>
      <c r="E520" s="1" t="s">
        <v>434</v>
      </c>
    </row>
    <row r="521" spans="1:5" x14ac:dyDescent="0.25">
      <c r="A521" t="s">
        <v>98</v>
      </c>
      <c r="B521" t="s">
        <v>454</v>
      </c>
      <c r="C521">
        <v>2011</v>
      </c>
      <c r="E521" s="1" t="s">
        <v>93</v>
      </c>
    </row>
    <row r="522" spans="1:5" x14ac:dyDescent="0.25">
      <c r="A522" t="s">
        <v>98</v>
      </c>
      <c r="B522" t="s">
        <v>539</v>
      </c>
      <c r="C522">
        <v>2011</v>
      </c>
      <c r="E522" s="1" t="s">
        <v>93</v>
      </c>
    </row>
    <row r="523" spans="1:5" x14ac:dyDescent="0.25">
      <c r="A523" t="s">
        <v>98</v>
      </c>
      <c r="B523" t="s">
        <v>185</v>
      </c>
      <c r="C523">
        <v>2011</v>
      </c>
      <c r="E523" s="1" t="s">
        <v>186</v>
      </c>
    </row>
    <row r="524" spans="1:5" x14ac:dyDescent="0.25">
      <c r="A524" t="s">
        <v>98</v>
      </c>
      <c r="B524" t="s">
        <v>311</v>
      </c>
      <c r="C524">
        <v>2011</v>
      </c>
      <c r="E524" s="1" t="s">
        <v>169</v>
      </c>
    </row>
    <row r="525" spans="1:5" x14ac:dyDescent="0.25">
      <c r="A525" t="s">
        <v>98</v>
      </c>
      <c r="B525" t="s">
        <v>557</v>
      </c>
      <c r="C525">
        <v>2011</v>
      </c>
      <c r="E525" s="1" t="s">
        <v>558</v>
      </c>
    </row>
    <row r="526" spans="1:5" x14ac:dyDescent="0.25">
      <c r="A526" t="s">
        <v>98</v>
      </c>
      <c r="B526" t="s">
        <v>225</v>
      </c>
      <c r="C526">
        <v>2011</v>
      </c>
      <c r="E526" s="1" t="s">
        <v>93</v>
      </c>
    </row>
    <row r="527" spans="1:5" x14ac:dyDescent="0.25">
      <c r="A527" t="s">
        <v>98</v>
      </c>
      <c r="B527" t="s">
        <v>476</v>
      </c>
      <c r="C527">
        <v>2011</v>
      </c>
      <c r="E527" s="1" t="s">
        <v>475</v>
      </c>
    </row>
    <row r="528" spans="1:5" x14ac:dyDescent="0.25">
      <c r="A528" t="s">
        <v>98</v>
      </c>
      <c r="B528" t="s">
        <v>308</v>
      </c>
      <c r="C528">
        <v>2011</v>
      </c>
      <c r="E528" s="1" t="s">
        <v>307</v>
      </c>
    </row>
    <row r="529" spans="1:5" x14ac:dyDescent="0.25">
      <c r="A529" t="s">
        <v>98</v>
      </c>
      <c r="B529" t="s">
        <v>536</v>
      </c>
      <c r="C529">
        <v>2011</v>
      </c>
      <c r="E529" s="1" t="s">
        <v>93</v>
      </c>
    </row>
    <row r="530" spans="1:5" x14ac:dyDescent="0.25">
      <c r="A530" t="s">
        <v>98</v>
      </c>
      <c r="B530" t="s">
        <v>324</v>
      </c>
      <c r="C530">
        <v>2011</v>
      </c>
      <c r="E530" s="1" t="s">
        <v>325</v>
      </c>
    </row>
    <row r="531" spans="1:5" x14ac:dyDescent="0.25">
      <c r="A531" t="s">
        <v>98</v>
      </c>
      <c r="B531" t="s">
        <v>517</v>
      </c>
      <c r="C531">
        <v>2011</v>
      </c>
      <c r="E531" s="1" t="s">
        <v>93</v>
      </c>
    </row>
    <row r="532" spans="1:5" x14ac:dyDescent="0.25">
      <c r="A532" t="s">
        <v>98</v>
      </c>
      <c r="B532" t="s">
        <v>506</v>
      </c>
      <c r="C532">
        <v>2011</v>
      </c>
      <c r="E532" s="1" t="s">
        <v>93</v>
      </c>
    </row>
    <row r="533" spans="1:5" x14ac:dyDescent="0.25">
      <c r="A533" t="s">
        <v>98</v>
      </c>
      <c r="B533" t="s">
        <v>153</v>
      </c>
      <c r="C533">
        <v>2011</v>
      </c>
      <c r="E533" s="1" t="s">
        <v>154</v>
      </c>
    </row>
    <row r="534" spans="1:5" x14ac:dyDescent="0.25">
      <c r="A534" t="s">
        <v>98</v>
      </c>
      <c r="B534" t="s">
        <v>309</v>
      </c>
      <c r="C534">
        <v>2011</v>
      </c>
      <c r="E534" s="1" t="s">
        <v>310</v>
      </c>
    </row>
    <row r="535" spans="1:5" x14ac:dyDescent="0.25">
      <c r="A535" t="s">
        <v>98</v>
      </c>
      <c r="B535" t="s">
        <v>102</v>
      </c>
      <c r="C535">
        <v>2011</v>
      </c>
      <c r="E535" s="1" t="s">
        <v>103</v>
      </c>
    </row>
    <row r="536" spans="1:5" x14ac:dyDescent="0.25">
      <c r="A536" t="s">
        <v>98</v>
      </c>
      <c r="B536" t="s">
        <v>358</v>
      </c>
      <c r="C536">
        <v>2011</v>
      </c>
      <c r="E536" s="1" t="s">
        <v>93</v>
      </c>
    </row>
    <row r="537" spans="1:5" x14ac:dyDescent="0.25">
      <c r="A537" t="s">
        <v>98</v>
      </c>
      <c r="B537" t="s">
        <v>349</v>
      </c>
      <c r="C537">
        <v>2011</v>
      </c>
      <c r="E537" s="1" t="s">
        <v>350</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387</v>
      </c>
      <c r="C541">
        <v>2011</v>
      </c>
      <c r="E541" s="1" t="s">
        <v>386</v>
      </c>
    </row>
    <row r="542" spans="1:5" x14ac:dyDescent="0.25">
      <c r="A542" t="s">
        <v>98</v>
      </c>
      <c r="B542" t="s">
        <v>272</v>
      </c>
      <c r="C542">
        <v>2011</v>
      </c>
      <c r="E542" s="1" t="s">
        <v>273</v>
      </c>
    </row>
    <row r="543" spans="1:5" x14ac:dyDescent="0.25">
      <c r="A543" t="s">
        <v>98</v>
      </c>
      <c r="B543" t="s">
        <v>515</v>
      </c>
      <c r="C543">
        <v>2011</v>
      </c>
      <c r="E543" s="1" t="s">
        <v>514</v>
      </c>
    </row>
    <row r="544" spans="1:5" x14ac:dyDescent="0.25">
      <c r="A544" t="s">
        <v>98</v>
      </c>
      <c r="B544" t="s">
        <v>487</v>
      </c>
      <c r="C544">
        <v>2011</v>
      </c>
      <c r="E544" s="1" t="s">
        <v>488</v>
      </c>
    </row>
    <row r="545" spans="1:5" x14ac:dyDescent="0.25">
      <c r="A545" t="s">
        <v>98</v>
      </c>
      <c r="B545" t="s">
        <v>453</v>
      </c>
      <c r="C545">
        <v>2011</v>
      </c>
      <c r="E545" s="1" t="s">
        <v>452</v>
      </c>
    </row>
    <row r="546" spans="1:5" x14ac:dyDescent="0.25">
      <c r="A546" t="s">
        <v>98</v>
      </c>
      <c r="B546" t="s">
        <v>461</v>
      </c>
      <c r="C546">
        <v>2011</v>
      </c>
      <c r="E546" s="1" t="s">
        <v>460</v>
      </c>
    </row>
    <row r="547" spans="1:5" x14ac:dyDescent="0.25">
      <c r="A547" t="s">
        <v>98</v>
      </c>
      <c r="B547" t="s">
        <v>172</v>
      </c>
      <c r="C547">
        <v>2011</v>
      </c>
      <c r="E547" s="1" t="s">
        <v>173</v>
      </c>
    </row>
    <row r="548" spans="1:5" x14ac:dyDescent="0.25">
      <c r="A548" t="s">
        <v>98</v>
      </c>
      <c r="B548" t="s">
        <v>496</v>
      </c>
      <c r="C548">
        <v>2011</v>
      </c>
      <c r="E548" s="1" t="s">
        <v>93</v>
      </c>
    </row>
    <row r="549" spans="1:5" x14ac:dyDescent="0.25">
      <c r="A549" t="s">
        <v>98</v>
      </c>
      <c r="B549" t="s">
        <v>896</v>
      </c>
      <c r="C549">
        <v>2011</v>
      </c>
      <c r="E549" s="1" t="s">
        <v>897</v>
      </c>
    </row>
    <row r="550" spans="1:5" x14ac:dyDescent="0.25">
      <c r="A550" t="s">
        <v>98</v>
      </c>
      <c r="B550" t="s">
        <v>920</v>
      </c>
      <c r="C550">
        <v>2011</v>
      </c>
      <c r="E550" s="1" t="s">
        <v>921</v>
      </c>
    </row>
    <row r="551" spans="1:5" x14ac:dyDescent="0.25">
      <c r="A551" t="s">
        <v>98</v>
      </c>
      <c r="B551" t="s">
        <v>930</v>
      </c>
      <c r="C551">
        <v>2011</v>
      </c>
      <c r="E551" s="1" t="s">
        <v>929</v>
      </c>
    </row>
    <row r="552" spans="1:5" x14ac:dyDescent="0.25">
      <c r="A552" t="s">
        <v>98</v>
      </c>
      <c r="B552" t="s">
        <v>945</v>
      </c>
      <c r="C552">
        <v>2011</v>
      </c>
      <c r="E552" s="1" t="s">
        <v>93</v>
      </c>
    </row>
    <row r="553" spans="1:5" x14ac:dyDescent="0.25">
      <c r="A553" t="s">
        <v>314</v>
      </c>
      <c r="B553" t="s">
        <v>312</v>
      </c>
      <c r="C553">
        <v>2019</v>
      </c>
      <c r="E553" s="1" t="s">
        <v>313</v>
      </c>
    </row>
    <row r="554" spans="1:5" x14ac:dyDescent="0.25">
      <c r="A554" t="s">
        <v>445</v>
      </c>
      <c r="B554" t="s">
        <v>447</v>
      </c>
      <c r="C554">
        <v>1991</v>
      </c>
      <c r="E554" s="1" t="s">
        <v>448</v>
      </c>
    </row>
    <row r="555" spans="1:5" x14ac:dyDescent="0.25">
      <c r="A555" t="s">
        <v>445</v>
      </c>
      <c r="B555" t="s">
        <v>449</v>
      </c>
      <c r="C555">
        <v>1991</v>
      </c>
      <c r="D555" t="s">
        <v>54</v>
      </c>
      <c r="E555" s="1"/>
    </row>
    <row r="556" spans="1:5" x14ac:dyDescent="0.25">
      <c r="A556" t="s">
        <v>793</v>
      </c>
      <c r="B556" t="s">
        <v>796</v>
      </c>
      <c r="C556">
        <v>1999</v>
      </c>
      <c r="D556" t="s">
        <v>54</v>
      </c>
      <c r="E556" s="1"/>
    </row>
    <row r="557" spans="1:5" x14ac:dyDescent="0.25">
      <c r="A557" t="s">
        <v>4</v>
      </c>
      <c r="B557" t="s">
        <v>483</v>
      </c>
      <c r="C557">
        <v>1993</v>
      </c>
      <c r="E557" s="1" t="s">
        <v>482</v>
      </c>
    </row>
    <row r="558" spans="1:5" x14ac:dyDescent="0.25">
      <c r="A558" t="s">
        <v>4</v>
      </c>
      <c r="B558" t="s">
        <v>10</v>
      </c>
      <c r="C558">
        <v>1993</v>
      </c>
      <c r="E558" s="1" t="s">
        <v>11</v>
      </c>
    </row>
    <row r="559" spans="1:5" x14ac:dyDescent="0.25">
      <c r="A559" t="s">
        <v>4</v>
      </c>
      <c r="B559" t="s">
        <v>789</v>
      </c>
      <c r="C559">
        <v>1993</v>
      </c>
      <c r="D559" t="s">
        <v>54</v>
      </c>
      <c r="E559" s="1"/>
    </row>
    <row r="560" spans="1:5" x14ac:dyDescent="0.25">
      <c r="A560" t="s">
        <v>4</v>
      </c>
      <c r="B560" t="s">
        <v>790</v>
      </c>
      <c r="C560">
        <v>1993</v>
      </c>
      <c r="D560" t="s">
        <v>54</v>
      </c>
      <c r="E560" s="1"/>
    </row>
    <row r="561" spans="1:5" x14ac:dyDescent="0.25">
      <c r="A561" t="s">
        <v>4</v>
      </c>
      <c r="B561" t="s">
        <v>793</v>
      </c>
      <c r="C561">
        <v>1993</v>
      </c>
      <c r="D561" t="s">
        <v>54</v>
      </c>
      <c r="E561" s="1"/>
    </row>
    <row r="562" spans="1:5" x14ac:dyDescent="0.25">
      <c r="A562" t="s">
        <v>4</v>
      </c>
      <c r="B562" t="s">
        <v>798</v>
      </c>
      <c r="C562">
        <v>1993</v>
      </c>
      <c r="D562" t="s">
        <v>54</v>
      </c>
      <c r="E562" s="1"/>
    </row>
    <row r="563" spans="1:5" x14ac:dyDescent="0.25">
      <c r="A563" t="s">
        <v>4</v>
      </c>
      <c r="B563" t="s">
        <v>799</v>
      </c>
      <c r="C563">
        <v>1993</v>
      </c>
      <c r="D563" t="s">
        <v>54</v>
      </c>
      <c r="E563" s="1"/>
    </row>
    <row r="564" spans="1:5" x14ac:dyDescent="0.25">
      <c r="A564" t="s">
        <v>4</v>
      </c>
      <c r="B564" t="s">
        <v>802</v>
      </c>
      <c r="C564">
        <v>1993</v>
      </c>
      <c r="D564" t="s">
        <v>54</v>
      </c>
      <c r="E564" s="1"/>
    </row>
    <row r="565" spans="1:5" x14ac:dyDescent="0.25">
      <c r="A565" t="s">
        <v>4</v>
      </c>
      <c r="B565" t="s">
        <v>811</v>
      </c>
      <c r="C565">
        <v>1993</v>
      </c>
      <c r="D565" t="s">
        <v>54</v>
      </c>
      <c r="E565" s="1"/>
    </row>
    <row r="566" spans="1:5" x14ac:dyDescent="0.25">
      <c r="A566" t="s">
        <v>4</v>
      </c>
      <c r="B566" t="s">
        <v>817</v>
      </c>
      <c r="C566">
        <v>1993</v>
      </c>
      <c r="E566" s="1" t="s">
        <v>169</v>
      </c>
    </row>
    <row r="567" spans="1:5" x14ac:dyDescent="0.25">
      <c r="A567" t="s">
        <v>4</v>
      </c>
      <c r="B567" t="s">
        <v>819</v>
      </c>
      <c r="C567">
        <v>1993</v>
      </c>
      <c r="E567" s="1" t="s">
        <v>822</v>
      </c>
    </row>
    <row r="568" spans="1:5" x14ac:dyDescent="0.25">
      <c r="A568" t="s">
        <v>4</v>
      </c>
      <c r="B568" t="s">
        <v>847</v>
      </c>
      <c r="C568">
        <v>1993</v>
      </c>
      <c r="E568" s="1" t="s">
        <v>846</v>
      </c>
    </row>
    <row r="569" spans="1:5" x14ac:dyDescent="0.25">
      <c r="A569" t="s">
        <v>4</v>
      </c>
      <c r="B569" t="s">
        <v>914</v>
      </c>
      <c r="C569">
        <v>1993</v>
      </c>
      <c r="E569" s="1" t="s">
        <v>916</v>
      </c>
    </row>
    <row r="570" spans="1:5" x14ac:dyDescent="0.25">
      <c r="A570" t="s">
        <v>4</v>
      </c>
      <c r="B570" t="s">
        <v>928</v>
      </c>
      <c r="C570">
        <v>1993</v>
      </c>
      <c r="E570" s="1" t="s">
        <v>169</v>
      </c>
    </row>
    <row r="571" spans="1:5" x14ac:dyDescent="0.25">
      <c r="A571" t="s">
        <v>487</v>
      </c>
      <c r="B571" t="s">
        <v>489</v>
      </c>
      <c r="C571">
        <v>2014</v>
      </c>
      <c r="D571" t="s">
        <v>54</v>
      </c>
      <c r="E571" s="1"/>
    </row>
    <row r="572" spans="1:5" x14ac:dyDescent="0.25">
      <c r="A572" t="s">
        <v>461</v>
      </c>
      <c r="B572" t="s">
        <v>763</v>
      </c>
      <c r="C572">
        <v>2019</v>
      </c>
      <c r="D572" t="s">
        <v>54</v>
      </c>
      <c r="E572" s="1"/>
    </row>
    <row r="573" spans="1:5" x14ac:dyDescent="0.25">
      <c r="A573" t="s">
        <v>456</v>
      </c>
      <c r="B573" t="s">
        <v>455</v>
      </c>
      <c r="C573">
        <v>2017</v>
      </c>
      <c r="E573" s="1" t="s">
        <v>93</v>
      </c>
    </row>
    <row r="574" spans="1:5" x14ac:dyDescent="0.25">
      <c r="A574" t="s">
        <v>456</v>
      </c>
      <c r="B574" t="s">
        <v>458</v>
      </c>
      <c r="C574">
        <v>2017</v>
      </c>
      <c r="D574" t="s">
        <v>54</v>
      </c>
      <c r="E574" s="1"/>
    </row>
    <row r="575" spans="1:5" x14ac:dyDescent="0.25">
      <c r="A575" t="s">
        <v>234</v>
      </c>
      <c r="B575" t="s">
        <v>255</v>
      </c>
      <c r="C575">
        <v>2021</v>
      </c>
      <c r="E575" s="1" t="s">
        <v>169</v>
      </c>
    </row>
    <row r="576" spans="1:5" x14ac:dyDescent="0.25">
      <c r="A576" t="s">
        <v>234</v>
      </c>
      <c r="B576" t="s">
        <v>462</v>
      </c>
      <c r="C576">
        <v>2021</v>
      </c>
      <c r="E576" s="1" t="s">
        <v>169</v>
      </c>
    </row>
    <row r="577" spans="1:5" x14ac:dyDescent="0.25">
      <c r="A577" t="s">
        <v>234</v>
      </c>
      <c r="B577" t="s">
        <v>459</v>
      </c>
      <c r="C577">
        <v>2021</v>
      </c>
      <c r="E577" s="1" t="s">
        <v>169</v>
      </c>
    </row>
    <row r="578" spans="1:5" x14ac:dyDescent="0.25">
      <c r="A578" t="s">
        <v>234</v>
      </c>
      <c r="B578" t="s">
        <v>256</v>
      </c>
      <c r="C578">
        <v>2021</v>
      </c>
      <c r="E578" s="1" t="s">
        <v>169</v>
      </c>
    </row>
    <row r="579" spans="1:5" x14ac:dyDescent="0.25">
      <c r="A579" t="s">
        <v>234</v>
      </c>
      <c r="B579" t="s">
        <v>257</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262</v>
      </c>
      <c r="C583">
        <v>2021</v>
      </c>
      <c r="E583" s="1" t="s">
        <v>169</v>
      </c>
    </row>
    <row r="584" spans="1:5" x14ac:dyDescent="0.25">
      <c r="A584" t="s">
        <v>234</v>
      </c>
      <c r="B584" t="s">
        <v>241</v>
      </c>
      <c r="C584">
        <v>2021</v>
      </c>
      <c r="E584" s="1" t="s">
        <v>169</v>
      </c>
    </row>
    <row r="585" spans="1:5" x14ac:dyDescent="0.25">
      <c r="A585" t="s">
        <v>234</v>
      </c>
      <c r="B585" t="s">
        <v>285</v>
      </c>
      <c r="C585">
        <v>2021</v>
      </c>
      <c r="E585" s="1" t="s">
        <v>286</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365</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277</v>
      </c>
      <c r="C592">
        <v>2021</v>
      </c>
      <c r="E592" s="1" t="s">
        <v>276</v>
      </c>
    </row>
    <row r="593" spans="1:5" x14ac:dyDescent="0.25">
      <c r="A593" t="s">
        <v>234</v>
      </c>
      <c r="B593" t="s">
        <v>340</v>
      </c>
      <c r="C593">
        <v>2021</v>
      </c>
      <c r="E593" s="1" t="s">
        <v>341</v>
      </c>
    </row>
    <row r="594" spans="1:5" x14ac:dyDescent="0.25">
      <c r="A594" t="s">
        <v>234</v>
      </c>
      <c r="B594" t="s">
        <v>239</v>
      </c>
      <c r="C594">
        <v>2021</v>
      </c>
      <c r="E594" s="1" t="s">
        <v>169</v>
      </c>
    </row>
    <row r="595" spans="1:5" x14ac:dyDescent="0.25">
      <c r="A595" t="s">
        <v>234</v>
      </c>
      <c r="B595" t="s">
        <v>474</v>
      </c>
      <c r="C595">
        <v>2021</v>
      </c>
      <c r="E595" s="1" t="s">
        <v>169</v>
      </c>
    </row>
    <row r="596" spans="1:5" x14ac:dyDescent="0.25">
      <c r="A596" t="s">
        <v>234</v>
      </c>
      <c r="B596" t="s">
        <v>381</v>
      </c>
      <c r="C596">
        <v>2021</v>
      </c>
      <c r="E596" s="1" t="s">
        <v>93</v>
      </c>
    </row>
    <row r="597" spans="1:5" x14ac:dyDescent="0.25">
      <c r="A597" t="s">
        <v>234</v>
      </c>
      <c r="B597" t="s">
        <v>250</v>
      </c>
      <c r="C597">
        <v>2021</v>
      </c>
      <c r="E597" s="1" t="s">
        <v>169</v>
      </c>
    </row>
    <row r="598" spans="1:5" x14ac:dyDescent="0.25">
      <c r="A598" t="s">
        <v>234</v>
      </c>
      <c r="B598" t="s">
        <v>259</v>
      </c>
      <c r="C598">
        <v>2021</v>
      </c>
      <c r="E598" s="1" t="s">
        <v>169</v>
      </c>
    </row>
    <row r="599" spans="1:5" x14ac:dyDescent="0.25">
      <c r="A599" t="s">
        <v>234</v>
      </c>
      <c r="B599" t="s">
        <v>261</v>
      </c>
      <c r="C599">
        <v>2021</v>
      </c>
      <c r="E599" s="1" t="s">
        <v>169</v>
      </c>
    </row>
    <row r="600" spans="1:5" x14ac:dyDescent="0.25">
      <c r="A600" t="s">
        <v>234</v>
      </c>
      <c r="B600" t="s">
        <v>517</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271</v>
      </c>
    </row>
    <row r="608" spans="1:5" x14ac:dyDescent="0.25">
      <c r="A608" t="s">
        <v>234</v>
      </c>
      <c r="B608" t="s">
        <v>258</v>
      </c>
      <c r="C608">
        <v>2021</v>
      </c>
      <c r="E608" s="1" t="s">
        <v>169</v>
      </c>
    </row>
    <row r="609" spans="1:5" x14ac:dyDescent="0.25">
      <c r="A609" t="s">
        <v>234</v>
      </c>
      <c r="B609" t="s">
        <v>260</v>
      </c>
      <c r="C609">
        <v>2021</v>
      </c>
      <c r="E609" s="1" t="s">
        <v>169</v>
      </c>
    </row>
    <row r="610" spans="1:5" x14ac:dyDescent="0.25">
      <c r="A610" t="s">
        <v>234</v>
      </c>
      <c r="B610" t="s">
        <v>263</v>
      </c>
      <c r="C610">
        <v>2021</v>
      </c>
      <c r="E610" s="1" t="s">
        <v>169</v>
      </c>
    </row>
    <row r="611" spans="1:5" x14ac:dyDescent="0.25">
      <c r="A611" t="s">
        <v>234</v>
      </c>
      <c r="B611" t="s">
        <v>245</v>
      </c>
      <c r="C611">
        <v>2021</v>
      </c>
      <c r="E611" s="1" t="s">
        <v>169</v>
      </c>
    </row>
    <row r="612" spans="1:5" x14ac:dyDescent="0.25">
      <c r="A612" t="s">
        <v>234</v>
      </c>
      <c r="B612" t="s">
        <v>272</v>
      </c>
      <c r="C612">
        <v>2021</v>
      </c>
      <c r="E612" s="1" t="s">
        <v>273</v>
      </c>
    </row>
    <row r="613" spans="1:5" x14ac:dyDescent="0.25">
      <c r="A613" t="s">
        <v>234</v>
      </c>
      <c r="B613" t="s">
        <v>498</v>
      </c>
      <c r="C613">
        <v>2021</v>
      </c>
      <c r="E613" s="1" t="s">
        <v>93</v>
      </c>
    </row>
    <row r="614" spans="1:5" x14ac:dyDescent="0.25">
      <c r="A614" t="s">
        <v>234</v>
      </c>
      <c r="B614" t="s">
        <v>497</v>
      </c>
      <c r="C614">
        <v>2021</v>
      </c>
      <c r="E614" s="1" t="s">
        <v>93</v>
      </c>
    </row>
    <row r="615" spans="1:5" x14ac:dyDescent="0.25">
      <c r="A615" t="s">
        <v>234</v>
      </c>
      <c r="B615" t="s">
        <v>572</v>
      </c>
      <c r="C615">
        <v>2021</v>
      </c>
      <c r="E615" s="1" t="s">
        <v>169</v>
      </c>
    </row>
    <row r="616" spans="1:5" x14ac:dyDescent="0.25">
      <c r="A616" t="s">
        <v>234</v>
      </c>
      <c r="B616" t="s">
        <v>728</v>
      </c>
      <c r="C616">
        <v>2021</v>
      </c>
      <c r="E616" s="1" t="s">
        <v>169</v>
      </c>
    </row>
    <row r="617" spans="1:5" x14ac:dyDescent="0.25">
      <c r="A617" t="s">
        <v>234</v>
      </c>
      <c r="B617" t="s">
        <v>774</v>
      </c>
      <c r="C617">
        <v>2021</v>
      </c>
      <c r="E617" s="1" t="s">
        <v>775</v>
      </c>
    </row>
    <row r="618" spans="1:5" x14ac:dyDescent="0.25">
      <c r="A618" t="s">
        <v>234</v>
      </c>
      <c r="B618" t="s">
        <v>871</v>
      </c>
      <c r="C618">
        <v>2021</v>
      </c>
      <c r="E618" s="1" t="s">
        <v>872</v>
      </c>
    </row>
    <row r="619" spans="1:5" x14ac:dyDescent="0.25">
      <c r="A619" t="s">
        <v>234</v>
      </c>
      <c r="B619" t="s">
        <v>873</v>
      </c>
      <c r="C619">
        <v>2021</v>
      </c>
      <c r="E619" s="1" t="s">
        <v>93</v>
      </c>
    </row>
    <row r="620" spans="1:5" x14ac:dyDescent="0.25">
      <c r="A620" t="s">
        <v>234</v>
      </c>
      <c r="B620" t="s">
        <v>934</v>
      </c>
      <c r="C620">
        <v>2021</v>
      </c>
      <c r="E620" s="1" t="s">
        <v>933</v>
      </c>
    </row>
    <row r="621" spans="1:5" x14ac:dyDescent="0.25">
      <c r="A621" t="s">
        <v>234</v>
      </c>
      <c r="B621" t="s">
        <v>941</v>
      </c>
      <c r="C621">
        <v>2021</v>
      </c>
      <c r="E621" s="1" t="s">
        <v>93</v>
      </c>
    </row>
    <row r="622" spans="1:5" x14ac:dyDescent="0.25">
      <c r="A622" t="s">
        <v>234</v>
      </c>
      <c r="B622" t="s">
        <v>944</v>
      </c>
      <c r="C622">
        <v>2021</v>
      </c>
      <c r="E622" s="1" t="s">
        <v>943</v>
      </c>
    </row>
    <row r="623" spans="1:5" x14ac:dyDescent="0.25">
      <c r="A623" t="s">
        <v>234</v>
      </c>
      <c r="B623" t="s">
        <v>961</v>
      </c>
      <c r="C623">
        <v>2021</v>
      </c>
      <c r="E623" s="1" t="s">
        <v>169</v>
      </c>
    </row>
    <row r="624" spans="1:5" x14ac:dyDescent="0.25">
      <c r="A624" t="s">
        <v>234</v>
      </c>
      <c r="B624" t="s">
        <v>962</v>
      </c>
      <c r="C624">
        <v>2021</v>
      </c>
      <c r="E624" s="1" t="s">
        <v>169</v>
      </c>
    </row>
    <row r="625" spans="1:5" x14ac:dyDescent="0.25">
      <c r="A625" t="s">
        <v>914</v>
      </c>
      <c r="B625" t="s">
        <v>915</v>
      </c>
      <c r="C625">
        <v>2021</v>
      </c>
      <c r="D625" t="s">
        <v>54</v>
      </c>
      <c r="E625" s="1"/>
    </row>
    <row r="626" spans="1:5" x14ac:dyDescent="0.25">
      <c r="A626" t="s">
        <v>922</v>
      </c>
      <c r="B626" t="s">
        <v>923</v>
      </c>
      <c r="C626">
        <v>2019</v>
      </c>
      <c r="D626" t="s">
        <v>54</v>
      </c>
      <c r="E626" s="1"/>
    </row>
    <row r="627" spans="1:5" x14ac:dyDescent="0.25">
      <c r="A627" t="s">
        <v>300</v>
      </c>
      <c r="B627" t="s">
        <v>988</v>
      </c>
      <c r="C627">
        <v>2023</v>
      </c>
      <c r="D627" t="s">
        <v>54</v>
      </c>
      <c r="E627" s="1"/>
    </row>
    <row r="628" spans="1:5" x14ac:dyDescent="0.25">
      <c r="A628" t="s">
        <v>494</v>
      </c>
      <c r="B628" t="s">
        <v>495</v>
      </c>
      <c r="C628">
        <v>2005</v>
      </c>
      <c r="D628" t="s">
        <v>54</v>
      </c>
      <c r="E628" s="1"/>
    </row>
    <row r="629" spans="1:5" x14ac:dyDescent="0.25">
      <c r="A629" t="s">
        <v>172</v>
      </c>
      <c r="B629" t="s">
        <v>885</v>
      </c>
      <c r="C629">
        <v>2023</v>
      </c>
      <c r="E629" s="1" t="s">
        <v>93</v>
      </c>
    </row>
    <row r="630" spans="1:5" x14ac:dyDescent="0.25">
      <c r="A630" t="s">
        <v>216</v>
      </c>
      <c r="B630" t="s">
        <v>215</v>
      </c>
      <c r="C630">
        <v>2018</v>
      </c>
      <c r="E630" s="1" t="s">
        <v>218</v>
      </c>
    </row>
    <row r="631" spans="1:5" x14ac:dyDescent="0.25">
      <c r="A631" t="s">
        <v>216</v>
      </c>
      <c r="B631" t="s">
        <v>274</v>
      </c>
      <c r="C631">
        <v>2018</v>
      </c>
      <c r="E631" s="1" t="s">
        <v>275</v>
      </c>
    </row>
    <row r="632" spans="1:5" x14ac:dyDescent="0.25">
      <c r="A632" t="s">
        <v>216</v>
      </c>
      <c r="B632" t="s">
        <v>220</v>
      </c>
      <c r="C632">
        <v>2018</v>
      </c>
      <c r="D632" t="s">
        <v>54</v>
      </c>
      <c r="E632" s="1"/>
    </row>
    <row r="633" spans="1:5" x14ac:dyDescent="0.25">
      <c r="A633" t="s">
        <v>819</v>
      </c>
      <c r="B633" t="s">
        <v>820</v>
      </c>
      <c r="C633">
        <v>2010</v>
      </c>
      <c r="D633" t="s">
        <v>54</v>
      </c>
      <c r="E633" s="1" t="s">
        <v>821</v>
      </c>
    </row>
    <row r="634" spans="1:5" x14ac:dyDescent="0.25">
      <c r="A634" t="s">
        <v>38</v>
      </c>
      <c r="B634" t="s">
        <v>49</v>
      </c>
      <c r="C634">
        <v>1994</v>
      </c>
      <c r="E634" s="1" t="s">
        <v>52</v>
      </c>
    </row>
    <row r="635" spans="1:5" x14ac:dyDescent="0.25">
      <c r="A635" t="s">
        <v>527</v>
      </c>
      <c r="B635" t="s">
        <v>528</v>
      </c>
      <c r="C635">
        <v>2014</v>
      </c>
      <c r="D635" t="s">
        <v>54</v>
      </c>
      <c r="E635" s="1"/>
    </row>
    <row r="636" spans="1:5" x14ac:dyDescent="0.25">
      <c r="A636" t="s">
        <v>527</v>
      </c>
      <c r="B636" t="s">
        <v>952</v>
      </c>
      <c r="C636">
        <v>2014</v>
      </c>
      <c r="E636" s="1" t="s">
        <v>951</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4"/>
  <sheetViews>
    <sheetView workbookViewId="0">
      <selection activeCell="I13" sqref="I13"/>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17.42578125" bestFit="1" customWidth="1"/>
    <col min="8" max="8" width="18.7109375" bestFit="1" customWidth="1"/>
  </cols>
  <sheetData>
    <row r="1" spans="1:9" x14ac:dyDescent="0.25">
      <c r="A1" t="s">
        <v>302</v>
      </c>
      <c r="B1" t="s">
        <v>406</v>
      </c>
      <c r="C1" t="s">
        <v>413</v>
      </c>
      <c r="D1" t="s">
        <v>3</v>
      </c>
      <c r="E1" t="s">
        <v>303</v>
      </c>
      <c r="F1" t="s">
        <v>648</v>
      </c>
      <c r="G1" t="s">
        <v>969</v>
      </c>
      <c r="H1" t="s">
        <v>977</v>
      </c>
      <c r="I1" t="s">
        <v>1032</v>
      </c>
    </row>
    <row r="2" spans="1:9" x14ac:dyDescent="0.25">
      <c r="A2" t="s">
        <v>584</v>
      </c>
      <c r="B2" t="s">
        <v>409</v>
      </c>
      <c r="C2" t="s">
        <v>414</v>
      </c>
      <c r="D2" t="s">
        <v>419</v>
      </c>
      <c r="E2" t="s">
        <v>993</v>
      </c>
      <c r="F2" s="1" t="s">
        <v>1007</v>
      </c>
      <c r="G2" t="s">
        <v>981</v>
      </c>
      <c r="H2" t="s">
        <v>978</v>
      </c>
      <c r="I2" t="s">
        <v>1033</v>
      </c>
    </row>
    <row r="3" spans="1:9" x14ac:dyDescent="0.25">
      <c r="A3" t="s">
        <v>1021</v>
      </c>
      <c r="B3" t="s">
        <v>408</v>
      </c>
      <c r="C3" t="s">
        <v>699</v>
      </c>
      <c r="D3" t="s">
        <v>419</v>
      </c>
      <c r="E3" t="s">
        <v>1020</v>
      </c>
      <c r="F3" s="1" t="s">
        <v>1022</v>
      </c>
      <c r="G3" t="s">
        <v>254</v>
      </c>
      <c r="H3" t="s">
        <v>978</v>
      </c>
    </row>
    <row r="4" spans="1:9" x14ac:dyDescent="0.25">
      <c r="A4" t="s">
        <v>975</v>
      </c>
      <c r="B4" t="s">
        <v>408</v>
      </c>
      <c r="C4" t="s">
        <v>699</v>
      </c>
      <c r="D4" t="s">
        <v>974</v>
      </c>
      <c r="E4" t="s">
        <v>976</v>
      </c>
      <c r="F4" s="1" t="s">
        <v>1010</v>
      </c>
      <c r="G4" t="s">
        <v>971</v>
      </c>
      <c r="H4" t="s">
        <v>978</v>
      </c>
    </row>
    <row r="5" spans="1:9" x14ac:dyDescent="0.25">
      <c r="A5" t="s">
        <v>972</v>
      </c>
      <c r="B5" t="s">
        <v>409</v>
      </c>
      <c r="C5" t="s">
        <v>699</v>
      </c>
      <c r="D5" t="s">
        <v>974</v>
      </c>
      <c r="E5" t="s">
        <v>973</v>
      </c>
      <c r="F5" s="1" t="s">
        <v>1011</v>
      </c>
      <c r="G5" t="s">
        <v>196</v>
      </c>
      <c r="H5" t="s">
        <v>978</v>
      </c>
    </row>
    <row r="6" spans="1:9" x14ac:dyDescent="0.25">
      <c r="A6" t="s">
        <v>423</v>
      </c>
      <c r="B6" t="s">
        <v>407</v>
      </c>
      <c r="C6" t="s">
        <v>414</v>
      </c>
      <c r="D6" t="s">
        <v>420</v>
      </c>
      <c r="E6" t="s">
        <v>968</v>
      </c>
      <c r="F6" s="1" t="s">
        <v>996</v>
      </c>
      <c r="G6" t="s">
        <v>88</v>
      </c>
      <c r="H6" t="s">
        <v>978</v>
      </c>
    </row>
    <row r="7" spans="1:9" x14ac:dyDescent="0.25">
      <c r="A7" t="s">
        <v>970</v>
      </c>
      <c r="B7" t="s">
        <v>407</v>
      </c>
      <c r="C7" t="s">
        <v>414</v>
      </c>
      <c r="D7" t="s">
        <v>420</v>
      </c>
      <c r="E7" t="s">
        <v>1000</v>
      </c>
      <c r="F7" s="1" t="s">
        <v>999</v>
      </c>
      <c r="G7" t="s">
        <v>971</v>
      </c>
      <c r="H7" t="s">
        <v>978</v>
      </c>
    </row>
    <row r="8" spans="1:9" x14ac:dyDescent="0.25">
      <c r="A8" t="s">
        <v>703</v>
      </c>
      <c r="B8" t="s">
        <v>407</v>
      </c>
      <c r="C8" t="s">
        <v>414</v>
      </c>
      <c r="D8" t="s">
        <v>419</v>
      </c>
      <c r="E8" t="s">
        <v>1012</v>
      </c>
      <c r="F8" s="1" t="s">
        <v>997</v>
      </c>
      <c r="G8" t="s">
        <v>234</v>
      </c>
      <c r="H8" t="s">
        <v>978</v>
      </c>
    </row>
    <row r="9" spans="1:9" x14ac:dyDescent="0.25">
      <c r="A9" t="s">
        <v>412</v>
      </c>
      <c r="B9" t="s">
        <v>407</v>
      </c>
      <c r="C9" t="s">
        <v>699</v>
      </c>
      <c r="D9" t="s">
        <v>419</v>
      </c>
      <c r="E9" t="s">
        <v>994</v>
      </c>
      <c r="F9" s="1" t="s">
        <v>998</v>
      </c>
      <c r="G9" t="s">
        <v>234</v>
      </c>
      <c r="H9" t="s">
        <v>978</v>
      </c>
    </row>
    <row r="10" spans="1:9" x14ac:dyDescent="0.25">
      <c r="A10" t="s">
        <v>1029</v>
      </c>
      <c r="B10" t="s">
        <v>408</v>
      </c>
      <c r="C10" t="s">
        <v>699</v>
      </c>
      <c r="D10" t="s">
        <v>419</v>
      </c>
      <c r="E10" t="s">
        <v>1030</v>
      </c>
      <c r="F10" s="1" t="s">
        <v>1031</v>
      </c>
      <c r="G10" t="s">
        <v>254</v>
      </c>
      <c r="H10" t="s">
        <v>978</v>
      </c>
      <c r="I10" t="s">
        <v>1033</v>
      </c>
    </row>
    <row r="11" spans="1:9" x14ac:dyDescent="0.25">
      <c r="A11" t="s">
        <v>702</v>
      </c>
      <c r="B11" t="s">
        <v>407</v>
      </c>
      <c r="C11" t="s">
        <v>414</v>
      </c>
      <c r="D11" t="s">
        <v>419</v>
      </c>
      <c r="E11" t="s">
        <v>980</v>
      </c>
      <c r="F11" s="1" t="s">
        <v>1001</v>
      </c>
      <c r="G11" t="s">
        <v>971</v>
      </c>
      <c r="H11" t="s">
        <v>978</v>
      </c>
    </row>
    <row r="12" spans="1:9" x14ac:dyDescent="0.25">
      <c r="A12" t="s">
        <v>583</v>
      </c>
      <c r="B12" t="s">
        <v>407</v>
      </c>
      <c r="C12" t="s">
        <v>414</v>
      </c>
      <c r="D12" t="s">
        <v>419</v>
      </c>
      <c r="E12" t="s">
        <v>995</v>
      </c>
      <c r="F12" s="1" t="s">
        <v>1008</v>
      </c>
      <c r="G12" t="s">
        <v>971</v>
      </c>
      <c r="H12" t="s">
        <v>978</v>
      </c>
      <c r="I12" t="s">
        <v>1034</v>
      </c>
    </row>
    <row r="13" spans="1:9" x14ac:dyDescent="0.25">
      <c r="A13" t="s">
        <v>985</v>
      </c>
      <c r="B13" t="s">
        <v>408</v>
      </c>
      <c r="C13" t="s">
        <v>414</v>
      </c>
      <c r="D13" t="s">
        <v>419</v>
      </c>
      <c r="E13" t="s">
        <v>992</v>
      </c>
      <c r="F13" s="1" t="s">
        <v>1005</v>
      </c>
      <c r="G13" t="s">
        <v>971</v>
      </c>
      <c r="H13" t="s">
        <v>978</v>
      </c>
    </row>
    <row r="14" spans="1:9" x14ac:dyDescent="0.25">
      <c r="A14" t="s">
        <v>700</v>
      </c>
      <c r="B14" t="s">
        <v>407</v>
      </c>
      <c r="C14" t="s">
        <v>414</v>
      </c>
      <c r="D14" t="s">
        <v>419</v>
      </c>
      <c r="E14" t="s">
        <v>1013</v>
      </c>
      <c r="F14" s="1" t="s">
        <v>1002</v>
      </c>
      <c r="G14" t="s">
        <v>88</v>
      </c>
      <c r="H14" t="s">
        <v>978</v>
      </c>
    </row>
    <row r="15" spans="1:9" x14ac:dyDescent="0.25">
      <c r="A15" t="s">
        <v>705</v>
      </c>
      <c r="B15" t="s">
        <v>409</v>
      </c>
      <c r="C15" t="s">
        <v>699</v>
      </c>
      <c r="D15" t="s">
        <v>419</v>
      </c>
      <c r="E15" t="s">
        <v>1018</v>
      </c>
      <c r="F15" s="1" t="s">
        <v>1016</v>
      </c>
      <c r="G15" t="s">
        <v>254</v>
      </c>
      <c r="H15" t="s">
        <v>978</v>
      </c>
    </row>
    <row r="16" spans="1:9" x14ac:dyDescent="0.25">
      <c r="A16" t="s">
        <v>417</v>
      </c>
      <c r="B16" t="s">
        <v>407</v>
      </c>
      <c r="C16" t="s">
        <v>414</v>
      </c>
      <c r="D16" t="s">
        <v>420</v>
      </c>
      <c r="E16" t="s">
        <v>991</v>
      </c>
      <c r="F16" s="1" t="s">
        <v>1003</v>
      </c>
      <c r="G16" t="s">
        <v>971</v>
      </c>
      <c r="H16" t="s">
        <v>978</v>
      </c>
    </row>
    <row r="17" spans="1:9" x14ac:dyDescent="0.25">
      <c r="A17" t="s">
        <v>415</v>
      </c>
      <c r="B17" t="s">
        <v>408</v>
      </c>
      <c r="C17" t="s">
        <v>414</v>
      </c>
      <c r="D17" t="s">
        <v>420</v>
      </c>
      <c r="E17" t="s">
        <v>416</v>
      </c>
      <c r="F17" s="1" t="s">
        <v>1028</v>
      </c>
      <c r="G17" t="s">
        <v>131</v>
      </c>
      <c r="H17" t="s">
        <v>978</v>
      </c>
    </row>
    <row r="18" spans="1:9" x14ac:dyDescent="0.25">
      <c r="A18" t="s">
        <v>410</v>
      </c>
      <c r="B18" t="s">
        <v>407</v>
      </c>
      <c r="C18" t="s">
        <v>414</v>
      </c>
      <c r="D18" t="s">
        <v>420</v>
      </c>
      <c r="E18" t="s">
        <v>304</v>
      </c>
      <c r="F18" s="1" t="s">
        <v>1004</v>
      </c>
      <c r="G18" t="s">
        <v>0</v>
      </c>
      <c r="H18" t="s">
        <v>978</v>
      </c>
    </row>
    <row r="19" spans="1:9" x14ac:dyDescent="0.25">
      <c r="A19" t="s">
        <v>979</v>
      </c>
      <c r="B19" t="s">
        <v>407</v>
      </c>
      <c r="C19" t="s">
        <v>699</v>
      </c>
      <c r="D19" t="s">
        <v>419</v>
      </c>
      <c r="E19" t="s">
        <v>1015</v>
      </c>
      <c r="F19" s="1" t="s">
        <v>1009</v>
      </c>
      <c r="G19" t="s">
        <v>981</v>
      </c>
      <c r="H19" t="s">
        <v>978</v>
      </c>
      <c r="I19" t="s">
        <v>1033</v>
      </c>
    </row>
    <row r="20" spans="1:9" x14ac:dyDescent="0.25">
      <c r="A20" t="s">
        <v>701</v>
      </c>
      <c r="B20" t="s">
        <v>407</v>
      </c>
      <c r="C20" t="s">
        <v>414</v>
      </c>
      <c r="D20" t="s">
        <v>419</v>
      </c>
      <c r="E20" t="s">
        <v>1014</v>
      </c>
      <c r="F20" s="1" t="s">
        <v>1006</v>
      </c>
      <c r="G20" t="s">
        <v>88</v>
      </c>
      <c r="H20" t="s">
        <v>978</v>
      </c>
    </row>
    <row r="21" spans="1:9" x14ac:dyDescent="0.25">
      <c r="A21" t="s">
        <v>421</v>
      </c>
      <c r="B21" t="s">
        <v>409</v>
      </c>
      <c r="C21" t="s">
        <v>414</v>
      </c>
      <c r="D21" t="s">
        <v>420</v>
      </c>
      <c r="E21" t="s">
        <v>422</v>
      </c>
      <c r="F21" s="1" t="s">
        <v>1027</v>
      </c>
      <c r="G21" t="s">
        <v>971</v>
      </c>
      <c r="H21" t="s">
        <v>978</v>
      </c>
    </row>
    <row r="22" spans="1:9" x14ac:dyDescent="0.25">
      <c r="A22" t="s">
        <v>704</v>
      </c>
      <c r="B22" t="s">
        <v>408</v>
      </c>
      <c r="C22" t="s">
        <v>699</v>
      </c>
      <c r="D22" t="s">
        <v>419</v>
      </c>
      <c r="E22" t="s">
        <v>1019</v>
      </c>
      <c r="F22" s="1" t="s">
        <v>1017</v>
      </c>
      <c r="G22" t="s">
        <v>254</v>
      </c>
      <c r="H22" t="s">
        <v>978</v>
      </c>
      <c r="I22" t="s">
        <v>1034</v>
      </c>
    </row>
    <row r="23" spans="1:9" x14ac:dyDescent="0.25">
      <c r="A23" t="s">
        <v>418</v>
      </c>
      <c r="B23" t="s">
        <v>409</v>
      </c>
      <c r="C23" t="s">
        <v>414</v>
      </c>
      <c r="D23" t="s">
        <v>420</v>
      </c>
      <c r="E23" t="s">
        <v>411</v>
      </c>
      <c r="F23" s="1" t="s">
        <v>1026</v>
      </c>
      <c r="G23" t="s">
        <v>88</v>
      </c>
      <c r="H23" t="s">
        <v>978</v>
      </c>
      <c r="I23" t="s">
        <v>1033</v>
      </c>
    </row>
    <row r="24" spans="1:9" x14ac:dyDescent="0.25">
      <c r="A24" t="s">
        <v>1023</v>
      </c>
      <c r="B24" t="s">
        <v>408</v>
      </c>
      <c r="C24" t="s">
        <v>699</v>
      </c>
      <c r="D24" t="s">
        <v>419</v>
      </c>
      <c r="E24" t="s">
        <v>1024</v>
      </c>
      <c r="F24" s="1" t="s">
        <v>1025</v>
      </c>
      <c r="G24" t="s">
        <v>254</v>
      </c>
      <c r="H24" t="s">
        <v>978</v>
      </c>
    </row>
  </sheetData>
  <phoneticPr fontId="2" type="noConversion"/>
  <hyperlinks>
    <hyperlink ref="F6" r:id="rId1" xr:uid="{FAC9EBB5-3AE1-476C-A1B5-EFE6A9E04E60}"/>
    <hyperlink ref="F8" r:id="rId2" xr:uid="{22ACBA45-10DD-4302-8391-AFA536E1EE9F}"/>
    <hyperlink ref="F9" r:id="rId3" xr:uid="{7C527857-7AEA-4148-B3D3-C7204E564B33}"/>
    <hyperlink ref="F7" r:id="rId4" xr:uid="{5EA540CD-CAC8-42C9-84A0-886F7C4D594B}"/>
    <hyperlink ref="F11" r:id="rId5" xr:uid="{0FE0D4CA-79E4-4EBE-B616-8C7D429E6807}"/>
    <hyperlink ref="F14" r:id="rId6" xr:uid="{8C76807E-055A-469F-A7E1-92FAF46EE6E2}"/>
    <hyperlink ref="F16" r:id="rId7" xr:uid="{601B8894-C892-418E-9007-8E9331E04D97}"/>
    <hyperlink ref="F18" r:id="rId8" xr:uid="{C2DF75AF-2D53-4072-8CB9-683C3C2A10FB}"/>
    <hyperlink ref="F13" r:id="rId9" xr:uid="{ADC88A83-9C30-4C77-9813-36D8EF9965EC}"/>
    <hyperlink ref="F20" r:id="rId10" xr:uid="{694E0C3C-26EA-430A-9CEC-C0482460A273}"/>
    <hyperlink ref="F2" r:id="rId11" xr:uid="{D1179512-17FD-4684-86B8-33DB8F2C4863}"/>
    <hyperlink ref="F12" r:id="rId12" xr:uid="{ECCF0EC6-CE89-4E93-B1B9-8750270AF8B6}"/>
    <hyperlink ref="F19" r:id="rId13" xr:uid="{5CC17D26-71E6-4C4E-8833-0416810D7A16}"/>
    <hyperlink ref="F4" r:id="rId14" xr:uid="{0050197A-AB42-45C0-A902-5E0EF1B18851}"/>
    <hyperlink ref="F5" r:id="rId15" xr:uid="{E1CAE3CD-AC21-4F97-9F4E-A4B956A11C10}"/>
    <hyperlink ref="F15" r:id="rId16" xr:uid="{CB126DB3-15F6-4284-9E30-74DE0F961C19}"/>
    <hyperlink ref="F22" r:id="rId17" xr:uid="{B0A84AE0-BF31-4FE3-934A-324D898A2901}"/>
    <hyperlink ref="F3" r:id="rId18" xr:uid="{C5C777F2-C7F0-436E-A7DA-E9B4EFF4DB35}"/>
    <hyperlink ref="F24" r:id="rId19" xr:uid="{51F312E0-EF80-4920-A82B-4AC44FBDD5F2}"/>
    <hyperlink ref="F23" r:id="rId20" xr:uid="{1C47A45F-4B82-4A16-B8CC-DF5C04FE56D1}"/>
    <hyperlink ref="F21" r:id="rId21" xr:uid="{A5FEF4FB-4E9E-4892-8037-84CFDEA720B9}"/>
    <hyperlink ref="F17" r:id="rId22" xr:uid="{DABA68D4-33A3-483E-A2FD-DD0A3D4B5A07}"/>
    <hyperlink ref="F10" r:id="rId23" xr:uid="{0661794B-9D9A-4DB3-A1BE-2E6BD646D419}"/>
  </hyperlinks>
  <pageMargins left="0.7" right="0.7" top="0.75" bottom="0.75" header="0.3" footer="0.3"/>
  <tableParts count="1">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543</v>
      </c>
      <c r="B1" t="s">
        <v>303</v>
      </c>
      <c r="C1" t="s">
        <v>544</v>
      </c>
      <c r="D1" t="s">
        <v>545</v>
      </c>
      <c r="E1" t="s">
        <v>546</v>
      </c>
      <c r="F1" t="s">
        <v>554</v>
      </c>
    </row>
    <row r="2" spans="1:6" x14ac:dyDescent="0.25">
      <c r="A2" t="s">
        <v>547</v>
      </c>
      <c r="B2" t="s">
        <v>569</v>
      </c>
      <c r="C2" t="s">
        <v>548</v>
      </c>
      <c r="D2" t="s">
        <v>629</v>
      </c>
      <c r="E2" t="s">
        <v>549</v>
      </c>
    </row>
    <row r="3" spans="1:6" x14ac:dyDescent="0.25">
      <c r="A3" t="s">
        <v>550</v>
      </c>
      <c r="B3" t="s">
        <v>568</v>
      </c>
      <c r="C3" t="s">
        <v>551</v>
      </c>
      <c r="D3" t="s">
        <v>552</v>
      </c>
      <c r="E3" t="s">
        <v>553</v>
      </c>
      <c r="F3" t="s">
        <v>549</v>
      </c>
    </row>
    <row r="4" spans="1:6" x14ac:dyDescent="0.25">
      <c r="A4" t="s">
        <v>559</v>
      </c>
      <c r="B4" t="s">
        <v>561</v>
      </c>
      <c r="C4" t="s">
        <v>560</v>
      </c>
      <c r="D4" t="s">
        <v>562</v>
      </c>
    </row>
    <row r="5" spans="1:6" x14ac:dyDescent="0.25">
      <c r="A5" t="s">
        <v>563</v>
      </c>
      <c r="B5" t="s">
        <v>567</v>
      </c>
      <c r="C5" t="s">
        <v>566</v>
      </c>
      <c r="D5" t="s">
        <v>564</v>
      </c>
      <c r="E5" t="s">
        <v>565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604</v>
      </c>
      <c r="C1" t="s">
        <v>647</v>
      </c>
      <c r="D1" t="s">
        <v>600</v>
      </c>
      <c r="E1" t="s">
        <v>667</v>
      </c>
      <c r="F1" t="s">
        <v>601</v>
      </c>
      <c r="G1" t="s">
        <v>602</v>
      </c>
      <c r="H1" t="s">
        <v>648</v>
      </c>
    </row>
    <row r="2" spans="1:8" x14ac:dyDescent="0.25">
      <c r="A2" t="s">
        <v>650</v>
      </c>
      <c r="B2" t="s">
        <v>605</v>
      </c>
      <c r="C2" t="s">
        <v>88</v>
      </c>
      <c r="D2" t="s">
        <v>613</v>
      </c>
      <c r="E2">
        <v>5</v>
      </c>
      <c r="F2" t="s">
        <v>606</v>
      </c>
      <c r="G2" t="s">
        <v>656</v>
      </c>
      <c r="H2" s="1" t="s">
        <v>730</v>
      </c>
    </row>
    <row r="3" spans="1:8" x14ac:dyDescent="0.25">
      <c r="A3" t="s">
        <v>659</v>
      </c>
      <c r="B3" t="s">
        <v>623</v>
      </c>
      <c r="C3" t="s">
        <v>88</v>
      </c>
      <c r="D3" t="s">
        <v>613</v>
      </c>
      <c r="E3">
        <v>10</v>
      </c>
      <c r="F3" t="s">
        <v>653</v>
      </c>
      <c r="G3" t="s">
        <v>657</v>
      </c>
      <c r="H3" s="1" t="s">
        <v>731</v>
      </c>
    </row>
    <row r="4" spans="1:8" x14ac:dyDescent="0.25">
      <c r="A4" t="s">
        <v>660</v>
      </c>
      <c r="B4" t="s">
        <v>649</v>
      </c>
      <c r="C4" t="s">
        <v>88</v>
      </c>
      <c r="D4" t="s">
        <v>613</v>
      </c>
      <c r="E4">
        <v>15</v>
      </c>
      <c r="F4" t="s">
        <v>655</v>
      </c>
      <c r="G4" t="s">
        <v>658</v>
      </c>
      <c r="H4" s="1" t="s">
        <v>732</v>
      </c>
    </row>
    <row r="5" spans="1:8" x14ac:dyDescent="0.25">
      <c r="A5" t="s">
        <v>651</v>
      </c>
      <c r="B5" t="s">
        <v>605</v>
      </c>
      <c r="C5" t="s">
        <v>0</v>
      </c>
      <c r="D5" t="s">
        <v>611</v>
      </c>
      <c r="E5">
        <v>5</v>
      </c>
      <c r="F5" t="s">
        <v>606</v>
      </c>
      <c r="G5" t="s">
        <v>656</v>
      </c>
      <c r="H5" s="1" t="s">
        <v>733</v>
      </c>
    </row>
    <row r="6" spans="1:8" x14ac:dyDescent="0.25">
      <c r="A6" t="s">
        <v>652</v>
      </c>
      <c r="B6" t="s">
        <v>623</v>
      </c>
      <c r="C6" t="s">
        <v>0</v>
      </c>
      <c r="D6" t="s">
        <v>611</v>
      </c>
      <c r="E6">
        <v>10</v>
      </c>
      <c r="F6" t="s">
        <v>653</v>
      </c>
      <c r="G6" t="s">
        <v>657</v>
      </c>
      <c r="H6" s="1" t="s">
        <v>734</v>
      </c>
    </row>
    <row r="7" spans="1:8" x14ac:dyDescent="0.25">
      <c r="A7" t="s">
        <v>654</v>
      </c>
      <c r="B7" t="s">
        <v>649</v>
      </c>
      <c r="C7" t="s">
        <v>0</v>
      </c>
      <c r="D7" t="s">
        <v>611</v>
      </c>
      <c r="E7">
        <v>15</v>
      </c>
      <c r="F7" t="s">
        <v>655</v>
      </c>
      <c r="G7" t="s">
        <v>658</v>
      </c>
      <c r="H7" s="1" t="s">
        <v>735</v>
      </c>
    </row>
    <row r="8" spans="1:8" x14ac:dyDescent="0.25">
      <c r="A8" t="s">
        <v>664</v>
      </c>
      <c r="B8" t="s">
        <v>605</v>
      </c>
      <c r="C8" t="s">
        <v>312</v>
      </c>
      <c r="D8" t="s">
        <v>607</v>
      </c>
      <c r="E8">
        <v>5</v>
      </c>
      <c r="F8" t="s">
        <v>606</v>
      </c>
      <c r="G8" t="s">
        <v>656</v>
      </c>
      <c r="H8" s="1" t="s">
        <v>736</v>
      </c>
    </row>
    <row r="9" spans="1:8" x14ac:dyDescent="0.25">
      <c r="A9" t="s">
        <v>665</v>
      </c>
      <c r="B9" t="s">
        <v>623</v>
      </c>
      <c r="C9" t="s">
        <v>312</v>
      </c>
      <c r="D9" t="s">
        <v>607</v>
      </c>
      <c r="E9">
        <v>10</v>
      </c>
      <c r="F9" t="s">
        <v>653</v>
      </c>
      <c r="G9" t="s">
        <v>657</v>
      </c>
      <c r="H9" s="1" t="s">
        <v>737</v>
      </c>
    </row>
    <row r="10" spans="1:8" x14ac:dyDescent="0.25">
      <c r="A10" t="s">
        <v>666</v>
      </c>
      <c r="B10" t="s">
        <v>649</v>
      </c>
      <c r="C10" t="s">
        <v>312</v>
      </c>
      <c r="D10" t="s">
        <v>607</v>
      </c>
      <c r="E10">
        <v>15</v>
      </c>
      <c r="F10" t="s">
        <v>655</v>
      </c>
      <c r="G10" t="s">
        <v>658</v>
      </c>
      <c r="H10" s="1" t="s">
        <v>738</v>
      </c>
    </row>
    <row r="11" spans="1:8" x14ac:dyDescent="0.25">
      <c r="A11" t="s">
        <v>661</v>
      </c>
      <c r="B11" t="s">
        <v>605</v>
      </c>
      <c r="C11" t="s">
        <v>98</v>
      </c>
      <c r="D11" t="s">
        <v>603</v>
      </c>
      <c r="E11">
        <v>5</v>
      </c>
      <c r="F11" t="s">
        <v>606</v>
      </c>
      <c r="G11" t="s">
        <v>656</v>
      </c>
      <c r="H11" s="1" t="s">
        <v>739</v>
      </c>
    </row>
    <row r="12" spans="1:8" x14ac:dyDescent="0.25">
      <c r="A12" t="s">
        <v>662</v>
      </c>
      <c r="B12" t="s">
        <v>623</v>
      </c>
      <c r="C12" t="s">
        <v>98</v>
      </c>
      <c r="D12" t="s">
        <v>603</v>
      </c>
      <c r="E12">
        <v>10</v>
      </c>
      <c r="F12" t="s">
        <v>653</v>
      </c>
      <c r="G12" t="s">
        <v>657</v>
      </c>
      <c r="H12" s="1" t="s">
        <v>740</v>
      </c>
    </row>
    <row r="13" spans="1:8" x14ac:dyDescent="0.25">
      <c r="A13" t="s">
        <v>663</v>
      </c>
      <c r="B13" t="s">
        <v>649</v>
      </c>
      <c r="C13" t="s">
        <v>98</v>
      </c>
      <c r="D13" t="s">
        <v>603</v>
      </c>
      <c r="E13">
        <v>15</v>
      </c>
      <c r="F13" t="s">
        <v>655</v>
      </c>
      <c r="G13" t="s">
        <v>658</v>
      </c>
      <c r="H13" s="1" t="s">
        <v>741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E37"/>
  <sheetViews>
    <sheetView workbookViewId="0">
      <selection activeCell="D38" sqref="D38"/>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9.28515625" customWidth="1"/>
  </cols>
  <sheetData>
    <row r="1" spans="1:5" x14ac:dyDescent="0.25">
      <c r="A1" t="s">
        <v>1</v>
      </c>
      <c r="B1" t="s">
        <v>600</v>
      </c>
      <c r="C1" t="s">
        <v>644</v>
      </c>
      <c r="D1" t="s">
        <v>608</v>
      </c>
      <c r="E1" t="s">
        <v>303</v>
      </c>
    </row>
    <row r="2" spans="1:5" x14ac:dyDescent="0.25">
      <c r="A2" t="s">
        <v>668</v>
      </c>
      <c r="B2" t="s">
        <v>613</v>
      </c>
      <c r="C2" t="s">
        <v>605</v>
      </c>
      <c r="D2" t="s">
        <v>616</v>
      </c>
      <c r="E2" t="s">
        <v>625</v>
      </c>
    </row>
    <row r="3" spans="1:5" x14ac:dyDescent="0.25">
      <c r="A3" t="s">
        <v>669</v>
      </c>
      <c r="B3" t="s">
        <v>613</v>
      </c>
      <c r="C3" t="s">
        <v>623</v>
      </c>
      <c r="D3" t="s">
        <v>616</v>
      </c>
      <c r="E3" t="s">
        <v>626</v>
      </c>
    </row>
    <row r="4" spans="1:5" x14ac:dyDescent="0.25">
      <c r="A4" t="s">
        <v>669</v>
      </c>
      <c r="B4" t="s">
        <v>613</v>
      </c>
      <c r="C4" t="s">
        <v>649</v>
      </c>
      <c r="D4" t="s">
        <v>616</v>
      </c>
      <c r="E4" t="s">
        <v>627</v>
      </c>
    </row>
    <row r="5" spans="1:5" x14ac:dyDescent="0.25">
      <c r="A5" t="s">
        <v>670</v>
      </c>
      <c r="B5" t="s">
        <v>613</v>
      </c>
      <c r="C5" t="s">
        <v>605</v>
      </c>
      <c r="D5" t="s">
        <v>609</v>
      </c>
      <c r="E5" t="s">
        <v>622</v>
      </c>
    </row>
    <row r="6" spans="1:5" x14ac:dyDescent="0.25">
      <c r="A6" t="s">
        <v>671</v>
      </c>
      <c r="B6" t="s">
        <v>613</v>
      </c>
      <c r="C6" t="s">
        <v>623</v>
      </c>
      <c r="D6" t="s">
        <v>616</v>
      </c>
      <c r="E6" t="s">
        <v>622</v>
      </c>
    </row>
    <row r="7" spans="1:5" x14ac:dyDescent="0.25">
      <c r="A7" t="s">
        <v>672</v>
      </c>
      <c r="B7" t="s">
        <v>613</v>
      </c>
      <c r="C7" t="s">
        <v>649</v>
      </c>
      <c r="D7" t="s">
        <v>616</v>
      </c>
      <c r="E7" t="s">
        <v>624</v>
      </c>
    </row>
    <row r="8" spans="1:5" x14ac:dyDescent="0.25">
      <c r="A8" t="s">
        <v>673</v>
      </c>
      <c r="B8" t="s">
        <v>613</v>
      </c>
      <c r="C8" t="s">
        <v>605</v>
      </c>
      <c r="D8" t="s">
        <v>609</v>
      </c>
      <c r="E8" t="s">
        <v>634</v>
      </c>
    </row>
    <row r="9" spans="1:5" x14ac:dyDescent="0.25">
      <c r="A9" t="s">
        <v>675</v>
      </c>
      <c r="B9" t="s">
        <v>613</v>
      </c>
      <c r="C9" t="s">
        <v>623</v>
      </c>
      <c r="D9" t="s">
        <v>609</v>
      </c>
      <c r="E9" t="s">
        <v>635</v>
      </c>
    </row>
    <row r="10" spans="1:5" x14ac:dyDescent="0.25">
      <c r="A10" t="s">
        <v>674</v>
      </c>
      <c r="B10" t="s">
        <v>613</v>
      </c>
      <c r="C10" t="s">
        <v>649</v>
      </c>
      <c r="D10" t="s">
        <v>609</v>
      </c>
      <c r="E10" t="s">
        <v>636</v>
      </c>
    </row>
    <row r="11" spans="1:5" x14ac:dyDescent="0.25">
      <c r="A11" t="s">
        <v>676</v>
      </c>
      <c r="B11" t="s">
        <v>611</v>
      </c>
      <c r="C11" t="s">
        <v>605</v>
      </c>
      <c r="D11" t="s">
        <v>609</v>
      </c>
      <c r="E11" t="s">
        <v>646</v>
      </c>
    </row>
    <row r="12" spans="1:5" x14ac:dyDescent="0.25">
      <c r="A12" t="s">
        <v>677</v>
      </c>
      <c r="B12" t="s">
        <v>611</v>
      </c>
      <c r="C12" t="s">
        <v>623</v>
      </c>
      <c r="D12" t="s">
        <v>616</v>
      </c>
      <c r="E12" t="s">
        <v>646</v>
      </c>
    </row>
    <row r="13" spans="1:5" x14ac:dyDescent="0.25">
      <c r="A13" t="s">
        <v>678</v>
      </c>
      <c r="B13" t="s">
        <v>611</v>
      </c>
      <c r="C13" t="s">
        <v>649</v>
      </c>
      <c r="D13" t="s">
        <v>617</v>
      </c>
      <c r="E13" t="s">
        <v>646</v>
      </c>
    </row>
    <row r="14" spans="1:5" x14ac:dyDescent="0.25">
      <c r="A14" t="s">
        <v>679</v>
      </c>
      <c r="B14" t="s">
        <v>611</v>
      </c>
      <c r="C14" t="s">
        <v>605</v>
      </c>
      <c r="D14" t="s">
        <v>609</v>
      </c>
      <c r="E14" t="s">
        <v>615</v>
      </c>
    </row>
    <row r="15" spans="1:5" x14ac:dyDescent="0.25">
      <c r="A15" t="s">
        <v>680</v>
      </c>
      <c r="B15" t="s">
        <v>611</v>
      </c>
      <c r="C15" t="s">
        <v>623</v>
      </c>
      <c r="D15" t="s">
        <v>609</v>
      </c>
      <c r="E15" t="s">
        <v>612</v>
      </c>
    </row>
    <row r="16" spans="1:5" x14ac:dyDescent="0.25">
      <c r="A16" t="s">
        <v>681</v>
      </c>
      <c r="B16" t="s">
        <v>611</v>
      </c>
      <c r="C16" t="s">
        <v>649</v>
      </c>
      <c r="D16" t="s">
        <v>609</v>
      </c>
      <c r="E16" t="s">
        <v>614</v>
      </c>
    </row>
    <row r="17" spans="1:5" x14ac:dyDescent="0.25">
      <c r="A17" t="s">
        <v>682</v>
      </c>
      <c r="B17" t="s">
        <v>607</v>
      </c>
      <c r="C17" t="s">
        <v>605</v>
      </c>
      <c r="D17" t="s">
        <v>609</v>
      </c>
      <c r="E17" t="s">
        <v>618</v>
      </c>
    </row>
    <row r="18" spans="1:5" x14ac:dyDescent="0.25">
      <c r="A18" t="s">
        <v>683</v>
      </c>
      <c r="B18" t="s">
        <v>607</v>
      </c>
      <c r="C18" t="s">
        <v>623</v>
      </c>
      <c r="D18" t="s">
        <v>616</v>
      </c>
      <c r="E18" t="s">
        <v>618</v>
      </c>
    </row>
    <row r="19" spans="1:5" x14ac:dyDescent="0.25">
      <c r="A19" t="s">
        <v>684</v>
      </c>
      <c r="B19" t="s">
        <v>607</v>
      </c>
      <c r="C19" t="s">
        <v>649</v>
      </c>
      <c r="D19" t="s">
        <v>617</v>
      </c>
      <c r="E19" t="s">
        <v>618</v>
      </c>
    </row>
    <row r="20" spans="1:5" x14ac:dyDescent="0.25">
      <c r="A20" t="s">
        <v>685</v>
      </c>
      <c r="B20" t="s">
        <v>607</v>
      </c>
      <c r="C20" t="s">
        <v>605</v>
      </c>
      <c r="D20" t="s">
        <v>609</v>
      </c>
      <c r="E20" t="s">
        <v>713</v>
      </c>
    </row>
    <row r="21" spans="1:5" x14ac:dyDescent="0.25">
      <c r="A21" t="s">
        <v>686</v>
      </c>
      <c r="B21" t="s">
        <v>607</v>
      </c>
      <c r="C21" t="s">
        <v>623</v>
      </c>
      <c r="D21" t="s">
        <v>609</v>
      </c>
      <c r="E21" t="s">
        <v>714</v>
      </c>
    </row>
    <row r="22" spans="1:5" x14ac:dyDescent="0.25">
      <c r="A22" t="s">
        <v>687</v>
      </c>
      <c r="B22" t="s">
        <v>607</v>
      </c>
      <c r="C22" t="s">
        <v>649</v>
      </c>
      <c r="D22" t="s">
        <v>609</v>
      </c>
      <c r="E22" t="s">
        <v>715</v>
      </c>
    </row>
    <row r="23" spans="1:5" x14ac:dyDescent="0.25">
      <c r="A23" t="s">
        <v>688</v>
      </c>
      <c r="B23" t="s">
        <v>607</v>
      </c>
      <c r="C23" t="s">
        <v>605</v>
      </c>
      <c r="D23" t="s">
        <v>631</v>
      </c>
      <c r="E23" t="s">
        <v>628</v>
      </c>
    </row>
    <row r="24" spans="1:5" x14ac:dyDescent="0.25">
      <c r="A24" t="s">
        <v>689</v>
      </c>
      <c r="B24" t="s">
        <v>607</v>
      </c>
      <c r="C24" t="s">
        <v>623</v>
      </c>
      <c r="D24" t="s">
        <v>633</v>
      </c>
      <c r="E24" t="s">
        <v>628</v>
      </c>
    </row>
    <row r="25" spans="1:5" x14ac:dyDescent="0.25">
      <c r="A25" t="s">
        <v>690</v>
      </c>
      <c r="B25" t="s">
        <v>607</v>
      </c>
      <c r="C25" t="s">
        <v>649</v>
      </c>
      <c r="D25" t="s">
        <v>632</v>
      </c>
      <c r="E25" t="s">
        <v>630</v>
      </c>
    </row>
    <row r="26" spans="1:5" x14ac:dyDescent="0.25">
      <c r="A26" t="s">
        <v>691</v>
      </c>
      <c r="B26" t="s">
        <v>603</v>
      </c>
      <c r="C26" t="s">
        <v>605</v>
      </c>
      <c r="D26" t="s">
        <v>610</v>
      </c>
      <c r="E26" t="s">
        <v>621</v>
      </c>
    </row>
    <row r="27" spans="1:5" x14ac:dyDescent="0.25">
      <c r="A27" t="s">
        <v>692</v>
      </c>
      <c r="B27" t="s">
        <v>603</v>
      </c>
      <c r="C27" t="s">
        <v>623</v>
      </c>
      <c r="D27" t="s">
        <v>610</v>
      </c>
      <c r="E27" t="s">
        <v>619</v>
      </c>
    </row>
    <row r="28" spans="1:5" x14ac:dyDescent="0.25">
      <c r="A28" t="s">
        <v>693</v>
      </c>
      <c r="B28" t="s">
        <v>603</v>
      </c>
      <c r="C28" t="s">
        <v>649</v>
      </c>
      <c r="D28" t="s">
        <v>610</v>
      </c>
      <c r="E28" t="s">
        <v>620</v>
      </c>
    </row>
    <row r="29" spans="1:5" x14ac:dyDescent="0.25">
      <c r="A29" t="s">
        <v>694</v>
      </c>
      <c r="B29" t="s">
        <v>603</v>
      </c>
      <c r="C29" t="s">
        <v>605</v>
      </c>
      <c r="D29" t="s">
        <v>641</v>
      </c>
      <c r="E29" t="s">
        <v>645</v>
      </c>
    </row>
    <row r="30" spans="1:5" x14ac:dyDescent="0.25">
      <c r="A30" t="s">
        <v>695</v>
      </c>
      <c r="B30" t="s">
        <v>603</v>
      </c>
      <c r="C30" t="s">
        <v>623</v>
      </c>
      <c r="D30" t="s">
        <v>642</v>
      </c>
      <c r="E30" t="s">
        <v>645</v>
      </c>
    </row>
    <row r="31" spans="1:5" x14ac:dyDescent="0.25">
      <c r="A31" t="s">
        <v>695</v>
      </c>
      <c r="B31" t="s">
        <v>603</v>
      </c>
      <c r="C31" t="s">
        <v>649</v>
      </c>
      <c r="D31" t="s">
        <v>643</v>
      </c>
      <c r="E31" t="s">
        <v>645</v>
      </c>
    </row>
    <row r="32" spans="1:5" x14ac:dyDescent="0.25">
      <c r="A32" t="s">
        <v>696</v>
      </c>
      <c r="B32" t="s">
        <v>603</v>
      </c>
      <c r="C32" t="s">
        <v>605</v>
      </c>
      <c r="D32" t="s">
        <v>640</v>
      </c>
      <c r="E32" t="s">
        <v>637</v>
      </c>
    </row>
    <row r="33" spans="1:5" x14ac:dyDescent="0.25">
      <c r="A33" t="s">
        <v>697</v>
      </c>
      <c r="B33" t="s">
        <v>603</v>
      </c>
      <c r="C33" t="s">
        <v>623</v>
      </c>
      <c r="D33" t="s">
        <v>640</v>
      </c>
      <c r="E33" t="s">
        <v>638</v>
      </c>
    </row>
    <row r="34" spans="1:5" x14ac:dyDescent="0.25">
      <c r="A34" t="s">
        <v>698</v>
      </c>
      <c r="B34" t="s">
        <v>603</v>
      </c>
      <c r="C34" t="s">
        <v>649</v>
      </c>
      <c r="D34" t="s">
        <v>640</v>
      </c>
      <c r="E34" t="s">
        <v>639</v>
      </c>
    </row>
    <row r="35" spans="1:5" x14ac:dyDescent="0.25">
      <c r="A35" t="s">
        <v>719</v>
      </c>
      <c r="B35" t="s">
        <v>611</v>
      </c>
      <c r="C35" t="s">
        <v>605</v>
      </c>
      <c r="D35" t="s">
        <v>640</v>
      </c>
      <c r="E35" t="s">
        <v>716</v>
      </c>
    </row>
    <row r="36" spans="1:5" x14ac:dyDescent="0.25">
      <c r="A36" t="s">
        <v>720</v>
      </c>
      <c r="B36" t="s">
        <v>611</v>
      </c>
      <c r="C36" t="s">
        <v>623</v>
      </c>
      <c r="D36" t="s">
        <v>640</v>
      </c>
      <c r="E36" t="s">
        <v>717</v>
      </c>
    </row>
    <row r="37" spans="1:5" x14ac:dyDescent="0.25">
      <c r="A37" t="s">
        <v>721</v>
      </c>
      <c r="B37" t="s">
        <v>611</v>
      </c>
      <c r="C37" t="s">
        <v>649</v>
      </c>
      <c r="D37" t="s">
        <v>640</v>
      </c>
      <c r="E37" t="s">
        <v>718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576</v>
      </c>
      <c r="B1" s="2" t="s">
        <v>3</v>
      </c>
      <c r="C1" t="s">
        <v>577</v>
      </c>
      <c r="E1" s="2" t="s">
        <v>580</v>
      </c>
      <c r="F1" t="s">
        <v>108</v>
      </c>
      <c r="G1" t="s">
        <v>110</v>
      </c>
      <c r="H1" t="s">
        <v>109</v>
      </c>
      <c r="I1" t="s">
        <v>107</v>
      </c>
      <c r="J1" t="s">
        <v>586</v>
      </c>
      <c r="L1" t="s">
        <v>3</v>
      </c>
      <c r="M1" t="s">
        <v>595</v>
      </c>
      <c r="N1" t="s">
        <v>596</v>
      </c>
      <c r="O1" t="s">
        <v>593</v>
      </c>
      <c r="P1" t="s">
        <v>594</v>
      </c>
      <c r="Q1" t="s">
        <v>573</v>
      </c>
    </row>
    <row r="2" spans="1:17" x14ac:dyDescent="0.25">
      <c r="C2" s="3"/>
      <c r="E2" t="s">
        <v>595</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596</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96</v>
      </c>
      <c r="P3" s="4" t="e">
        <f>Table10[[#This Row],[Unique Beaten]]/Table10[[#This Row],[Total]]</f>
        <v>#REF!</v>
      </c>
      <c r="Q3" s="3">
        <f>SUMIF(Table5[Type],Table10[[#This Row],[Type]],Table5[Time])</f>
        <v>0</v>
      </c>
    </row>
    <row r="4" spans="1:17" x14ac:dyDescent="0.25">
      <c r="C4" s="3"/>
      <c r="E4" t="s">
        <v>597</v>
      </c>
      <c r="F4">
        <f>COUNTIF(Table1[Type],Table4[[#Headers],[Action]])</f>
        <v>229</v>
      </c>
      <c r="G4">
        <f>COUNTIF(Table1[Type],Table4[[#Headers],[Deckbuilding]])</f>
        <v>96</v>
      </c>
      <c r="H4">
        <f>COUNTIF(Table1[Type],Table4[[#Headers],[Strategy]])</f>
        <v>95</v>
      </c>
      <c r="I4">
        <f>COUNTIF(Table1[Type],Table4[[#Headers],[Traditional]])</f>
        <v>87</v>
      </c>
      <c r="J4">
        <f>COUNTA(Table1[Type])</f>
        <v>507</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598</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573</v>
      </c>
      <c r="F6" s="3">
        <f>SUMIF(B:B,Table4[[#Headers],[Action]],C:C)</f>
        <v>0</v>
      </c>
      <c r="G6" s="3">
        <f>SUMIF(B:B,Table4[[#Headers],[Deckbuilding]],C:C)</f>
        <v>0</v>
      </c>
      <c r="H6" s="3">
        <f>SUMIF(B:B,Table4[[#Headers],[Strategy]],C:C)</f>
        <v>0</v>
      </c>
      <c r="I6" s="3">
        <f>SUMIF(B:B,Table4[[#Headers],[Traditional]],C:C)</f>
        <v>0</v>
      </c>
      <c r="J6" s="3">
        <f>SUM(C:C)</f>
        <v>0</v>
      </c>
      <c r="L6" t="s">
        <v>586</v>
      </c>
      <c r="M6" t="e">
        <f>SUM(games!#REF!)</f>
        <v>#REF!</v>
      </c>
      <c r="N6" t="e">
        <f>COUNTIF(games!#REF!,"&gt;0")</f>
        <v>#REF!</v>
      </c>
      <c r="O6">
        <f>COUNTA(Table1[Type])</f>
        <v>507</v>
      </c>
      <c r="P6" s="4" t="e">
        <f>Table10[[#This Row],[Unique Beaten]]/Table10[[#This Row],[Total]]</f>
        <v>#REF!</v>
      </c>
      <c r="Q6" s="3">
        <f>SUM(C:C)</f>
        <v>0</v>
      </c>
    </row>
    <row r="7" spans="1:17" x14ac:dyDescent="0.25">
      <c r="B7"/>
    </row>
    <row r="8" spans="1:17" x14ac:dyDescent="0.25">
      <c r="B8"/>
      <c r="E8" t="s">
        <v>581</v>
      </c>
      <c r="F8" t="s">
        <v>108</v>
      </c>
      <c r="G8" t="s">
        <v>110</v>
      </c>
      <c r="H8" t="s">
        <v>109</v>
      </c>
      <c r="I8" t="s">
        <v>107</v>
      </c>
      <c r="J8" t="s">
        <v>586</v>
      </c>
    </row>
    <row r="9" spans="1:17" x14ac:dyDescent="0.25">
      <c r="B9"/>
      <c r="E9" t="s">
        <v>582</v>
      </c>
      <c r="F9">
        <f>COUNTIF(Table5[Type], "Action")</f>
        <v>0</v>
      </c>
      <c r="G9">
        <f>COUNTIF(Table5[Type], "Deckbuilding")</f>
        <v>0</v>
      </c>
      <c r="H9">
        <f>COUNTIF(Table5[Type], "Strategy")</f>
        <v>0</v>
      </c>
      <c r="I9">
        <f>COUNTIF(Table5[Type],"Traditional")</f>
        <v>0</v>
      </c>
      <c r="J9">
        <f>COUNTA(Table5[Run '#1])</f>
        <v>0</v>
      </c>
    </row>
    <row r="10" spans="1:17" x14ac:dyDescent="0.25">
      <c r="E10" t="s">
        <v>585</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578</v>
      </c>
      <c r="B11" s="2" t="s">
        <v>3</v>
      </c>
      <c r="C11" t="s">
        <v>577</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579</v>
      </c>
      <c r="B18" s="2" t="s">
        <v>3</v>
      </c>
      <c r="C18" t="s">
        <v>577</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2025-12-23T07:46:40Z</dcterms:modified>
</cp:coreProperties>
</file>