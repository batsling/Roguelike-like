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wner\Documents\Roguelike Roguelike\"/>
    </mc:Choice>
  </mc:AlternateContent>
  <xr:revisionPtr revIDLastSave="0" documentId="13_ncr:1_{1E479CF3-606E-46C3-83CB-79D21E21A79B}" xr6:coauthVersionLast="47" xr6:coauthVersionMax="47" xr10:uidLastSave="{00000000-0000-0000-0000-000000000000}"/>
  <bookViews>
    <workbookView xWindow="-120" yWindow="-120" windowWidth="38640" windowHeight="21120" tabRatio="808" activeTab="1" xr2:uid="{00000000-000D-0000-FFFF-FFFF00000000}"/>
  </bookViews>
  <sheets>
    <sheet name="games" sheetId="1" r:id="rId1"/>
    <sheet name="connections" sheetId="2" r:id="rId2"/>
    <sheet name="characters" sheetId="3" r:id="rId3"/>
    <sheet name="items" sheetId="4" r:id="rId4"/>
    <sheet name="enemies" sheetId="5" r:id="rId5"/>
    <sheet name="bosses" sheetId="6" r:id="rId6"/>
    <sheet name="abilities" sheetId="48" r:id="rId7"/>
    <sheet name="statuses" sheetId="7" r:id="rId8"/>
    <sheet name="events" sheetId="8" r:id="rId9"/>
    <sheet name="cards" sheetId="50" r:id="rId10"/>
    <sheet name="scrolls" sheetId="9" r:id="rId11"/>
    <sheet name="pills" sheetId="10" r:id="rId12"/>
    <sheet name="potions" sheetId="11" r:id="rId13"/>
    <sheet name="wands" sheetId="51" r:id="rId14"/>
    <sheet name="trinkets" sheetId="53" r:id="rId15"/>
    <sheet name="weapons" sheetId="55" r:id="rId16"/>
    <sheet name="evolutions" sheetId="56" r:id="rId17"/>
    <sheet name="bags" sheetId="54" r:id="rId18"/>
    <sheet name="objects" sheetId="12" r:id="rId19"/>
    <sheet name="curses" sheetId="13" r:id="rId20"/>
    <sheet name="tiles" sheetId="14" r:id="rId21"/>
    <sheet name="units" sheetId="15" r:id="rId22"/>
    <sheet name="goals" sheetId="52" r:id="rId23"/>
    <sheet name="Map Analysis" sheetId="18" r:id="rId24"/>
    <sheet name="amulets" sheetId="16" r:id="rId25"/>
    <sheet name="locations" sheetId="17" r:id="rId26"/>
    <sheet name="chart" sheetId="49" r:id="rId27"/>
    <sheet name="locationsold" sheetId="19" r:id="rId28"/>
    <sheet name="itemsold" sheetId="20" r:id="rId29"/>
    <sheet name="eventsold" sheetId="21" r:id="rId30"/>
    <sheet name="encountersold" sheetId="22" r:id="rId31"/>
    <sheet name="enemiesD" sheetId="23" r:id="rId32"/>
    <sheet name="enemiesA" sheetId="24" r:id="rId33"/>
    <sheet name="cursesold2" sheetId="25" r:id="rId34"/>
    <sheet name="statusesold" sheetId="26" r:id="rId35"/>
    <sheet name="statusesnew" sheetId="27" r:id="rId36"/>
    <sheet name="elementsold" sheetId="28" r:id="rId37"/>
    <sheet name="addons" sheetId="29" r:id="rId38"/>
    <sheet name="addonsnew" sheetId="30" r:id="rId39"/>
    <sheet name="scrollsold" sheetId="31" r:id="rId40"/>
    <sheet name="potionsold" sheetId="32" r:id="rId41"/>
    <sheet name="charactersold" sheetId="33" r:id="rId42"/>
    <sheet name="cardsold" sheetId="34" r:id="rId43"/>
    <sheet name="cardsnew" sheetId="35" r:id="rId44"/>
    <sheet name="evolutionsold" sheetId="36" r:id="rId45"/>
    <sheet name="moves" sheetId="37" r:id="rId46"/>
    <sheet name="spells" sheetId="38" r:id="rId47"/>
    <sheet name="fish" sheetId="39" r:id="rId48"/>
    <sheet name="enemiesold" sheetId="40" r:id="rId49"/>
    <sheet name="enemiesS" sheetId="41" r:id="rId50"/>
    <sheet name="dice" sheetId="42" r:id="rId51"/>
    <sheet name="mods" sheetId="43" r:id="rId52"/>
    <sheet name="gamestatuses" sheetId="44" r:id="rId53"/>
    <sheet name="cursesold" sheetId="45" r:id="rId54"/>
    <sheet name="bingo" sheetId="46" r:id="rId55"/>
    <sheet name="Map Calc" sheetId="47" r:id="rId5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49" i="47" l="1"/>
  <c r="D913" i="47"/>
  <c r="D848" i="47"/>
  <c r="D677" i="47"/>
  <c r="D462" i="47"/>
  <c r="D358" i="47"/>
  <c r="D260" i="47"/>
  <c r="B22" i="18"/>
  <c r="B21" i="18"/>
  <c r="D901" i="47"/>
  <c r="D902" i="47"/>
  <c r="D917" i="47"/>
  <c r="D921" i="47"/>
  <c r="D793" i="47"/>
  <c r="D909" i="47"/>
  <c r="D897" i="47"/>
  <c r="D799" i="47"/>
  <c r="D3" i="47"/>
  <c r="D217" i="47"/>
  <c r="D233" i="47"/>
  <c r="D512" i="47"/>
  <c r="D497" i="47"/>
  <c r="D115" i="47"/>
  <c r="D699" i="47"/>
  <c r="D844" i="47"/>
  <c r="D53" i="47"/>
  <c r="D58" i="47"/>
  <c r="D70" i="47"/>
  <c r="D268" i="47"/>
  <c r="D180" i="47"/>
  <c r="D553" i="47"/>
  <c r="D475" i="47"/>
  <c r="D853" i="47"/>
  <c r="D827" i="47"/>
  <c r="D825" i="47"/>
  <c r="D99" i="47"/>
  <c r="D111" i="47"/>
  <c r="D52" i="47"/>
  <c r="D159" i="47"/>
  <c r="D275" i="47"/>
  <c r="D271" i="47"/>
  <c r="D287" i="47"/>
  <c r="D371" i="47"/>
  <c r="D488" i="47"/>
  <c r="D460" i="47"/>
  <c r="D480" i="47"/>
  <c r="D526" i="47"/>
  <c r="D558" i="47"/>
  <c r="D529" i="47"/>
  <c r="D649" i="47"/>
  <c r="D687" i="47"/>
  <c r="D688" i="47"/>
  <c r="D783" i="47"/>
  <c r="D804" i="47"/>
  <c r="D836" i="47"/>
  <c r="D940" i="47"/>
  <c r="D900" i="47"/>
  <c r="D860" i="47"/>
  <c r="D907" i="47"/>
  <c r="D912" i="47"/>
  <c r="D899" i="47"/>
  <c r="D904" i="47"/>
  <c r="D923" i="47"/>
  <c r="D916" i="47"/>
  <c r="D930" i="47"/>
  <c r="D871" i="47"/>
  <c r="D898" i="47"/>
  <c r="D908" i="47"/>
  <c r="D920" i="47"/>
  <c r="D903" i="47"/>
  <c r="D905" i="47"/>
  <c r="D925" i="47"/>
  <c r="D915" i="47"/>
  <c r="D937" i="47"/>
  <c r="D947" i="47"/>
  <c r="D950" i="47"/>
  <c r="D929" i="47"/>
  <c r="D933" i="47"/>
  <c r="D943" i="47"/>
  <c r="D936" i="47"/>
  <c r="D924" i="47"/>
  <c r="D946" i="47"/>
  <c r="D906" i="47"/>
  <c r="D911" i="47"/>
  <c r="D928" i="47"/>
  <c r="D939" i="47"/>
  <c r="D932" i="47"/>
  <c r="D919" i="47"/>
  <c r="D942" i="47"/>
  <c r="D935" i="47"/>
  <c r="D910" i="47"/>
  <c r="D927" i="47"/>
  <c r="D945" i="47"/>
  <c r="D914" i="47"/>
  <c r="D931" i="47"/>
  <c r="D938" i="47"/>
  <c r="D948" i="47"/>
  <c r="D918" i="47"/>
  <c r="D922" i="47"/>
  <c r="D941" i="47"/>
  <c r="D926" i="47"/>
  <c r="D934" i="47"/>
  <c r="D944" i="47"/>
  <c r="D868" i="47"/>
  <c r="D867" i="47"/>
  <c r="D896" i="47"/>
  <c r="D895" i="47"/>
  <c r="D894" i="47"/>
  <c r="D893" i="47"/>
  <c r="D890" i="47"/>
  <c r="D888" i="47"/>
  <c r="D885" i="47"/>
  <c r="D883" i="47"/>
  <c r="D882" i="47"/>
  <c r="D881" i="47"/>
  <c r="D876" i="47"/>
  <c r="D875" i="47"/>
  <c r="D874" i="47"/>
  <c r="D870" i="47"/>
  <c r="D863" i="47"/>
  <c r="D862" i="47"/>
  <c r="D859" i="47"/>
  <c r="D858" i="47"/>
  <c r="D857" i="47"/>
  <c r="D856" i="47"/>
  <c r="D855" i="47"/>
  <c r="D854" i="47"/>
  <c r="D852" i="47"/>
  <c r="D850" i="47"/>
  <c r="D847" i="47"/>
  <c r="D840" i="47"/>
  <c r="D839" i="47"/>
  <c r="D838" i="47"/>
  <c r="D835" i="47"/>
  <c r="D834" i="47"/>
  <c r="D833" i="47"/>
  <c r="D832" i="47"/>
  <c r="D831" i="47"/>
  <c r="D830" i="47"/>
  <c r="D826" i="47"/>
  <c r="D823" i="47"/>
  <c r="D822" i="47"/>
  <c r="D816" i="47"/>
  <c r="D814" i="47"/>
  <c r="D810" i="47"/>
  <c r="D808" i="47"/>
  <c r="D807" i="47"/>
  <c r="D805" i="47"/>
  <c r="D803" i="47"/>
  <c r="D800" i="47"/>
  <c r="D798" i="47"/>
  <c r="D797" i="47"/>
  <c r="D795" i="47"/>
  <c r="D794" i="47"/>
  <c r="D792" i="47"/>
  <c r="D790" i="47"/>
  <c r="D788" i="47"/>
  <c r="D785" i="47"/>
  <c r="D780" i="47"/>
  <c r="D778" i="47"/>
  <c r="D776" i="47"/>
  <c r="D770" i="47"/>
  <c r="D768" i="47"/>
  <c r="D767" i="47"/>
  <c r="D765" i="47"/>
  <c r="D763" i="47"/>
  <c r="D760" i="47"/>
  <c r="D759" i="47"/>
  <c r="D758" i="47"/>
  <c r="D755" i="47"/>
  <c r="D754" i="47"/>
  <c r="D753" i="47"/>
  <c r="D751" i="47"/>
  <c r="D749" i="47"/>
  <c r="D747" i="47"/>
  <c r="D744" i="47"/>
  <c r="D743" i="47"/>
  <c r="D741" i="47"/>
  <c r="D737" i="47"/>
  <c r="D735" i="47"/>
  <c r="D732" i="47"/>
  <c r="D731" i="47"/>
  <c r="D730" i="47"/>
  <c r="D729" i="47"/>
  <c r="D725" i="47"/>
  <c r="D723" i="47"/>
  <c r="D722" i="47"/>
  <c r="D721" i="47"/>
  <c r="D717" i="47"/>
  <c r="D716" i="47"/>
  <c r="D712" i="47"/>
  <c r="D707" i="47"/>
  <c r="D706" i="47"/>
  <c r="D705" i="47"/>
  <c r="D704" i="47"/>
  <c r="D702" i="47"/>
  <c r="D701" i="47"/>
  <c r="D697" i="47"/>
  <c r="D695" i="47"/>
  <c r="D692" i="47"/>
  <c r="D691" i="47"/>
  <c r="D689" i="47"/>
  <c r="D681" i="47"/>
  <c r="D680" i="47"/>
  <c r="D679" i="47"/>
  <c r="D678" i="47"/>
  <c r="D676" i="47"/>
  <c r="D675" i="47"/>
  <c r="D674" i="47"/>
  <c r="D673" i="47"/>
  <c r="D671" i="47"/>
  <c r="D670" i="47"/>
  <c r="D667" i="47"/>
  <c r="D666" i="47"/>
  <c r="D665" i="47"/>
  <c r="D662" i="47"/>
  <c r="D659" i="47"/>
  <c r="D657" i="47"/>
  <c r="D653" i="47"/>
  <c r="D650" i="47"/>
  <c r="D647" i="47"/>
  <c r="D646" i="47"/>
  <c r="D645" i="47"/>
  <c r="D644" i="47"/>
  <c r="D643" i="47"/>
  <c r="D642" i="47"/>
  <c r="D640" i="47"/>
  <c r="D638" i="47"/>
  <c r="D637" i="47"/>
  <c r="D636" i="47"/>
  <c r="D633" i="47"/>
  <c r="D626" i="47"/>
  <c r="D625" i="47"/>
  <c r="D623" i="47"/>
  <c r="D621" i="47"/>
  <c r="D616" i="47"/>
  <c r="D614" i="47"/>
  <c r="D613" i="47"/>
  <c r="D611" i="47"/>
  <c r="D609" i="47"/>
  <c r="D607" i="47"/>
  <c r="D606" i="47"/>
  <c r="D605" i="47"/>
  <c r="D604" i="47"/>
  <c r="D599" i="47"/>
  <c r="D597" i="47"/>
  <c r="D596" i="47"/>
  <c r="D593" i="47"/>
  <c r="D590" i="47"/>
  <c r="D587" i="47"/>
  <c r="D586" i="47"/>
  <c r="D585" i="47"/>
  <c r="D581" i="47"/>
  <c r="D578" i="47"/>
  <c r="D576" i="47"/>
  <c r="D572" i="47"/>
  <c r="D570" i="47"/>
  <c r="D567" i="47"/>
  <c r="D566" i="47"/>
  <c r="D564" i="47"/>
  <c r="D562" i="47"/>
  <c r="D556" i="47"/>
  <c r="D555" i="47"/>
  <c r="D554" i="47"/>
  <c r="D552" i="47"/>
  <c r="D551" i="47"/>
  <c r="D548" i="47"/>
  <c r="D546" i="47"/>
  <c r="D544" i="47"/>
  <c r="D543" i="47"/>
  <c r="D542" i="47"/>
  <c r="D541" i="47"/>
  <c r="D540" i="47"/>
  <c r="D538" i="47"/>
  <c r="D534" i="47"/>
  <c r="D532" i="47"/>
  <c r="D528" i="47"/>
  <c r="D527" i="47"/>
  <c r="D522" i="47"/>
  <c r="D521" i="47"/>
  <c r="D515" i="47"/>
  <c r="D514" i="47"/>
  <c r="D513" i="47"/>
  <c r="D511" i="47"/>
  <c r="D507" i="47"/>
  <c r="D506" i="47"/>
  <c r="D504" i="47"/>
  <c r="D498" i="47"/>
  <c r="D495" i="47"/>
  <c r="D494" i="47"/>
  <c r="D493" i="47"/>
  <c r="D492" i="47"/>
  <c r="D491" i="47"/>
  <c r="D489" i="47"/>
  <c r="D486" i="47"/>
  <c r="D483" i="47"/>
  <c r="D478" i="47"/>
  <c r="D477" i="47"/>
  <c r="D473" i="47"/>
  <c r="D472" i="47"/>
  <c r="D469" i="47"/>
  <c r="D468" i="47"/>
  <c r="D467" i="47"/>
  <c r="D465" i="47"/>
  <c r="D464" i="47"/>
  <c r="D461" i="47"/>
  <c r="D459" i="47"/>
  <c r="D455" i="47"/>
  <c r="D452" i="47"/>
  <c r="D451" i="47"/>
  <c r="D446" i="47"/>
  <c r="D442" i="47"/>
  <c r="D439" i="47"/>
  <c r="D436" i="47"/>
  <c r="D435" i="47"/>
  <c r="D431" i="47"/>
  <c r="D423" i="47"/>
  <c r="D421" i="47"/>
  <c r="D420" i="47"/>
  <c r="D419" i="47"/>
  <c r="D418" i="47"/>
  <c r="D417" i="47"/>
  <c r="D415" i="47"/>
  <c r="D413" i="47"/>
  <c r="D411" i="47"/>
  <c r="D407" i="47"/>
  <c r="D406" i="47"/>
  <c r="D405" i="47"/>
  <c r="D404" i="47"/>
  <c r="D403" i="47"/>
  <c r="D400" i="47"/>
  <c r="D399" i="47"/>
  <c r="D397" i="47"/>
  <c r="D395" i="47"/>
  <c r="D394" i="47"/>
  <c r="D393" i="47"/>
  <c r="D391" i="47"/>
  <c r="D388" i="47"/>
  <c r="D387" i="47"/>
  <c r="D383" i="47"/>
  <c r="D382" i="47"/>
  <c r="D381" i="47"/>
  <c r="D380" i="47"/>
  <c r="D379" i="47"/>
  <c r="D378" i="47"/>
  <c r="D377" i="47"/>
  <c r="D375" i="47"/>
  <c r="D373" i="47"/>
  <c r="D369" i="47"/>
  <c r="D368" i="47"/>
  <c r="D367" i="47"/>
  <c r="D366" i="47"/>
  <c r="D365" i="47"/>
  <c r="D364" i="47"/>
  <c r="D362" i="47"/>
  <c r="D360" i="47"/>
  <c r="D359" i="47"/>
  <c r="D357" i="47"/>
  <c r="D355" i="47"/>
  <c r="D354" i="47"/>
  <c r="D353" i="47"/>
  <c r="D350" i="47"/>
  <c r="D348" i="47"/>
  <c r="D346" i="47"/>
  <c r="D345" i="47"/>
  <c r="D344" i="47"/>
  <c r="D339" i="47"/>
  <c r="D338" i="47"/>
  <c r="D335" i="47"/>
  <c r="D334" i="47"/>
  <c r="D331" i="47"/>
  <c r="D330" i="47"/>
  <c r="D329" i="47"/>
  <c r="D324" i="47"/>
  <c r="D317" i="47"/>
  <c r="D311" i="47"/>
  <c r="D309" i="47"/>
  <c r="D308" i="47"/>
  <c r="D307" i="47"/>
  <c r="D305" i="47"/>
  <c r="D302" i="47"/>
  <c r="D300" i="47"/>
  <c r="D299" i="47"/>
  <c r="D297" i="47"/>
  <c r="D296" i="47"/>
  <c r="D293" i="47"/>
  <c r="D291" i="47"/>
  <c r="D283" i="47"/>
  <c r="D282" i="47"/>
  <c r="D279" i="47"/>
  <c r="D278" i="47"/>
  <c r="D274" i="47"/>
  <c r="D272" i="47"/>
  <c r="D270" i="47"/>
  <c r="D263" i="47"/>
  <c r="D262" i="47"/>
  <c r="D258" i="47"/>
  <c r="D256" i="47"/>
  <c r="D252" i="47"/>
  <c r="D250" i="47"/>
  <c r="D247" i="47"/>
  <c r="D245" i="47"/>
  <c r="D243" i="47"/>
  <c r="D241" i="47"/>
  <c r="D240" i="47"/>
  <c r="D237" i="47"/>
  <c r="D234" i="47"/>
  <c r="D223" i="47"/>
  <c r="D219" i="47"/>
  <c r="D211" i="47"/>
  <c r="D210" i="47"/>
  <c r="D206" i="47"/>
  <c r="D203" i="47"/>
  <c r="D199" i="47"/>
  <c r="D196" i="47"/>
  <c r="D193" i="47"/>
  <c r="D192" i="47"/>
  <c r="D191" i="47"/>
  <c r="D188" i="47"/>
  <c r="D187" i="47"/>
  <c r="D177" i="47"/>
  <c r="D174" i="47"/>
  <c r="D173" i="47"/>
  <c r="D168" i="47"/>
  <c r="D167" i="47"/>
  <c r="D165" i="47"/>
  <c r="D164" i="47"/>
  <c r="D163" i="47"/>
  <c r="D160" i="47"/>
  <c r="D158" i="47"/>
  <c r="D155" i="47"/>
  <c r="D151" i="47"/>
  <c r="D147" i="47"/>
  <c r="D142" i="47"/>
  <c r="D141" i="47"/>
  <c r="D139" i="47"/>
  <c r="D137" i="47"/>
  <c r="D135" i="47"/>
  <c r="D134" i="47"/>
  <c r="D133" i="47"/>
  <c r="D132" i="47"/>
  <c r="D131" i="47"/>
  <c r="D129" i="47"/>
  <c r="D126" i="47"/>
  <c r="D125" i="47"/>
  <c r="D120" i="47"/>
  <c r="D117" i="47"/>
  <c r="D112" i="47"/>
  <c r="D110" i="47"/>
  <c r="D105" i="47"/>
  <c r="D102" i="47"/>
  <c r="D101" i="47"/>
  <c r="D100" i="47"/>
  <c r="D96" i="47"/>
  <c r="D94" i="47"/>
  <c r="D90" i="47"/>
  <c r="D89" i="47"/>
  <c r="D87" i="47"/>
  <c r="D85" i="47"/>
  <c r="D83" i="47"/>
  <c r="D82" i="47"/>
  <c r="D81" i="47"/>
  <c r="D77" i="47"/>
  <c r="D75" i="47"/>
  <c r="D74" i="47"/>
  <c r="D73" i="47"/>
  <c r="D71" i="47"/>
  <c r="D66" i="47"/>
  <c r="D62" i="47"/>
  <c r="D60" i="47"/>
  <c r="D59" i="47"/>
  <c r="D55" i="47"/>
  <c r="D34" i="47"/>
  <c r="D30" i="47"/>
  <c r="D28" i="47"/>
  <c r="D13" i="47"/>
  <c r="D9" i="47"/>
  <c r="D7" i="47"/>
  <c r="D886" i="47"/>
  <c r="D726" i="47"/>
  <c r="D720" i="47"/>
  <c r="D631" i="47"/>
  <c r="D519" i="47"/>
  <c r="D474" i="47"/>
  <c r="D441" i="47"/>
  <c r="D443" i="47"/>
  <c r="D433" i="47"/>
  <c r="D398" i="47"/>
  <c r="D340" i="47"/>
  <c r="D295" i="47"/>
  <c r="D239" i="47"/>
  <c r="D20" i="47"/>
  <c r="D157" i="47"/>
  <c r="D69" i="47"/>
  <c r="D648" i="47"/>
  <c r="D500" i="47"/>
  <c r="D316" i="47"/>
  <c r="D224" i="47"/>
  <c r="D244" i="47"/>
  <c r="D43" i="47"/>
  <c r="D88" i="47"/>
  <c r="D738" i="47"/>
  <c r="D571" i="47"/>
  <c r="D226" i="47"/>
  <c r="D261" i="47"/>
  <c r="D10" i="47"/>
  <c r="D57" i="47"/>
  <c r="D861" i="47"/>
  <c r="D764" i="47"/>
  <c r="D76" i="47"/>
  <c r="D872" i="47"/>
  <c r="D811" i="47"/>
  <c r="D796" i="47"/>
  <c r="D739" i="47"/>
  <c r="D745" i="47"/>
  <c r="D601" i="47"/>
  <c r="D635" i="47"/>
  <c r="D573" i="47"/>
  <c r="D545" i="47"/>
  <c r="D525" i="47"/>
  <c r="D414" i="47"/>
  <c r="D410" i="47"/>
  <c r="D267" i="47"/>
  <c r="D235" i="47"/>
  <c r="D246" i="47"/>
  <c r="D67" i="47"/>
  <c r="D16" i="47"/>
  <c r="D63" i="47"/>
  <c r="D748" i="47"/>
  <c r="D583" i="47"/>
  <c r="D557" i="47"/>
  <c r="D306" i="47"/>
  <c r="D230" i="47"/>
  <c r="D184" i="47"/>
  <c r="D45" i="47"/>
  <c r="D202" i="47"/>
  <c r="D294" i="47"/>
  <c r="D651" i="47"/>
  <c r="D80" i="47"/>
  <c r="D281" i="47"/>
  <c r="D214" i="47"/>
  <c r="D524" i="47"/>
  <c r="D740" i="47"/>
  <c r="D683" i="47"/>
  <c r="D216" i="47"/>
  <c r="D873" i="47"/>
  <c r="D181" i="47"/>
  <c r="D343" i="47"/>
  <c r="D812" i="47"/>
  <c r="D787" i="47"/>
  <c r="D484" i="47"/>
  <c r="D523" i="47"/>
  <c r="D384" i="47"/>
  <c r="D231" i="47"/>
  <c r="D61" i="47"/>
  <c r="D12" i="47"/>
  <c r="D824" i="47"/>
  <c r="D577" i="47"/>
  <c r="D487" i="47"/>
  <c r="D463" i="47"/>
  <c r="D212" i="47"/>
  <c r="D228" i="47"/>
  <c r="D21" i="47"/>
  <c r="D26" i="47"/>
  <c r="D757" i="47"/>
  <c r="D602" i="47"/>
  <c r="D530" i="47"/>
  <c r="D389" i="47"/>
  <c r="D632" i="47"/>
  <c r="D33" i="47"/>
  <c r="D864" i="47"/>
  <c r="D891" i="47"/>
  <c r="D877" i="47"/>
  <c r="D710" i="47"/>
  <c r="D685" i="47"/>
  <c r="D619" i="47"/>
  <c r="D516" i="47"/>
  <c r="D479" i="47"/>
  <c r="D185" i="47"/>
  <c r="D255" i="47"/>
  <c r="D8" i="47"/>
  <c r="D150" i="47"/>
  <c r="D801" i="47"/>
  <c r="D781" i="47"/>
  <c r="D412" i="47"/>
  <c r="D457" i="47"/>
  <c r="D209" i="47"/>
  <c r="D170" i="47"/>
  <c r="D22" i="47"/>
  <c r="D806" i="47"/>
  <c r="D321" i="47"/>
  <c r="D277" i="47"/>
  <c r="D35" i="47"/>
  <c r="D257" i="47"/>
  <c r="D314" i="47"/>
  <c r="D598" i="47"/>
  <c r="D232" i="47"/>
  <c r="D865" i="47"/>
  <c r="D253" i="47"/>
  <c r="D50" i="47"/>
  <c r="D878" i="47"/>
  <c r="D742" i="47"/>
  <c r="D713" i="47"/>
  <c r="D639" i="47"/>
  <c r="D654" i="47"/>
  <c r="D580" i="47"/>
  <c r="D470" i="47"/>
  <c r="D496" i="47"/>
  <c r="D425" i="47"/>
  <c r="D374" i="47"/>
  <c r="D376" i="47"/>
  <c r="D175" i="47"/>
  <c r="D145" i="47"/>
  <c r="D4" i="47"/>
  <c r="D143" i="47"/>
  <c r="D762" i="47"/>
  <c r="D561" i="47"/>
  <c r="D409" i="47"/>
  <c r="D447" i="47"/>
  <c r="D290" i="47"/>
  <c r="D761" i="47"/>
  <c r="D286" i="47"/>
  <c r="D236" i="47"/>
  <c r="D341" i="47"/>
  <c r="D6" i="47"/>
  <c r="D771" i="47"/>
  <c r="D333" i="47"/>
  <c r="D104" i="47"/>
  <c r="D694" i="47"/>
  <c r="D221" i="47"/>
  <c r="D86" i="47"/>
  <c r="D218" i="47"/>
  <c r="D426" i="47"/>
  <c r="D565" i="47"/>
  <c r="D843" i="47"/>
  <c r="D728" i="47"/>
  <c r="D700" i="47"/>
  <c r="D655" i="47"/>
  <c r="D629" i="47"/>
  <c r="D574" i="47"/>
  <c r="D550" i="47"/>
  <c r="D449" i="47"/>
  <c r="D351" i="47"/>
  <c r="D171" i="47"/>
  <c r="D119" i="47"/>
  <c r="D114" i="47"/>
  <c r="D634" i="47"/>
  <c r="D238" i="47"/>
  <c r="D322" i="47"/>
  <c r="D31" i="47"/>
  <c r="D39" i="47"/>
  <c r="D809" i="47"/>
  <c r="D213" i="47"/>
  <c r="D198" i="47"/>
  <c r="D560" i="47"/>
  <c r="D292" i="47"/>
  <c r="D630" i="47"/>
  <c r="D29" i="47"/>
  <c r="D536" i="47"/>
  <c r="D889" i="47"/>
  <c r="D225" i="47"/>
  <c r="D347" i="47"/>
  <c r="D610" i="47"/>
  <c r="D866" i="47"/>
  <c r="D828" i="47"/>
  <c r="D818" i="47"/>
  <c r="D715" i="47"/>
  <c r="D535" i="47"/>
  <c r="D603" i="47"/>
  <c r="D456" i="47"/>
  <c r="D332" i="47"/>
  <c r="D386" i="47"/>
  <c r="D179" i="47"/>
  <c r="D84" i="47"/>
  <c r="D116" i="47"/>
  <c r="D113" i="47"/>
  <c r="D624" i="47"/>
  <c r="D813" i="47"/>
  <c r="D454" i="47"/>
  <c r="D289" i="47"/>
  <c r="D138" i="47"/>
  <c r="D15" i="47"/>
  <c r="D37" i="47"/>
  <c r="D777" i="47"/>
  <c r="D156" i="47"/>
  <c r="D51" i="47"/>
  <c r="D698" i="47"/>
  <c r="D176" i="47"/>
  <c r="D622" i="47"/>
  <c r="D92" i="47"/>
  <c r="D229" i="47"/>
  <c r="D820" i="47"/>
  <c r="D815" i="47"/>
  <c r="D615" i="47"/>
  <c r="D595" i="47"/>
  <c r="D385" i="47"/>
  <c r="D336" i="47"/>
  <c r="D56" i="47"/>
  <c r="D127" i="47"/>
  <c r="D106" i="47"/>
  <c r="D326" i="47"/>
  <c r="D140" i="47"/>
  <c r="D201" i="47"/>
  <c r="D301" i="47"/>
  <c r="D11" i="47"/>
  <c r="D549" i="47"/>
  <c r="D128" i="47"/>
  <c r="D146" i="47"/>
  <c r="D505" i="47"/>
  <c r="D14" i="47"/>
  <c r="D517" i="47"/>
  <c r="D537" i="47"/>
  <c r="D17" i="47"/>
  <c r="D612" i="47"/>
  <c r="D23" i="47"/>
  <c r="D444" i="47"/>
  <c r="D672" i="47"/>
  <c r="D892" i="47"/>
  <c r="D750" i="47"/>
  <c r="D641" i="47"/>
  <c r="D509" i="47"/>
  <c r="D547" i="47"/>
  <c r="D432" i="47"/>
  <c r="D401" i="47"/>
  <c r="D370" i="47"/>
  <c r="D349" i="47"/>
  <c r="D249" i="47"/>
  <c r="D251" i="47"/>
  <c r="D183" i="47"/>
  <c r="D48" i="47"/>
  <c r="D95" i="47"/>
  <c r="D93" i="47"/>
  <c r="D752" i="47"/>
  <c r="D819" i="47"/>
  <c r="D829" i="47"/>
  <c r="D437" i="47"/>
  <c r="D620" i="47"/>
  <c r="D466" i="47"/>
  <c r="D280" i="47"/>
  <c r="D144" i="47"/>
  <c r="D186" i="47"/>
  <c r="D65" i="47"/>
  <c r="D719" i="47"/>
  <c r="D72" i="47"/>
  <c r="D849" i="47"/>
  <c r="D148" i="47"/>
  <c r="D197" i="47"/>
  <c r="D118" i="47"/>
  <c r="D328" i="47"/>
  <c r="D182" i="47"/>
  <c r="D266" i="47"/>
  <c r="D693" i="47"/>
  <c r="D880" i="47"/>
  <c r="D802" i="47"/>
  <c r="D791" i="47"/>
  <c r="D746" i="47"/>
  <c r="D690" i="47"/>
  <c r="D663" i="47"/>
  <c r="D591" i="47"/>
  <c r="D569" i="47"/>
  <c r="D416" i="47"/>
  <c r="D352" i="47"/>
  <c r="D298" i="47"/>
  <c r="D303" i="47"/>
  <c r="D242" i="47"/>
  <c r="D44" i="47"/>
  <c r="D64" i="47"/>
  <c r="D845" i="47"/>
  <c r="D789" i="47"/>
  <c r="D821" i="47"/>
  <c r="D312" i="47"/>
  <c r="D503" i="47"/>
  <c r="D438" i="47"/>
  <c r="D222" i="47"/>
  <c r="D172" i="47"/>
  <c r="D661" i="47"/>
  <c r="D313" i="47"/>
  <c r="D18" i="47"/>
  <c r="D49" i="47"/>
  <c r="D608" i="47"/>
  <c r="D356" i="47"/>
  <c r="D485" i="47"/>
  <c r="D54" i="47"/>
  <c r="D189" i="47"/>
  <c r="D427" i="47"/>
  <c r="D774" i="47"/>
  <c r="D392" i="47"/>
  <c r="D108" i="47"/>
  <c r="D481" i="47"/>
  <c r="D884" i="47"/>
  <c r="D851" i="47"/>
  <c r="D786" i="47"/>
  <c r="D772" i="47"/>
  <c r="D579" i="47"/>
  <c r="D429" i="47"/>
  <c r="D448" i="47"/>
  <c r="D402" i="47"/>
  <c r="D259" i="47"/>
  <c r="D207" i="47"/>
  <c r="D40" i="47"/>
  <c r="D107" i="47"/>
  <c r="D727" i="47"/>
  <c r="D682" i="47"/>
  <c r="D652" i="47"/>
  <c r="D162" i="47"/>
  <c r="D27" i="47"/>
  <c r="D594" i="47"/>
  <c r="D154" i="47"/>
  <c r="D5" i="47"/>
  <c r="D711" i="47"/>
  <c r="D592" i="47"/>
  <c r="D276" i="47"/>
  <c r="D434" i="47"/>
  <c r="D46" i="47"/>
  <c r="D714" i="47"/>
  <c r="D204" i="47"/>
  <c r="D265" i="47"/>
  <c r="D660" i="47"/>
  <c r="D779" i="47"/>
  <c r="D736" i="47"/>
  <c r="D703" i="47"/>
  <c r="D617" i="47"/>
  <c r="D559" i="47"/>
  <c r="D531" i="47"/>
  <c r="D502" i="47"/>
  <c r="D490" i="47"/>
  <c r="D428" i="47"/>
  <c r="D445" i="47"/>
  <c r="D363" i="47"/>
  <c r="D342" i="47"/>
  <c r="D195" i="47"/>
  <c r="D91" i="47"/>
  <c r="D36" i="47"/>
  <c r="D123" i="47"/>
  <c r="D153" i="47"/>
  <c r="D510" i="47"/>
  <c r="D320" i="47"/>
  <c r="D25" i="47"/>
  <c r="D149" i="47"/>
  <c r="D396" i="47"/>
  <c r="D47" i="47"/>
  <c r="D588" i="47"/>
  <c r="D471" i="47"/>
  <c r="D430" i="47"/>
  <c r="D773" i="47"/>
  <c r="D618" i="47"/>
  <c r="D817" i="47"/>
  <c r="D337" i="47"/>
  <c r="D273" i="47"/>
  <c r="D499" i="47"/>
  <c r="D718" i="47"/>
  <c r="D887" i="47"/>
  <c r="D782" i="47"/>
  <c r="D709" i="47"/>
  <c r="D584" i="47"/>
  <c r="D476" i="47"/>
  <c r="D508" i="47"/>
  <c r="D361" i="47"/>
  <c r="D32" i="47"/>
  <c r="D109" i="47"/>
  <c r="D846" i="47"/>
  <c r="D708" i="47"/>
  <c r="D318" i="47"/>
  <c r="D205" i="47"/>
  <c r="D269" i="47"/>
  <c r="D124" i="47"/>
  <c r="D19" i="47"/>
  <c r="D78" i="47"/>
  <c r="D841" i="47"/>
  <c r="D518" i="47"/>
  <c r="D563" i="47"/>
  <c r="D458" i="47"/>
  <c r="D310" i="47"/>
  <c r="D169" i="47"/>
  <c r="D533" i="47"/>
  <c r="D769" i="47"/>
  <c r="D284" i="47"/>
  <c r="D2" i="47"/>
  <c r="D136" i="47"/>
  <c r="D501" i="47"/>
  <c r="D98" i="47"/>
  <c r="D879" i="47"/>
  <c r="D775" i="47"/>
  <c r="D684" i="47"/>
  <c r="D600" i="47"/>
  <c r="D568" i="47"/>
  <c r="D325" i="47"/>
  <c r="D254" i="47"/>
  <c r="D227" i="47"/>
  <c r="D79" i="47"/>
  <c r="D686" i="47"/>
  <c r="D664" i="47"/>
  <c r="D628" i="47"/>
  <c r="D121" i="47"/>
  <c r="D41" i="47"/>
  <c r="D194" i="47"/>
  <c r="D668" i="47"/>
  <c r="D424" i="47"/>
  <c r="D220" i="47"/>
  <c r="D161" i="47"/>
  <c r="D68" i="47"/>
  <c r="D724" i="47"/>
  <c r="D658" i="47"/>
  <c r="D38" i="47"/>
  <c r="D152" i="47"/>
  <c r="D288" i="47"/>
  <c r="D734" i="47"/>
  <c r="D766" i="47"/>
  <c r="D784" i="47"/>
  <c r="D733" i="47"/>
  <c r="D582" i="47"/>
  <c r="D627" i="47"/>
  <c r="D539" i="47"/>
  <c r="D575" i="47"/>
  <c r="D453" i="47"/>
  <c r="D440" i="47"/>
  <c r="D390" i="47"/>
  <c r="D372" i="47"/>
  <c r="D319" i="47"/>
  <c r="D323" i="47"/>
  <c r="D215" i="47"/>
  <c r="D103" i="47"/>
  <c r="D24" i="47"/>
  <c r="D669" i="47"/>
  <c r="D842" i="47"/>
  <c r="D450" i="47"/>
  <c r="D285" i="47"/>
  <c r="D122" i="47"/>
  <c r="D190" i="47"/>
  <c r="D656" i="47"/>
  <c r="D248" i="47"/>
  <c r="D327" i="47"/>
  <c r="D408" i="47"/>
  <c r="D178" i="47"/>
  <c r="D97" i="47"/>
  <c r="D130" i="47"/>
  <c r="D837" i="47"/>
  <c r="D264" i="47"/>
  <c r="D208" i="47"/>
  <c r="D869" i="47"/>
  <c r="D42" i="47"/>
  <c r="D166" i="47"/>
  <c r="D304" i="47"/>
  <c r="D520" i="47"/>
  <c r="D756" i="47"/>
  <c r="D422" i="47"/>
  <c r="D482" i="47"/>
  <c r="D589" i="47"/>
  <c r="D696" i="47"/>
  <c r="D315" i="47"/>
  <c r="B8" i="18"/>
  <c r="D200" i="47"/>
  <c r="E203" i="1"/>
  <c r="E695" i="1"/>
  <c r="D695" i="1"/>
  <c r="E652" i="1"/>
  <c r="D652" i="1"/>
  <c r="D150" i="1"/>
  <c r="E726" i="1"/>
  <c r="D726" i="1"/>
  <c r="E214" i="1"/>
  <c r="D214" i="1"/>
  <c r="E788" i="1"/>
  <c r="D788" i="1"/>
  <c r="E555" i="1"/>
  <c r="E823" i="1"/>
  <c r="E27" i="1"/>
  <c r="E710" i="1"/>
  <c r="E586" i="1"/>
  <c r="E732" i="1"/>
  <c r="E417" i="1"/>
  <c r="D555" i="1"/>
  <c r="D823" i="1"/>
  <c r="D27" i="1"/>
  <c r="D710" i="1"/>
  <c r="D586" i="1"/>
  <c r="D732" i="1"/>
  <c r="D417" i="1"/>
  <c r="E423" i="1"/>
  <c r="D423" i="1"/>
  <c r="E389" i="1"/>
  <c r="D389" i="1"/>
  <c r="E242" i="1"/>
  <c r="D242" i="1"/>
  <c r="E405" i="1"/>
  <c r="D405" i="1"/>
  <c r="E802" i="1"/>
  <c r="D802" i="1"/>
  <c r="E419" i="1"/>
  <c r="D419" i="1"/>
  <c r="E192" i="1"/>
  <c r="D192" i="1"/>
  <c r="E65" i="1"/>
  <c r="D65" i="1"/>
  <c r="E683" i="1"/>
  <c r="D683" i="1"/>
  <c r="A868" i="47"/>
  <c r="A867" i="47"/>
  <c r="E578" i="1"/>
  <c r="D578" i="1"/>
  <c r="E668" i="1"/>
  <c r="D668" i="1"/>
  <c r="E787" i="1"/>
  <c r="D787" i="1"/>
  <c r="E613" i="1"/>
  <c r="D613" i="1"/>
  <c r="D196" i="1"/>
  <c r="E595" i="1"/>
  <c r="D595" i="1"/>
  <c r="E548" i="1"/>
  <c r="D548" i="1"/>
  <c r="E602" i="1"/>
  <c r="D602" i="1"/>
  <c r="E18" i="1"/>
  <c r="D18" i="1"/>
  <c r="E350" i="1"/>
  <c r="D350" i="1"/>
  <c r="E711" i="1"/>
  <c r="D711" i="1"/>
  <c r="E857" i="1"/>
  <c r="D857" i="1"/>
  <c r="E235" i="1"/>
  <c r="D235" i="1"/>
  <c r="E168" i="1"/>
  <c r="D168" i="1"/>
  <c r="E101" i="1"/>
  <c r="D101" i="1"/>
  <c r="E540" i="1"/>
  <c r="D540" i="1"/>
  <c r="E340" i="1"/>
  <c r="D340" i="1"/>
  <c r="E830" i="1"/>
  <c r="D830" i="1"/>
  <c r="E558" i="1"/>
  <c r="D558" i="1"/>
  <c r="E141" i="1"/>
  <c r="D141" i="1"/>
  <c r="U1400" i="47"/>
  <c r="T1400" i="47"/>
  <c r="U1399" i="47"/>
  <c r="T1399" i="47"/>
  <c r="U1398" i="47"/>
  <c r="T1398" i="47"/>
  <c r="U1397" i="47"/>
  <c r="T1397" i="47"/>
  <c r="U1396" i="47"/>
  <c r="T1396" i="47"/>
  <c r="U1395" i="47"/>
  <c r="T1395" i="47"/>
  <c r="U1394" i="47"/>
  <c r="T1394" i="47"/>
  <c r="U1393" i="47"/>
  <c r="T1393" i="47"/>
  <c r="U1392" i="47"/>
  <c r="T1392" i="47"/>
  <c r="U1391" i="47"/>
  <c r="T1391" i="47"/>
  <c r="U1390" i="47"/>
  <c r="T1390" i="47"/>
  <c r="U1389" i="47"/>
  <c r="T1389" i="47"/>
  <c r="U1388" i="47"/>
  <c r="T1388" i="47"/>
  <c r="U1387" i="47"/>
  <c r="T1387" i="47"/>
  <c r="U1386" i="47"/>
  <c r="T1386" i="47"/>
  <c r="U1385" i="47"/>
  <c r="T1385" i="47"/>
  <c r="U1384" i="47"/>
  <c r="T1384" i="47"/>
  <c r="U1383" i="47"/>
  <c r="T1383" i="47"/>
  <c r="U1382" i="47"/>
  <c r="T1382" i="47"/>
  <c r="U1381" i="47"/>
  <c r="T1381" i="47"/>
  <c r="U1380" i="47"/>
  <c r="T1380" i="47"/>
  <c r="U1379" i="47"/>
  <c r="T1379" i="47"/>
  <c r="U1378" i="47"/>
  <c r="T1378" i="47"/>
  <c r="U1377" i="47"/>
  <c r="T1377" i="47"/>
  <c r="U1376" i="47"/>
  <c r="T1376" i="47"/>
  <c r="U1375" i="47"/>
  <c r="T1375" i="47"/>
  <c r="U1374" i="47"/>
  <c r="T1374" i="47"/>
  <c r="U1373" i="47"/>
  <c r="T1373" i="47"/>
  <c r="U1372" i="47"/>
  <c r="T1372" i="47"/>
  <c r="U1371" i="47"/>
  <c r="T1371" i="47"/>
  <c r="U1370" i="47"/>
  <c r="T1370" i="47"/>
  <c r="U1369" i="47"/>
  <c r="T1369" i="47"/>
  <c r="U1368" i="47"/>
  <c r="T1368" i="47"/>
  <c r="U1367" i="47"/>
  <c r="T1367" i="47"/>
  <c r="U1366" i="47"/>
  <c r="T1366" i="47"/>
  <c r="U1365" i="47"/>
  <c r="T1365" i="47"/>
  <c r="U1364" i="47"/>
  <c r="T1364" i="47"/>
  <c r="U1363" i="47"/>
  <c r="T1363" i="47"/>
  <c r="U1362" i="47"/>
  <c r="T1362" i="47"/>
  <c r="U1361" i="47"/>
  <c r="T1361" i="47"/>
  <c r="U1360" i="47"/>
  <c r="T1360" i="47"/>
  <c r="U1359" i="47"/>
  <c r="T1359" i="47"/>
  <c r="U1358" i="47"/>
  <c r="T1358" i="47"/>
  <c r="U1357" i="47"/>
  <c r="T1357" i="47"/>
  <c r="U1356" i="47"/>
  <c r="T1356" i="47"/>
  <c r="U1355" i="47"/>
  <c r="T1355" i="47"/>
  <c r="U1354" i="47"/>
  <c r="T1354" i="47"/>
  <c r="U1353" i="47"/>
  <c r="T1353" i="47"/>
  <c r="U1352" i="47"/>
  <c r="T1352" i="47"/>
  <c r="U1351" i="47"/>
  <c r="T1351" i="47"/>
  <c r="U1350" i="47"/>
  <c r="T1350" i="47"/>
  <c r="U1349" i="47"/>
  <c r="T1349" i="47"/>
  <c r="U1348" i="47"/>
  <c r="T1348" i="47"/>
  <c r="U1347" i="47"/>
  <c r="T1347" i="47"/>
  <c r="U1346" i="47"/>
  <c r="T1346" i="47"/>
  <c r="U1345" i="47"/>
  <c r="T1345" i="47"/>
  <c r="U1344" i="47"/>
  <c r="T1344" i="47"/>
  <c r="U1343" i="47"/>
  <c r="T1343" i="47"/>
  <c r="U1342" i="47"/>
  <c r="T1342" i="47"/>
  <c r="U1341" i="47"/>
  <c r="T1341" i="47"/>
  <c r="U1340" i="47"/>
  <c r="T1340" i="47"/>
  <c r="U1339" i="47"/>
  <c r="T1339" i="47"/>
  <c r="U1338" i="47"/>
  <c r="T1338" i="47"/>
  <c r="U1337" i="47"/>
  <c r="T1337" i="47"/>
  <c r="U1336" i="47"/>
  <c r="T1336" i="47"/>
  <c r="U1335" i="47"/>
  <c r="T1335" i="47"/>
  <c r="U1334" i="47"/>
  <c r="T1334" i="47"/>
  <c r="U1333" i="47"/>
  <c r="T1333" i="47"/>
  <c r="U1332" i="47"/>
  <c r="T1332" i="47"/>
  <c r="U1331" i="47"/>
  <c r="T1331" i="47"/>
  <c r="U1330" i="47"/>
  <c r="T1330" i="47"/>
  <c r="U1329" i="47"/>
  <c r="T1329" i="47"/>
  <c r="U1328" i="47"/>
  <c r="T1328" i="47"/>
  <c r="U1327" i="47"/>
  <c r="T1327" i="47"/>
  <c r="U1326" i="47"/>
  <c r="T1326" i="47"/>
  <c r="U1325" i="47"/>
  <c r="T1325" i="47"/>
  <c r="U1324" i="47"/>
  <c r="T1324" i="47"/>
  <c r="U1323" i="47"/>
  <c r="T1323" i="47"/>
  <c r="U1322" i="47"/>
  <c r="T1322" i="47"/>
  <c r="U1321" i="47"/>
  <c r="T1321" i="47"/>
  <c r="U1320" i="47"/>
  <c r="T1320" i="47"/>
  <c r="U1319" i="47"/>
  <c r="T1319" i="47"/>
  <c r="U1318" i="47"/>
  <c r="T1318" i="47"/>
  <c r="U1317" i="47"/>
  <c r="T1317" i="47"/>
  <c r="U1316" i="47"/>
  <c r="T1316" i="47"/>
  <c r="U1315" i="47"/>
  <c r="T1315" i="47"/>
  <c r="U1314" i="47"/>
  <c r="T1314" i="47"/>
  <c r="U1313" i="47"/>
  <c r="T1313" i="47"/>
  <c r="U1312" i="47"/>
  <c r="T1312" i="47"/>
  <c r="U1311" i="47"/>
  <c r="T1311" i="47"/>
  <c r="U1310" i="47"/>
  <c r="T1310" i="47"/>
  <c r="U1309" i="47"/>
  <c r="T1309" i="47"/>
  <c r="U1308" i="47"/>
  <c r="T1308" i="47"/>
  <c r="U1307" i="47"/>
  <c r="T1307" i="47"/>
  <c r="U1306" i="47"/>
  <c r="T1306" i="47"/>
  <c r="U1305" i="47"/>
  <c r="T1305" i="47"/>
  <c r="U1304" i="47"/>
  <c r="T1304" i="47"/>
  <c r="U1303" i="47"/>
  <c r="T1303" i="47"/>
  <c r="U1302" i="47"/>
  <c r="T1302" i="47"/>
  <c r="U1301" i="47"/>
  <c r="T1301" i="47"/>
  <c r="U1300" i="47"/>
  <c r="T1300" i="47"/>
  <c r="U1299" i="47"/>
  <c r="T1299" i="47"/>
  <c r="U1298" i="47"/>
  <c r="T1298" i="47"/>
  <c r="U1297" i="47"/>
  <c r="T1297" i="47"/>
  <c r="U1296" i="47"/>
  <c r="T1296" i="47"/>
  <c r="U1295" i="47"/>
  <c r="T1295" i="47"/>
  <c r="U1294" i="47"/>
  <c r="T1294" i="47"/>
  <c r="U1293" i="47"/>
  <c r="T1293" i="47"/>
  <c r="U1292" i="47"/>
  <c r="T1292" i="47"/>
  <c r="U1291" i="47"/>
  <c r="T1291" i="47"/>
  <c r="U1290" i="47"/>
  <c r="T1290" i="47"/>
  <c r="U1289" i="47"/>
  <c r="T1289" i="47"/>
  <c r="U1288" i="47"/>
  <c r="T1288" i="47"/>
  <c r="U1287" i="47"/>
  <c r="T1287" i="47"/>
  <c r="U1286" i="47"/>
  <c r="T1286" i="47"/>
  <c r="U1285" i="47"/>
  <c r="T1285" i="47"/>
  <c r="U1284" i="47"/>
  <c r="T1284" i="47"/>
  <c r="U1283" i="47"/>
  <c r="T1283" i="47"/>
  <c r="U1282" i="47"/>
  <c r="T1282" i="47"/>
  <c r="U1281" i="47"/>
  <c r="T1281" i="47"/>
  <c r="U1280" i="47"/>
  <c r="T1280" i="47"/>
  <c r="U1279" i="47"/>
  <c r="T1279" i="47"/>
  <c r="U1278" i="47"/>
  <c r="T1278" i="47"/>
  <c r="U1277" i="47"/>
  <c r="T1277" i="47"/>
  <c r="U1276" i="47"/>
  <c r="T1276" i="47"/>
  <c r="U1275" i="47"/>
  <c r="T1275" i="47"/>
  <c r="U1274" i="47"/>
  <c r="T1274" i="47"/>
  <c r="U1273" i="47"/>
  <c r="T1273" i="47"/>
  <c r="U1272" i="47"/>
  <c r="T1272" i="47"/>
  <c r="U1271" i="47"/>
  <c r="T1271" i="47"/>
  <c r="U1270" i="47"/>
  <c r="T1270" i="47"/>
  <c r="U1269" i="47"/>
  <c r="T1269" i="47"/>
  <c r="U1268" i="47"/>
  <c r="T1268" i="47"/>
  <c r="U1267" i="47"/>
  <c r="T1267" i="47"/>
  <c r="U1266" i="47"/>
  <c r="T1266" i="47"/>
  <c r="U1265" i="47"/>
  <c r="T1265" i="47"/>
  <c r="U1264" i="47"/>
  <c r="T1264" i="47"/>
  <c r="U1263" i="47"/>
  <c r="T1263" i="47"/>
  <c r="U1262" i="47"/>
  <c r="T1262" i="47"/>
  <c r="U1261" i="47"/>
  <c r="T1261" i="47"/>
  <c r="U1260" i="47"/>
  <c r="T1260" i="47"/>
  <c r="U1259" i="47"/>
  <c r="T1259" i="47"/>
  <c r="U1258" i="47"/>
  <c r="T1258" i="47"/>
  <c r="U1257" i="47"/>
  <c r="T1257" i="47"/>
  <c r="U1256" i="47"/>
  <c r="T1256" i="47"/>
  <c r="U1255" i="47"/>
  <c r="T1255" i="47"/>
  <c r="U1254" i="47"/>
  <c r="T1254" i="47"/>
  <c r="U1253" i="47"/>
  <c r="T1253" i="47"/>
  <c r="U1252" i="47"/>
  <c r="T1252" i="47"/>
  <c r="U1251" i="47"/>
  <c r="T1251" i="47"/>
  <c r="U1250" i="47"/>
  <c r="T1250" i="47"/>
  <c r="U1249" i="47"/>
  <c r="T1249" i="47"/>
  <c r="U1248" i="47"/>
  <c r="T1248" i="47"/>
  <c r="U1247" i="47"/>
  <c r="T1247" i="47"/>
  <c r="U1246" i="47"/>
  <c r="T1246" i="47"/>
  <c r="U1245" i="47"/>
  <c r="T1245" i="47"/>
  <c r="U1244" i="47"/>
  <c r="T1244" i="47"/>
  <c r="U1243" i="47"/>
  <c r="T1243" i="47"/>
  <c r="U1242" i="47"/>
  <c r="T1242" i="47"/>
  <c r="U1241" i="47"/>
  <c r="T1241" i="47"/>
  <c r="U1240" i="47"/>
  <c r="T1240" i="47"/>
  <c r="U1239" i="47"/>
  <c r="T1239" i="47"/>
  <c r="U1238" i="47"/>
  <c r="T1238" i="47"/>
  <c r="U1237" i="47"/>
  <c r="T1237" i="47"/>
  <c r="U1236" i="47"/>
  <c r="T1236" i="47"/>
  <c r="U1235" i="47"/>
  <c r="T1235" i="47"/>
  <c r="U1234" i="47"/>
  <c r="T1234" i="47"/>
  <c r="U1233" i="47"/>
  <c r="T1233" i="47"/>
  <c r="U1232" i="47"/>
  <c r="T1232" i="47"/>
  <c r="U1231" i="47"/>
  <c r="T1231" i="47"/>
  <c r="U1230" i="47"/>
  <c r="T1230" i="47"/>
  <c r="U1229" i="47"/>
  <c r="T1229" i="47"/>
  <c r="U1228" i="47"/>
  <c r="T1228" i="47"/>
  <c r="U1227" i="47"/>
  <c r="T1227" i="47"/>
  <c r="U1226" i="47"/>
  <c r="T1226" i="47"/>
  <c r="U1225" i="47"/>
  <c r="T1225" i="47"/>
  <c r="U1224" i="47"/>
  <c r="T1224" i="47"/>
  <c r="U1223" i="47"/>
  <c r="T1223" i="47"/>
  <c r="U1222" i="47"/>
  <c r="T1222" i="47"/>
  <c r="U1221" i="47"/>
  <c r="T1221" i="47"/>
  <c r="U1220" i="47"/>
  <c r="T1220" i="47"/>
  <c r="U1219" i="47"/>
  <c r="T1219" i="47"/>
  <c r="U1218" i="47"/>
  <c r="T1218" i="47"/>
  <c r="U1217" i="47"/>
  <c r="T1217" i="47"/>
  <c r="U1216" i="47"/>
  <c r="T1216" i="47"/>
  <c r="U1215" i="47"/>
  <c r="T1215" i="47"/>
  <c r="U1214" i="47"/>
  <c r="T1214" i="47"/>
  <c r="U1213" i="47"/>
  <c r="T1213" i="47"/>
  <c r="U1212" i="47"/>
  <c r="T1212" i="47"/>
  <c r="U1211" i="47"/>
  <c r="T1211" i="47"/>
  <c r="U1210" i="47"/>
  <c r="T1210" i="47"/>
  <c r="U1209" i="47"/>
  <c r="T1209" i="47"/>
  <c r="U1208" i="47"/>
  <c r="T1208" i="47"/>
  <c r="U1207" i="47"/>
  <c r="T1207" i="47"/>
  <c r="U1206" i="47"/>
  <c r="T1206" i="47"/>
  <c r="U1205" i="47"/>
  <c r="T1205" i="47"/>
  <c r="U1204" i="47"/>
  <c r="T1204" i="47"/>
  <c r="U1203" i="47"/>
  <c r="T1203" i="47"/>
  <c r="U1202" i="47"/>
  <c r="T1202" i="47"/>
  <c r="U1201" i="47"/>
  <c r="T1201" i="47"/>
  <c r="U1200" i="47"/>
  <c r="T1200" i="47"/>
  <c r="U1199" i="47"/>
  <c r="T1199" i="47"/>
  <c r="U1198" i="47"/>
  <c r="T1198" i="47"/>
  <c r="U1197" i="47"/>
  <c r="T1197" i="47"/>
  <c r="U1196" i="47"/>
  <c r="T1196" i="47"/>
  <c r="U1195" i="47"/>
  <c r="T1195" i="47"/>
  <c r="U1194" i="47"/>
  <c r="T1194" i="47"/>
  <c r="U1193" i="47"/>
  <c r="T1193" i="47"/>
  <c r="U1192" i="47"/>
  <c r="T1192" i="47"/>
  <c r="U1191" i="47"/>
  <c r="T1191" i="47"/>
  <c r="U1190" i="47"/>
  <c r="T1190" i="47"/>
  <c r="U1189" i="47"/>
  <c r="T1189" i="47"/>
  <c r="U1188" i="47"/>
  <c r="T1188" i="47"/>
  <c r="U1187" i="47"/>
  <c r="T1187" i="47"/>
  <c r="U1186" i="47"/>
  <c r="T1186" i="47"/>
  <c r="U1185" i="47"/>
  <c r="T1185" i="47"/>
  <c r="U1184" i="47"/>
  <c r="T1184" i="47"/>
  <c r="U1183" i="47"/>
  <c r="T1183" i="47"/>
  <c r="U1182" i="47"/>
  <c r="T1182" i="47"/>
  <c r="U1181" i="47"/>
  <c r="T1181" i="47"/>
  <c r="U1180" i="47"/>
  <c r="T1180" i="47"/>
  <c r="U1179" i="47"/>
  <c r="T1179" i="47"/>
  <c r="U1178" i="47"/>
  <c r="T1178" i="47"/>
  <c r="U1177" i="47"/>
  <c r="T1177" i="47"/>
  <c r="U1176" i="47"/>
  <c r="T1176" i="47"/>
  <c r="U1175" i="47"/>
  <c r="T1175" i="47"/>
  <c r="U1174" i="47"/>
  <c r="T1174" i="47"/>
  <c r="U1173" i="47"/>
  <c r="T1173" i="47"/>
  <c r="U1172" i="47"/>
  <c r="T1172" i="47"/>
  <c r="U1171" i="47"/>
  <c r="T1171" i="47"/>
  <c r="U1170" i="47"/>
  <c r="T1170" i="47"/>
  <c r="U1169" i="47"/>
  <c r="T1169" i="47"/>
  <c r="U1168" i="47"/>
  <c r="T1168" i="47"/>
  <c r="U1167" i="47"/>
  <c r="T1167" i="47"/>
  <c r="U1166" i="47"/>
  <c r="T1166" i="47"/>
  <c r="U1165" i="47"/>
  <c r="T1165" i="47"/>
  <c r="U1164" i="47"/>
  <c r="T1164" i="47"/>
  <c r="U1163" i="47"/>
  <c r="T1163" i="47"/>
  <c r="U1162" i="47"/>
  <c r="T1162" i="47"/>
  <c r="U1161" i="47"/>
  <c r="T1161" i="47"/>
  <c r="U1160" i="47"/>
  <c r="T1160" i="47"/>
  <c r="U1159" i="47"/>
  <c r="T1159" i="47"/>
  <c r="U1158" i="47"/>
  <c r="T1158" i="47"/>
  <c r="U1157" i="47"/>
  <c r="T1157" i="47"/>
  <c r="U1156" i="47"/>
  <c r="T1156" i="47"/>
  <c r="U1155" i="47"/>
  <c r="T1155" i="47"/>
  <c r="U1154" i="47"/>
  <c r="T1154" i="47"/>
  <c r="U1153" i="47"/>
  <c r="T1153" i="47"/>
  <c r="U1152" i="47"/>
  <c r="T1152" i="47"/>
  <c r="U1151" i="47"/>
  <c r="T1151" i="47"/>
  <c r="U1150" i="47"/>
  <c r="T1150" i="47"/>
  <c r="U1149" i="47"/>
  <c r="T1149" i="47"/>
  <c r="U1148" i="47"/>
  <c r="T1148" i="47"/>
  <c r="U1147" i="47"/>
  <c r="T1147" i="47"/>
  <c r="U1146" i="47"/>
  <c r="T1146" i="47"/>
  <c r="U1145" i="47"/>
  <c r="T1145" i="47"/>
  <c r="U1144" i="47"/>
  <c r="T1144" i="47"/>
  <c r="U1143" i="47"/>
  <c r="T1143" i="47"/>
  <c r="U1142" i="47"/>
  <c r="T1142" i="47"/>
  <c r="U1141" i="47"/>
  <c r="T1141" i="47"/>
  <c r="U1140" i="47"/>
  <c r="T1140" i="47"/>
  <c r="U1139" i="47"/>
  <c r="T1139" i="47"/>
  <c r="U1138" i="47"/>
  <c r="T1138" i="47"/>
  <c r="U1137" i="47"/>
  <c r="T1137" i="47"/>
  <c r="U1136" i="47"/>
  <c r="T1136" i="47"/>
  <c r="U1135" i="47"/>
  <c r="T1135" i="47"/>
  <c r="U1134" i="47"/>
  <c r="T1134" i="47"/>
  <c r="U1133" i="47"/>
  <c r="T1133" i="47"/>
  <c r="U1132" i="47"/>
  <c r="T1132" i="47"/>
  <c r="U1131" i="47"/>
  <c r="T1131" i="47"/>
  <c r="U1130" i="47"/>
  <c r="T1130" i="47"/>
  <c r="U1129" i="47"/>
  <c r="T1129" i="47"/>
  <c r="U1128" i="47"/>
  <c r="T1128" i="47"/>
  <c r="U1127" i="47"/>
  <c r="T1127" i="47"/>
  <c r="U1126" i="47"/>
  <c r="T1126" i="47"/>
  <c r="U1125" i="47"/>
  <c r="T1125" i="47"/>
  <c r="U1124" i="47"/>
  <c r="T1124" i="47"/>
  <c r="U1123" i="47"/>
  <c r="T1123" i="47"/>
  <c r="U1122" i="47"/>
  <c r="T1122" i="47"/>
  <c r="U1121" i="47"/>
  <c r="T1121" i="47"/>
  <c r="U1120" i="47"/>
  <c r="T1120" i="47"/>
  <c r="U1119" i="47"/>
  <c r="T1119" i="47"/>
  <c r="U1118" i="47"/>
  <c r="T1118" i="47"/>
  <c r="U1117" i="47"/>
  <c r="T1117" i="47"/>
  <c r="U1116" i="47"/>
  <c r="T1116" i="47"/>
  <c r="U1115" i="47"/>
  <c r="T1115" i="47"/>
  <c r="U1114" i="47"/>
  <c r="T1114" i="47"/>
  <c r="U1113" i="47"/>
  <c r="T1113" i="47"/>
  <c r="U1112" i="47"/>
  <c r="T1112" i="47"/>
  <c r="U1111" i="47"/>
  <c r="T1111" i="47"/>
  <c r="U1110" i="47"/>
  <c r="T1110" i="47"/>
  <c r="U1109" i="47"/>
  <c r="T1109" i="47"/>
  <c r="U1108" i="47"/>
  <c r="T1108" i="47"/>
  <c r="U1107" i="47"/>
  <c r="T1107" i="47"/>
  <c r="U1106" i="47"/>
  <c r="T1106" i="47"/>
  <c r="U1105" i="47"/>
  <c r="T1105" i="47"/>
  <c r="U1104" i="47"/>
  <c r="T1104" i="47"/>
  <c r="U1103" i="47"/>
  <c r="T1103" i="47"/>
  <c r="U1102" i="47"/>
  <c r="T1102" i="47"/>
  <c r="U1101" i="47"/>
  <c r="T1101" i="47"/>
  <c r="U1100" i="47"/>
  <c r="T1100" i="47"/>
  <c r="U1099" i="47"/>
  <c r="T1099" i="47"/>
  <c r="U1098" i="47"/>
  <c r="T1098" i="47"/>
  <c r="U1097" i="47"/>
  <c r="T1097" i="47"/>
  <c r="U1096" i="47"/>
  <c r="T1096" i="47"/>
  <c r="U1095" i="47"/>
  <c r="T1095" i="47"/>
  <c r="U1094" i="47"/>
  <c r="T1094" i="47"/>
  <c r="U1093" i="47"/>
  <c r="T1093" i="47"/>
  <c r="U1092" i="47"/>
  <c r="T1092" i="47"/>
  <c r="U1091" i="47"/>
  <c r="T1091" i="47"/>
  <c r="U1090" i="47"/>
  <c r="T1090" i="47"/>
  <c r="U1089" i="47"/>
  <c r="T1089" i="47"/>
  <c r="U1088" i="47"/>
  <c r="T1088" i="47"/>
  <c r="U1087" i="47"/>
  <c r="T1087" i="47"/>
  <c r="U1086" i="47"/>
  <c r="T1086" i="47"/>
  <c r="U1085" i="47"/>
  <c r="T1085" i="47"/>
  <c r="U1084" i="47"/>
  <c r="T1084" i="47"/>
  <c r="U1083" i="47"/>
  <c r="T1083" i="47"/>
  <c r="U1082" i="47"/>
  <c r="T1082" i="47"/>
  <c r="U1081" i="47"/>
  <c r="T1081" i="47"/>
  <c r="U1080" i="47"/>
  <c r="T1080" i="47"/>
  <c r="U1079" i="47"/>
  <c r="T1079" i="47"/>
  <c r="U1078" i="47"/>
  <c r="T1078" i="47"/>
  <c r="U1077" i="47"/>
  <c r="T1077" i="47"/>
  <c r="U1076" i="47"/>
  <c r="T1076" i="47"/>
  <c r="U1075" i="47"/>
  <c r="T1075" i="47"/>
  <c r="U1074" i="47"/>
  <c r="T1074" i="47"/>
  <c r="U1073" i="47"/>
  <c r="T1073" i="47"/>
  <c r="U1072" i="47"/>
  <c r="T1072" i="47"/>
  <c r="U1071" i="47"/>
  <c r="T1071" i="47"/>
  <c r="U1070" i="47"/>
  <c r="T1070" i="47"/>
  <c r="U1069" i="47"/>
  <c r="T1069" i="47"/>
  <c r="U1068" i="47"/>
  <c r="T1068" i="47"/>
  <c r="U1067" i="47"/>
  <c r="T1067" i="47"/>
  <c r="U1066" i="47"/>
  <c r="T1066" i="47"/>
  <c r="U1065" i="47"/>
  <c r="T1065" i="47"/>
  <c r="U1064" i="47"/>
  <c r="T1064" i="47"/>
  <c r="U1063" i="47"/>
  <c r="T1063" i="47"/>
  <c r="U1062" i="47"/>
  <c r="T1062" i="47"/>
  <c r="U1061" i="47"/>
  <c r="T1061" i="47"/>
  <c r="U1060" i="47"/>
  <c r="T1060" i="47"/>
  <c r="U1059" i="47"/>
  <c r="T1059" i="47"/>
  <c r="U1058" i="47"/>
  <c r="T1058" i="47"/>
  <c r="U1057" i="47"/>
  <c r="T1057" i="47"/>
  <c r="U1056" i="47"/>
  <c r="T1056" i="47"/>
  <c r="U1055" i="47"/>
  <c r="T1055" i="47"/>
  <c r="U1054" i="47"/>
  <c r="T1054" i="47"/>
  <c r="U1053" i="47"/>
  <c r="T1053" i="47"/>
  <c r="U1052" i="47"/>
  <c r="T1052" i="47"/>
  <c r="U1051" i="47"/>
  <c r="T1051" i="47"/>
  <c r="U1050" i="47"/>
  <c r="T1050" i="47"/>
  <c r="U1049" i="47"/>
  <c r="T1049" i="47"/>
  <c r="U1048" i="47"/>
  <c r="T1048" i="47"/>
  <c r="U1047" i="47"/>
  <c r="T1047" i="47"/>
  <c r="U1046" i="47"/>
  <c r="T1046" i="47"/>
  <c r="U1045" i="47"/>
  <c r="T1045" i="47"/>
  <c r="U1044" i="47"/>
  <c r="T1044" i="47"/>
  <c r="U1043" i="47"/>
  <c r="T1043" i="47"/>
  <c r="U1042" i="47"/>
  <c r="T1042" i="47"/>
  <c r="U1041" i="47"/>
  <c r="T1041" i="47"/>
  <c r="U1040" i="47"/>
  <c r="T1040" i="47"/>
  <c r="U1039" i="47"/>
  <c r="T1039" i="47"/>
  <c r="U1038" i="47"/>
  <c r="T1038" i="47"/>
  <c r="U1037" i="47"/>
  <c r="T1037" i="47"/>
  <c r="U1036" i="47"/>
  <c r="T1036" i="47"/>
  <c r="U1035" i="47"/>
  <c r="T1035" i="47"/>
  <c r="U1034" i="47"/>
  <c r="T1034" i="47"/>
  <c r="U1033" i="47"/>
  <c r="T1033" i="47"/>
  <c r="U1032" i="47"/>
  <c r="T1032" i="47"/>
  <c r="U1031" i="47"/>
  <c r="T1031" i="47"/>
  <c r="U1030" i="47"/>
  <c r="T1030" i="47"/>
  <c r="U1029" i="47"/>
  <c r="T1029" i="47"/>
  <c r="U1028" i="47"/>
  <c r="T1028" i="47"/>
  <c r="U1027" i="47"/>
  <c r="T1027" i="47"/>
  <c r="U1026" i="47"/>
  <c r="T1026" i="47"/>
  <c r="U1025" i="47"/>
  <c r="T1025" i="47"/>
  <c r="U1024" i="47"/>
  <c r="T1024" i="47"/>
  <c r="U1023" i="47"/>
  <c r="T1023" i="47"/>
  <c r="U1022" i="47"/>
  <c r="T1022" i="47"/>
  <c r="U1021" i="47"/>
  <c r="T1021" i="47"/>
  <c r="U1020" i="47"/>
  <c r="T1020" i="47"/>
  <c r="U1019" i="47"/>
  <c r="T1019" i="47"/>
  <c r="U1018" i="47"/>
  <c r="T1018" i="47"/>
  <c r="U1017" i="47"/>
  <c r="T1017" i="47"/>
  <c r="U1016" i="47"/>
  <c r="T1016" i="47"/>
  <c r="U1015" i="47"/>
  <c r="T1015" i="47"/>
  <c r="U1014" i="47"/>
  <c r="T1014" i="47"/>
  <c r="U1013" i="47"/>
  <c r="T1013" i="47"/>
  <c r="U1012" i="47"/>
  <c r="T1012" i="47"/>
  <c r="U1011" i="47"/>
  <c r="T1011" i="47"/>
  <c r="U1010" i="47"/>
  <c r="T1010" i="47"/>
  <c r="U1009" i="47"/>
  <c r="T1009" i="47"/>
  <c r="U1008" i="47"/>
  <c r="T1008" i="47"/>
  <c r="U1007" i="47"/>
  <c r="T1007" i="47"/>
  <c r="U1006" i="47"/>
  <c r="T1006" i="47"/>
  <c r="U1005" i="47"/>
  <c r="T1005" i="47"/>
  <c r="U1004" i="47"/>
  <c r="T1004" i="47"/>
  <c r="U1003" i="47"/>
  <c r="T1003" i="47"/>
  <c r="U1002" i="47"/>
  <c r="T1002" i="47"/>
  <c r="U1001" i="47"/>
  <c r="T1001" i="47"/>
  <c r="U1000" i="47"/>
  <c r="T1000" i="47"/>
  <c r="U999" i="47"/>
  <c r="T999" i="47"/>
  <c r="U998" i="47"/>
  <c r="T998" i="47"/>
  <c r="U997" i="47"/>
  <c r="T997" i="47"/>
  <c r="U996" i="47"/>
  <c r="T996" i="47"/>
  <c r="U995" i="47"/>
  <c r="T995" i="47"/>
  <c r="U994" i="47"/>
  <c r="T994" i="47"/>
  <c r="U993" i="47"/>
  <c r="T993" i="47"/>
  <c r="U992" i="47"/>
  <c r="T992" i="47"/>
  <c r="U991" i="47"/>
  <c r="T991" i="47"/>
  <c r="U990" i="47"/>
  <c r="T990" i="47"/>
  <c r="U989" i="47"/>
  <c r="T989" i="47"/>
  <c r="U988" i="47"/>
  <c r="T988" i="47"/>
  <c r="U987" i="47"/>
  <c r="T987" i="47"/>
  <c r="U986" i="47"/>
  <c r="T986" i="47"/>
  <c r="U985" i="47"/>
  <c r="T985" i="47"/>
  <c r="U984" i="47"/>
  <c r="T984" i="47"/>
  <c r="U983" i="47"/>
  <c r="T983" i="47"/>
  <c r="U982" i="47"/>
  <c r="T982" i="47"/>
  <c r="U981" i="47"/>
  <c r="T981" i="47"/>
  <c r="U980" i="47"/>
  <c r="T980" i="47"/>
  <c r="U979" i="47"/>
  <c r="T979" i="47"/>
  <c r="U978" i="47"/>
  <c r="T978" i="47"/>
  <c r="U977" i="47"/>
  <c r="T977" i="47"/>
  <c r="U976" i="47"/>
  <c r="T976" i="47"/>
  <c r="U975" i="47"/>
  <c r="T975" i="47"/>
  <c r="U974" i="47"/>
  <c r="T974" i="47"/>
  <c r="U973" i="47"/>
  <c r="T973" i="47"/>
  <c r="U972" i="47"/>
  <c r="T972" i="47"/>
  <c r="U971" i="47"/>
  <c r="T971" i="47"/>
  <c r="U970" i="47"/>
  <c r="T970" i="47"/>
  <c r="U969" i="47"/>
  <c r="T969" i="47"/>
  <c r="U968" i="47"/>
  <c r="T968" i="47"/>
  <c r="U967" i="47"/>
  <c r="T967" i="47"/>
  <c r="U966" i="47"/>
  <c r="T966" i="47"/>
  <c r="U965" i="47"/>
  <c r="T965" i="47"/>
  <c r="U964" i="47"/>
  <c r="T964" i="47"/>
  <c r="U963" i="47"/>
  <c r="T963" i="47"/>
  <c r="U962" i="47"/>
  <c r="T962" i="47"/>
  <c r="U961" i="47"/>
  <c r="T961" i="47"/>
  <c r="U960" i="47"/>
  <c r="T960" i="47"/>
  <c r="U959" i="47"/>
  <c r="T959" i="47"/>
  <c r="U958" i="47"/>
  <c r="T958" i="47"/>
  <c r="U957" i="47"/>
  <c r="T957" i="47"/>
  <c r="U956" i="47"/>
  <c r="T956" i="47"/>
  <c r="U955" i="47"/>
  <c r="T955" i="47"/>
  <c r="U954" i="47"/>
  <c r="T954" i="47"/>
  <c r="U953" i="47"/>
  <c r="T953" i="47"/>
  <c r="U952" i="47"/>
  <c r="T952" i="47"/>
  <c r="U951" i="47"/>
  <c r="T951" i="47"/>
  <c r="U950" i="47"/>
  <c r="T950" i="47"/>
  <c r="C950" i="47"/>
  <c r="A950" i="47"/>
  <c r="P950" i="47" s="1"/>
  <c r="U949" i="47"/>
  <c r="T949" i="47"/>
  <c r="A949" i="47"/>
  <c r="U948" i="47"/>
  <c r="T948" i="47"/>
  <c r="N948" i="47"/>
  <c r="M948" i="47"/>
  <c r="A948" i="47"/>
  <c r="K948" i="47" s="1"/>
  <c r="U947" i="47"/>
  <c r="T947" i="47"/>
  <c r="B947" i="47"/>
  <c r="A947" i="47"/>
  <c r="U946" i="47"/>
  <c r="T946" i="47"/>
  <c r="A946" i="47"/>
  <c r="I946" i="47" s="1"/>
  <c r="U945" i="47"/>
  <c r="T945" i="47"/>
  <c r="A945" i="47"/>
  <c r="O945" i="47" s="1"/>
  <c r="U944" i="47"/>
  <c r="T944" i="47"/>
  <c r="I944" i="47"/>
  <c r="E944" i="47"/>
  <c r="A944" i="47"/>
  <c r="K944" i="47" s="1"/>
  <c r="U943" i="47"/>
  <c r="T943" i="47"/>
  <c r="A943" i="47"/>
  <c r="M943" i="47" s="1"/>
  <c r="U942" i="47"/>
  <c r="T942" i="47"/>
  <c r="A942" i="47"/>
  <c r="P942" i="47" s="1"/>
  <c r="Q942" i="47" s="1"/>
  <c r="U941" i="47"/>
  <c r="T941" i="47"/>
  <c r="A941" i="47"/>
  <c r="O941" i="47" s="1"/>
  <c r="U940" i="47"/>
  <c r="T940" i="47"/>
  <c r="A940" i="47"/>
  <c r="U939" i="47"/>
  <c r="T939" i="47"/>
  <c r="A939" i="47"/>
  <c r="G939" i="47" s="1"/>
  <c r="U938" i="47"/>
  <c r="T938" i="47"/>
  <c r="A938" i="47"/>
  <c r="P938" i="47" s="1"/>
  <c r="Q938" i="47" s="1"/>
  <c r="U937" i="47"/>
  <c r="T937" i="47"/>
  <c r="A937" i="47"/>
  <c r="E937" i="47" s="1"/>
  <c r="U936" i="47"/>
  <c r="T936" i="47"/>
  <c r="A936" i="47"/>
  <c r="K936" i="47" s="1"/>
  <c r="U935" i="47"/>
  <c r="T935" i="47"/>
  <c r="O935" i="47"/>
  <c r="A935" i="47"/>
  <c r="M935" i="47" s="1"/>
  <c r="U934" i="47"/>
  <c r="T934" i="47"/>
  <c r="P934" i="47"/>
  <c r="Q934" i="47" s="1"/>
  <c r="A934" i="47"/>
  <c r="M934" i="47" s="1"/>
  <c r="U933" i="47"/>
  <c r="T933" i="47"/>
  <c r="A933" i="47"/>
  <c r="U932" i="47"/>
  <c r="T932" i="47"/>
  <c r="A932" i="47"/>
  <c r="E932" i="47" s="1"/>
  <c r="U931" i="47"/>
  <c r="T931" i="47"/>
  <c r="O931" i="47"/>
  <c r="I931" i="47"/>
  <c r="A931" i="47"/>
  <c r="G931" i="47" s="1"/>
  <c r="U930" i="47"/>
  <c r="T930" i="47"/>
  <c r="A930" i="47"/>
  <c r="C930" i="47" s="1"/>
  <c r="U929" i="47"/>
  <c r="T929" i="47"/>
  <c r="A929" i="47"/>
  <c r="M929" i="47" s="1"/>
  <c r="U928" i="47"/>
  <c r="T928" i="47"/>
  <c r="C928" i="47"/>
  <c r="A928" i="47"/>
  <c r="H928" i="47" s="1"/>
  <c r="U927" i="47"/>
  <c r="T927" i="47"/>
  <c r="M927" i="47"/>
  <c r="I927" i="47"/>
  <c r="C927" i="47"/>
  <c r="A927" i="47"/>
  <c r="L927" i="47" s="1"/>
  <c r="U926" i="47"/>
  <c r="T926" i="47"/>
  <c r="P926" i="47"/>
  <c r="Q926" i="47" s="1"/>
  <c r="M926" i="47"/>
  <c r="E926" i="47"/>
  <c r="A926" i="47"/>
  <c r="C926" i="47" s="1"/>
  <c r="U925" i="47"/>
  <c r="T925" i="47"/>
  <c r="A925" i="47"/>
  <c r="U924" i="47"/>
  <c r="T924" i="47"/>
  <c r="A924" i="47"/>
  <c r="I924" i="47" s="1"/>
  <c r="U923" i="47"/>
  <c r="T923" i="47"/>
  <c r="A923" i="47"/>
  <c r="U922" i="47"/>
  <c r="T922" i="47"/>
  <c r="A922" i="47"/>
  <c r="E922" i="47" s="1"/>
  <c r="U921" i="47"/>
  <c r="T921" i="47"/>
  <c r="A921" i="47"/>
  <c r="M921" i="47" s="1"/>
  <c r="U920" i="47"/>
  <c r="T920" i="47"/>
  <c r="A920" i="47"/>
  <c r="U919" i="47"/>
  <c r="T919" i="47"/>
  <c r="A919" i="47"/>
  <c r="O919" i="47" s="1"/>
  <c r="U918" i="47"/>
  <c r="T918" i="47"/>
  <c r="P918" i="47"/>
  <c r="Q918" i="47" s="1"/>
  <c r="F918" i="47"/>
  <c r="A918" i="47"/>
  <c r="E918" i="47" s="1"/>
  <c r="U917" i="47"/>
  <c r="T917" i="47"/>
  <c r="A917" i="47"/>
  <c r="O917" i="47" s="1"/>
  <c r="U916" i="47"/>
  <c r="T916" i="47"/>
  <c r="A916" i="47"/>
  <c r="C916" i="47" s="1"/>
  <c r="U915" i="47"/>
  <c r="T915" i="47"/>
  <c r="A915" i="47"/>
  <c r="O915" i="47" s="1"/>
  <c r="U914" i="47"/>
  <c r="T914" i="47"/>
  <c r="M914" i="47"/>
  <c r="I914" i="47"/>
  <c r="G914" i="47"/>
  <c r="F914" i="47"/>
  <c r="A914" i="47"/>
  <c r="P914" i="47" s="1"/>
  <c r="Q914" i="47" s="1"/>
  <c r="U913" i="47"/>
  <c r="T913" i="47"/>
  <c r="A913" i="47"/>
  <c r="O913" i="47" s="1"/>
  <c r="U912" i="47"/>
  <c r="T912" i="47"/>
  <c r="A912" i="47"/>
  <c r="U911" i="47"/>
  <c r="T911" i="47"/>
  <c r="A911" i="47"/>
  <c r="E911" i="47" s="1"/>
  <c r="U910" i="47"/>
  <c r="T910" i="47"/>
  <c r="A910" i="47"/>
  <c r="P910" i="47" s="1"/>
  <c r="Q910" i="47" s="1"/>
  <c r="U909" i="47"/>
  <c r="T909" i="47"/>
  <c r="A909" i="47"/>
  <c r="J909" i="47" s="1"/>
  <c r="U908" i="47"/>
  <c r="T908" i="47"/>
  <c r="A908" i="47"/>
  <c r="U907" i="47"/>
  <c r="T907" i="47"/>
  <c r="A907" i="47"/>
  <c r="U906" i="47"/>
  <c r="T906" i="47"/>
  <c r="A906" i="47"/>
  <c r="P906" i="47" s="1"/>
  <c r="Q906" i="47" s="1"/>
  <c r="U905" i="47"/>
  <c r="T905" i="47"/>
  <c r="A905" i="47"/>
  <c r="O905" i="47" s="1"/>
  <c r="U904" i="47"/>
  <c r="T904" i="47"/>
  <c r="A904" i="47"/>
  <c r="U903" i="47"/>
  <c r="T903" i="47"/>
  <c r="A903" i="47"/>
  <c r="U902" i="47"/>
  <c r="T902" i="47"/>
  <c r="A902" i="47"/>
  <c r="M902" i="47" s="1"/>
  <c r="U901" i="47"/>
  <c r="T901" i="47"/>
  <c r="A901" i="47"/>
  <c r="P901" i="47" s="1"/>
  <c r="U900" i="47"/>
  <c r="T900" i="47"/>
  <c r="A900" i="47"/>
  <c r="U899" i="47"/>
  <c r="T899" i="47"/>
  <c r="A899" i="47"/>
  <c r="U898" i="47"/>
  <c r="T898" i="47"/>
  <c r="A898" i="47"/>
  <c r="U897" i="47"/>
  <c r="T897" i="47"/>
  <c r="O897" i="47"/>
  <c r="M897" i="47"/>
  <c r="L897" i="47"/>
  <c r="A897" i="47"/>
  <c r="J897" i="47" s="1"/>
  <c r="U896" i="47"/>
  <c r="T896" i="47"/>
  <c r="A896" i="47"/>
  <c r="U895" i="47"/>
  <c r="T895" i="47"/>
  <c r="A895" i="47"/>
  <c r="U894" i="47"/>
  <c r="T894" i="47"/>
  <c r="A894" i="47"/>
  <c r="U893" i="47"/>
  <c r="T893" i="47"/>
  <c r="A893" i="47"/>
  <c r="U892" i="47"/>
  <c r="T892" i="47"/>
  <c r="A892" i="47"/>
  <c r="F892" i="47" s="1"/>
  <c r="U891" i="47"/>
  <c r="T891" i="47"/>
  <c r="A891" i="47"/>
  <c r="P891" i="47" s="1"/>
  <c r="U890" i="47"/>
  <c r="T890" i="47"/>
  <c r="A890" i="47"/>
  <c r="U889" i="47"/>
  <c r="T889" i="47"/>
  <c r="A889" i="47"/>
  <c r="P889" i="47" s="1"/>
  <c r="U888" i="47"/>
  <c r="T888" i="47"/>
  <c r="A888" i="47"/>
  <c r="U887" i="47"/>
  <c r="T887" i="47"/>
  <c r="A887" i="47"/>
  <c r="P887" i="47" s="1"/>
  <c r="U886" i="47"/>
  <c r="T886" i="47"/>
  <c r="A886" i="47"/>
  <c r="B886" i="47" s="1"/>
  <c r="U885" i="47"/>
  <c r="T885" i="47"/>
  <c r="A885" i="47"/>
  <c r="U884" i="47"/>
  <c r="T884" i="47"/>
  <c r="A884" i="47"/>
  <c r="P884" i="47" s="1"/>
  <c r="U883" i="47"/>
  <c r="T883" i="47"/>
  <c r="A883" i="47"/>
  <c r="U882" i="47"/>
  <c r="T882" i="47"/>
  <c r="A882" i="47"/>
  <c r="U881" i="47"/>
  <c r="T881" i="47"/>
  <c r="A881" i="47"/>
  <c r="U880" i="47"/>
  <c r="T880" i="47"/>
  <c r="A880" i="47"/>
  <c r="P880" i="47" s="1"/>
  <c r="U879" i="47"/>
  <c r="T879" i="47"/>
  <c r="A879" i="47"/>
  <c r="P879" i="47" s="1"/>
  <c r="U878" i="47"/>
  <c r="T878" i="47"/>
  <c r="A878" i="47"/>
  <c r="P878" i="47" s="1"/>
  <c r="U877" i="47"/>
  <c r="T877" i="47"/>
  <c r="A877" i="47"/>
  <c r="F877" i="47" s="1"/>
  <c r="U876" i="47"/>
  <c r="T876" i="47"/>
  <c r="A876" i="47"/>
  <c r="U875" i="47"/>
  <c r="T875" i="47"/>
  <c r="A875" i="47"/>
  <c r="U874" i="47"/>
  <c r="T874" i="47"/>
  <c r="A874" i="47"/>
  <c r="U873" i="47"/>
  <c r="T873" i="47"/>
  <c r="A873" i="47"/>
  <c r="P873" i="47" s="1"/>
  <c r="U872" i="47"/>
  <c r="T872" i="47"/>
  <c r="A872" i="47"/>
  <c r="C872" i="47" s="1"/>
  <c r="U871" i="47"/>
  <c r="T871" i="47"/>
  <c r="A871" i="47"/>
  <c r="U870" i="47"/>
  <c r="T870" i="47"/>
  <c r="A870" i="47"/>
  <c r="U869" i="47"/>
  <c r="T869" i="47"/>
  <c r="A869" i="47"/>
  <c r="P869" i="47" s="1"/>
  <c r="U868" i="47"/>
  <c r="T868" i="47"/>
  <c r="U867" i="47"/>
  <c r="T867" i="47"/>
  <c r="U866" i="47"/>
  <c r="T866" i="47"/>
  <c r="A866" i="47"/>
  <c r="P866" i="47" s="1"/>
  <c r="U865" i="47"/>
  <c r="T865" i="47"/>
  <c r="A865" i="47"/>
  <c r="P865" i="47" s="1"/>
  <c r="U864" i="47"/>
  <c r="T864" i="47"/>
  <c r="A864" i="47"/>
  <c r="F864" i="47" s="1"/>
  <c r="U863" i="47"/>
  <c r="T863" i="47"/>
  <c r="A863" i="47"/>
  <c r="U862" i="47"/>
  <c r="T862" i="47"/>
  <c r="A862" i="47"/>
  <c r="U861" i="47"/>
  <c r="T861" i="47"/>
  <c r="A861" i="47"/>
  <c r="B861" i="47" s="1"/>
  <c r="U860" i="47"/>
  <c r="T860" i="47"/>
  <c r="A860" i="47"/>
  <c r="P860" i="47" s="1"/>
  <c r="U859" i="47"/>
  <c r="T859" i="47"/>
  <c r="A859" i="47"/>
  <c r="U858" i="47"/>
  <c r="T858" i="47"/>
  <c r="A858" i="47"/>
  <c r="U857" i="47"/>
  <c r="T857" i="47"/>
  <c r="A857" i="47"/>
  <c r="U856" i="47"/>
  <c r="T856" i="47"/>
  <c r="A856" i="47"/>
  <c r="U855" i="47"/>
  <c r="T855" i="47"/>
  <c r="A855" i="47"/>
  <c r="U854" i="47"/>
  <c r="T854" i="47"/>
  <c r="A854" i="47"/>
  <c r="U853" i="47"/>
  <c r="T853" i="47"/>
  <c r="A853" i="47"/>
  <c r="U852" i="47"/>
  <c r="T852" i="47"/>
  <c r="A852" i="47"/>
  <c r="U851" i="47"/>
  <c r="T851" i="47"/>
  <c r="A851" i="47"/>
  <c r="P851" i="47" s="1"/>
  <c r="U850" i="47"/>
  <c r="T850" i="47"/>
  <c r="A850" i="47"/>
  <c r="U849" i="47"/>
  <c r="T849" i="47"/>
  <c r="A849" i="47"/>
  <c r="B849" i="47" s="1"/>
  <c r="U848" i="47"/>
  <c r="T848" i="47"/>
  <c r="A848" i="47"/>
  <c r="U847" i="47"/>
  <c r="T847" i="47"/>
  <c r="A847" i="47"/>
  <c r="U846" i="47"/>
  <c r="T846" i="47"/>
  <c r="A846" i="47"/>
  <c r="F846" i="47" s="1"/>
  <c r="U845" i="47"/>
  <c r="T845" i="47"/>
  <c r="A845" i="47"/>
  <c r="B845" i="47" s="1"/>
  <c r="U844" i="47"/>
  <c r="T844" i="47"/>
  <c r="A844" i="47"/>
  <c r="P844" i="47" s="1"/>
  <c r="U843" i="47"/>
  <c r="T843" i="47"/>
  <c r="A843" i="47"/>
  <c r="P843" i="47" s="1"/>
  <c r="U842" i="47"/>
  <c r="T842" i="47"/>
  <c r="A842" i="47"/>
  <c r="C842" i="47" s="1"/>
  <c r="U841" i="47"/>
  <c r="T841" i="47"/>
  <c r="A841" i="47"/>
  <c r="B841" i="47" s="1"/>
  <c r="U840" i="47"/>
  <c r="T840" i="47"/>
  <c r="A840" i="47"/>
  <c r="U839" i="47"/>
  <c r="T839" i="47"/>
  <c r="A839" i="47"/>
  <c r="U838" i="47"/>
  <c r="T838" i="47"/>
  <c r="A838" i="47"/>
  <c r="U837" i="47"/>
  <c r="T837" i="47"/>
  <c r="A837" i="47"/>
  <c r="B837" i="47" s="1"/>
  <c r="U836" i="47"/>
  <c r="T836" i="47"/>
  <c r="A836" i="47"/>
  <c r="U835" i="47"/>
  <c r="T835" i="47"/>
  <c r="A835" i="47"/>
  <c r="U834" i="47"/>
  <c r="T834" i="47"/>
  <c r="A834" i="47"/>
  <c r="U833" i="47"/>
  <c r="T833" i="47"/>
  <c r="A833" i="47"/>
  <c r="U832" i="47"/>
  <c r="T832" i="47"/>
  <c r="A832" i="47"/>
  <c r="U831" i="47"/>
  <c r="T831" i="47"/>
  <c r="A831" i="47"/>
  <c r="U830" i="47"/>
  <c r="T830" i="47"/>
  <c r="A830" i="47"/>
  <c r="U829" i="47"/>
  <c r="T829" i="47"/>
  <c r="A829" i="47"/>
  <c r="F829" i="47" s="1"/>
  <c r="U828" i="47"/>
  <c r="T828" i="47"/>
  <c r="A828" i="47"/>
  <c r="P828" i="47" s="1"/>
  <c r="U827" i="47"/>
  <c r="T827" i="47"/>
  <c r="A827" i="47"/>
  <c r="U826" i="47"/>
  <c r="T826" i="47"/>
  <c r="A826" i="47"/>
  <c r="U825" i="47"/>
  <c r="T825" i="47"/>
  <c r="A825" i="47"/>
  <c r="B825" i="47" s="1"/>
  <c r="U824" i="47"/>
  <c r="T824" i="47"/>
  <c r="A824" i="47"/>
  <c r="P824" i="47" s="1"/>
  <c r="U823" i="47"/>
  <c r="T823" i="47"/>
  <c r="A823" i="47"/>
  <c r="U822" i="47"/>
  <c r="T822" i="47"/>
  <c r="A822" i="47"/>
  <c r="U821" i="47"/>
  <c r="T821" i="47"/>
  <c r="A821" i="47"/>
  <c r="P821" i="47" s="1"/>
  <c r="U820" i="47"/>
  <c r="T820" i="47"/>
  <c r="A820" i="47"/>
  <c r="P820" i="47" s="1"/>
  <c r="U819" i="47"/>
  <c r="T819" i="47"/>
  <c r="A819" i="47"/>
  <c r="P819" i="47" s="1"/>
  <c r="U818" i="47"/>
  <c r="T818" i="47"/>
  <c r="A818" i="47"/>
  <c r="F818" i="47" s="1"/>
  <c r="U817" i="47"/>
  <c r="T817" i="47"/>
  <c r="A817" i="47"/>
  <c r="B817" i="47" s="1"/>
  <c r="U816" i="47"/>
  <c r="T816" i="47"/>
  <c r="A816" i="47"/>
  <c r="U815" i="47"/>
  <c r="T815" i="47"/>
  <c r="A815" i="47"/>
  <c r="F815" i="47" s="1"/>
  <c r="U814" i="47"/>
  <c r="T814" i="47"/>
  <c r="A814" i="47"/>
  <c r="U813" i="47"/>
  <c r="T813" i="47"/>
  <c r="A813" i="47"/>
  <c r="P813" i="47" s="1"/>
  <c r="U812" i="47"/>
  <c r="T812" i="47"/>
  <c r="A812" i="47"/>
  <c r="P812" i="47" s="1"/>
  <c r="U811" i="47"/>
  <c r="T811" i="47"/>
  <c r="A811" i="47"/>
  <c r="C811" i="47" s="1"/>
  <c r="E811" i="47" s="1"/>
  <c r="U810" i="47"/>
  <c r="T810" i="47"/>
  <c r="A810" i="47"/>
  <c r="U809" i="47"/>
  <c r="T809" i="47"/>
  <c r="A809" i="47"/>
  <c r="F809" i="47" s="1"/>
  <c r="U808" i="47"/>
  <c r="T808" i="47"/>
  <c r="A808" i="47"/>
  <c r="U807" i="47"/>
  <c r="T807" i="47"/>
  <c r="A807" i="47"/>
  <c r="U806" i="47"/>
  <c r="T806" i="47"/>
  <c r="A806" i="47"/>
  <c r="P806" i="47" s="1"/>
  <c r="U805" i="47"/>
  <c r="T805" i="47"/>
  <c r="A805" i="47"/>
  <c r="U804" i="47"/>
  <c r="T804" i="47"/>
  <c r="A804" i="47"/>
  <c r="F804" i="47" s="1"/>
  <c r="U803" i="47"/>
  <c r="T803" i="47"/>
  <c r="A803" i="47"/>
  <c r="U802" i="47"/>
  <c r="T802" i="47"/>
  <c r="A802" i="47"/>
  <c r="P802" i="47" s="1"/>
  <c r="U801" i="47"/>
  <c r="T801" i="47"/>
  <c r="A801" i="47"/>
  <c r="C801" i="47" s="1"/>
  <c r="U800" i="47"/>
  <c r="T800" i="47"/>
  <c r="A800" i="47"/>
  <c r="U799" i="47"/>
  <c r="T799" i="47"/>
  <c r="A799" i="47"/>
  <c r="C799" i="47" s="1"/>
  <c r="U798" i="47"/>
  <c r="T798" i="47"/>
  <c r="A798" i="47"/>
  <c r="U797" i="47"/>
  <c r="T797" i="47"/>
  <c r="A797" i="47"/>
  <c r="U796" i="47"/>
  <c r="T796" i="47"/>
  <c r="A796" i="47"/>
  <c r="F796" i="47" s="1"/>
  <c r="U795" i="47"/>
  <c r="T795" i="47"/>
  <c r="A795" i="47"/>
  <c r="U794" i="47"/>
  <c r="T794" i="47"/>
  <c r="A794" i="47"/>
  <c r="U793" i="47"/>
  <c r="T793" i="47"/>
  <c r="A793" i="47"/>
  <c r="P793" i="47" s="1"/>
  <c r="U792" i="47"/>
  <c r="T792" i="47"/>
  <c r="A792" i="47"/>
  <c r="U791" i="47"/>
  <c r="T791" i="47"/>
  <c r="A791" i="47"/>
  <c r="P791" i="47" s="1"/>
  <c r="U790" i="47"/>
  <c r="T790" i="47"/>
  <c r="A790" i="47"/>
  <c r="U789" i="47"/>
  <c r="T789" i="47"/>
  <c r="A789" i="47"/>
  <c r="B789" i="47" s="1"/>
  <c r="U788" i="47"/>
  <c r="T788" i="47"/>
  <c r="A788" i="47"/>
  <c r="U787" i="47"/>
  <c r="T787" i="47"/>
  <c r="A787" i="47"/>
  <c r="P787" i="47" s="1"/>
  <c r="U786" i="47"/>
  <c r="T786" i="47"/>
  <c r="A786" i="47"/>
  <c r="P786" i="47" s="1"/>
  <c r="U785" i="47"/>
  <c r="T785" i="47"/>
  <c r="A785" i="47"/>
  <c r="U784" i="47"/>
  <c r="T784" i="47"/>
  <c r="A784" i="47"/>
  <c r="P784" i="47" s="1"/>
  <c r="U783" i="47"/>
  <c r="T783" i="47"/>
  <c r="A783" i="47"/>
  <c r="U782" i="47"/>
  <c r="T782" i="47"/>
  <c r="A782" i="47"/>
  <c r="P782" i="47" s="1"/>
  <c r="U781" i="47"/>
  <c r="T781" i="47"/>
  <c r="A781" i="47"/>
  <c r="F781" i="47" s="1"/>
  <c r="U780" i="47"/>
  <c r="T780" i="47"/>
  <c r="A780" i="47"/>
  <c r="U779" i="47"/>
  <c r="T779" i="47"/>
  <c r="A779" i="47"/>
  <c r="P779" i="47" s="1"/>
  <c r="U778" i="47"/>
  <c r="T778" i="47"/>
  <c r="A778" i="47"/>
  <c r="U777" i="47"/>
  <c r="T777" i="47"/>
  <c r="A777" i="47"/>
  <c r="F777" i="47" s="1"/>
  <c r="U776" i="47"/>
  <c r="T776" i="47"/>
  <c r="A776" i="47"/>
  <c r="U775" i="47"/>
  <c r="T775" i="47"/>
  <c r="A775" i="47"/>
  <c r="C775" i="47" s="1"/>
  <c r="U774" i="47"/>
  <c r="T774" i="47"/>
  <c r="A774" i="47"/>
  <c r="B774" i="47" s="1"/>
  <c r="U773" i="47"/>
  <c r="T773" i="47"/>
  <c r="A773" i="47"/>
  <c r="B773" i="47" s="1"/>
  <c r="U772" i="47"/>
  <c r="T772" i="47"/>
  <c r="A772" i="47"/>
  <c r="C772" i="47" s="1"/>
  <c r="U771" i="47"/>
  <c r="T771" i="47"/>
  <c r="A771" i="47"/>
  <c r="F771" i="47" s="1"/>
  <c r="U770" i="47"/>
  <c r="T770" i="47"/>
  <c r="A770" i="47"/>
  <c r="U769" i="47"/>
  <c r="T769" i="47"/>
  <c r="A769" i="47"/>
  <c r="P769" i="47" s="1"/>
  <c r="U768" i="47"/>
  <c r="T768" i="47"/>
  <c r="A768" i="47"/>
  <c r="U767" i="47"/>
  <c r="T767" i="47"/>
  <c r="A767" i="47"/>
  <c r="U766" i="47"/>
  <c r="T766" i="47"/>
  <c r="A766" i="47"/>
  <c r="P766" i="47" s="1"/>
  <c r="U765" i="47"/>
  <c r="T765" i="47"/>
  <c r="A765" i="47"/>
  <c r="U764" i="47"/>
  <c r="T764" i="47"/>
  <c r="A764" i="47"/>
  <c r="P764" i="47" s="1"/>
  <c r="U763" i="47"/>
  <c r="T763" i="47"/>
  <c r="A763" i="47"/>
  <c r="U762" i="47"/>
  <c r="T762" i="47"/>
  <c r="A762" i="47"/>
  <c r="B762" i="47" s="1"/>
  <c r="U761" i="47"/>
  <c r="T761" i="47"/>
  <c r="A761" i="47"/>
  <c r="C761" i="47" s="1"/>
  <c r="U760" i="47"/>
  <c r="T760" i="47"/>
  <c r="A760" i="47"/>
  <c r="U759" i="47"/>
  <c r="T759" i="47"/>
  <c r="A759" i="47"/>
  <c r="U758" i="47"/>
  <c r="T758" i="47"/>
  <c r="A758" i="47"/>
  <c r="U757" i="47"/>
  <c r="T757" i="47"/>
  <c r="A757" i="47"/>
  <c r="C757" i="47" s="1"/>
  <c r="U756" i="47"/>
  <c r="T756" i="47"/>
  <c r="A756" i="47"/>
  <c r="U755" i="47"/>
  <c r="T755" i="47"/>
  <c r="A755" i="47"/>
  <c r="U754" i="47"/>
  <c r="T754" i="47"/>
  <c r="A754" i="47"/>
  <c r="U753" i="47"/>
  <c r="T753" i="47"/>
  <c r="A753" i="47"/>
  <c r="U752" i="47"/>
  <c r="T752" i="47"/>
  <c r="A752" i="47"/>
  <c r="B752" i="47" s="1"/>
  <c r="U751" i="47"/>
  <c r="T751" i="47"/>
  <c r="A751" i="47"/>
  <c r="U750" i="47"/>
  <c r="T750" i="47"/>
  <c r="A750" i="47"/>
  <c r="P750" i="47" s="1"/>
  <c r="U749" i="47"/>
  <c r="T749" i="47"/>
  <c r="A749" i="47"/>
  <c r="U748" i="47"/>
  <c r="T748" i="47"/>
  <c r="A748" i="47"/>
  <c r="C748" i="47" s="1"/>
  <c r="U747" i="47"/>
  <c r="T747" i="47"/>
  <c r="A747" i="47"/>
  <c r="U746" i="47"/>
  <c r="T746" i="47"/>
  <c r="A746" i="47"/>
  <c r="P746" i="47" s="1"/>
  <c r="U745" i="47"/>
  <c r="T745" i="47"/>
  <c r="A745" i="47"/>
  <c r="P745" i="47" s="1"/>
  <c r="U744" i="47"/>
  <c r="T744" i="47"/>
  <c r="A744" i="47"/>
  <c r="U743" i="47"/>
  <c r="T743" i="47"/>
  <c r="A743" i="47"/>
  <c r="U742" i="47"/>
  <c r="T742" i="47"/>
  <c r="A742" i="47"/>
  <c r="B742" i="47" s="1"/>
  <c r="U741" i="47"/>
  <c r="T741" i="47"/>
  <c r="A741" i="47"/>
  <c r="U740" i="47"/>
  <c r="T740" i="47"/>
  <c r="A740" i="47"/>
  <c r="B740" i="47" s="1"/>
  <c r="U739" i="47"/>
  <c r="T739" i="47"/>
  <c r="A739" i="47"/>
  <c r="C739" i="47" s="1"/>
  <c r="N739" i="47" s="1"/>
  <c r="U738" i="47"/>
  <c r="T738" i="47"/>
  <c r="A738" i="47"/>
  <c r="P738" i="47" s="1"/>
  <c r="U737" i="47"/>
  <c r="T737" i="47"/>
  <c r="A737" i="47"/>
  <c r="U736" i="47"/>
  <c r="T736" i="47"/>
  <c r="A736" i="47"/>
  <c r="C736" i="47" s="1"/>
  <c r="U735" i="47"/>
  <c r="T735" i="47"/>
  <c r="A735" i="47"/>
  <c r="U734" i="47"/>
  <c r="T734" i="47"/>
  <c r="A734" i="47"/>
  <c r="U733" i="47"/>
  <c r="T733" i="47"/>
  <c r="A733" i="47"/>
  <c r="C733" i="47" s="1"/>
  <c r="U732" i="47"/>
  <c r="T732" i="47"/>
  <c r="A732" i="47"/>
  <c r="U731" i="47"/>
  <c r="T731" i="47"/>
  <c r="A731" i="47"/>
  <c r="U730" i="47"/>
  <c r="T730" i="47"/>
  <c r="A730" i="47"/>
  <c r="U729" i="47"/>
  <c r="T729" i="47"/>
  <c r="A729" i="47"/>
  <c r="U728" i="47"/>
  <c r="T728" i="47"/>
  <c r="A728" i="47"/>
  <c r="P728" i="47" s="1"/>
  <c r="U727" i="47"/>
  <c r="T727" i="47"/>
  <c r="A727" i="47"/>
  <c r="P727" i="47" s="1"/>
  <c r="U726" i="47"/>
  <c r="T726" i="47"/>
  <c r="A726" i="47"/>
  <c r="B726" i="47" s="1"/>
  <c r="U725" i="47"/>
  <c r="T725" i="47"/>
  <c r="A725" i="47"/>
  <c r="U724" i="47"/>
  <c r="T724" i="47"/>
  <c r="A724" i="47"/>
  <c r="P724" i="47" s="1"/>
  <c r="U723" i="47"/>
  <c r="T723" i="47"/>
  <c r="A723" i="47"/>
  <c r="U722" i="47"/>
  <c r="T722" i="47"/>
  <c r="A722" i="47"/>
  <c r="U721" i="47"/>
  <c r="T721" i="47"/>
  <c r="A721" i="47"/>
  <c r="U720" i="47"/>
  <c r="T720" i="47"/>
  <c r="A720" i="47"/>
  <c r="P720" i="47" s="1"/>
  <c r="U719" i="47"/>
  <c r="T719" i="47"/>
  <c r="A719" i="47"/>
  <c r="P719" i="47" s="1"/>
  <c r="U718" i="47"/>
  <c r="T718" i="47"/>
  <c r="A718" i="47"/>
  <c r="U717" i="47"/>
  <c r="T717" i="47"/>
  <c r="A717" i="47"/>
  <c r="U716" i="47"/>
  <c r="T716" i="47"/>
  <c r="A716" i="47"/>
  <c r="U715" i="47"/>
  <c r="T715" i="47"/>
  <c r="A715" i="47"/>
  <c r="P715" i="47" s="1"/>
  <c r="U714" i="47"/>
  <c r="T714" i="47"/>
  <c r="A714" i="47"/>
  <c r="P714" i="47" s="1"/>
  <c r="U713" i="47"/>
  <c r="T713" i="47"/>
  <c r="A713" i="47"/>
  <c r="P713" i="47" s="1"/>
  <c r="U712" i="47"/>
  <c r="T712" i="47"/>
  <c r="A712" i="47"/>
  <c r="U711" i="47"/>
  <c r="T711" i="47"/>
  <c r="A711" i="47"/>
  <c r="B711" i="47" s="1"/>
  <c r="U710" i="47"/>
  <c r="T710" i="47"/>
  <c r="A710" i="47"/>
  <c r="C710" i="47" s="1"/>
  <c r="U709" i="47"/>
  <c r="T709" i="47"/>
  <c r="A709" i="47"/>
  <c r="B709" i="47" s="1"/>
  <c r="U708" i="47"/>
  <c r="T708" i="47"/>
  <c r="A708" i="47"/>
  <c r="F708" i="47" s="1"/>
  <c r="U707" i="47"/>
  <c r="T707" i="47"/>
  <c r="A707" i="47"/>
  <c r="U706" i="47"/>
  <c r="T706" i="47"/>
  <c r="A706" i="47"/>
  <c r="U705" i="47"/>
  <c r="T705" i="47"/>
  <c r="A705" i="47"/>
  <c r="U704" i="47"/>
  <c r="T704" i="47"/>
  <c r="A704" i="47"/>
  <c r="U703" i="47"/>
  <c r="T703" i="47"/>
  <c r="A703" i="47"/>
  <c r="F703" i="47" s="1"/>
  <c r="U702" i="47"/>
  <c r="T702" i="47"/>
  <c r="A702" i="47"/>
  <c r="U701" i="47"/>
  <c r="T701" i="47"/>
  <c r="A701" i="47"/>
  <c r="U700" i="47"/>
  <c r="T700" i="47"/>
  <c r="A700" i="47"/>
  <c r="P700" i="47" s="1"/>
  <c r="U699" i="47"/>
  <c r="T699" i="47"/>
  <c r="A699" i="47"/>
  <c r="U698" i="47"/>
  <c r="T698" i="47"/>
  <c r="A698" i="47"/>
  <c r="B698" i="47" s="1"/>
  <c r="U697" i="47"/>
  <c r="T697" i="47"/>
  <c r="A697" i="47"/>
  <c r="U696" i="47"/>
  <c r="T696" i="47"/>
  <c r="A696" i="47"/>
  <c r="P696" i="47" s="1"/>
  <c r="U695" i="47"/>
  <c r="T695" i="47"/>
  <c r="A695" i="47"/>
  <c r="U694" i="47"/>
  <c r="T694" i="47"/>
  <c r="A694" i="47"/>
  <c r="C694" i="47" s="1"/>
  <c r="U693" i="47"/>
  <c r="T693" i="47"/>
  <c r="A693" i="47"/>
  <c r="U692" i="47"/>
  <c r="T692" i="47"/>
  <c r="A692" i="47"/>
  <c r="U691" i="47"/>
  <c r="T691" i="47"/>
  <c r="A691" i="47"/>
  <c r="U690" i="47"/>
  <c r="T690" i="47"/>
  <c r="A690" i="47"/>
  <c r="P690" i="47" s="1"/>
  <c r="U689" i="47"/>
  <c r="T689" i="47"/>
  <c r="A689" i="47"/>
  <c r="U688" i="47"/>
  <c r="T688" i="47"/>
  <c r="A688" i="47"/>
  <c r="P688" i="47" s="1"/>
  <c r="U687" i="47"/>
  <c r="T687" i="47"/>
  <c r="A687" i="47"/>
  <c r="U686" i="47"/>
  <c r="T686" i="47"/>
  <c r="A686" i="47"/>
  <c r="P686" i="47" s="1"/>
  <c r="U685" i="47"/>
  <c r="T685" i="47"/>
  <c r="A685" i="47"/>
  <c r="F685" i="47" s="1"/>
  <c r="U684" i="47"/>
  <c r="T684" i="47"/>
  <c r="A684" i="47"/>
  <c r="P684" i="47" s="1"/>
  <c r="U683" i="47"/>
  <c r="T683" i="47"/>
  <c r="A683" i="47"/>
  <c r="C683" i="47" s="1"/>
  <c r="U682" i="47"/>
  <c r="T682" i="47"/>
  <c r="A682" i="47"/>
  <c r="B682" i="47" s="1"/>
  <c r="U681" i="47"/>
  <c r="T681" i="47"/>
  <c r="A681" i="47"/>
  <c r="U680" i="47"/>
  <c r="T680" i="47"/>
  <c r="A680" i="47"/>
  <c r="U679" i="47"/>
  <c r="T679" i="47"/>
  <c r="A679" i="47"/>
  <c r="U678" i="47"/>
  <c r="T678" i="47"/>
  <c r="A678" i="47"/>
  <c r="U677" i="47"/>
  <c r="T677" i="47"/>
  <c r="A677" i="47"/>
  <c r="U676" i="47"/>
  <c r="T676" i="47"/>
  <c r="A676" i="47"/>
  <c r="U675" i="47"/>
  <c r="T675" i="47"/>
  <c r="A675" i="47"/>
  <c r="U674" i="47"/>
  <c r="T674" i="47"/>
  <c r="A674" i="47"/>
  <c r="U673" i="47"/>
  <c r="T673" i="47"/>
  <c r="A673" i="47"/>
  <c r="U672" i="47"/>
  <c r="T672" i="47"/>
  <c r="A672" i="47"/>
  <c r="U671" i="47"/>
  <c r="T671" i="47"/>
  <c r="A671" i="47"/>
  <c r="U670" i="47"/>
  <c r="T670" i="47"/>
  <c r="A670" i="47"/>
  <c r="U669" i="47"/>
  <c r="T669" i="47"/>
  <c r="A669" i="47"/>
  <c r="P669" i="47" s="1"/>
  <c r="U668" i="47"/>
  <c r="T668" i="47"/>
  <c r="A668" i="47"/>
  <c r="C668" i="47" s="1"/>
  <c r="U667" i="47"/>
  <c r="T667" i="47"/>
  <c r="A667" i="47"/>
  <c r="U666" i="47"/>
  <c r="T666" i="47"/>
  <c r="A666" i="47"/>
  <c r="U665" i="47"/>
  <c r="T665" i="47"/>
  <c r="A665" i="47"/>
  <c r="U664" i="47"/>
  <c r="T664" i="47"/>
  <c r="A664" i="47"/>
  <c r="C664" i="47" s="1"/>
  <c r="E664" i="47" s="1"/>
  <c r="U663" i="47"/>
  <c r="T663" i="47"/>
  <c r="A663" i="47"/>
  <c r="B663" i="47" s="1"/>
  <c r="U662" i="47"/>
  <c r="T662" i="47"/>
  <c r="A662" i="47"/>
  <c r="U661" i="47"/>
  <c r="T661" i="47"/>
  <c r="A661" i="47"/>
  <c r="P661" i="47" s="1"/>
  <c r="U660" i="47"/>
  <c r="T660" i="47"/>
  <c r="A660" i="47"/>
  <c r="F660" i="47" s="1"/>
  <c r="U659" i="47"/>
  <c r="T659" i="47"/>
  <c r="A659" i="47"/>
  <c r="U658" i="47"/>
  <c r="T658" i="47"/>
  <c r="A658" i="47"/>
  <c r="P658" i="47" s="1"/>
  <c r="U657" i="47"/>
  <c r="T657" i="47"/>
  <c r="A657" i="47"/>
  <c r="U656" i="47"/>
  <c r="T656" i="47"/>
  <c r="A656" i="47"/>
  <c r="P656" i="47" s="1"/>
  <c r="U655" i="47"/>
  <c r="T655" i="47"/>
  <c r="A655" i="47"/>
  <c r="F655" i="47" s="1"/>
  <c r="U654" i="47"/>
  <c r="T654" i="47"/>
  <c r="A654" i="47"/>
  <c r="B654" i="47" s="1"/>
  <c r="U653" i="47"/>
  <c r="T653" i="47"/>
  <c r="A653" i="47"/>
  <c r="U652" i="47"/>
  <c r="T652" i="47"/>
  <c r="A652" i="47"/>
  <c r="F652" i="47" s="1"/>
  <c r="U651" i="47"/>
  <c r="T651" i="47"/>
  <c r="A651" i="47"/>
  <c r="C651" i="47" s="1"/>
  <c r="U650" i="47"/>
  <c r="T650" i="47"/>
  <c r="A650" i="47"/>
  <c r="U649" i="47"/>
  <c r="T649" i="47"/>
  <c r="A649" i="47"/>
  <c r="U648" i="47"/>
  <c r="T648" i="47"/>
  <c r="A648" i="47"/>
  <c r="F648" i="47" s="1"/>
  <c r="U647" i="47"/>
  <c r="T647" i="47"/>
  <c r="A647" i="47"/>
  <c r="U646" i="47"/>
  <c r="T646" i="47"/>
  <c r="A646" i="47"/>
  <c r="U645" i="47"/>
  <c r="T645" i="47"/>
  <c r="A645" i="47"/>
  <c r="U644" i="47"/>
  <c r="T644" i="47"/>
  <c r="A644" i="47"/>
  <c r="U643" i="47"/>
  <c r="T643" i="47"/>
  <c r="A643" i="47"/>
  <c r="U642" i="47"/>
  <c r="T642" i="47"/>
  <c r="A642" i="47"/>
  <c r="U641" i="47"/>
  <c r="T641" i="47"/>
  <c r="A641" i="47"/>
  <c r="P641" i="47" s="1"/>
  <c r="U640" i="47"/>
  <c r="T640" i="47"/>
  <c r="A640" i="47"/>
  <c r="U639" i="47"/>
  <c r="T639" i="47"/>
  <c r="A639" i="47"/>
  <c r="P639" i="47" s="1"/>
  <c r="U638" i="47"/>
  <c r="T638" i="47"/>
  <c r="A638" i="47"/>
  <c r="U637" i="47"/>
  <c r="T637" i="47"/>
  <c r="A637" i="47"/>
  <c r="U636" i="47"/>
  <c r="T636" i="47"/>
  <c r="A636" i="47"/>
  <c r="U635" i="47"/>
  <c r="T635" i="47"/>
  <c r="A635" i="47"/>
  <c r="C635" i="47" s="1"/>
  <c r="U634" i="47"/>
  <c r="T634" i="47"/>
  <c r="A634" i="47"/>
  <c r="C634" i="47" s="1"/>
  <c r="U633" i="47"/>
  <c r="T633" i="47"/>
  <c r="A633" i="47"/>
  <c r="U632" i="47"/>
  <c r="T632" i="47"/>
  <c r="A632" i="47"/>
  <c r="B632" i="47" s="1"/>
  <c r="U631" i="47"/>
  <c r="T631" i="47"/>
  <c r="A631" i="47"/>
  <c r="F631" i="47" s="1"/>
  <c r="U630" i="47"/>
  <c r="T630" i="47"/>
  <c r="A630" i="47"/>
  <c r="C630" i="47" s="1"/>
  <c r="U629" i="47"/>
  <c r="T629" i="47"/>
  <c r="A629" i="47"/>
  <c r="B629" i="47" s="1"/>
  <c r="U628" i="47"/>
  <c r="T628" i="47"/>
  <c r="A628" i="47"/>
  <c r="C628" i="47" s="1"/>
  <c r="U627" i="47"/>
  <c r="T627" i="47"/>
  <c r="A627" i="47"/>
  <c r="B627" i="47" s="1"/>
  <c r="U626" i="47"/>
  <c r="T626" i="47"/>
  <c r="A626" i="47"/>
  <c r="U625" i="47"/>
  <c r="T625" i="47"/>
  <c r="A625" i="47"/>
  <c r="U624" i="47"/>
  <c r="T624" i="47"/>
  <c r="A624" i="47"/>
  <c r="P624" i="47" s="1"/>
  <c r="U623" i="47"/>
  <c r="T623" i="47"/>
  <c r="A623" i="47"/>
  <c r="U622" i="47"/>
  <c r="T622" i="47"/>
  <c r="A622" i="47"/>
  <c r="B622" i="47" s="1"/>
  <c r="U621" i="47"/>
  <c r="T621" i="47"/>
  <c r="A621" i="47"/>
  <c r="U620" i="47"/>
  <c r="T620" i="47"/>
  <c r="A620" i="47"/>
  <c r="B620" i="47" s="1"/>
  <c r="U619" i="47"/>
  <c r="T619" i="47"/>
  <c r="A619" i="47"/>
  <c r="F619" i="47" s="1"/>
  <c r="U618" i="47"/>
  <c r="T618" i="47"/>
  <c r="A618" i="47"/>
  <c r="B618" i="47" s="1"/>
  <c r="U617" i="47"/>
  <c r="T617" i="47"/>
  <c r="A617" i="47"/>
  <c r="P617" i="47" s="1"/>
  <c r="U616" i="47"/>
  <c r="T616" i="47"/>
  <c r="A616" i="47"/>
  <c r="U615" i="47"/>
  <c r="T615" i="47"/>
  <c r="A615" i="47"/>
  <c r="P615" i="47" s="1"/>
  <c r="U614" i="47"/>
  <c r="T614" i="47"/>
  <c r="A614" i="47"/>
  <c r="U613" i="47"/>
  <c r="T613" i="47"/>
  <c r="A613" i="47"/>
  <c r="U612" i="47"/>
  <c r="T612" i="47"/>
  <c r="A612" i="47"/>
  <c r="P612" i="47" s="1"/>
  <c r="U611" i="47"/>
  <c r="T611" i="47"/>
  <c r="A611" i="47"/>
  <c r="U610" i="47"/>
  <c r="T610" i="47"/>
  <c r="A610" i="47"/>
  <c r="U609" i="47"/>
  <c r="T609" i="47"/>
  <c r="A609" i="47"/>
  <c r="U608" i="47"/>
  <c r="T608" i="47"/>
  <c r="A608" i="47"/>
  <c r="B608" i="47" s="1"/>
  <c r="U607" i="47"/>
  <c r="T607" i="47"/>
  <c r="A607" i="47"/>
  <c r="U606" i="47"/>
  <c r="T606" i="47"/>
  <c r="A606" i="47"/>
  <c r="U605" i="47"/>
  <c r="T605" i="47"/>
  <c r="A605" i="47"/>
  <c r="U604" i="47"/>
  <c r="T604" i="47"/>
  <c r="A604" i="47"/>
  <c r="U603" i="47"/>
  <c r="T603" i="47"/>
  <c r="A603" i="47"/>
  <c r="B603" i="47" s="1"/>
  <c r="U602" i="47"/>
  <c r="T602" i="47"/>
  <c r="A602" i="47"/>
  <c r="F602" i="47" s="1"/>
  <c r="U601" i="47"/>
  <c r="T601" i="47"/>
  <c r="A601" i="47"/>
  <c r="C601" i="47" s="1"/>
  <c r="U600" i="47"/>
  <c r="T600" i="47"/>
  <c r="A600" i="47"/>
  <c r="P600" i="47" s="1"/>
  <c r="U599" i="47"/>
  <c r="T599" i="47"/>
  <c r="A599" i="47"/>
  <c r="U598" i="47"/>
  <c r="T598" i="47"/>
  <c r="A598" i="47"/>
  <c r="B598" i="47" s="1"/>
  <c r="U597" i="47"/>
  <c r="T597" i="47"/>
  <c r="A597" i="47"/>
  <c r="U596" i="47"/>
  <c r="T596" i="47"/>
  <c r="A596" i="47"/>
  <c r="U595" i="47"/>
  <c r="T595" i="47"/>
  <c r="A595" i="47"/>
  <c r="F595" i="47" s="1"/>
  <c r="U594" i="47"/>
  <c r="T594" i="47"/>
  <c r="A594" i="47"/>
  <c r="P594" i="47" s="1"/>
  <c r="U593" i="47"/>
  <c r="T593" i="47"/>
  <c r="A593" i="47"/>
  <c r="U592" i="47"/>
  <c r="T592" i="47"/>
  <c r="A592" i="47"/>
  <c r="P592" i="47" s="1"/>
  <c r="U591" i="47"/>
  <c r="T591" i="47"/>
  <c r="A591" i="47"/>
  <c r="C591" i="47" s="1"/>
  <c r="U590" i="47"/>
  <c r="T590" i="47"/>
  <c r="A590" i="47"/>
  <c r="U589" i="47"/>
  <c r="T589" i="47"/>
  <c r="A589" i="47"/>
  <c r="U588" i="47"/>
  <c r="T588" i="47"/>
  <c r="A588" i="47"/>
  <c r="P588" i="47" s="1"/>
  <c r="U587" i="47"/>
  <c r="T587" i="47"/>
  <c r="A587" i="47"/>
  <c r="U586" i="47"/>
  <c r="T586" i="47"/>
  <c r="A586" i="47"/>
  <c r="U585" i="47"/>
  <c r="T585" i="47"/>
  <c r="A585" i="47"/>
  <c r="U584" i="47"/>
  <c r="T584" i="47"/>
  <c r="A584" i="47"/>
  <c r="C584" i="47" s="1"/>
  <c r="U583" i="47"/>
  <c r="T583" i="47"/>
  <c r="A583" i="47"/>
  <c r="B583" i="47" s="1"/>
  <c r="U582" i="47"/>
  <c r="T582" i="47"/>
  <c r="A582" i="47"/>
  <c r="P582" i="47" s="1"/>
  <c r="U581" i="47"/>
  <c r="T581" i="47"/>
  <c r="A581" i="47"/>
  <c r="U580" i="47"/>
  <c r="T580" i="47"/>
  <c r="A580" i="47"/>
  <c r="C580" i="47" s="1"/>
  <c r="U579" i="47"/>
  <c r="T579" i="47"/>
  <c r="A579" i="47"/>
  <c r="P579" i="47" s="1"/>
  <c r="U578" i="47"/>
  <c r="T578" i="47"/>
  <c r="A578" i="47"/>
  <c r="U577" i="47"/>
  <c r="T577" i="47"/>
  <c r="A577" i="47"/>
  <c r="P577" i="47" s="1"/>
  <c r="U576" i="47"/>
  <c r="T576" i="47"/>
  <c r="A576" i="47"/>
  <c r="U575" i="47"/>
  <c r="T575" i="47"/>
  <c r="A575" i="47"/>
  <c r="B575" i="47" s="1"/>
  <c r="U574" i="47"/>
  <c r="T574" i="47"/>
  <c r="A574" i="47"/>
  <c r="F574" i="47" s="1"/>
  <c r="U573" i="47"/>
  <c r="T573" i="47"/>
  <c r="A573" i="47"/>
  <c r="P573" i="47" s="1"/>
  <c r="U572" i="47"/>
  <c r="T572" i="47"/>
  <c r="A572" i="47"/>
  <c r="U571" i="47"/>
  <c r="T571" i="47"/>
  <c r="A571" i="47"/>
  <c r="B571" i="47" s="1"/>
  <c r="U570" i="47"/>
  <c r="T570" i="47"/>
  <c r="A570" i="47"/>
  <c r="U569" i="47"/>
  <c r="T569" i="47"/>
  <c r="A569" i="47"/>
  <c r="P569" i="47" s="1"/>
  <c r="U568" i="47"/>
  <c r="T568" i="47"/>
  <c r="A568" i="47"/>
  <c r="P568" i="47" s="1"/>
  <c r="U567" i="47"/>
  <c r="T567" i="47"/>
  <c r="A567" i="47"/>
  <c r="U566" i="47"/>
  <c r="T566" i="47"/>
  <c r="A566" i="47"/>
  <c r="U565" i="47"/>
  <c r="T565" i="47"/>
  <c r="A565" i="47"/>
  <c r="U564" i="47"/>
  <c r="T564" i="47"/>
  <c r="A564" i="47"/>
  <c r="U563" i="47"/>
  <c r="T563" i="47"/>
  <c r="A563" i="47"/>
  <c r="C563" i="47" s="1"/>
  <c r="U562" i="47"/>
  <c r="T562" i="47"/>
  <c r="A562" i="47"/>
  <c r="U561" i="47"/>
  <c r="T561" i="47"/>
  <c r="A561" i="47"/>
  <c r="P561" i="47" s="1"/>
  <c r="U560" i="47"/>
  <c r="T560" i="47"/>
  <c r="A560" i="47"/>
  <c r="C560" i="47" s="1"/>
  <c r="U559" i="47"/>
  <c r="T559" i="47"/>
  <c r="A559" i="47"/>
  <c r="F559" i="47" s="1"/>
  <c r="U558" i="47"/>
  <c r="T558" i="47"/>
  <c r="A558" i="47"/>
  <c r="U557" i="47"/>
  <c r="T557" i="47"/>
  <c r="A557" i="47"/>
  <c r="P557" i="47" s="1"/>
  <c r="U556" i="47"/>
  <c r="T556" i="47"/>
  <c r="A556" i="47"/>
  <c r="U555" i="47"/>
  <c r="T555" i="47"/>
  <c r="A555" i="47"/>
  <c r="U554" i="47"/>
  <c r="T554" i="47"/>
  <c r="A554" i="47"/>
  <c r="U553" i="47"/>
  <c r="T553" i="47"/>
  <c r="A553" i="47"/>
  <c r="U552" i="47"/>
  <c r="T552" i="47"/>
  <c r="A552" i="47"/>
  <c r="U551" i="47"/>
  <c r="T551" i="47"/>
  <c r="A551" i="47"/>
  <c r="U550" i="47"/>
  <c r="T550" i="47"/>
  <c r="A550" i="47"/>
  <c r="C550" i="47" s="1"/>
  <c r="U549" i="47"/>
  <c r="T549" i="47"/>
  <c r="A549" i="47"/>
  <c r="B549" i="47" s="1"/>
  <c r="U548" i="47"/>
  <c r="T548" i="47"/>
  <c r="A548" i="47"/>
  <c r="U547" i="47"/>
  <c r="T547" i="47"/>
  <c r="A547" i="47"/>
  <c r="F547" i="47" s="1"/>
  <c r="U546" i="47"/>
  <c r="T546" i="47"/>
  <c r="A546" i="47"/>
  <c r="U545" i="47"/>
  <c r="T545" i="47"/>
  <c r="A545" i="47"/>
  <c r="B545" i="47" s="1"/>
  <c r="U544" i="47"/>
  <c r="T544" i="47"/>
  <c r="A544" i="47"/>
  <c r="U543" i="47"/>
  <c r="T543" i="47"/>
  <c r="A543" i="47"/>
  <c r="U542" i="47"/>
  <c r="T542" i="47"/>
  <c r="A542" i="47"/>
  <c r="U541" i="47"/>
  <c r="T541" i="47"/>
  <c r="A541" i="47"/>
  <c r="U540" i="47"/>
  <c r="T540" i="47"/>
  <c r="A540" i="47"/>
  <c r="U539" i="47"/>
  <c r="T539" i="47"/>
  <c r="A539" i="47"/>
  <c r="F539" i="47" s="1"/>
  <c r="U538" i="47"/>
  <c r="T538" i="47"/>
  <c r="A538" i="47"/>
  <c r="U537" i="47"/>
  <c r="T537" i="47"/>
  <c r="A537" i="47"/>
  <c r="P537" i="47" s="1"/>
  <c r="U536" i="47"/>
  <c r="T536" i="47"/>
  <c r="A536" i="47"/>
  <c r="C536" i="47" s="1"/>
  <c r="U535" i="47"/>
  <c r="T535" i="47"/>
  <c r="A535" i="47"/>
  <c r="F535" i="47" s="1"/>
  <c r="U534" i="47"/>
  <c r="T534" i="47"/>
  <c r="A534" i="47"/>
  <c r="U533" i="47"/>
  <c r="T533" i="47"/>
  <c r="A533" i="47"/>
  <c r="B533" i="47" s="1"/>
  <c r="U532" i="47"/>
  <c r="T532" i="47"/>
  <c r="A532" i="47"/>
  <c r="U531" i="47"/>
  <c r="T531" i="47"/>
  <c r="A531" i="47"/>
  <c r="P531" i="47" s="1"/>
  <c r="U530" i="47"/>
  <c r="T530" i="47"/>
  <c r="A530" i="47"/>
  <c r="B530" i="47" s="1"/>
  <c r="U529" i="47"/>
  <c r="T529" i="47"/>
  <c r="A529" i="47"/>
  <c r="F529" i="47" s="1"/>
  <c r="U528" i="47"/>
  <c r="T528" i="47"/>
  <c r="A528" i="47"/>
  <c r="U527" i="47"/>
  <c r="T527" i="47"/>
  <c r="A527" i="47"/>
  <c r="U526" i="47"/>
  <c r="T526" i="47"/>
  <c r="A526" i="47"/>
  <c r="U525" i="47"/>
  <c r="T525" i="47"/>
  <c r="A525" i="47"/>
  <c r="F525" i="47" s="1"/>
  <c r="U524" i="47"/>
  <c r="T524" i="47"/>
  <c r="A524" i="47"/>
  <c r="C524" i="47" s="1"/>
  <c r="U523" i="47"/>
  <c r="T523" i="47"/>
  <c r="A523" i="47"/>
  <c r="F523" i="47" s="1"/>
  <c r="U522" i="47"/>
  <c r="T522" i="47"/>
  <c r="A522" i="47"/>
  <c r="U521" i="47"/>
  <c r="T521" i="47"/>
  <c r="A521" i="47"/>
  <c r="U520" i="47"/>
  <c r="T520" i="47"/>
  <c r="A520" i="47"/>
  <c r="U519" i="47"/>
  <c r="T519" i="47"/>
  <c r="A519" i="47"/>
  <c r="C519" i="47" s="1"/>
  <c r="U518" i="47"/>
  <c r="T518" i="47"/>
  <c r="A518" i="47"/>
  <c r="P518" i="47" s="1"/>
  <c r="U517" i="47"/>
  <c r="T517" i="47"/>
  <c r="A517" i="47"/>
  <c r="P517" i="47" s="1"/>
  <c r="U516" i="47"/>
  <c r="T516" i="47"/>
  <c r="A516" i="47"/>
  <c r="F516" i="47" s="1"/>
  <c r="U515" i="47"/>
  <c r="T515" i="47"/>
  <c r="A515" i="47"/>
  <c r="U514" i="47"/>
  <c r="T514" i="47"/>
  <c r="A514" i="47"/>
  <c r="U513" i="47"/>
  <c r="T513" i="47"/>
  <c r="A513" i="47"/>
  <c r="U512" i="47"/>
  <c r="T512" i="47"/>
  <c r="A512" i="47"/>
  <c r="U511" i="47"/>
  <c r="T511" i="47"/>
  <c r="A511" i="47"/>
  <c r="U510" i="47"/>
  <c r="T510" i="47"/>
  <c r="A510" i="47"/>
  <c r="F510" i="47" s="1"/>
  <c r="U509" i="47"/>
  <c r="T509" i="47"/>
  <c r="A509" i="47"/>
  <c r="C509" i="47" s="1"/>
  <c r="U508" i="47"/>
  <c r="T508" i="47"/>
  <c r="A508" i="47"/>
  <c r="F508" i="47" s="1"/>
  <c r="U507" i="47"/>
  <c r="T507" i="47"/>
  <c r="A507" i="47"/>
  <c r="U506" i="47"/>
  <c r="T506" i="47"/>
  <c r="A506" i="47"/>
  <c r="U505" i="47"/>
  <c r="T505" i="47"/>
  <c r="A505" i="47"/>
  <c r="C505" i="47" s="1"/>
  <c r="U504" i="47"/>
  <c r="T504" i="47"/>
  <c r="A504" i="47"/>
  <c r="U503" i="47"/>
  <c r="T503" i="47"/>
  <c r="A503" i="47"/>
  <c r="P503" i="47" s="1"/>
  <c r="U502" i="47"/>
  <c r="T502" i="47"/>
  <c r="A502" i="47"/>
  <c r="P502" i="47" s="1"/>
  <c r="U501" i="47"/>
  <c r="T501" i="47"/>
  <c r="A501" i="47"/>
  <c r="U500" i="47"/>
  <c r="T500" i="47"/>
  <c r="A500" i="47"/>
  <c r="F500" i="47" s="1"/>
  <c r="U499" i="47"/>
  <c r="T499" i="47"/>
  <c r="A499" i="47"/>
  <c r="U498" i="47"/>
  <c r="T498" i="47"/>
  <c r="A498" i="47"/>
  <c r="U497" i="47"/>
  <c r="T497" i="47"/>
  <c r="A497" i="47"/>
  <c r="B497" i="47" s="1"/>
  <c r="U496" i="47"/>
  <c r="T496" i="47"/>
  <c r="A496" i="47"/>
  <c r="B496" i="47" s="1"/>
  <c r="U495" i="47"/>
  <c r="T495" i="47"/>
  <c r="A495" i="47"/>
  <c r="U494" i="47"/>
  <c r="T494" i="47"/>
  <c r="A494" i="47"/>
  <c r="U493" i="47"/>
  <c r="T493" i="47"/>
  <c r="A493" i="47"/>
  <c r="U492" i="47"/>
  <c r="T492" i="47"/>
  <c r="A492" i="47"/>
  <c r="U491" i="47"/>
  <c r="T491" i="47"/>
  <c r="A491" i="47"/>
  <c r="U490" i="47"/>
  <c r="T490" i="47"/>
  <c r="A490" i="47"/>
  <c r="B490" i="47" s="1"/>
  <c r="U489" i="47"/>
  <c r="T489" i="47"/>
  <c r="A489" i="47"/>
  <c r="U488" i="47"/>
  <c r="T488" i="47"/>
  <c r="A488" i="47"/>
  <c r="U487" i="47"/>
  <c r="T487" i="47"/>
  <c r="A487" i="47"/>
  <c r="B487" i="47" s="1"/>
  <c r="U486" i="47"/>
  <c r="T486" i="47"/>
  <c r="A486" i="47"/>
  <c r="U485" i="47"/>
  <c r="T485" i="47"/>
  <c r="A485" i="47"/>
  <c r="F485" i="47" s="1"/>
  <c r="U484" i="47"/>
  <c r="T484" i="47"/>
  <c r="A484" i="47"/>
  <c r="C484" i="47" s="1"/>
  <c r="E484" i="47" s="1"/>
  <c r="U483" i="47"/>
  <c r="T483" i="47"/>
  <c r="A483" i="47"/>
  <c r="U482" i="47"/>
  <c r="T482" i="47"/>
  <c r="A482" i="47"/>
  <c r="B482" i="47" s="1"/>
  <c r="U481" i="47"/>
  <c r="T481" i="47"/>
  <c r="A481" i="47"/>
  <c r="U480" i="47"/>
  <c r="T480" i="47"/>
  <c r="A480" i="47"/>
  <c r="P480" i="47" s="1"/>
  <c r="U479" i="47"/>
  <c r="T479" i="47"/>
  <c r="A479" i="47"/>
  <c r="P479" i="47" s="1"/>
  <c r="U478" i="47"/>
  <c r="T478" i="47"/>
  <c r="A478" i="47"/>
  <c r="U477" i="47"/>
  <c r="T477" i="47"/>
  <c r="A477" i="47"/>
  <c r="U476" i="47"/>
  <c r="T476" i="47"/>
  <c r="A476" i="47"/>
  <c r="C476" i="47" s="1"/>
  <c r="U475" i="47"/>
  <c r="T475" i="47"/>
  <c r="A475" i="47"/>
  <c r="F475" i="47" s="1"/>
  <c r="U474" i="47"/>
  <c r="T474" i="47"/>
  <c r="A474" i="47"/>
  <c r="P474" i="47" s="1"/>
  <c r="U473" i="47"/>
  <c r="T473" i="47"/>
  <c r="A473" i="47"/>
  <c r="U472" i="47"/>
  <c r="T472" i="47"/>
  <c r="A472" i="47"/>
  <c r="U471" i="47"/>
  <c r="T471" i="47"/>
  <c r="A471" i="47"/>
  <c r="P471" i="47" s="1"/>
  <c r="U470" i="47"/>
  <c r="T470" i="47"/>
  <c r="A470" i="47"/>
  <c r="P470" i="47" s="1"/>
  <c r="U469" i="47"/>
  <c r="T469" i="47"/>
  <c r="A469" i="47"/>
  <c r="U468" i="47"/>
  <c r="T468" i="47"/>
  <c r="A468" i="47"/>
  <c r="U467" i="47"/>
  <c r="T467" i="47"/>
  <c r="A467" i="47"/>
  <c r="U466" i="47"/>
  <c r="T466" i="47"/>
  <c r="A466" i="47"/>
  <c r="P466" i="47" s="1"/>
  <c r="U465" i="47"/>
  <c r="T465" i="47"/>
  <c r="A465" i="47"/>
  <c r="U464" i="47"/>
  <c r="T464" i="47"/>
  <c r="A464" i="47"/>
  <c r="U463" i="47"/>
  <c r="T463" i="47"/>
  <c r="A463" i="47"/>
  <c r="C463" i="47" s="1"/>
  <c r="I463" i="47" s="1"/>
  <c r="U462" i="47"/>
  <c r="T462" i="47"/>
  <c r="A462" i="47"/>
  <c r="U461" i="47"/>
  <c r="T461" i="47"/>
  <c r="A461" i="47"/>
  <c r="U460" i="47"/>
  <c r="T460" i="47"/>
  <c r="A460" i="47"/>
  <c r="P460" i="47" s="1"/>
  <c r="U459" i="47"/>
  <c r="T459" i="47"/>
  <c r="A459" i="47"/>
  <c r="U458" i="47"/>
  <c r="T458" i="47"/>
  <c r="A458" i="47"/>
  <c r="B458" i="47" s="1"/>
  <c r="U457" i="47"/>
  <c r="T457" i="47"/>
  <c r="A457" i="47"/>
  <c r="F457" i="47" s="1"/>
  <c r="U456" i="47"/>
  <c r="T456" i="47"/>
  <c r="A456" i="47"/>
  <c r="P456" i="47" s="1"/>
  <c r="U455" i="47"/>
  <c r="T455" i="47"/>
  <c r="A455" i="47"/>
  <c r="U454" i="47"/>
  <c r="T454" i="47"/>
  <c r="A454" i="47"/>
  <c r="B454" i="47" s="1"/>
  <c r="U453" i="47"/>
  <c r="T453" i="47"/>
  <c r="A453" i="47"/>
  <c r="F453" i="47" s="1"/>
  <c r="U452" i="47"/>
  <c r="T452" i="47"/>
  <c r="A452" i="47"/>
  <c r="U451" i="47"/>
  <c r="T451" i="47"/>
  <c r="A451" i="47"/>
  <c r="U450" i="47"/>
  <c r="T450" i="47"/>
  <c r="A450" i="47"/>
  <c r="P450" i="47" s="1"/>
  <c r="U449" i="47"/>
  <c r="T449" i="47"/>
  <c r="A449" i="47"/>
  <c r="F449" i="47" s="1"/>
  <c r="U448" i="47"/>
  <c r="T448" i="47"/>
  <c r="A448" i="47"/>
  <c r="C448" i="47" s="1"/>
  <c r="U447" i="47"/>
  <c r="T447" i="47"/>
  <c r="A447" i="47"/>
  <c r="F447" i="47" s="1"/>
  <c r="U446" i="47"/>
  <c r="T446" i="47"/>
  <c r="A446" i="47"/>
  <c r="U445" i="47"/>
  <c r="T445" i="47"/>
  <c r="A445" i="47"/>
  <c r="B445" i="47" s="1"/>
  <c r="U444" i="47"/>
  <c r="T444" i="47"/>
  <c r="A444" i="47"/>
  <c r="U443" i="47"/>
  <c r="T443" i="47"/>
  <c r="A443" i="47"/>
  <c r="P443" i="47" s="1"/>
  <c r="U442" i="47"/>
  <c r="T442" i="47"/>
  <c r="A442" i="47"/>
  <c r="U441" i="47"/>
  <c r="T441" i="47"/>
  <c r="A441" i="47"/>
  <c r="P441" i="47" s="1"/>
  <c r="U440" i="47"/>
  <c r="T440" i="47"/>
  <c r="A440" i="47"/>
  <c r="B440" i="47" s="1"/>
  <c r="U439" i="47"/>
  <c r="T439" i="47"/>
  <c r="A439" i="47"/>
  <c r="U438" i="47"/>
  <c r="T438" i="47"/>
  <c r="A438" i="47"/>
  <c r="P438" i="47" s="1"/>
  <c r="U437" i="47"/>
  <c r="T437" i="47"/>
  <c r="A437" i="47"/>
  <c r="B437" i="47" s="1"/>
  <c r="U436" i="47"/>
  <c r="T436" i="47"/>
  <c r="A436" i="47"/>
  <c r="U435" i="47"/>
  <c r="T435" i="47"/>
  <c r="A435" i="47"/>
  <c r="U434" i="47"/>
  <c r="T434" i="47"/>
  <c r="A434" i="47"/>
  <c r="P434" i="47" s="1"/>
  <c r="U433" i="47"/>
  <c r="T433" i="47"/>
  <c r="A433" i="47"/>
  <c r="F433" i="47" s="1"/>
  <c r="U432" i="47"/>
  <c r="T432" i="47"/>
  <c r="A432" i="47"/>
  <c r="F432" i="47" s="1"/>
  <c r="U431" i="47"/>
  <c r="T431" i="47"/>
  <c r="A431" i="47"/>
  <c r="U430" i="47"/>
  <c r="T430" i="47"/>
  <c r="A430" i="47"/>
  <c r="B430" i="47" s="1"/>
  <c r="U429" i="47"/>
  <c r="T429" i="47"/>
  <c r="A429" i="47"/>
  <c r="C429" i="47" s="1"/>
  <c r="U428" i="47"/>
  <c r="T428" i="47"/>
  <c r="A428" i="47"/>
  <c r="P428" i="47" s="1"/>
  <c r="U427" i="47"/>
  <c r="T427" i="47"/>
  <c r="A427" i="47"/>
  <c r="P427" i="47" s="1"/>
  <c r="U426" i="47"/>
  <c r="T426" i="47"/>
  <c r="A426" i="47"/>
  <c r="U425" i="47"/>
  <c r="T425" i="47"/>
  <c r="A425" i="47"/>
  <c r="B425" i="47" s="1"/>
  <c r="U424" i="47"/>
  <c r="T424" i="47"/>
  <c r="A424" i="47"/>
  <c r="P424" i="47" s="1"/>
  <c r="U423" i="47"/>
  <c r="T423" i="47"/>
  <c r="A423" i="47"/>
  <c r="U422" i="47"/>
  <c r="T422" i="47"/>
  <c r="A422" i="47"/>
  <c r="U421" i="47"/>
  <c r="T421" i="47"/>
  <c r="A421" i="47"/>
  <c r="U420" i="47"/>
  <c r="T420" i="47"/>
  <c r="A420" i="47"/>
  <c r="U419" i="47"/>
  <c r="T419" i="47"/>
  <c r="A419" i="47"/>
  <c r="U418" i="47"/>
  <c r="T418" i="47"/>
  <c r="A418" i="47"/>
  <c r="U417" i="47"/>
  <c r="T417" i="47"/>
  <c r="A417" i="47"/>
  <c r="U416" i="47"/>
  <c r="T416" i="47"/>
  <c r="A416" i="47"/>
  <c r="C416" i="47" s="1"/>
  <c r="U415" i="47"/>
  <c r="T415" i="47"/>
  <c r="A415" i="47"/>
  <c r="U414" i="47"/>
  <c r="T414" i="47"/>
  <c r="A414" i="47"/>
  <c r="F414" i="47" s="1"/>
  <c r="U413" i="47"/>
  <c r="T413" i="47"/>
  <c r="A413" i="47"/>
  <c r="U412" i="47"/>
  <c r="T412" i="47"/>
  <c r="A412" i="47"/>
  <c r="F412" i="47" s="1"/>
  <c r="U411" i="47"/>
  <c r="T411" i="47"/>
  <c r="A411" i="47"/>
  <c r="U410" i="47"/>
  <c r="T410" i="47"/>
  <c r="A410" i="47"/>
  <c r="P410" i="47" s="1"/>
  <c r="U409" i="47"/>
  <c r="T409" i="47"/>
  <c r="A409" i="47"/>
  <c r="B409" i="47" s="1"/>
  <c r="U408" i="47"/>
  <c r="T408" i="47"/>
  <c r="A408" i="47"/>
  <c r="P408" i="47" s="1"/>
  <c r="U407" i="47"/>
  <c r="T407" i="47"/>
  <c r="A407" i="47"/>
  <c r="U406" i="47"/>
  <c r="T406" i="47"/>
  <c r="A406" i="47"/>
  <c r="U405" i="47"/>
  <c r="T405" i="47"/>
  <c r="A405" i="47"/>
  <c r="U404" i="47"/>
  <c r="T404" i="47"/>
  <c r="A404" i="47"/>
  <c r="U403" i="47"/>
  <c r="T403" i="47"/>
  <c r="A403" i="47"/>
  <c r="U402" i="47"/>
  <c r="T402" i="47"/>
  <c r="A402" i="47"/>
  <c r="P402" i="47" s="1"/>
  <c r="U401" i="47"/>
  <c r="T401" i="47"/>
  <c r="A401" i="47"/>
  <c r="P401" i="47" s="1"/>
  <c r="U400" i="47"/>
  <c r="T400" i="47"/>
  <c r="A400" i="47"/>
  <c r="U399" i="47"/>
  <c r="T399" i="47"/>
  <c r="A399" i="47"/>
  <c r="U398" i="47"/>
  <c r="T398" i="47"/>
  <c r="A398" i="47"/>
  <c r="P398" i="47" s="1"/>
  <c r="U397" i="47"/>
  <c r="T397" i="47"/>
  <c r="A397" i="47"/>
  <c r="U396" i="47"/>
  <c r="T396" i="47"/>
  <c r="A396" i="47"/>
  <c r="C396" i="47" s="1"/>
  <c r="U395" i="47"/>
  <c r="T395" i="47"/>
  <c r="A395" i="47"/>
  <c r="U394" i="47"/>
  <c r="T394" i="47"/>
  <c r="A394" i="47"/>
  <c r="U393" i="47"/>
  <c r="T393" i="47"/>
  <c r="A393" i="47"/>
  <c r="U392" i="47"/>
  <c r="T392" i="47"/>
  <c r="A392" i="47"/>
  <c r="F392" i="47" s="1"/>
  <c r="U391" i="47"/>
  <c r="T391" i="47"/>
  <c r="A391" i="47"/>
  <c r="U390" i="47"/>
  <c r="T390" i="47"/>
  <c r="A390" i="47"/>
  <c r="P390" i="47" s="1"/>
  <c r="U389" i="47"/>
  <c r="T389" i="47"/>
  <c r="A389" i="47"/>
  <c r="P389" i="47" s="1"/>
  <c r="U388" i="47"/>
  <c r="T388" i="47"/>
  <c r="A388" i="47"/>
  <c r="U387" i="47"/>
  <c r="T387" i="47"/>
  <c r="A387" i="47"/>
  <c r="U386" i="47"/>
  <c r="T386" i="47"/>
  <c r="A386" i="47"/>
  <c r="P386" i="47" s="1"/>
  <c r="U385" i="47"/>
  <c r="T385" i="47"/>
  <c r="A385" i="47"/>
  <c r="P385" i="47" s="1"/>
  <c r="U384" i="47"/>
  <c r="T384" i="47"/>
  <c r="A384" i="47"/>
  <c r="P384" i="47" s="1"/>
  <c r="U383" i="47"/>
  <c r="T383" i="47"/>
  <c r="A383" i="47"/>
  <c r="U382" i="47"/>
  <c r="T382" i="47"/>
  <c r="A382" i="47"/>
  <c r="U381" i="47"/>
  <c r="T381" i="47"/>
  <c r="A381" i="47"/>
  <c r="U380" i="47"/>
  <c r="T380" i="47"/>
  <c r="A380" i="47"/>
  <c r="U379" i="47"/>
  <c r="T379" i="47"/>
  <c r="A379" i="47"/>
  <c r="U378" i="47"/>
  <c r="T378" i="47"/>
  <c r="A378" i="47"/>
  <c r="U377" i="47"/>
  <c r="T377" i="47"/>
  <c r="A377" i="47"/>
  <c r="U376" i="47"/>
  <c r="T376" i="47"/>
  <c r="A376" i="47"/>
  <c r="P376" i="47" s="1"/>
  <c r="U375" i="47"/>
  <c r="T375" i="47"/>
  <c r="A375" i="47"/>
  <c r="U374" i="47"/>
  <c r="T374" i="47"/>
  <c r="A374" i="47"/>
  <c r="P374" i="47" s="1"/>
  <c r="U373" i="47"/>
  <c r="T373" i="47"/>
  <c r="A373" i="47"/>
  <c r="U372" i="47"/>
  <c r="T372" i="47"/>
  <c r="A372" i="47"/>
  <c r="C372" i="47" s="1"/>
  <c r="U371" i="47"/>
  <c r="T371" i="47"/>
  <c r="A371" i="47"/>
  <c r="U370" i="47"/>
  <c r="T370" i="47"/>
  <c r="A370" i="47"/>
  <c r="P370" i="47" s="1"/>
  <c r="U369" i="47"/>
  <c r="T369" i="47"/>
  <c r="A369" i="47"/>
  <c r="U368" i="47"/>
  <c r="T368" i="47"/>
  <c r="A368" i="47"/>
  <c r="U367" i="47"/>
  <c r="T367" i="47"/>
  <c r="A367" i="47"/>
  <c r="U366" i="47"/>
  <c r="T366" i="47"/>
  <c r="A366" i="47"/>
  <c r="U365" i="47"/>
  <c r="T365" i="47"/>
  <c r="A365" i="47"/>
  <c r="U364" i="47"/>
  <c r="T364" i="47"/>
  <c r="A364" i="47"/>
  <c r="U363" i="47"/>
  <c r="T363" i="47"/>
  <c r="A363" i="47"/>
  <c r="F363" i="47" s="1"/>
  <c r="U362" i="47"/>
  <c r="T362" i="47"/>
  <c r="A362" i="47"/>
  <c r="U361" i="47"/>
  <c r="T361" i="47"/>
  <c r="A361" i="47"/>
  <c r="C361" i="47" s="1"/>
  <c r="U360" i="47"/>
  <c r="T360" i="47"/>
  <c r="A360" i="47"/>
  <c r="U359" i="47"/>
  <c r="T359" i="47"/>
  <c r="A359" i="47"/>
  <c r="U358" i="47"/>
  <c r="T358" i="47"/>
  <c r="A358" i="47"/>
  <c r="U357" i="47"/>
  <c r="T357" i="47"/>
  <c r="A357" i="47"/>
  <c r="U356" i="47"/>
  <c r="T356" i="47"/>
  <c r="A356" i="47"/>
  <c r="F356" i="47" s="1"/>
  <c r="U355" i="47"/>
  <c r="T355" i="47"/>
  <c r="A355" i="47"/>
  <c r="U354" i="47"/>
  <c r="T354" i="47"/>
  <c r="A354" i="47"/>
  <c r="U353" i="47"/>
  <c r="T353" i="47"/>
  <c r="A353" i="47"/>
  <c r="U352" i="47"/>
  <c r="T352" i="47"/>
  <c r="A352" i="47"/>
  <c r="F352" i="47" s="1"/>
  <c r="U351" i="47"/>
  <c r="T351" i="47"/>
  <c r="A351" i="47"/>
  <c r="B351" i="47" s="1"/>
  <c r="U350" i="47"/>
  <c r="T350" i="47"/>
  <c r="A350" i="47"/>
  <c r="U349" i="47"/>
  <c r="T349" i="47"/>
  <c r="A349" i="47"/>
  <c r="P349" i="47" s="1"/>
  <c r="U348" i="47"/>
  <c r="T348" i="47"/>
  <c r="A348" i="47"/>
  <c r="U347" i="47"/>
  <c r="T347" i="47"/>
  <c r="A347" i="47"/>
  <c r="U346" i="47"/>
  <c r="T346" i="47"/>
  <c r="A346" i="47"/>
  <c r="U345" i="47"/>
  <c r="T345" i="47"/>
  <c r="A345" i="47"/>
  <c r="U344" i="47"/>
  <c r="T344" i="47"/>
  <c r="A344" i="47"/>
  <c r="U343" i="47"/>
  <c r="T343" i="47"/>
  <c r="A343" i="47"/>
  <c r="P343" i="47" s="1"/>
  <c r="U342" i="47"/>
  <c r="T342" i="47"/>
  <c r="A342" i="47"/>
  <c r="B342" i="47" s="1"/>
  <c r="U341" i="47"/>
  <c r="T341" i="47"/>
  <c r="A341" i="47"/>
  <c r="B341" i="47" s="1"/>
  <c r="U340" i="47"/>
  <c r="T340" i="47"/>
  <c r="A340" i="47"/>
  <c r="P340" i="47" s="1"/>
  <c r="U339" i="47"/>
  <c r="T339" i="47"/>
  <c r="A339" i="47"/>
  <c r="U338" i="47"/>
  <c r="T338" i="47"/>
  <c r="A338" i="47"/>
  <c r="U337" i="47"/>
  <c r="T337" i="47"/>
  <c r="A337" i="47"/>
  <c r="P337" i="47" s="1"/>
  <c r="U336" i="47"/>
  <c r="T336" i="47"/>
  <c r="A336" i="47"/>
  <c r="C336" i="47" s="1"/>
  <c r="U335" i="47"/>
  <c r="T335" i="47"/>
  <c r="A335" i="47"/>
  <c r="U334" i="47"/>
  <c r="T334" i="47"/>
  <c r="A334" i="47"/>
  <c r="U333" i="47"/>
  <c r="T333" i="47"/>
  <c r="A333" i="47"/>
  <c r="F333" i="47" s="1"/>
  <c r="U332" i="47"/>
  <c r="T332" i="47"/>
  <c r="A332" i="47"/>
  <c r="C332" i="47" s="1"/>
  <c r="U331" i="47"/>
  <c r="T331" i="47"/>
  <c r="A331" i="47"/>
  <c r="U330" i="47"/>
  <c r="T330" i="47"/>
  <c r="A330" i="47"/>
  <c r="U329" i="47"/>
  <c r="T329" i="47"/>
  <c r="A329" i="47"/>
  <c r="U328" i="47"/>
  <c r="T328" i="47"/>
  <c r="A328" i="47"/>
  <c r="B328" i="47" s="1"/>
  <c r="U327" i="47"/>
  <c r="T327" i="47"/>
  <c r="A327" i="47"/>
  <c r="F327" i="47" s="1"/>
  <c r="U326" i="47"/>
  <c r="T326" i="47"/>
  <c r="A326" i="47"/>
  <c r="P326" i="47" s="1"/>
  <c r="U325" i="47"/>
  <c r="T325" i="47"/>
  <c r="A325" i="47"/>
  <c r="P325" i="47" s="1"/>
  <c r="U324" i="47"/>
  <c r="T324" i="47"/>
  <c r="A324" i="47"/>
  <c r="U323" i="47"/>
  <c r="T323" i="47"/>
  <c r="A323" i="47"/>
  <c r="F323" i="47" s="1"/>
  <c r="U322" i="47"/>
  <c r="T322" i="47"/>
  <c r="A322" i="47"/>
  <c r="C322" i="47" s="1"/>
  <c r="U321" i="47"/>
  <c r="T321" i="47"/>
  <c r="A321" i="47"/>
  <c r="C321" i="47" s="1"/>
  <c r="U320" i="47"/>
  <c r="T320" i="47"/>
  <c r="A320" i="47"/>
  <c r="F320" i="47" s="1"/>
  <c r="U319" i="47"/>
  <c r="T319" i="47"/>
  <c r="A319" i="47"/>
  <c r="P319" i="47" s="1"/>
  <c r="U318" i="47"/>
  <c r="T318" i="47"/>
  <c r="A318" i="47"/>
  <c r="B318" i="47" s="1"/>
  <c r="U317" i="47"/>
  <c r="T317" i="47"/>
  <c r="A317" i="47"/>
  <c r="U316" i="47"/>
  <c r="T316" i="47"/>
  <c r="A316" i="47"/>
  <c r="F316" i="47" s="1"/>
  <c r="U315" i="47"/>
  <c r="T315" i="47"/>
  <c r="A315" i="47"/>
  <c r="F315" i="47" s="1"/>
  <c r="U314" i="47"/>
  <c r="T314" i="47"/>
  <c r="A314" i="47"/>
  <c r="B314" i="47" s="1"/>
  <c r="U313" i="47"/>
  <c r="T313" i="47"/>
  <c r="A313" i="47"/>
  <c r="P313" i="47" s="1"/>
  <c r="U312" i="47"/>
  <c r="T312" i="47"/>
  <c r="A312" i="47"/>
  <c r="B312" i="47" s="1"/>
  <c r="U311" i="47"/>
  <c r="T311" i="47"/>
  <c r="A311" i="47"/>
  <c r="U310" i="47"/>
  <c r="T310" i="47"/>
  <c r="A310" i="47"/>
  <c r="P310" i="47" s="1"/>
  <c r="U309" i="47"/>
  <c r="T309" i="47"/>
  <c r="A309" i="47"/>
  <c r="U308" i="47"/>
  <c r="T308" i="47"/>
  <c r="A308" i="47"/>
  <c r="U307" i="47"/>
  <c r="T307" i="47"/>
  <c r="A307" i="47"/>
  <c r="U306" i="47"/>
  <c r="T306" i="47"/>
  <c r="A306" i="47"/>
  <c r="P306" i="47" s="1"/>
  <c r="U305" i="47"/>
  <c r="T305" i="47"/>
  <c r="A305" i="47"/>
  <c r="U304" i="47"/>
  <c r="T304" i="47"/>
  <c r="A304" i="47"/>
  <c r="U303" i="47"/>
  <c r="T303" i="47"/>
  <c r="A303" i="47"/>
  <c r="B303" i="47" s="1"/>
  <c r="U302" i="47"/>
  <c r="T302" i="47"/>
  <c r="A302" i="47"/>
  <c r="U301" i="47"/>
  <c r="T301" i="47"/>
  <c r="A301" i="47"/>
  <c r="B301" i="47" s="1"/>
  <c r="U300" i="47"/>
  <c r="T300" i="47"/>
  <c r="A300" i="47"/>
  <c r="U299" i="47"/>
  <c r="T299" i="47"/>
  <c r="A299" i="47"/>
  <c r="U298" i="47"/>
  <c r="T298" i="47"/>
  <c r="A298" i="47"/>
  <c r="P298" i="47" s="1"/>
  <c r="U297" i="47"/>
  <c r="T297" i="47"/>
  <c r="A297" i="47"/>
  <c r="U296" i="47"/>
  <c r="T296" i="47"/>
  <c r="A296" i="47"/>
  <c r="U295" i="47"/>
  <c r="T295" i="47"/>
  <c r="A295" i="47"/>
  <c r="P295" i="47" s="1"/>
  <c r="U294" i="47"/>
  <c r="T294" i="47"/>
  <c r="A294" i="47"/>
  <c r="P294" i="47" s="1"/>
  <c r="U293" i="47"/>
  <c r="T293" i="47"/>
  <c r="A293" i="47"/>
  <c r="U292" i="47"/>
  <c r="T292" i="47"/>
  <c r="A292" i="47"/>
  <c r="B292" i="47" s="1"/>
  <c r="U291" i="47"/>
  <c r="T291" i="47"/>
  <c r="A291" i="47"/>
  <c r="U290" i="47"/>
  <c r="T290" i="47"/>
  <c r="A290" i="47"/>
  <c r="F290" i="47" s="1"/>
  <c r="U289" i="47"/>
  <c r="T289" i="47"/>
  <c r="A289" i="47"/>
  <c r="P289" i="47" s="1"/>
  <c r="U288" i="47"/>
  <c r="T288" i="47"/>
  <c r="A288" i="47"/>
  <c r="U287" i="47"/>
  <c r="T287" i="47"/>
  <c r="A287" i="47"/>
  <c r="B287" i="47" s="1"/>
  <c r="U286" i="47"/>
  <c r="T286" i="47"/>
  <c r="A286" i="47"/>
  <c r="P286" i="47" s="1"/>
  <c r="U285" i="47"/>
  <c r="T285" i="47"/>
  <c r="A285" i="47"/>
  <c r="B285" i="47" s="1"/>
  <c r="U284" i="47"/>
  <c r="T284" i="47"/>
  <c r="A284" i="47"/>
  <c r="F284" i="47" s="1"/>
  <c r="U283" i="47"/>
  <c r="T283" i="47"/>
  <c r="A283" i="47"/>
  <c r="U282" i="47"/>
  <c r="T282" i="47"/>
  <c r="A282" i="47"/>
  <c r="U281" i="47"/>
  <c r="T281" i="47"/>
  <c r="A281" i="47"/>
  <c r="C281" i="47" s="1"/>
  <c r="U280" i="47"/>
  <c r="T280" i="47"/>
  <c r="A280" i="47"/>
  <c r="B280" i="47" s="1"/>
  <c r="U279" i="47"/>
  <c r="T279" i="47"/>
  <c r="A279" i="47"/>
  <c r="U278" i="47"/>
  <c r="T278" i="47"/>
  <c r="A278" i="47"/>
  <c r="U277" i="47"/>
  <c r="T277" i="47"/>
  <c r="A277" i="47"/>
  <c r="F277" i="47" s="1"/>
  <c r="U276" i="47"/>
  <c r="T276" i="47"/>
  <c r="A276" i="47"/>
  <c r="F276" i="47" s="1"/>
  <c r="U275" i="47"/>
  <c r="T275" i="47"/>
  <c r="A275" i="47"/>
  <c r="U274" i="47"/>
  <c r="T274" i="47"/>
  <c r="A274" i="47"/>
  <c r="U273" i="47"/>
  <c r="T273" i="47"/>
  <c r="A273" i="47"/>
  <c r="U272" i="47"/>
  <c r="T272" i="47"/>
  <c r="A272" i="47"/>
  <c r="U271" i="47"/>
  <c r="T271" i="47"/>
  <c r="A271" i="47"/>
  <c r="C271" i="47" s="1"/>
  <c r="U270" i="47"/>
  <c r="T270" i="47"/>
  <c r="A270" i="47"/>
  <c r="U269" i="47"/>
  <c r="T269" i="47"/>
  <c r="A269" i="47"/>
  <c r="P269" i="47" s="1"/>
  <c r="U268" i="47"/>
  <c r="T268" i="47"/>
  <c r="A268" i="47"/>
  <c r="U267" i="47"/>
  <c r="T267" i="47"/>
  <c r="A267" i="47"/>
  <c r="P267" i="47" s="1"/>
  <c r="U266" i="47"/>
  <c r="T266" i="47"/>
  <c r="A266" i="47"/>
  <c r="U265" i="47"/>
  <c r="T265" i="47"/>
  <c r="A265" i="47"/>
  <c r="C265" i="47" s="1"/>
  <c r="U264" i="47"/>
  <c r="T264" i="47"/>
  <c r="A264" i="47"/>
  <c r="F264" i="47" s="1"/>
  <c r="U263" i="47"/>
  <c r="T263" i="47"/>
  <c r="A263" i="47"/>
  <c r="U262" i="47"/>
  <c r="T262" i="47"/>
  <c r="A262" i="47"/>
  <c r="U261" i="47"/>
  <c r="T261" i="47"/>
  <c r="A261" i="47"/>
  <c r="C261" i="47" s="1"/>
  <c r="U260" i="47"/>
  <c r="T260" i="47"/>
  <c r="A260" i="47"/>
  <c r="U259" i="47"/>
  <c r="T259" i="47"/>
  <c r="A259" i="47"/>
  <c r="B259" i="47" s="1"/>
  <c r="U258" i="47"/>
  <c r="T258" i="47"/>
  <c r="A258" i="47"/>
  <c r="U257" i="47"/>
  <c r="T257" i="47"/>
  <c r="A257" i="47"/>
  <c r="F257" i="47" s="1"/>
  <c r="U256" i="47"/>
  <c r="T256" i="47"/>
  <c r="A256" i="47"/>
  <c r="U255" i="47"/>
  <c r="T255" i="47"/>
  <c r="A255" i="47"/>
  <c r="P255" i="47" s="1"/>
  <c r="U254" i="47"/>
  <c r="T254" i="47"/>
  <c r="A254" i="47"/>
  <c r="C254" i="47" s="1"/>
  <c r="K254" i="47" s="1"/>
  <c r="U253" i="47"/>
  <c r="T253" i="47"/>
  <c r="A253" i="47"/>
  <c r="F253" i="47" s="1"/>
  <c r="U252" i="47"/>
  <c r="T252" i="47"/>
  <c r="A252" i="47"/>
  <c r="U251" i="47"/>
  <c r="T251" i="47"/>
  <c r="A251" i="47"/>
  <c r="P251" i="47" s="1"/>
  <c r="U250" i="47"/>
  <c r="T250" i="47"/>
  <c r="A250" i="47"/>
  <c r="U249" i="47"/>
  <c r="T249" i="47"/>
  <c r="A249" i="47"/>
  <c r="C249" i="47" s="1"/>
  <c r="U248" i="47"/>
  <c r="T248" i="47"/>
  <c r="A248" i="47"/>
  <c r="F248" i="47" s="1"/>
  <c r="U247" i="47"/>
  <c r="T247" i="47"/>
  <c r="A247" i="47"/>
  <c r="U246" i="47"/>
  <c r="T246" i="47"/>
  <c r="A246" i="47"/>
  <c r="P246" i="47" s="1"/>
  <c r="U245" i="47"/>
  <c r="T245" i="47"/>
  <c r="A245" i="47"/>
  <c r="U244" i="47"/>
  <c r="T244" i="47"/>
  <c r="A244" i="47"/>
  <c r="B244" i="47" s="1"/>
  <c r="U243" i="47"/>
  <c r="T243" i="47"/>
  <c r="A243" i="47"/>
  <c r="U242" i="47"/>
  <c r="T242" i="47"/>
  <c r="A242" i="47"/>
  <c r="F242" i="47" s="1"/>
  <c r="U241" i="47"/>
  <c r="T241" i="47"/>
  <c r="A241" i="47"/>
  <c r="U240" i="47"/>
  <c r="T240" i="47"/>
  <c r="A240" i="47"/>
  <c r="U239" i="47"/>
  <c r="T239" i="47"/>
  <c r="A239" i="47"/>
  <c r="P239" i="47" s="1"/>
  <c r="U238" i="47"/>
  <c r="T238" i="47"/>
  <c r="A238" i="47"/>
  <c r="P238" i="47" s="1"/>
  <c r="U237" i="47"/>
  <c r="T237" i="47"/>
  <c r="A237" i="47"/>
  <c r="U236" i="47"/>
  <c r="T236" i="47"/>
  <c r="A236" i="47"/>
  <c r="B236" i="47" s="1"/>
  <c r="U235" i="47"/>
  <c r="T235" i="47"/>
  <c r="A235" i="47"/>
  <c r="P235" i="47" s="1"/>
  <c r="U234" i="47"/>
  <c r="T234" i="47"/>
  <c r="A234" i="47"/>
  <c r="U233" i="47"/>
  <c r="T233" i="47"/>
  <c r="A233" i="47"/>
  <c r="B233" i="47" s="1"/>
  <c r="U232" i="47"/>
  <c r="T232" i="47"/>
  <c r="A232" i="47"/>
  <c r="C232" i="47" s="1"/>
  <c r="U231" i="47"/>
  <c r="T231" i="47"/>
  <c r="A231" i="47"/>
  <c r="F231" i="47" s="1"/>
  <c r="U230" i="47"/>
  <c r="T230" i="47"/>
  <c r="A230" i="47"/>
  <c r="P230" i="47" s="1"/>
  <c r="U229" i="47"/>
  <c r="T229" i="47"/>
  <c r="A229" i="47"/>
  <c r="U228" i="47"/>
  <c r="T228" i="47"/>
  <c r="A228" i="47"/>
  <c r="F228" i="47" s="1"/>
  <c r="U227" i="47"/>
  <c r="T227" i="47"/>
  <c r="A227" i="47"/>
  <c r="F227" i="47" s="1"/>
  <c r="U226" i="47"/>
  <c r="T226" i="47"/>
  <c r="A226" i="47"/>
  <c r="F226" i="47" s="1"/>
  <c r="U225" i="47"/>
  <c r="T225" i="47"/>
  <c r="A225" i="47"/>
  <c r="U224" i="47"/>
  <c r="T224" i="47"/>
  <c r="A224" i="47"/>
  <c r="F224" i="47" s="1"/>
  <c r="U223" i="47"/>
  <c r="T223" i="47"/>
  <c r="A223" i="47"/>
  <c r="U222" i="47"/>
  <c r="T222" i="47"/>
  <c r="A222" i="47"/>
  <c r="C222" i="47" s="1"/>
  <c r="U221" i="47"/>
  <c r="T221" i="47"/>
  <c r="A221" i="47"/>
  <c r="B221" i="47" s="1"/>
  <c r="U220" i="47"/>
  <c r="T220" i="47"/>
  <c r="A220" i="47"/>
  <c r="C220" i="47" s="1"/>
  <c r="U219" i="47"/>
  <c r="T219" i="47"/>
  <c r="A219" i="47"/>
  <c r="U218" i="47"/>
  <c r="T218" i="47"/>
  <c r="A218" i="47"/>
  <c r="U217" i="47"/>
  <c r="T217" i="47"/>
  <c r="A217" i="47"/>
  <c r="P217" i="47" s="1"/>
  <c r="U216" i="47"/>
  <c r="T216" i="47"/>
  <c r="A216" i="47"/>
  <c r="F216" i="47" s="1"/>
  <c r="U215" i="47"/>
  <c r="T215" i="47"/>
  <c r="A215" i="47"/>
  <c r="F215" i="47" s="1"/>
  <c r="U214" i="47"/>
  <c r="T214" i="47"/>
  <c r="A214" i="47"/>
  <c r="F214" i="47" s="1"/>
  <c r="U213" i="47"/>
  <c r="T213" i="47"/>
  <c r="A213" i="47"/>
  <c r="F213" i="47" s="1"/>
  <c r="U212" i="47"/>
  <c r="T212" i="47"/>
  <c r="A212" i="47"/>
  <c r="F212" i="47" s="1"/>
  <c r="U211" i="47"/>
  <c r="T211" i="47"/>
  <c r="A211" i="47"/>
  <c r="U210" i="47"/>
  <c r="T210" i="47"/>
  <c r="A210" i="47"/>
  <c r="U209" i="47"/>
  <c r="T209" i="47"/>
  <c r="A209" i="47"/>
  <c r="P209" i="47" s="1"/>
  <c r="U208" i="47"/>
  <c r="T208" i="47"/>
  <c r="A208" i="47"/>
  <c r="F208" i="47" s="1"/>
  <c r="U207" i="47"/>
  <c r="T207" i="47"/>
  <c r="A207" i="47"/>
  <c r="F207" i="47" s="1"/>
  <c r="U206" i="47"/>
  <c r="T206" i="47"/>
  <c r="A206" i="47"/>
  <c r="U205" i="47"/>
  <c r="T205" i="47"/>
  <c r="A205" i="47"/>
  <c r="P205" i="47" s="1"/>
  <c r="U204" i="47"/>
  <c r="T204" i="47"/>
  <c r="A204" i="47"/>
  <c r="C204" i="47" s="1"/>
  <c r="U203" i="47"/>
  <c r="T203" i="47"/>
  <c r="A203" i="47"/>
  <c r="U202" i="47"/>
  <c r="T202" i="47"/>
  <c r="A202" i="47"/>
  <c r="B202" i="47" s="1"/>
  <c r="U201" i="47"/>
  <c r="T201" i="47"/>
  <c r="A201" i="47"/>
  <c r="P201" i="47" s="1"/>
  <c r="U200" i="47"/>
  <c r="T200" i="47"/>
  <c r="A200" i="47"/>
  <c r="F200" i="47" s="1"/>
  <c r="U199" i="47"/>
  <c r="T199" i="47"/>
  <c r="A199" i="47"/>
  <c r="U198" i="47"/>
  <c r="T198" i="47"/>
  <c r="A198" i="47"/>
  <c r="P198" i="47" s="1"/>
  <c r="U197" i="47"/>
  <c r="T197" i="47"/>
  <c r="A197" i="47"/>
  <c r="F197" i="47" s="1"/>
  <c r="U196" i="47"/>
  <c r="T196" i="47"/>
  <c r="A196" i="47"/>
  <c r="U195" i="47"/>
  <c r="T195" i="47"/>
  <c r="A195" i="47"/>
  <c r="P195" i="47" s="1"/>
  <c r="U194" i="47"/>
  <c r="T194" i="47"/>
  <c r="A194" i="47"/>
  <c r="F194" i="47" s="1"/>
  <c r="U193" i="47"/>
  <c r="T193" i="47"/>
  <c r="A193" i="47"/>
  <c r="U192" i="47"/>
  <c r="T192" i="47"/>
  <c r="A192" i="47"/>
  <c r="U191" i="47"/>
  <c r="T191" i="47"/>
  <c r="A191" i="47"/>
  <c r="U190" i="47"/>
  <c r="T190" i="47"/>
  <c r="A190" i="47"/>
  <c r="B190" i="47" s="1"/>
  <c r="U189" i="47"/>
  <c r="T189" i="47"/>
  <c r="A189" i="47"/>
  <c r="B189" i="47" s="1"/>
  <c r="U188" i="47"/>
  <c r="T188" i="47"/>
  <c r="A188" i="47"/>
  <c r="U187" i="47"/>
  <c r="T187" i="47"/>
  <c r="A187" i="47"/>
  <c r="U186" i="47"/>
  <c r="T186" i="47"/>
  <c r="A186" i="47"/>
  <c r="P186" i="47" s="1"/>
  <c r="U185" i="47"/>
  <c r="T185" i="47"/>
  <c r="A185" i="47"/>
  <c r="F185" i="47" s="1"/>
  <c r="U184" i="47"/>
  <c r="T184" i="47"/>
  <c r="A184" i="47"/>
  <c r="F184" i="47" s="1"/>
  <c r="U183" i="47"/>
  <c r="T183" i="47"/>
  <c r="A183" i="47"/>
  <c r="F183" i="47" s="1"/>
  <c r="U182" i="47"/>
  <c r="T182" i="47"/>
  <c r="A182" i="47"/>
  <c r="P182" i="47" s="1"/>
  <c r="U181" i="47"/>
  <c r="T181" i="47"/>
  <c r="A181" i="47"/>
  <c r="U180" i="47"/>
  <c r="T180" i="47"/>
  <c r="A180" i="47"/>
  <c r="F180" i="47" s="1"/>
  <c r="U179" i="47"/>
  <c r="T179" i="47"/>
  <c r="A179" i="47"/>
  <c r="P179" i="47" s="1"/>
  <c r="U178" i="47"/>
  <c r="T178" i="47"/>
  <c r="A178" i="47"/>
  <c r="F178" i="47" s="1"/>
  <c r="U177" i="47"/>
  <c r="T177" i="47"/>
  <c r="A177" i="47"/>
  <c r="U176" i="47"/>
  <c r="T176" i="47"/>
  <c r="A176" i="47"/>
  <c r="F176" i="47" s="1"/>
  <c r="U175" i="47"/>
  <c r="T175" i="47"/>
  <c r="A175" i="47"/>
  <c r="F175" i="47" s="1"/>
  <c r="U174" i="47"/>
  <c r="T174" i="47"/>
  <c r="A174" i="47"/>
  <c r="U173" i="47"/>
  <c r="T173" i="47"/>
  <c r="A173" i="47"/>
  <c r="U172" i="47"/>
  <c r="T172" i="47"/>
  <c r="A172" i="47"/>
  <c r="F172" i="47" s="1"/>
  <c r="U171" i="47"/>
  <c r="T171" i="47"/>
  <c r="A171" i="47"/>
  <c r="P171" i="47" s="1"/>
  <c r="U170" i="47"/>
  <c r="T170" i="47"/>
  <c r="A170" i="47"/>
  <c r="B170" i="47" s="1"/>
  <c r="U169" i="47"/>
  <c r="T169" i="47"/>
  <c r="A169" i="47"/>
  <c r="P169" i="47" s="1"/>
  <c r="U168" i="47"/>
  <c r="T168" i="47"/>
  <c r="A168" i="47"/>
  <c r="U167" i="47"/>
  <c r="T167" i="47"/>
  <c r="A167" i="47"/>
  <c r="U166" i="47"/>
  <c r="T166" i="47"/>
  <c r="A166" i="47"/>
  <c r="U165" i="47"/>
  <c r="T165" i="47"/>
  <c r="A165" i="47"/>
  <c r="U164" i="47"/>
  <c r="T164" i="47"/>
  <c r="A164" i="47"/>
  <c r="U163" i="47"/>
  <c r="T163" i="47"/>
  <c r="A163" i="47"/>
  <c r="U162" i="47"/>
  <c r="T162" i="47"/>
  <c r="A162" i="47"/>
  <c r="P162" i="47" s="1"/>
  <c r="U161" i="47"/>
  <c r="T161" i="47"/>
  <c r="A161" i="47"/>
  <c r="F161" i="47" s="1"/>
  <c r="U160" i="47"/>
  <c r="T160" i="47"/>
  <c r="A160" i="47"/>
  <c r="U159" i="47"/>
  <c r="T159" i="47"/>
  <c r="A159" i="47"/>
  <c r="P159" i="47" s="1"/>
  <c r="U158" i="47"/>
  <c r="T158" i="47"/>
  <c r="A158" i="47"/>
  <c r="U157" i="47"/>
  <c r="T157" i="47"/>
  <c r="A157" i="47"/>
  <c r="P157" i="47" s="1"/>
  <c r="U156" i="47"/>
  <c r="T156" i="47"/>
  <c r="A156" i="47"/>
  <c r="C156" i="47" s="1"/>
  <c r="U155" i="47"/>
  <c r="T155" i="47"/>
  <c r="A155" i="47"/>
  <c r="U154" i="47"/>
  <c r="T154" i="47"/>
  <c r="A154" i="47"/>
  <c r="P154" i="47" s="1"/>
  <c r="U153" i="47"/>
  <c r="T153" i="47"/>
  <c r="A153" i="47"/>
  <c r="B153" i="47" s="1"/>
  <c r="U152" i="47"/>
  <c r="T152" i="47"/>
  <c r="A152" i="47"/>
  <c r="U151" i="47"/>
  <c r="T151" i="47"/>
  <c r="A151" i="47"/>
  <c r="U150" i="47"/>
  <c r="T150" i="47"/>
  <c r="A150" i="47"/>
  <c r="B150" i="47" s="1"/>
  <c r="U149" i="47"/>
  <c r="T149" i="47"/>
  <c r="A149" i="47"/>
  <c r="F149" i="47" s="1"/>
  <c r="U148" i="47"/>
  <c r="T148" i="47"/>
  <c r="A148" i="47"/>
  <c r="F148" i="47" s="1"/>
  <c r="U147" i="47"/>
  <c r="T147" i="47"/>
  <c r="A147" i="47"/>
  <c r="U146" i="47"/>
  <c r="T146" i="47"/>
  <c r="A146" i="47"/>
  <c r="P146" i="47" s="1"/>
  <c r="U145" i="47"/>
  <c r="T145" i="47"/>
  <c r="A145" i="47"/>
  <c r="P145" i="47" s="1"/>
  <c r="U144" i="47"/>
  <c r="T144" i="47"/>
  <c r="A144" i="47"/>
  <c r="F144" i="47" s="1"/>
  <c r="U143" i="47"/>
  <c r="T143" i="47"/>
  <c r="A143" i="47"/>
  <c r="P143" i="47" s="1"/>
  <c r="U142" i="47"/>
  <c r="T142" i="47"/>
  <c r="A142" i="47"/>
  <c r="U141" i="47"/>
  <c r="T141" i="47"/>
  <c r="A141" i="47"/>
  <c r="U140" i="47"/>
  <c r="T140" i="47"/>
  <c r="A140" i="47"/>
  <c r="B140" i="47" s="1"/>
  <c r="U139" i="47"/>
  <c r="T139" i="47"/>
  <c r="A139" i="47"/>
  <c r="U138" i="47"/>
  <c r="T138" i="47"/>
  <c r="A138" i="47"/>
  <c r="P138" i="47" s="1"/>
  <c r="U137" i="47"/>
  <c r="T137" i="47"/>
  <c r="A137" i="47"/>
  <c r="U136" i="47"/>
  <c r="T136" i="47"/>
  <c r="A136" i="47"/>
  <c r="U135" i="47"/>
  <c r="T135" i="47"/>
  <c r="A135" i="47"/>
  <c r="U134" i="47"/>
  <c r="T134" i="47"/>
  <c r="A134" i="47"/>
  <c r="U133" i="47"/>
  <c r="T133" i="47"/>
  <c r="A133" i="47"/>
  <c r="U132" i="47"/>
  <c r="T132" i="47"/>
  <c r="A132" i="47"/>
  <c r="U131" i="47"/>
  <c r="T131" i="47"/>
  <c r="A131" i="47"/>
  <c r="U130" i="47"/>
  <c r="T130" i="47"/>
  <c r="A130" i="47"/>
  <c r="P130" i="47" s="1"/>
  <c r="U129" i="47"/>
  <c r="T129" i="47"/>
  <c r="A129" i="47"/>
  <c r="U128" i="47"/>
  <c r="T128" i="47"/>
  <c r="A128" i="47"/>
  <c r="P128" i="47" s="1"/>
  <c r="U127" i="47"/>
  <c r="T127" i="47"/>
  <c r="A127" i="47"/>
  <c r="B127" i="47" s="1"/>
  <c r="U126" i="47"/>
  <c r="T126" i="47"/>
  <c r="A126" i="47"/>
  <c r="U125" i="47"/>
  <c r="T125" i="47"/>
  <c r="A125" i="47"/>
  <c r="U124" i="47"/>
  <c r="T124" i="47"/>
  <c r="A124" i="47"/>
  <c r="C124" i="47" s="1"/>
  <c r="U123" i="47"/>
  <c r="T123" i="47"/>
  <c r="A123" i="47"/>
  <c r="C123" i="47" s="1"/>
  <c r="U122" i="47"/>
  <c r="T122" i="47"/>
  <c r="A122" i="47"/>
  <c r="P122" i="47" s="1"/>
  <c r="U121" i="47"/>
  <c r="T121" i="47"/>
  <c r="A121" i="47"/>
  <c r="F121" i="47" s="1"/>
  <c r="U120" i="47"/>
  <c r="T120" i="47"/>
  <c r="A120" i="47"/>
  <c r="U119" i="47"/>
  <c r="T119" i="47"/>
  <c r="A119" i="47"/>
  <c r="C119" i="47" s="1"/>
  <c r="N119" i="47" s="1"/>
  <c r="U118" i="47"/>
  <c r="T118" i="47"/>
  <c r="A118" i="47"/>
  <c r="F118" i="47" s="1"/>
  <c r="U117" i="47"/>
  <c r="T117" i="47"/>
  <c r="A117" i="47"/>
  <c r="U116" i="47"/>
  <c r="T116" i="47"/>
  <c r="A116" i="47"/>
  <c r="F116" i="47" s="1"/>
  <c r="U115" i="47"/>
  <c r="T115" i="47"/>
  <c r="A115" i="47"/>
  <c r="C115" i="47" s="1"/>
  <c r="U114" i="47"/>
  <c r="T114" i="47"/>
  <c r="A114" i="47"/>
  <c r="P114" i="47" s="1"/>
  <c r="U113" i="47"/>
  <c r="T113" i="47"/>
  <c r="A113" i="47"/>
  <c r="P113" i="47" s="1"/>
  <c r="U112" i="47"/>
  <c r="T112" i="47"/>
  <c r="A112" i="47"/>
  <c r="U111" i="47"/>
  <c r="T111" i="47"/>
  <c r="A111" i="47"/>
  <c r="B111" i="47" s="1"/>
  <c r="U110" i="47"/>
  <c r="T110" i="47"/>
  <c r="A110" i="47"/>
  <c r="U109" i="47"/>
  <c r="T109" i="47"/>
  <c r="A109" i="47"/>
  <c r="P109" i="47" s="1"/>
  <c r="U108" i="47"/>
  <c r="T108" i="47"/>
  <c r="A108" i="47"/>
  <c r="U107" i="47"/>
  <c r="T107" i="47"/>
  <c r="A107" i="47"/>
  <c r="P107" i="47" s="1"/>
  <c r="U106" i="47"/>
  <c r="T106" i="47"/>
  <c r="A106" i="47"/>
  <c r="F106" i="47" s="1"/>
  <c r="U105" i="47"/>
  <c r="T105" i="47"/>
  <c r="A105" i="47"/>
  <c r="U104" i="47"/>
  <c r="T104" i="47"/>
  <c r="A104" i="47"/>
  <c r="F104" i="47" s="1"/>
  <c r="U103" i="47"/>
  <c r="T103" i="47"/>
  <c r="A103" i="47"/>
  <c r="F103" i="47" s="1"/>
  <c r="U102" i="47"/>
  <c r="T102" i="47"/>
  <c r="A102" i="47"/>
  <c r="U101" i="47"/>
  <c r="T101" i="47"/>
  <c r="A101" i="47"/>
  <c r="U100" i="47"/>
  <c r="T100" i="47"/>
  <c r="A100" i="47"/>
  <c r="U99" i="47"/>
  <c r="T99" i="47"/>
  <c r="A99" i="47"/>
  <c r="P99" i="47" s="1"/>
  <c r="U98" i="47"/>
  <c r="T98" i="47"/>
  <c r="A98" i="47"/>
  <c r="U97" i="47"/>
  <c r="T97" i="47"/>
  <c r="A97" i="47"/>
  <c r="F97" i="47" s="1"/>
  <c r="U96" i="47"/>
  <c r="T96" i="47"/>
  <c r="A96" i="47"/>
  <c r="U95" i="47"/>
  <c r="T95" i="47"/>
  <c r="A95" i="47"/>
  <c r="P95" i="47" s="1"/>
  <c r="U94" i="47"/>
  <c r="T94" i="47"/>
  <c r="A94" i="47"/>
  <c r="U93" i="47"/>
  <c r="T93" i="47"/>
  <c r="A93" i="47"/>
  <c r="F93" i="47" s="1"/>
  <c r="U92" i="47"/>
  <c r="T92" i="47"/>
  <c r="A92" i="47"/>
  <c r="U91" i="47"/>
  <c r="T91" i="47"/>
  <c r="A91" i="47"/>
  <c r="P91" i="47" s="1"/>
  <c r="U90" i="47"/>
  <c r="T90" i="47"/>
  <c r="A90" i="47"/>
  <c r="U89" i="47"/>
  <c r="T89" i="47"/>
  <c r="A89" i="47"/>
  <c r="U88" i="47"/>
  <c r="T88" i="47"/>
  <c r="A88" i="47"/>
  <c r="F88" i="47" s="1"/>
  <c r="U87" i="47"/>
  <c r="T87" i="47"/>
  <c r="A87" i="47"/>
  <c r="U86" i="47"/>
  <c r="T86" i="47"/>
  <c r="A86" i="47"/>
  <c r="U85" i="47"/>
  <c r="T85" i="47"/>
  <c r="A85" i="47"/>
  <c r="U84" i="47"/>
  <c r="T84" i="47"/>
  <c r="A84" i="47"/>
  <c r="P84" i="47" s="1"/>
  <c r="U83" i="47"/>
  <c r="T83" i="47"/>
  <c r="A83" i="47"/>
  <c r="U82" i="47"/>
  <c r="T82" i="47"/>
  <c r="A82" i="47"/>
  <c r="U81" i="47"/>
  <c r="T81" i="47"/>
  <c r="A81" i="47"/>
  <c r="U80" i="47"/>
  <c r="T80" i="47"/>
  <c r="A80" i="47"/>
  <c r="P80" i="47" s="1"/>
  <c r="U79" i="47"/>
  <c r="T79" i="47"/>
  <c r="A79" i="47"/>
  <c r="P79" i="47" s="1"/>
  <c r="U78" i="47"/>
  <c r="T78" i="47"/>
  <c r="A78" i="47"/>
  <c r="P78" i="47" s="1"/>
  <c r="U77" i="47"/>
  <c r="T77" i="47"/>
  <c r="A77" i="47"/>
  <c r="U76" i="47"/>
  <c r="T76" i="47"/>
  <c r="A76" i="47"/>
  <c r="P76" i="47" s="1"/>
  <c r="U75" i="47"/>
  <c r="T75" i="47"/>
  <c r="A75" i="47"/>
  <c r="U74" i="47"/>
  <c r="T74" i="47"/>
  <c r="A74" i="47"/>
  <c r="U73" i="47"/>
  <c r="T73" i="47"/>
  <c r="A73" i="47"/>
  <c r="U72" i="47"/>
  <c r="T72" i="47"/>
  <c r="A72" i="47"/>
  <c r="P72" i="47" s="1"/>
  <c r="U71" i="47"/>
  <c r="T71" i="47"/>
  <c r="A71" i="47"/>
  <c r="U70" i="47"/>
  <c r="T70" i="47"/>
  <c r="A70" i="47"/>
  <c r="B70" i="47" s="1"/>
  <c r="U69" i="47"/>
  <c r="T69" i="47"/>
  <c r="A69" i="47"/>
  <c r="C69" i="47" s="1"/>
  <c r="U68" i="47"/>
  <c r="T68" i="47"/>
  <c r="A68" i="47"/>
  <c r="P68" i="47" s="1"/>
  <c r="U67" i="47"/>
  <c r="T67" i="47"/>
  <c r="A67" i="47"/>
  <c r="C67" i="47" s="1"/>
  <c r="N67" i="47" s="1"/>
  <c r="U66" i="47"/>
  <c r="T66" i="47"/>
  <c r="A66" i="47"/>
  <c r="U65" i="47"/>
  <c r="T65" i="47"/>
  <c r="A65" i="47"/>
  <c r="F65" i="47" s="1"/>
  <c r="U64" i="47"/>
  <c r="T64" i="47"/>
  <c r="A64" i="47"/>
  <c r="C64" i="47" s="1"/>
  <c r="U63" i="47"/>
  <c r="T63" i="47"/>
  <c r="A63" i="47"/>
  <c r="P63" i="47" s="1"/>
  <c r="U62" i="47"/>
  <c r="T62" i="47"/>
  <c r="A62" i="47"/>
  <c r="U61" i="47"/>
  <c r="T61" i="47"/>
  <c r="A61" i="47"/>
  <c r="P61" i="47" s="1"/>
  <c r="U60" i="47"/>
  <c r="T60" i="47"/>
  <c r="A60" i="47"/>
  <c r="U59" i="47"/>
  <c r="T59" i="47"/>
  <c r="A59" i="47"/>
  <c r="U58" i="47"/>
  <c r="T58" i="47"/>
  <c r="A58" i="47"/>
  <c r="U57" i="47"/>
  <c r="T57" i="47"/>
  <c r="A57" i="47"/>
  <c r="P57" i="47" s="1"/>
  <c r="U56" i="47"/>
  <c r="T56" i="47"/>
  <c r="A56" i="47"/>
  <c r="C56" i="47" s="1"/>
  <c r="U55" i="47"/>
  <c r="T55" i="47"/>
  <c r="A55" i="47"/>
  <c r="U54" i="47"/>
  <c r="T54" i="47"/>
  <c r="A54" i="47"/>
  <c r="F54" i="47" s="1"/>
  <c r="U53" i="47"/>
  <c r="T53" i="47"/>
  <c r="A53" i="47"/>
  <c r="U52" i="47"/>
  <c r="T52" i="47"/>
  <c r="A52" i="47"/>
  <c r="C52" i="47" s="1"/>
  <c r="U51" i="47"/>
  <c r="T51" i="47"/>
  <c r="A51" i="47"/>
  <c r="P51" i="47" s="1"/>
  <c r="U50" i="47"/>
  <c r="T50" i="47"/>
  <c r="A50" i="47"/>
  <c r="F50" i="47" s="1"/>
  <c r="U49" i="47"/>
  <c r="T49" i="47"/>
  <c r="A49" i="47"/>
  <c r="P49" i="47" s="1"/>
  <c r="U48" i="47"/>
  <c r="T48" i="47"/>
  <c r="A48" i="47"/>
  <c r="C48" i="47" s="1"/>
  <c r="U47" i="47"/>
  <c r="T47" i="47"/>
  <c r="A47" i="47"/>
  <c r="F47" i="47" s="1"/>
  <c r="U46" i="47"/>
  <c r="T46" i="47"/>
  <c r="A46" i="47"/>
  <c r="F46" i="47" s="1"/>
  <c r="U45" i="47"/>
  <c r="T45" i="47"/>
  <c r="A45" i="47"/>
  <c r="P45" i="47" s="1"/>
  <c r="U44" i="47"/>
  <c r="T44" i="47"/>
  <c r="A44" i="47"/>
  <c r="C44" i="47" s="1"/>
  <c r="U43" i="47"/>
  <c r="T43" i="47"/>
  <c r="A43" i="47"/>
  <c r="P43" i="47" s="1"/>
  <c r="U42" i="47"/>
  <c r="T42" i="47"/>
  <c r="A42" i="47"/>
  <c r="U41" i="47"/>
  <c r="T41" i="47"/>
  <c r="A41" i="47"/>
  <c r="F41" i="47" s="1"/>
  <c r="U40" i="47"/>
  <c r="T40" i="47"/>
  <c r="A40" i="47"/>
  <c r="P40" i="47" s="1"/>
  <c r="U39" i="47"/>
  <c r="T39" i="47"/>
  <c r="A39" i="47"/>
  <c r="P39" i="47" s="1"/>
  <c r="U38" i="47"/>
  <c r="T38" i="47"/>
  <c r="A38" i="47"/>
  <c r="U37" i="47"/>
  <c r="T37" i="47"/>
  <c r="A37" i="47"/>
  <c r="B37" i="47" s="1"/>
  <c r="U36" i="47"/>
  <c r="T36" i="47"/>
  <c r="A36" i="47"/>
  <c r="C36" i="47" s="1"/>
  <c r="N36" i="47" s="1"/>
  <c r="U35" i="47"/>
  <c r="T35" i="47"/>
  <c r="A35" i="47"/>
  <c r="P35" i="47" s="1"/>
  <c r="U34" i="47"/>
  <c r="T34" i="47"/>
  <c r="A34" i="47"/>
  <c r="U33" i="47"/>
  <c r="T33" i="47"/>
  <c r="A33" i="47"/>
  <c r="B33" i="47" s="1"/>
  <c r="U32" i="47"/>
  <c r="T32" i="47"/>
  <c r="A32" i="47"/>
  <c r="P32" i="47" s="1"/>
  <c r="U31" i="47"/>
  <c r="T31" i="47"/>
  <c r="A31" i="47"/>
  <c r="P31" i="47" s="1"/>
  <c r="U30" i="47"/>
  <c r="T30" i="47"/>
  <c r="A30" i="47"/>
  <c r="U29" i="47"/>
  <c r="T29" i="47"/>
  <c r="A29" i="47"/>
  <c r="P29" i="47" s="1"/>
  <c r="U28" i="47"/>
  <c r="T28" i="47"/>
  <c r="A28" i="47"/>
  <c r="U27" i="47"/>
  <c r="T27" i="47"/>
  <c r="A27" i="47"/>
  <c r="F27" i="47" s="1"/>
  <c r="U26" i="47"/>
  <c r="T26" i="47"/>
  <c r="A26" i="47"/>
  <c r="F26" i="47" s="1"/>
  <c r="U25" i="47"/>
  <c r="T25" i="47"/>
  <c r="A25" i="47"/>
  <c r="P25" i="47" s="1"/>
  <c r="U24" i="47"/>
  <c r="T24" i="47"/>
  <c r="A24" i="47"/>
  <c r="F24" i="47" s="1"/>
  <c r="U23" i="47"/>
  <c r="T23" i="47"/>
  <c r="A23" i="47"/>
  <c r="F23" i="47" s="1"/>
  <c r="U22" i="47"/>
  <c r="T22" i="47"/>
  <c r="A22" i="47"/>
  <c r="P22" i="47" s="1"/>
  <c r="U21" i="47"/>
  <c r="T21" i="47"/>
  <c r="A21" i="47"/>
  <c r="B21" i="47" s="1"/>
  <c r="U20" i="47"/>
  <c r="T20" i="47"/>
  <c r="A20" i="47"/>
  <c r="F20" i="47" s="1"/>
  <c r="U19" i="47"/>
  <c r="T19" i="47"/>
  <c r="A19" i="47"/>
  <c r="P19" i="47" s="1"/>
  <c r="U18" i="47"/>
  <c r="T18" i="47"/>
  <c r="A18" i="47"/>
  <c r="P18" i="47" s="1"/>
  <c r="U17" i="47"/>
  <c r="T17" i="47"/>
  <c r="A17" i="47"/>
  <c r="B17" i="47" s="1"/>
  <c r="U16" i="47"/>
  <c r="T16" i="47"/>
  <c r="A16" i="47"/>
  <c r="F16" i="47" s="1"/>
  <c r="U15" i="47"/>
  <c r="T15" i="47"/>
  <c r="A15" i="47"/>
  <c r="P15" i="47" s="1"/>
  <c r="U14" i="47"/>
  <c r="T14" i="47"/>
  <c r="A14" i="47"/>
  <c r="P14" i="47" s="1"/>
  <c r="U13" i="47"/>
  <c r="T13" i="47"/>
  <c r="A13" i="47"/>
  <c r="U12" i="47"/>
  <c r="T12" i="47"/>
  <c r="A12" i="47"/>
  <c r="F12" i="47" s="1"/>
  <c r="U11" i="47"/>
  <c r="T11" i="47"/>
  <c r="A11" i="47"/>
  <c r="B11" i="47" s="1"/>
  <c r="U10" i="47"/>
  <c r="T10" i="47"/>
  <c r="A10" i="47"/>
  <c r="P10" i="47" s="1"/>
  <c r="U9" i="47"/>
  <c r="T9" i="47"/>
  <c r="A9" i="47"/>
  <c r="U8" i="47"/>
  <c r="T8" i="47"/>
  <c r="A8" i="47"/>
  <c r="F8" i="47" s="1"/>
  <c r="U7" i="47"/>
  <c r="T7" i="47"/>
  <c r="A7" i="47"/>
  <c r="U6" i="47"/>
  <c r="T6" i="47"/>
  <c r="A6" i="47"/>
  <c r="F6" i="47" s="1"/>
  <c r="U5" i="47"/>
  <c r="T5" i="47"/>
  <c r="A5" i="47"/>
  <c r="P5" i="47" s="1"/>
  <c r="U4" i="47"/>
  <c r="T4" i="47"/>
  <c r="A4" i="47"/>
  <c r="F4" i="47" s="1"/>
  <c r="U3" i="47"/>
  <c r="T3" i="47"/>
  <c r="A3" i="47"/>
  <c r="P3" i="47" s="1"/>
  <c r="U2" i="47"/>
  <c r="T2" i="47"/>
  <c r="A2" i="47"/>
  <c r="X53" i="18"/>
  <c r="W53" i="18"/>
  <c r="X52" i="18"/>
  <c r="W52" i="18"/>
  <c r="X51" i="18"/>
  <c r="W51" i="18"/>
  <c r="X50" i="18"/>
  <c r="W50" i="18"/>
  <c r="X49" i="18"/>
  <c r="W49" i="18"/>
  <c r="X48" i="18"/>
  <c r="W48" i="18"/>
  <c r="X47" i="18"/>
  <c r="W47" i="18"/>
  <c r="X46" i="18"/>
  <c r="W46" i="18"/>
  <c r="X45" i="18"/>
  <c r="W45" i="18"/>
  <c r="X44" i="18"/>
  <c r="W44" i="18"/>
  <c r="X43" i="18"/>
  <c r="W43" i="18"/>
  <c r="X42" i="18"/>
  <c r="W42" i="18"/>
  <c r="X41" i="18"/>
  <c r="W41" i="18"/>
  <c r="X40" i="18"/>
  <c r="W40" i="18"/>
  <c r="X39" i="18"/>
  <c r="W39" i="18"/>
  <c r="X38" i="18"/>
  <c r="W38" i="18"/>
  <c r="X37" i="18"/>
  <c r="W37" i="18"/>
  <c r="X36" i="18"/>
  <c r="W36" i="18"/>
  <c r="X35" i="18"/>
  <c r="W35" i="18"/>
  <c r="X34" i="18"/>
  <c r="W34" i="18"/>
  <c r="X33" i="18"/>
  <c r="W33" i="18"/>
  <c r="X32" i="18"/>
  <c r="W32" i="18"/>
  <c r="X31" i="18"/>
  <c r="W31" i="18"/>
  <c r="X30" i="18"/>
  <c r="W30" i="18"/>
  <c r="X29" i="18"/>
  <c r="W29" i="18"/>
  <c r="X28" i="18"/>
  <c r="W28" i="18"/>
  <c r="X27" i="18"/>
  <c r="W27" i="18"/>
  <c r="X26" i="18"/>
  <c r="W26" i="18"/>
  <c r="X25" i="18"/>
  <c r="W25" i="18"/>
  <c r="X24" i="18"/>
  <c r="W24" i="18"/>
  <c r="X23" i="18"/>
  <c r="W23" i="18"/>
  <c r="B23" i="18"/>
  <c r="X22" i="18"/>
  <c r="W22" i="18"/>
  <c r="X21" i="18"/>
  <c r="W21" i="18"/>
  <c r="X20" i="18"/>
  <c r="W20" i="18"/>
  <c r="X19" i="18"/>
  <c r="W19" i="18"/>
  <c r="X18" i="18"/>
  <c r="W18" i="18"/>
  <c r="X17" i="18"/>
  <c r="W17" i="18"/>
  <c r="X16" i="18"/>
  <c r="W16" i="18"/>
  <c r="X15" i="18"/>
  <c r="W15" i="18"/>
  <c r="X14" i="18"/>
  <c r="W14" i="18"/>
  <c r="X13" i="18"/>
  <c r="W13" i="18"/>
  <c r="X12" i="18"/>
  <c r="W12" i="18"/>
  <c r="X11" i="18"/>
  <c r="W11" i="18"/>
  <c r="X10" i="18"/>
  <c r="W10" i="18"/>
  <c r="X9" i="18"/>
  <c r="W9" i="18"/>
  <c r="X8" i="18"/>
  <c r="W8" i="18"/>
  <c r="K8" i="18"/>
  <c r="J8" i="18"/>
  <c r="X7" i="18"/>
  <c r="W7" i="18"/>
  <c r="K7" i="18"/>
  <c r="J7" i="18"/>
  <c r="X6" i="18"/>
  <c r="W6" i="18"/>
  <c r="K6" i="18"/>
  <c r="J6" i="18"/>
  <c r="B6" i="18"/>
  <c r="X5" i="18"/>
  <c r="W5" i="18"/>
  <c r="K5" i="18"/>
  <c r="J5" i="18"/>
  <c r="B5" i="18"/>
  <c r="E896" i="1"/>
  <c r="D896" i="1"/>
  <c r="E895" i="1"/>
  <c r="D895" i="1"/>
  <c r="E894" i="1"/>
  <c r="D894" i="1"/>
  <c r="E893" i="1"/>
  <c r="D893" i="1"/>
  <c r="E892" i="1"/>
  <c r="D892" i="1"/>
  <c r="E891" i="1"/>
  <c r="D891" i="1"/>
  <c r="E890" i="1"/>
  <c r="D890" i="1"/>
  <c r="E889" i="1"/>
  <c r="D889" i="1"/>
  <c r="E888" i="1"/>
  <c r="D888" i="1"/>
  <c r="E887" i="1"/>
  <c r="D887" i="1"/>
  <c r="E886" i="1"/>
  <c r="D886" i="1"/>
  <c r="E885" i="1"/>
  <c r="D885" i="1"/>
  <c r="E884" i="1"/>
  <c r="D884" i="1"/>
  <c r="E883" i="1"/>
  <c r="D883" i="1"/>
  <c r="E882" i="1"/>
  <c r="D882" i="1"/>
  <c r="E881" i="1"/>
  <c r="D881" i="1"/>
  <c r="E880" i="1"/>
  <c r="D880" i="1"/>
  <c r="E879" i="1"/>
  <c r="D879" i="1"/>
  <c r="E878" i="1"/>
  <c r="D878" i="1"/>
  <c r="E877" i="1"/>
  <c r="D877" i="1"/>
  <c r="E876" i="1"/>
  <c r="D876" i="1"/>
  <c r="E875" i="1"/>
  <c r="E874" i="1"/>
  <c r="D874" i="1"/>
  <c r="E873" i="1"/>
  <c r="D873" i="1"/>
  <c r="E872" i="1"/>
  <c r="D872" i="1"/>
  <c r="E871" i="1"/>
  <c r="D871" i="1"/>
  <c r="E870" i="1"/>
  <c r="D870" i="1"/>
  <c r="E869" i="1"/>
  <c r="D869" i="1"/>
  <c r="E868" i="1"/>
  <c r="D868" i="1"/>
  <c r="E867" i="1"/>
  <c r="D867" i="1"/>
  <c r="E866" i="1"/>
  <c r="D866" i="1"/>
  <c r="E865" i="1"/>
  <c r="D865" i="1"/>
  <c r="E864" i="1"/>
  <c r="D864" i="1"/>
  <c r="E863" i="1"/>
  <c r="D863" i="1"/>
  <c r="E862" i="1"/>
  <c r="D862" i="1"/>
  <c r="E861" i="1"/>
  <c r="D861" i="1"/>
  <c r="E860" i="1"/>
  <c r="D860" i="1"/>
  <c r="E859" i="1"/>
  <c r="D859" i="1"/>
  <c r="E858" i="1"/>
  <c r="D858" i="1"/>
  <c r="E856" i="1"/>
  <c r="D856" i="1"/>
  <c r="E855" i="1"/>
  <c r="D855" i="1"/>
  <c r="E854" i="1"/>
  <c r="D854" i="1"/>
  <c r="E853" i="1"/>
  <c r="E852" i="1"/>
  <c r="D852" i="1"/>
  <c r="E851" i="1"/>
  <c r="D851" i="1"/>
  <c r="E850" i="1"/>
  <c r="D850" i="1"/>
  <c r="E849" i="1"/>
  <c r="D849" i="1"/>
  <c r="E848" i="1"/>
  <c r="D848" i="1"/>
  <c r="E847" i="1"/>
  <c r="D847" i="1"/>
  <c r="E846" i="1"/>
  <c r="D846" i="1"/>
  <c r="E845" i="1"/>
  <c r="D845" i="1"/>
  <c r="E844" i="1"/>
  <c r="D844" i="1"/>
  <c r="E843" i="1"/>
  <c r="D843" i="1"/>
  <c r="E842" i="1"/>
  <c r="D842" i="1"/>
  <c r="E841" i="1"/>
  <c r="D841" i="1"/>
  <c r="E840" i="1"/>
  <c r="D840" i="1"/>
  <c r="E839" i="1"/>
  <c r="D839" i="1"/>
  <c r="E838" i="1"/>
  <c r="D838" i="1"/>
  <c r="E837" i="1"/>
  <c r="D837" i="1"/>
  <c r="E836" i="1"/>
  <c r="D836" i="1"/>
  <c r="E835" i="1"/>
  <c r="D835" i="1"/>
  <c r="E834" i="1"/>
  <c r="D834" i="1"/>
  <c r="E833" i="1"/>
  <c r="D833" i="1"/>
  <c r="E832" i="1"/>
  <c r="D832" i="1"/>
  <c r="E831" i="1"/>
  <c r="D831" i="1"/>
  <c r="E829" i="1"/>
  <c r="D829" i="1"/>
  <c r="E828" i="1"/>
  <c r="D828" i="1"/>
  <c r="E827" i="1"/>
  <c r="D827" i="1"/>
  <c r="E826" i="1"/>
  <c r="D826" i="1"/>
  <c r="E825" i="1"/>
  <c r="D825" i="1"/>
  <c r="E824" i="1"/>
  <c r="D824" i="1"/>
  <c r="E822" i="1"/>
  <c r="D822" i="1"/>
  <c r="E821" i="1"/>
  <c r="D821" i="1"/>
  <c r="E820" i="1"/>
  <c r="D820" i="1"/>
  <c r="E819" i="1"/>
  <c r="D819" i="1"/>
  <c r="E818" i="1"/>
  <c r="D818" i="1"/>
  <c r="E817" i="1"/>
  <c r="D817" i="1"/>
  <c r="E816" i="1"/>
  <c r="D816" i="1"/>
  <c r="E815" i="1"/>
  <c r="D815" i="1"/>
  <c r="E814" i="1"/>
  <c r="D814" i="1"/>
  <c r="E813" i="1"/>
  <c r="D813" i="1"/>
  <c r="E812" i="1"/>
  <c r="D812" i="1"/>
  <c r="E811" i="1"/>
  <c r="D811" i="1"/>
  <c r="E810" i="1"/>
  <c r="D810" i="1"/>
  <c r="E809" i="1"/>
  <c r="D809" i="1"/>
  <c r="E808" i="1"/>
  <c r="D808" i="1"/>
  <c r="E807" i="1"/>
  <c r="D807" i="1"/>
  <c r="E806" i="1"/>
  <c r="D806" i="1"/>
  <c r="E805" i="1"/>
  <c r="D805" i="1"/>
  <c r="E804" i="1"/>
  <c r="D804" i="1"/>
  <c r="E803" i="1"/>
  <c r="D803" i="1"/>
  <c r="E801" i="1"/>
  <c r="D801" i="1"/>
  <c r="E800" i="1"/>
  <c r="D800" i="1"/>
  <c r="E799" i="1"/>
  <c r="D799" i="1"/>
  <c r="E798" i="1"/>
  <c r="D798" i="1"/>
  <c r="E797" i="1"/>
  <c r="D797" i="1"/>
  <c r="E796" i="1"/>
  <c r="D796" i="1"/>
  <c r="E795" i="1"/>
  <c r="D795" i="1"/>
  <c r="E794" i="1"/>
  <c r="D794" i="1"/>
  <c r="E793" i="1"/>
  <c r="D793" i="1"/>
  <c r="E792" i="1"/>
  <c r="D792" i="1"/>
  <c r="E791" i="1"/>
  <c r="D791" i="1"/>
  <c r="E790" i="1"/>
  <c r="D790" i="1"/>
  <c r="E789" i="1"/>
  <c r="D789" i="1"/>
  <c r="E786" i="1"/>
  <c r="D786" i="1"/>
  <c r="E785" i="1"/>
  <c r="D785" i="1"/>
  <c r="E784" i="1"/>
  <c r="D784" i="1"/>
  <c r="E783" i="1"/>
  <c r="D783" i="1"/>
  <c r="E782" i="1"/>
  <c r="D782" i="1"/>
  <c r="E781" i="1"/>
  <c r="D781" i="1"/>
  <c r="E780" i="1"/>
  <c r="D780" i="1"/>
  <c r="E779" i="1"/>
  <c r="D779" i="1"/>
  <c r="E778" i="1"/>
  <c r="D778" i="1"/>
  <c r="E777" i="1"/>
  <c r="D777" i="1"/>
  <c r="E776" i="1"/>
  <c r="D776" i="1"/>
  <c r="E775" i="1"/>
  <c r="D775" i="1"/>
  <c r="E774" i="1"/>
  <c r="D774" i="1"/>
  <c r="E773" i="1"/>
  <c r="D773" i="1"/>
  <c r="E772" i="1"/>
  <c r="D772" i="1"/>
  <c r="E771" i="1"/>
  <c r="D771" i="1"/>
  <c r="E770" i="1"/>
  <c r="D770" i="1"/>
  <c r="E769" i="1"/>
  <c r="D769" i="1"/>
  <c r="E768" i="1"/>
  <c r="D768" i="1"/>
  <c r="E767" i="1"/>
  <c r="E766" i="1"/>
  <c r="D766" i="1"/>
  <c r="E765" i="1"/>
  <c r="D765" i="1"/>
  <c r="E764" i="1"/>
  <c r="D764" i="1"/>
  <c r="E763" i="1"/>
  <c r="D763" i="1"/>
  <c r="E762" i="1"/>
  <c r="D762" i="1"/>
  <c r="E761" i="1"/>
  <c r="D761" i="1"/>
  <c r="E760" i="1"/>
  <c r="D760" i="1"/>
  <c r="E759" i="1"/>
  <c r="D759" i="1"/>
  <c r="E758" i="1"/>
  <c r="D758" i="1"/>
  <c r="E757" i="1"/>
  <c r="D757" i="1"/>
  <c r="E756" i="1"/>
  <c r="D756" i="1"/>
  <c r="E755" i="1"/>
  <c r="D755" i="1"/>
  <c r="E754" i="1"/>
  <c r="D754" i="1"/>
  <c r="E753" i="1"/>
  <c r="D753" i="1"/>
  <c r="E752" i="1"/>
  <c r="D752" i="1"/>
  <c r="E751" i="1"/>
  <c r="D751" i="1"/>
  <c r="E750" i="1"/>
  <c r="D750" i="1"/>
  <c r="E749" i="1"/>
  <c r="D749" i="1"/>
  <c r="E748" i="1"/>
  <c r="D748" i="1"/>
  <c r="E747" i="1"/>
  <c r="D747" i="1"/>
  <c r="E746" i="1"/>
  <c r="D746" i="1"/>
  <c r="E745" i="1"/>
  <c r="D745" i="1"/>
  <c r="E744" i="1"/>
  <c r="D744" i="1"/>
  <c r="E743" i="1"/>
  <c r="D743" i="1"/>
  <c r="E742" i="1"/>
  <c r="E741" i="1"/>
  <c r="D741" i="1"/>
  <c r="E740" i="1"/>
  <c r="D740" i="1"/>
  <c r="E739" i="1"/>
  <c r="D739" i="1"/>
  <c r="E738" i="1"/>
  <c r="D738" i="1"/>
  <c r="E737" i="1"/>
  <c r="D737" i="1"/>
  <c r="E736" i="1"/>
  <c r="D736" i="1"/>
  <c r="E735" i="1"/>
  <c r="E734" i="1"/>
  <c r="D734" i="1"/>
  <c r="E733" i="1"/>
  <c r="D733" i="1"/>
  <c r="E731" i="1"/>
  <c r="D731" i="1"/>
  <c r="E730" i="1"/>
  <c r="D730" i="1"/>
  <c r="E729" i="1"/>
  <c r="D729" i="1"/>
  <c r="E728" i="1"/>
  <c r="D728" i="1"/>
  <c r="E727" i="1"/>
  <c r="D727" i="1"/>
  <c r="E725" i="1"/>
  <c r="D725" i="1"/>
  <c r="E724" i="1"/>
  <c r="D724" i="1"/>
  <c r="E723" i="1"/>
  <c r="D723" i="1"/>
  <c r="E722" i="1"/>
  <c r="D722" i="1"/>
  <c r="E721" i="1"/>
  <c r="D721" i="1"/>
  <c r="E720" i="1"/>
  <c r="D720" i="1"/>
  <c r="E719" i="1"/>
  <c r="D719" i="1"/>
  <c r="E718" i="1"/>
  <c r="D718" i="1"/>
  <c r="E717" i="1"/>
  <c r="D717" i="1"/>
  <c r="E716" i="1"/>
  <c r="D716" i="1"/>
  <c r="E715" i="1"/>
  <c r="D715" i="1"/>
  <c r="E714" i="1"/>
  <c r="D714" i="1"/>
  <c r="E713" i="1"/>
  <c r="D713" i="1"/>
  <c r="E712" i="1"/>
  <c r="D712" i="1"/>
  <c r="E709" i="1"/>
  <c r="D709" i="1"/>
  <c r="E708" i="1"/>
  <c r="D708" i="1"/>
  <c r="E707" i="1"/>
  <c r="D707" i="1"/>
  <c r="E706" i="1"/>
  <c r="D706" i="1"/>
  <c r="E705" i="1"/>
  <c r="D705" i="1"/>
  <c r="E704" i="1"/>
  <c r="D704" i="1"/>
  <c r="E703" i="1"/>
  <c r="D703" i="1"/>
  <c r="E702" i="1"/>
  <c r="E701" i="1"/>
  <c r="D701" i="1"/>
  <c r="E700" i="1"/>
  <c r="D700" i="1"/>
  <c r="E699" i="1"/>
  <c r="D699" i="1"/>
  <c r="E698" i="1"/>
  <c r="D698" i="1"/>
  <c r="E697" i="1"/>
  <c r="D697" i="1"/>
  <c r="E696" i="1"/>
  <c r="D696" i="1"/>
  <c r="E694" i="1"/>
  <c r="D694" i="1"/>
  <c r="E693" i="1"/>
  <c r="D693" i="1"/>
  <c r="E692" i="1"/>
  <c r="D692" i="1"/>
  <c r="E691" i="1"/>
  <c r="D691" i="1"/>
  <c r="E690" i="1"/>
  <c r="D690" i="1"/>
  <c r="E689" i="1"/>
  <c r="D689" i="1"/>
  <c r="E688" i="1"/>
  <c r="D688" i="1"/>
  <c r="E687" i="1"/>
  <c r="D687" i="1"/>
  <c r="E686" i="1"/>
  <c r="D686" i="1"/>
  <c r="E685" i="1"/>
  <c r="D685" i="1"/>
  <c r="E684" i="1"/>
  <c r="D684" i="1"/>
  <c r="E682" i="1"/>
  <c r="D682" i="1"/>
  <c r="E681" i="1"/>
  <c r="D681" i="1"/>
  <c r="E680" i="1"/>
  <c r="D680" i="1"/>
  <c r="E679" i="1"/>
  <c r="D679" i="1"/>
  <c r="E678" i="1"/>
  <c r="D678" i="1"/>
  <c r="E677" i="1"/>
  <c r="D677" i="1"/>
  <c r="E676" i="1"/>
  <c r="D676" i="1"/>
  <c r="E675" i="1"/>
  <c r="D675" i="1"/>
  <c r="E674" i="1"/>
  <c r="D674" i="1"/>
  <c r="E673" i="1"/>
  <c r="D673" i="1"/>
  <c r="E672" i="1"/>
  <c r="D672" i="1"/>
  <c r="E671" i="1"/>
  <c r="D671" i="1"/>
  <c r="E670" i="1"/>
  <c r="D670" i="1"/>
  <c r="E669" i="1"/>
  <c r="D669" i="1"/>
  <c r="E667" i="1"/>
  <c r="D667" i="1"/>
  <c r="E666" i="1"/>
  <c r="D666" i="1"/>
  <c r="E665" i="1"/>
  <c r="D665" i="1"/>
  <c r="E664" i="1"/>
  <c r="D664" i="1"/>
  <c r="E663" i="1"/>
  <c r="D663" i="1"/>
  <c r="E662" i="1"/>
  <c r="D662" i="1"/>
  <c r="E661" i="1"/>
  <c r="D661" i="1"/>
  <c r="E660" i="1"/>
  <c r="D660" i="1"/>
  <c r="E659" i="1"/>
  <c r="D659" i="1"/>
  <c r="E658" i="1"/>
  <c r="D658" i="1"/>
  <c r="E657" i="1"/>
  <c r="D657" i="1"/>
  <c r="E656" i="1"/>
  <c r="E655" i="1"/>
  <c r="D655" i="1"/>
  <c r="E654" i="1"/>
  <c r="D654" i="1"/>
  <c r="E653" i="1"/>
  <c r="D653" i="1"/>
  <c r="E651" i="1"/>
  <c r="D651" i="1"/>
  <c r="E650" i="1"/>
  <c r="D650" i="1"/>
  <c r="E649" i="1"/>
  <c r="D649" i="1"/>
  <c r="E648" i="1"/>
  <c r="D648" i="1"/>
  <c r="E647" i="1"/>
  <c r="D647" i="1"/>
  <c r="E646" i="1"/>
  <c r="D646" i="1"/>
  <c r="E645" i="1"/>
  <c r="E644" i="1"/>
  <c r="D644" i="1"/>
  <c r="E643" i="1"/>
  <c r="D643" i="1"/>
  <c r="E642" i="1"/>
  <c r="D642" i="1"/>
  <c r="E641" i="1"/>
  <c r="D641" i="1"/>
  <c r="E640" i="1"/>
  <c r="D640" i="1"/>
  <c r="E639" i="1"/>
  <c r="D639" i="1"/>
  <c r="E638" i="1"/>
  <c r="D638" i="1"/>
  <c r="E637" i="1"/>
  <c r="D637" i="1"/>
  <c r="E636" i="1"/>
  <c r="E635" i="1"/>
  <c r="E634" i="1"/>
  <c r="D634" i="1"/>
  <c r="E633" i="1"/>
  <c r="D633" i="1"/>
  <c r="E632" i="1"/>
  <c r="D632" i="1"/>
  <c r="E631" i="1"/>
  <c r="D631" i="1"/>
  <c r="E630" i="1"/>
  <c r="D630" i="1"/>
  <c r="E629" i="1"/>
  <c r="D629" i="1"/>
  <c r="E628" i="1"/>
  <c r="D628" i="1"/>
  <c r="E627" i="1"/>
  <c r="D627" i="1"/>
  <c r="E626" i="1"/>
  <c r="D626" i="1"/>
  <c r="E625" i="1"/>
  <c r="D625" i="1"/>
  <c r="E624" i="1"/>
  <c r="D624" i="1"/>
  <c r="E623" i="1"/>
  <c r="D623" i="1"/>
  <c r="E622" i="1"/>
  <c r="D622" i="1"/>
  <c r="E621" i="1"/>
  <c r="D621" i="1"/>
  <c r="E620" i="1"/>
  <c r="D620" i="1"/>
  <c r="E619" i="1"/>
  <c r="D619" i="1"/>
  <c r="E618" i="1"/>
  <c r="D618" i="1"/>
  <c r="E617" i="1"/>
  <c r="D617" i="1"/>
  <c r="E616" i="1"/>
  <c r="D616" i="1"/>
  <c r="E615" i="1"/>
  <c r="D615" i="1"/>
  <c r="E614" i="1"/>
  <c r="D614" i="1"/>
  <c r="E612" i="1"/>
  <c r="D612" i="1"/>
  <c r="E611" i="1"/>
  <c r="D611" i="1"/>
  <c r="E610" i="1"/>
  <c r="D610" i="1"/>
  <c r="E609" i="1"/>
  <c r="D609" i="1"/>
  <c r="E608" i="1"/>
  <c r="D608" i="1"/>
  <c r="E607" i="1"/>
  <c r="D607" i="1"/>
  <c r="E606" i="1"/>
  <c r="D606" i="1"/>
  <c r="E605" i="1"/>
  <c r="D605" i="1"/>
  <c r="E604" i="1"/>
  <c r="D604" i="1"/>
  <c r="E603" i="1"/>
  <c r="D603" i="1"/>
  <c r="E601" i="1"/>
  <c r="D601" i="1"/>
  <c r="E600" i="1"/>
  <c r="D600" i="1"/>
  <c r="E599" i="1"/>
  <c r="D599" i="1"/>
  <c r="E598" i="1"/>
  <c r="D598" i="1"/>
  <c r="E597" i="1"/>
  <c r="D597" i="1"/>
  <c r="E596" i="1"/>
  <c r="D596" i="1"/>
  <c r="E594" i="1"/>
  <c r="D594" i="1"/>
  <c r="E593" i="1"/>
  <c r="D593" i="1"/>
  <c r="E592" i="1"/>
  <c r="D592" i="1"/>
  <c r="E591" i="1"/>
  <c r="D591" i="1"/>
  <c r="E590" i="1"/>
  <c r="D590" i="1"/>
  <c r="E589" i="1"/>
  <c r="E588" i="1"/>
  <c r="D588" i="1"/>
  <c r="E587" i="1"/>
  <c r="D587" i="1"/>
  <c r="E585" i="1"/>
  <c r="D585" i="1"/>
  <c r="E584" i="1"/>
  <c r="D584" i="1"/>
  <c r="E583" i="1"/>
  <c r="D583" i="1"/>
  <c r="E582" i="1"/>
  <c r="D582" i="1"/>
  <c r="E581" i="1"/>
  <c r="D581" i="1"/>
  <c r="E580" i="1"/>
  <c r="D580" i="1"/>
  <c r="E579" i="1"/>
  <c r="D579" i="1"/>
  <c r="E577" i="1"/>
  <c r="D577" i="1"/>
  <c r="E576" i="1"/>
  <c r="D576" i="1"/>
  <c r="E575" i="1"/>
  <c r="D575" i="1"/>
  <c r="E574" i="1"/>
  <c r="D574" i="1"/>
  <c r="E573" i="1"/>
  <c r="D573" i="1"/>
  <c r="E572" i="1"/>
  <c r="D572" i="1"/>
  <c r="E571" i="1"/>
  <c r="D571" i="1"/>
  <c r="E570" i="1"/>
  <c r="D570" i="1"/>
  <c r="E569" i="1"/>
  <c r="D569" i="1"/>
  <c r="E568" i="1"/>
  <c r="D568" i="1"/>
  <c r="E567" i="1"/>
  <c r="D567" i="1"/>
  <c r="E566" i="1"/>
  <c r="D566" i="1"/>
  <c r="E565" i="1"/>
  <c r="D565" i="1"/>
  <c r="E564" i="1"/>
  <c r="D564" i="1"/>
  <c r="E563" i="1"/>
  <c r="D563" i="1"/>
  <c r="E562" i="1"/>
  <c r="D562" i="1"/>
  <c r="E561" i="1"/>
  <c r="D561" i="1"/>
  <c r="E560" i="1"/>
  <c r="D560" i="1"/>
  <c r="E559" i="1"/>
  <c r="D559" i="1"/>
  <c r="E557" i="1"/>
  <c r="D557" i="1"/>
  <c r="E556" i="1"/>
  <c r="D556" i="1"/>
  <c r="E554" i="1"/>
  <c r="D554" i="1"/>
  <c r="E553" i="1"/>
  <c r="D553" i="1"/>
  <c r="E552" i="1"/>
  <c r="E551" i="1"/>
  <c r="D551" i="1"/>
  <c r="E550" i="1"/>
  <c r="D550" i="1"/>
  <c r="E549" i="1"/>
  <c r="D549" i="1"/>
  <c r="E547" i="1"/>
  <c r="D547" i="1"/>
  <c r="E546" i="1"/>
  <c r="D546" i="1"/>
  <c r="E545" i="1"/>
  <c r="D545" i="1"/>
  <c r="E544" i="1"/>
  <c r="D544" i="1"/>
  <c r="E543" i="1"/>
  <c r="D543" i="1"/>
  <c r="E542" i="1"/>
  <c r="E541" i="1"/>
  <c r="D541" i="1"/>
  <c r="E539" i="1"/>
  <c r="D539" i="1"/>
  <c r="E538" i="1"/>
  <c r="D538" i="1"/>
  <c r="E537" i="1"/>
  <c r="D537" i="1"/>
  <c r="E536" i="1"/>
  <c r="D536" i="1"/>
  <c r="E535" i="1"/>
  <c r="D535" i="1"/>
  <c r="E534" i="1"/>
  <c r="D534" i="1"/>
  <c r="E533" i="1"/>
  <c r="D533" i="1"/>
  <c r="E532" i="1"/>
  <c r="D532" i="1"/>
  <c r="E531" i="1"/>
  <c r="D531" i="1"/>
  <c r="E530" i="1"/>
  <c r="D530" i="1"/>
  <c r="E529" i="1"/>
  <c r="D529" i="1"/>
  <c r="E528" i="1"/>
  <c r="D528" i="1"/>
  <c r="E527" i="1"/>
  <c r="E526" i="1"/>
  <c r="D526" i="1"/>
  <c r="E525" i="1"/>
  <c r="D525" i="1"/>
  <c r="E524" i="1"/>
  <c r="D524" i="1"/>
  <c r="E523" i="1"/>
  <c r="D523" i="1"/>
  <c r="E522" i="1"/>
  <c r="D522" i="1"/>
  <c r="E521" i="1"/>
  <c r="D521" i="1"/>
  <c r="E520" i="1"/>
  <c r="D520" i="1"/>
  <c r="E519" i="1"/>
  <c r="D519" i="1"/>
  <c r="E518" i="1"/>
  <c r="D518" i="1"/>
  <c r="E517" i="1"/>
  <c r="D517" i="1"/>
  <c r="E516" i="1"/>
  <c r="D516" i="1"/>
  <c r="E515" i="1"/>
  <c r="D515" i="1"/>
  <c r="E514" i="1"/>
  <c r="D514" i="1"/>
  <c r="E513" i="1"/>
  <c r="D513" i="1"/>
  <c r="E512" i="1"/>
  <c r="D512" i="1"/>
  <c r="E511" i="1"/>
  <c r="D511" i="1"/>
  <c r="E510" i="1"/>
  <c r="D510" i="1"/>
  <c r="E509" i="1"/>
  <c r="D509" i="1"/>
  <c r="E508" i="1"/>
  <c r="D508" i="1"/>
  <c r="E507" i="1"/>
  <c r="D507" i="1"/>
  <c r="E506" i="1"/>
  <c r="D506" i="1"/>
  <c r="E505" i="1"/>
  <c r="D505" i="1"/>
  <c r="E504" i="1"/>
  <c r="D504" i="1"/>
  <c r="E503" i="1"/>
  <c r="D503" i="1"/>
  <c r="E502" i="1"/>
  <c r="D502" i="1"/>
  <c r="E501" i="1"/>
  <c r="D501" i="1"/>
  <c r="E500" i="1"/>
  <c r="D500" i="1"/>
  <c r="E499" i="1"/>
  <c r="D499" i="1"/>
  <c r="E498" i="1"/>
  <c r="D498" i="1"/>
  <c r="E497" i="1"/>
  <c r="D497" i="1"/>
  <c r="E496" i="1"/>
  <c r="D496" i="1"/>
  <c r="E495" i="1"/>
  <c r="D495" i="1"/>
  <c r="E494" i="1"/>
  <c r="D494" i="1"/>
  <c r="E493" i="1"/>
  <c r="D493" i="1"/>
  <c r="E492" i="1"/>
  <c r="D492" i="1"/>
  <c r="E491" i="1"/>
  <c r="D491" i="1"/>
  <c r="E490" i="1"/>
  <c r="D490" i="1"/>
  <c r="E489" i="1"/>
  <c r="D489" i="1"/>
  <c r="E488" i="1"/>
  <c r="D488" i="1"/>
  <c r="E487" i="1"/>
  <c r="D487" i="1"/>
  <c r="E486" i="1"/>
  <c r="D486" i="1"/>
  <c r="E485" i="1"/>
  <c r="D485" i="1"/>
  <c r="E484" i="1"/>
  <c r="D484" i="1"/>
  <c r="E483" i="1"/>
  <c r="D483" i="1"/>
  <c r="E482" i="1"/>
  <c r="D482" i="1"/>
  <c r="E481" i="1"/>
  <c r="D481" i="1"/>
  <c r="E480" i="1"/>
  <c r="D480" i="1"/>
  <c r="E479" i="1"/>
  <c r="D479" i="1"/>
  <c r="E478" i="1"/>
  <c r="D478" i="1"/>
  <c r="E477" i="1"/>
  <c r="D477" i="1"/>
  <c r="E476" i="1"/>
  <c r="D476" i="1"/>
  <c r="E475" i="1"/>
  <c r="D475" i="1"/>
  <c r="E474" i="1"/>
  <c r="D474" i="1"/>
  <c r="E473" i="1"/>
  <c r="D473" i="1"/>
  <c r="E472" i="1"/>
  <c r="D472" i="1"/>
  <c r="E471" i="1"/>
  <c r="D471" i="1"/>
  <c r="E470" i="1"/>
  <c r="D470" i="1"/>
  <c r="E469" i="1"/>
  <c r="D469" i="1"/>
  <c r="E468" i="1"/>
  <c r="D468" i="1"/>
  <c r="E467" i="1"/>
  <c r="D467" i="1"/>
  <c r="E466" i="1"/>
  <c r="D466" i="1"/>
  <c r="E465" i="1"/>
  <c r="E464" i="1"/>
  <c r="D464" i="1"/>
  <c r="E463" i="1"/>
  <c r="D463" i="1"/>
  <c r="E462" i="1"/>
  <c r="E461" i="1"/>
  <c r="E460" i="1"/>
  <c r="D460" i="1"/>
  <c r="E459" i="1"/>
  <c r="E458" i="1"/>
  <c r="D458" i="1"/>
  <c r="E457" i="1"/>
  <c r="D457" i="1"/>
  <c r="E456" i="1"/>
  <c r="D456" i="1"/>
  <c r="E455" i="1"/>
  <c r="D455" i="1"/>
  <c r="E454" i="1"/>
  <c r="D454" i="1"/>
  <c r="E453" i="1"/>
  <c r="D453" i="1"/>
  <c r="E452" i="1"/>
  <c r="D452" i="1"/>
  <c r="E451" i="1"/>
  <c r="D451" i="1"/>
  <c r="E450" i="1"/>
  <c r="D450" i="1"/>
  <c r="E449" i="1"/>
  <c r="D449" i="1"/>
  <c r="E448" i="1"/>
  <c r="D448" i="1"/>
  <c r="E447" i="1"/>
  <c r="D447" i="1"/>
  <c r="E446" i="1"/>
  <c r="D446" i="1"/>
  <c r="E445" i="1"/>
  <c r="D445" i="1"/>
  <c r="E444" i="1"/>
  <c r="D444" i="1"/>
  <c r="E443" i="1"/>
  <c r="D443" i="1"/>
  <c r="E442" i="1"/>
  <c r="D442" i="1"/>
  <c r="E441" i="1"/>
  <c r="D441" i="1"/>
  <c r="E440" i="1"/>
  <c r="D440" i="1"/>
  <c r="E439" i="1"/>
  <c r="D439" i="1"/>
  <c r="E438" i="1"/>
  <c r="D438" i="1"/>
  <c r="E437" i="1"/>
  <c r="D437" i="1"/>
  <c r="E436" i="1"/>
  <c r="D436" i="1"/>
  <c r="E435" i="1"/>
  <c r="D435" i="1"/>
  <c r="E434" i="1"/>
  <c r="D434" i="1"/>
  <c r="E433" i="1"/>
  <c r="D433" i="1"/>
  <c r="E432" i="1"/>
  <c r="D432" i="1"/>
  <c r="E431" i="1"/>
  <c r="D431" i="1"/>
  <c r="E430" i="1"/>
  <c r="D430" i="1"/>
  <c r="E429" i="1"/>
  <c r="D429" i="1"/>
  <c r="E428" i="1"/>
  <c r="D428" i="1"/>
  <c r="E427" i="1"/>
  <c r="D427" i="1"/>
  <c r="E426" i="1"/>
  <c r="D426" i="1"/>
  <c r="E425" i="1"/>
  <c r="D425" i="1"/>
  <c r="E424" i="1"/>
  <c r="D424" i="1"/>
  <c r="E422" i="1"/>
  <c r="E421" i="1"/>
  <c r="E420" i="1"/>
  <c r="D420" i="1"/>
  <c r="E418" i="1"/>
  <c r="D418" i="1"/>
  <c r="E416" i="1"/>
  <c r="D416" i="1"/>
  <c r="E415" i="1"/>
  <c r="D415" i="1"/>
  <c r="E414" i="1"/>
  <c r="D414" i="1"/>
  <c r="E413" i="1"/>
  <c r="D413" i="1"/>
  <c r="E412" i="1"/>
  <c r="D412" i="1"/>
  <c r="E411" i="1"/>
  <c r="D411" i="1"/>
  <c r="E410" i="1"/>
  <c r="D410" i="1"/>
  <c r="E409" i="1"/>
  <c r="D409" i="1"/>
  <c r="E408" i="1"/>
  <c r="D408" i="1"/>
  <c r="E407" i="1"/>
  <c r="D407" i="1"/>
  <c r="E406" i="1"/>
  <c r="E404" i="1"/>
  <c r="D404" i="1"/>
  <c r="E403" i="1"/>
  <c r="D403" i="1"/>
  <c r="E402" i="1"/>
  <c r="D402" i="1"/>
  <c r="E401" i="1"/>
  <c r="D401" i="1"/>
  <c r="E400" i="1"/>
  <c r="D400" i="1"/>
  <c r="E399" i="1"/>
  <c r="D399" i="1"/>
  <c r="E398" i="1"/>
  <c r="D398" i="1"/>
  <c r="E397" i="1"/>
  <c r="D397" i="1"/>
  <c r="E396" i="1"/>
  <c r="D396" i="1"/>
  <c r="E395" i="1"/>
  <c r="D395" i="1"/>
  <c r="E394" i="1"/>
  <c r="D394" i="1"/>
  <c r="E393" i="1"/>
  <c r="D393" i="1"/>
  <c r="E392" i="1"/>
  <c r="D392" i="1"/>
  <c r="E391" i="1"/>
  <c r="D391" i="1"/>
  <c r="E390" i="1"/>
  <c r="D390" i="1"/>
  <c r="E388" i="1"/>
  <c r="D388" i="1"/>
  <c r="E387" i="1"/>
  <c r="D387" i="1"/>
  <c r="E386" i="1"/>
  <c r="D386" i="1"/>
  <c r="E385" i="1"/>
  <c r="D385" i="1"/>
  <c r="E384" i="1"/>
  <c r="D384" i="1"/>
  <c r="E383" i="1"/>
  <c r="D383" i="1"/>
  <c r="E382" i="1"/>
  <c r="E381" i="1"/>
  <c r="D381" i="1"/>
  <c r="E380" i="1"/>
  <c r="D380" i="1"/>
  <c r="E379" i="1"/>
  <c r="D379" i="1"/>
  <c r="E378" i="1"/>
  <c r="D378" i="1"/>
  <c r="E377" i="1"/>
  <c r="D377" i="1"/>
  <c r="E376" i="1"/>
  <c r="D376" i="1"/>
  <c r="E375" i="1"/>
  <c r="D375" i="1"/>
  <c r="E374" i="1"/>
  <c r="D374" i="1"/>
  <c r="E373" i="1"/>
  <c r="D373" i="1"/>
  <c r="E372" i="1"/>
  <c r="D372" i="1"/>
  <c r="E371" i="1"/>
  <c r="D371" i="1"/>
  <c r="E370" i="1"/>
  <c r="D370" i="1"/>
  <c r="E369" i="1"/>
  <c r="D369" i="1"/>
  <c r="E368" i="1"/>
  <c r="D368" i="1"/>
  <c r="E367" i="1"/>
  <c r="D367" i="1"/>
  <c r="E366" i="1"/>
  <c r="D366" i="1"/>
  <c r="E365" i="1"/>
  <c r="D365" i="1"/>
  <c r="E364" i="1"/>
  <c r="D364" i="1"/>
  <c r="E363" i="1"/>
  <c r="D363" i="1"/>
  <c r="E362" i="1"/>
  <c r="D362" i="1"/>
  <c r="E361" i="1"/>
  <c r="D361" i="1"/>
  <c r="E360" i="1"/>
  <c r="D360" i="1"/>
  <c r="E359" i="1"/>
  <c r="E358" i="1"/>
  <c r="E357" i="1"/>
  <c r="E356" i="1"/>
  <c r="D356" i="1"/>
  <c r="E355" i="1"/>
  <c r="D355" i="1"/>
  <c r="E354" i="1"/>
  <c r="D354" i="1"/>
  <c r="E353" i="1"/>
  <c r="D353" i="1"/>
  <c r="E352" i="1"/>
  <c r="D352" i="1"/>
  <c r="E351" i="1"/>
  <c r="D351" i="1"/>
  <c r="E349" i="1"/>
  <c r="E348" i="1"/>
  <c r="D348" i="1"/>
  <c r="E347" i="1"/>
  <c r="D347" i="1"/>
  <c r="E346" i="1"/>
  <c r="D346" i="1"/>
  <c r="E345" i="1"/>
  <c r="D345" i="1"/>
  <c r="E344" i="1"/>
  <c r="D344" i="1"/>
  <c r="E343" i="1"/>
  <c r="D343" i="1"/>
  <c r="E342" i="1"/>
  <c r="D342" i="1"/>
  <c r="E341" i="1"/>
  <c r="D341" i="1"/>
  <c r="E339" i="1"/>
  <c r="D339" i="1"/>
  <c r="E338" i="1"/>
  <c r="D338" i="1"/>
  <c r="E337" i="1"/>
  <c r="D337" i="1"/>
  <c r="E336" i="1"/>
  <c r="D336" i="1"/>
  <c r="E335" i="1"/>
  <c r="D335" i="1"/>
  <c r="E334" i="1"/>
  <c r="D334" i="1"/>
  <c r="E333" i="1"/>
  <c r="D333" i="1"/>
  <c r="E332" i="1"/>
  <c r="D332" i="1"/>
  <c r="E331" i="1"/>
  <c r="D331" i="1"/>
  <c r="E330" i="1"/>
  <c r="D330" i="1"/>
  <c r="E329" i="1"/>
  <c r="D329" i="1"/>
  <c r="E328" i="1"/>
  <c r="D328" i="1"/>
  <c r="E327" i="1"/>
  <c r="D327" i="1"/>
  <c r="E326" i="1"/>
  <c r="D326" i="1"/>
  <c r="E325" i="1"/>
  <c r="D325" i="1"/>
  <c r="E324" i="1"/>
  <c r="D324" i="1"/>
  <c r="E323" i="1"/>
  <c r="D323" i="1"/>
  <c r="E322" i="1"/>
  <c r="D322" i="1"/>
  <c r="E321" i="1"/>
  <c r="D321" i="1"/>
  <c r="E320" i="1"/>
  <c r="D320" i="1"/>
  <c r="E319" i="1"/>
  <c r="D319" i="1"/>
  <c r="E318" i="1"/>
  <c r="D318" i="1"/>
  <c r="E317" i="1"/>
  <c r="E316" i="1"/>
  <c r="D316" i="1"/>
  <c r="E315" i="1"/>
  <c r="D315" i="1"/>
  <c r="E314" i="1"/>
  <c r="D314" i="1"/>
  <c r="E313" i="1"/>
  <c r="D313" i="1"/>
  <c r="E312" i="1"/>
  <c r="D312" i="1"/>
  <c r="E311" i="1"/>
  <c r="D311" i="1"/>
  <c r="E310" i="1"/>
  <c r="D310" i="1"/>
  <c r="E309" i="1"/>
  <c r="D309" i="1"/>
  <c r="E308" i="1"/>
  <c r="D308" i="1"/>
  <c r="E307" i="1"/>
  <c r="D307" i="1"/>
  <c r="E306" i="1"/>
  <c r="D306" i="1"/>
  <c r="E305" i="1"/>
  <c r="D305" i="1"/>
  <c r="E304" i="1"/>
  <c r="D304" i="1"/>
  <c r="E303" i="1"/>
  <c r="D303" i="1"/>
  <c r="E302" i="1"/>
  <c r="D302" i="1"/>
  <c r="E301" i="1"/>
  <c r="D301" i="1"/>
  <c r="E300" i="1"/>
  <c r="D300" i="1"/>
  <c r="E299" i="1"/>
  <c r="D299" i="1"/>
  <c r="E298" i="1"/>
  <c r="D298" i="1"/>
  <c r="E297" i="1"/>
  <c r="D297" i="1"/>
  <c r="E296" i="1"/>
  <c r="D296" i="1"/>
  <c r="E295" i="1"/>
  <c r="D295" i="1"/>
  <c r="E294" i="1"/>
  <c r="D294" i="1"/>
  <c r="E293" i="1"/>
  <c r="D293" i="1"/>
  <c r="E292" i="1"/>
  <c r="D292" i="1"/>
  <c r="E291" i="1"/>
  <c r="D291" i="1"/>
  <c r="E288" i="1"/>
  <c r="D288" i="1"/>
  <c r="E287" i="1"/>
  <c r="D287" i="1"/>
  <c r="E286" i="1"/>
  <c r="D286" i="1"/>
  <c r="E285" i="1"/>
  <c r="D285" i="1"/>
  <c r="E284" i="1"/>
  <c r="D284" i="1"/>
  <c r="E283" i="1"/>
  <c r="D283" i="1"/>
  <c r="E282" i="1"/>
  <c r="D282" i="1"/>
  <c r="E281" i="1"/>
  <c r="D281" i="1"/>
  <c r="E280" i="1"/>
  <c r="D280" i="1"/>
  <c r="E279" i="1"/>
  <c r="D279" i="1"/>
  <c r="E278" i="1"/>
  <c r="D278" i="1"/>
  <c r="E277" i="1"/>
  <c r="D277" i="1"/>
  <c r="E276" i="1"/>
  <c r="D276" i="1"/>
  <c r="E275" i="1"/>
  <c r="D275" i="1"/>
  <c r="E274" i="1"/>
  <c r="D274" i="1"/>
  <c r="E273" i="1"/>
  <c r="D273" i="1"/>
  <c r="E272" i="1"/>
  <c r="D272" i="1"/>
  <c r="E271" i="1"/>
  <c r="D271" i="1"/>
  <c r="E270" i="1"/>
  <c r="D270" i="1"/>
  <c r="E269" i="1"/>
  <c r="D269" i="1"/>
  <c r="E268" i="1"/>
  <c r="D268" i="1"/>
  <c r="E267" i="1"/>
  <c r="D267" i="1"/>
  <c r="E266" i="1"/>
  <c r="D266" i="1"/>
  <c r="E265" i="1"/>
  <c r="D265" i="1"/>
  <c r="E264" i="1"/>
  <c r="D264" i="1"/>
  <c r="E263" i="1"/>
  <c r="D263" i="1"/>
  <c r="E262" i="1"/>
  <c r="D262" i="1"/>
  <c r="E261" i="1"/>
  <c r="D261" i="1"/>
  <c r="E260" i="1"/>
  <c r="D260" i="1"/>
  <c r="E259" i="1"/>
  <c r="D259" i="1"/>
  <c r="E258" i="1"/>
  <c r="D258" i="1"/>
  <c r="E257" i="1"/>
  <c r="D257" i="1"/>
  <c r="E256" i="1"/>
  <c r="D256" i="1"/>
  <c r="E255" i="1"/>
  <c r="D255" i="1"/>
  <c r="E254" i="1"/>
  <c r="D254" i="1"/>
  <c r="E253" i="1"/>
  <c r="D253" i="1"/>
  <c r="E252" i="1"/>
  <c r="D252" i="1"/>
  <c r="E251" i="1"/>
  <c r="D251" i="1"/>
  <c r="E250" i="1"/>
  <c r="D250" i="1"/>
  <c r="E249" i="1"/>
  <c r="D249" i="1"/>
  <c r="E248" i="1"/>
  <c r="D248" i="1"/>
  <c r="E247" i="1"/>
  <c r="D247" i="1"/>
  <c r="E246" i="1"/>
  <c r="D246" i="1"/>
  <c r="E245" i="1"/>
  <c r="D245" i="1"/>
  <c r="E244" i="1"/>
  <c r="D244" i="1"/>
  <c r="E243" i="1"/>
  <c r="D243" i="1"/>
  <c r="E241" i="1"/>
  <c r="D241" i="1"/>
  <c r="E240" i="1"/>
  <c r="D240" i="1"/>
  <c r="E239" i="1"/>
  <c r="D239" i="1"/>
  <c r="E237" i="1"/>
  <c r="D237" i="1"/>
  <c r="E236" i="1"/>
  <c r="D236" i="1"/>
  <c r="E234" i="1"/>
  <c r="D234" i="1"/>
  <c r="E233" i="1"/>
  <c r="D233" i="1"/>
  <c r="E232" i="1"/>
  <c r="D232" i="1"/>
  <c r="E231" i="1"/>
  <c r="D231" i="1"/>
  <c r="E230" i="1"/>
  <c r="D230" i="1"/>
  <c r="E229" i="1"/>
  <c r="D229" i="1"/>
  <c r="E228" i="1"/>
  <c r="D228" i="1"/>
  <c r="E227" i="1"/>
  <c r="D227" i="1"/>
  <c r="E226" i="1"/>
  <c r="D226" i="1"/>
  <c r="E225" i="1"/>
  <c r="D225" i="1"/>
  <c r="E224" i="1"/>
  <c r="D224" i="1"/>
  <c r="E223" i="1"/>
  <c r="D223" i="1"/>
  <c r="E222" i="1"/>
  <c r="D222" i="1"/>
  <c r="E221" i="1"/>
  <c r="D221" i="1"/>
  <c r="E220" i="1"/>
  <c r="D220" i="1"/>
  <c r="E219" i="1"/>
  <c r="D219" i="1"/>
  <c r="E218" i="1"/>
  <c r="D218" i="1"/>
  <c r="E217" i="1"/>
  <c r="D217" i="1"/>
  <c r="E216" i="1"/>
  <c r="D216" i="1"/>
  <c r="E215" i="1"/>
  <c r="D215" i="1"/>
  <c r="E213" i="1"/>
  <c r="D213" i="1"/>
  <c r="E212" i="1"/>
  <c r="D212" i="1"/>
  <c r="E211" i="1"/>
  <c r="D211" i="1"/>
  <c r="E210" i="1"/>
  <c r="D210" i="1"/>
  <c r="E209" i="1"/>
  <c r="D209" i="1"/>
  <c r="E208" i="1"/>
  <c r="D208" i="1"/>
  <c r="E207" i="1"/>
  <c r="D207" i="1"/>
  <c r="E206" i="1"/>
  <c r="D206" i="1"/>
  <c r="E205" i="1"/>
  <c r="D205" i="1"/>
  <c r="E204" i="1"/>
  <c r="D204" i="1"/>
  <c r="E202" i="1"/>
  <c r="D202" i="1"/>
  <c r="E201" i="1"/>
  <c r="D201" i="1"/>
  <c r="E200" i="1"/>
  <c r="E199" i="1"/>
  <c r="D199" i="1"/>
  <c r="E198" i="1"/>
  <c r="D198" i="1"/>
  <c r="E197" i="1"/>
  <c r="D197" i="1"/>
  <c r="E196" i="1"/>
  <c r="E195" i="1"/>
  <c r="D195" i="1"/>
  <c r="E194" i="1"/>
  <c r="D194" i="1"/>
  <c r="E193" i="1"/>
  <c r="D193" i="1"/>
  <c r="E191" i="1"/>
  <c r="D191" i="1"/>
  <c r="E190" i="1"/>
  <c r="D190" i="1"/>
  <c r="E189" i="1"/>
  <c r="D189" i="1"/>
  <c r="E188" i="1"/>
  <c r="D188" i="1"/>
  <c r="E187" i="1"/>
  <c r="E186" i="1"/>
  <c r="D186" i="1"/>
  <c r="E185" i="1"/>
  <c r="D185" i="1"/>
  <c r="E184" i="1"/>
  <c r="D184" i="1"/>
  <c r="E183" i="1"/>
  <c r="D183" i="1"/>
  <c r="E182" i="1"/>
  <c r="E181" i="1"/>
  <c r="D181" i="1"/>
  <c r="E180" i="1"/>
  <c r="D180" i="1"/>
  <c r="E179" i="1"/>
  <c r="D179" i="1"/>
  <c r="E178" i="1"/>
  <c r="D178" i="1"/>
  <c r="E177" i="1"/>
  <c r="D177" i="1"/>
  <c r="E176" i="1"/>
  <c r="D176" i="1"/>
  <c r="E175" i="1"/>
  <c r="D175" i="1"/>
  <c r="E174" i="1"/>
  <c r="D174" i="1"/>
  <c r="E173" i="1"/>
  <c r="D173" i="1"/>
  <c r="E172" i="1"/>
  <c r="D172" i="1"/>
  <c r="E171" i="1"/>
  <c r="D171" i="1"/>
  <c r="E170" i="1"/>
  <c r="D170" i="1"/>
  <c r="E169" i="1"/>
  <c r="D169" i="1"/>
  <c r="E167" i="1"/>
  <c r="D167" i="1"/>
  <c r="E166" i="1"/>
  <c r="D166" i="1"/>
  <c r="E165" i="1"/>
  <c r="D165" i="1"/>
  <c r="E164" i="1"/>
  <c r="D164" i="1"/>
  <c r="E163" i="1"/>
  <c r="D163" i="1"/>
  <c r="E162" i="1"/>
  <c r="D162" i="1"/>
  <c r="E161" i="1"/>
  <c r="D161" i="1"/>
  <c r="E160" i="1"/>
  <c r="D160" i="1"/>
  <c r="E159" i="1"/>
  <c r="D159" i="1"/>
  <c r="E158" i="1"/>
  <c r="D158" i="1"/>
  <c r="E157" i="1"/>
  <c r="D157" i="1"/>
  <c r="E156" i="1"/>
  <c r="D156" i="1"/>
  <c r="E155" i="1"/>
  <c r="D155" i="1"/>
  <c r="E154" i="1"/>
  <c r="E153" i="1"/>
  <c r="D153" i="1"/>
  <c r="E152" i="1"/>
  <c r="D152" i="1"/>
  <c r="E151" i="1"/>
  <c r="D151" i="1"/>
  <c r="E150" i="1"/>
  <c r="E149" i="1"/>
  <c r="D149" i="1"/>
  <c r="E148" i="1"/>
  <c r="D148" i="1"/>
  <c r="E147" i="1"/>
  <c r="D147" i="1"/>
  <c r="E146" i="1"/>
  <c r="D146" i="1"/>
  <c r="E145" i="1"/>
  <c r="D145" i="1"/>
  <c r="E144" i="1"/>
  <c r="D144" i="1"/>
  <c r="E143" i="1"/>
  <c r="D143" i="1"/>
  <c r="E142" i="1"/>
  <c r="D142" i="1"/>
  <c r="E140" i="1"/>
  <c r="D140" i="1"/>
  <c r="E139" i="1"/>
  <c r="D139" i="1"/>
  <c r="E138" i="1"/>
  <c r="D138" i="1"/>
  <c r="E137" i="1"/>
  <c r="D137" i="1"/>
  <c r="E136" i="1"/>
  <c r="D136" i="1"/>
  <c r="E135" i="1"/>
  <c r="D135" i="1"/>
  <c r="E134" i="1"/>
  <c r="D134" i="1"/>
  <c r="E133" i="1"/>
  <c r="D133" i="1"/>
  <c r="E132" i="1"/>
  <c r="D132" i="1"/>
  <c r="E131" i="1"/>
  <c r="D131" i="1"/>
  <c r="E130" i="1"/>
  <c r="D130" i="1"/>
  <c r="E129" i="1"/>
  <c r="D129" i="1"/>
  <c r="E128" i="1"/>
  <c r="D128" i="1"/>
  <c r="E127" i="1"/>
  <c r="D127" i="1"/>
  <c r="E126" i="1"/>
  <c r="D126" i="1"/>
  <c r="E125" i="1"/>
  <c r="D125" i="1"/>
  <c r="E124" i="1"/>
  <c r="D124" i="1"/>
  <c r="E123" i="1"/>
  <c r="D123" i="1"/>
  <c r="E122" i="1"/>
  <c r="D122" i="1"/>
  <c r="E121" i="1"/>
  <c r="D121" i="1"/>
  <c r="E120" i="1"/>
  <c r="D120" i="1"/>
  <c r="E119" i="1"/>
  <c r="D119" i="1"/>
  <c r="E118" i="1"/>
  <c r="D118" i="1"/>
  <c r="E117" i="1"/>
  <c r="D117" i="1"/>
  <c r="E116" i="1"/>
  <c r="D116" i="1"/>
  <c r="E115" i="1"/>
  <c r="D115" i="1"/>
  <c r="E114" i="1"/>
  <c r="D114" i="1"/>
  <c r="E113" i="1"/>
  <c r="E112" i="1"/>
  <c r="D112" i="1"/>
  <c r="E111" i="1"/>
  <c r="D111" i="1"/>
  <c r="E110" i="1"/>
  <c r="D110" i="1"/>
  <c r="E109" i="1"/>
  <c r="D109" i="1"/>
  <c r="E108" i="1"/>
  <c r="D108" i="1"/>
  <c r="E107" i="1"/>
  <c r="D107" i="1"/>
  <c r="E106" i="1"/>
  <c r="D106" i="1"/>
  <c r="E105" i="1"/>
  <c r="D105" i="1"/>
  <c r="E104" i="1"/>
  <c r="D104" i="1"/>
  <c r="E103" i="1"/>
  <c r="D103" i="1"/>
  <c r="E102" i="1"/>
  <c r="D102" i="1"/>
  <c r="E100" i="1"/>
  <c r="D100" i="1"/>
  <c r="E99" i="1"/>
  <c r="D99" i="1"/>
  <c r="E98" i="1"/>
  <c r="D98" i="1"/>
  <c r="E97" i="1"/>
  <c r="D97" i="1"/>
  <c r="E96" i="1"/>
  <c r="D96" i="1"/>
  <c r="E95" i="1"/>
  <c r="D95" i="1"/>
  <c r="E94" i="1"/>
  <c r="D94" i="1"/>
  <c r="E93" i="1"/>
  <c r="D93" i="1"/>
  <c r="E92" i="1"/>
  <c r="D92" i="1"/>
  <c r="E91" i="1"/>
  <c r="D91" i="1"/>
  <c r="E90" i="1"/>
  <c r="D90" i="1"/>
  <c r="E89" i="1"/>
  <c r="D89" i="1"/>
  <c r="E88" i="1"/>
  <c r="D88" i="1"/>
  <c r="E87" i="1"/>
  <c r="D87" i="1"/>
  <c r="E86" i="1"/>
  <c r="D86" i="1"/>
  <c r="E85" i="1"/>
  <c r="D85" i="1"/>
  <c r="E84" i="1"/>
  <c r="D84" i="1"/>
  <c r="E83" i="1"/>
  <c r="D83" i="1"/>
  <c r="E82" i="1"/>
  <c r="D82" i="1"/>
  <c r="E81" i="1"/>
  <c r="D81" i="1"/>
  <c r="E80" i="1"/>
  <c r="D80" i="1"/>
  <c r="E79" i="1"/>
  <c r="D79" i="1"/>
  <c r="E78" i="1"/>
  <c r="D78" i="1"/>
  <c r="E77" i="1"/>
  <c r="D77" i="1"/>
  <c r="E76" i="1"/>
  <c r="D76" i="1"/>
  <c r="E75" i="1"/>
  <c r="D75" i="1"/>
  <c r="E74" i="1"/>
  <c r="D74" i="1"/>
  <c r="E73" i="1"/>
  <c r="D73" i="1"/>
  <c r="E72" i="1"/>
  <c r="D72" i="1"/>
  <c r="E71" i="1"/>
  <c r="D71" i="1"/>
  <c r="E70" i="1"/>
  <c r="D70" i="1"/>
  <c r="E69" i="1"/>
  <c r="D69" i="1"/>
  <c r="E68" i="1"/>
  <c r="D68" i="1"/>
  <c r="E67" i="1"/>
  <c r="D67" i="1"/>
  <c r="E66" i="1"/>
  <c r="D66" i="1"/>
  <c r="E64" i="1"/>
  <c r="D64" i="1"/>
  <c r="E63" i="1"/>
  <c r="D63" i="1"/>
  <c r="E62" i="1"/>
  <c r="D62" i="1"/>
  <c r="E61" i="1"/>
  <c r="D61" i="1"/>
  <c r="E60" i="1"/>
  <c r="D60" i="1"/>
  <c r="E59" i="1"/>
  <c r="D59" i="1"/>
  <c r="E58" i="1"/>
  <c r="D58" i="1"/>
  <c r="E57" i="1"/>
  <c r="D57" i="1"/>
  <c r="E56" i="1"/>
  <c r="D56" i="1"/>
  <c r="E55" i="1"/>
  <c r="D55" i="1"/>
  <c r="E54" i="1"/>
  <c r="D54" i="1"/>
  <c r="E53" i="1"/>
  <c r="D53" i="1"/>
  <c r="E52" i="1"/>
  <c r="D52" i="1"/>
  <c r="E51" i="1"/>
  <c r="D51" i="1"/>
  <c r="E50" i="1"/>
  <c r="D50" i="1"/>
  <c r="E49" i="1"/>
  <c r="D49" i="1"/>
  <c r="E48" i="1"/>
  <c r="D48" i="1"/>
  <c r="E47" i="1"/>
  <c r="D47" i="1"/>
  <c r="E46" i="1"/>
  <c r="D46" i="1"/>
  <c r="E45" i="1"/>
  <c r="D45" i="1"/>
  <c r="E44" i="1"/>
  <c r="D44" i="1"/>
  <c r="E43" i="1"/>
  <c r="D43" i="1"/>
  <c r="E42" i="1"/>
  <c r="D42" i="1"/>
  <c r="E41" i="1"/>
  <c r="D41" i="1"/>
  <c r="E40" i="1"/>
  <c r="D40" i="1"/>
  <c r="E39" i="1"/>
  <c r="D39" i="1"/>
  <c r="E38" i="1"/>
  <c r="D38" i="1"/>
  <c r="E37" i="1"/>
  <c r="D37" i="1"/>
  <c r="E36" i="1"/>
  <c r="D36" i="1"/>
  <c r="E35" i="1"/>
  <c r="D35" i="1"/>
  <c r="E34" i="1"/>
  <c r="D34" i="1"/>
  <c r="E33" i="1"/>
  <c r="E32" i="1"/>
  <c r="D32" i="1"/>
  <c r="E31" i="1"/>
  <c r="D31" i="1"/>
  <c r="E30" i="1"/>
  <c r="D30" i="1"/>
  <c r="E29" i="1"/>
  <c r="D29" i="1"/>
  <c r="E28" i="1"/>
  <c r="D28" i="1"/>
  <c r="E26" i="1"/>
  <c r="D26" i="1"/>
  <c r="E25" i="1"/>
  <c r="D25" i="1"/>
  <c r="E24" i="1"/>
  <c r="D24" i="1"/>
  <c r="E23" i="1"/>
  <c r="D23" i="1"/>
  <c r="E22" i="1"/>
  <c r="D22" i="1"/>
  <c r="E21" i="1"/>
  <c r="D21" i="1"/>
  <c r="E20" i="1"/>
  <c r="D20" i="1"/>
  <c r="E19" i="1"/>
  <c r="D19" i="1"/>
  <c r="E17" i="1"/>
  <c r="D17" i="1"/>
  <c r="E16" i="1"/>
  <c r="D16" i="1"/>
  <c r="E15" i="1"/>
  <c r="D15" i="1"/>
  <c r="E14" i="1"/>
  <c r="D14" i="1"/>
  <c r="E13" i="1"/>
  <c r="D13" i="1"/>
  <c r="E12" i="1"/>
  <c r="D12" i="1"/>
  <c r="E11" i="1"/>
  <c r="D11" i="1"/>
  <c r="E10" i="1"/>
  <c r="D10" i="1"/>
  <c r="E9" i="1"/>
  <c r="D9" i="1"/>
  <c r="E8" i="1"/>
  <c r="D8" i="1"/>
  <c r="E7" i="1"/>
  <c r="D7" i="1"/>
  <c r="E6" i="1"/>
  <c r="D6" i="1"/>
  <c r="E5" i="1"/>
  <c r="D5" i="1"/>
  <c r="E4" i="1"/>
  <c r="D4" i="1"/>
  <c r="E3" i="1"/>
  <c r="D3" i="1"/>
  <c r="E2" i="1"/>
  <c r="D2" i="1"/>
  <c r="O200" i="47" l="1"/>
  <c r="Q20" i="47"/>
  <c r="O244" i="47"/>
  <c r="O43" i="47"/>
  <c r="O861" i="47"/>
  <c r="O677" i="47"/>
  <c r="O246" i="47"/>
  <c r="O651" i="47"/>
  <c r="O281" i="47"/>
  <c r="O214" i="47"/>
  <c r="O181" i="47"/>
  <c r="O848" i="47"/>
  <c r="O523" i="47"/>
  <c r="O384" i="47"/>
  <c r="O389" i="47"/>
  <c r="O632" i="47"/>
  <c r="O801" i="47"/>
  <c r="O412" i="47"/>
  <c r="O253" i="47"/>
  <c r="O50" i="47"/>
  <c r="O86" i="47"/>
  <c r="O358" i="47"/>
  <c r="O790" i="47"/>
  <c r="Q376" i="47"/>
  <c r="O771" i="47"/>
  <c r="O221" i="47"/>
  <c r="O218" i="47"/>
  <c r="O426" i="47"/>
  <c r="O565" i="47"/>
  <c r="O305" i="47"/>
  <c r="O655" i="47"/>
  <c r="O629" i="47"/>
  <c r="O213" i="47"/>
  <c r="O198" i="47"/>
  <c r="O536" i="47"/>
  <c r="O225" i="47"/>
  <c r="O347" i="47"/>
  <c r="O610" i="47"/>
  <c r="O188" i="47"/>
  <c r="O540" i="47"/>
  <c r="O556" i="47"/>
  <c r="O813" i="47"/>
  <c r="O454" i="47"/>
  <c r="O176" i="47"/>
  <c r="O92" i="47"/>
  <c r="O229" i="47"/>
  <c r="O823" i="47"/>
  <c r="O815" i="47"/>
  <c r="O201" i="47"/>
  <c r="Q146" i="47"/>
  <c r="O505" i="47"/>
  <c r="O444" i="47"/>
  <c r="O672" i="47"/>
  <c r="O237" i="47"/>
  <c r="O765" i="47"/>
  <c r="O432" i="47"/>
  <c r="O752" i="47"/>
  <c r="O466" i="47"/>
  <c r="O280" i="47"/>
  <c r="O328" i="47"/>
  <c r="O266" i="47"/>
  <c r="O693" i="47"/>
  <c r="O344" i="47"/>
  <c r="Q298" i="47"/>
  <c r="O44" i="47"/>
  <c r="O64" i="47"/>
  <c r="O49" i="47"/>
  <c r="O485" i="47"/>
  <c r="O54" i="47"/>
  <c r="O108" i="47"/>
  <c r="O481" i="47"/>
  <c r="O419" i="47"/>
  <c r="O402" i="47"/>
  <c r="O711" i="47"/>
  <c r="O276" i="47"/>
  <c r="O434" i="47"/>
  <c r="O62" i="47"/>
  <c r="O94" i="47"/>
  <c r="O174" i="47"/>
  <c r="O462" i="47"/>
  <c r="O638" i="47"/>
  <c r="O320" i="47"/>
  <c r="O25" i="47"/>
  <c r="O273" i="47"/>
  <c r="O499" i="47"/>
  <c r="O718" i="47"/>
  <c r="O782" i="47"/>
  <c r="O709" i="47"/>
  <c r="O269" i="47"/>
  <c r="O841" i="47"/>
  <c r="O518" i="47"/>
  <c r="O458" i="47"/>
  <c r="O284" i="47"/>
  <c r="O2" i="47"/>
  <c r="O136" i="47"/>
  <c r="O501" i="47"/>
  <c r="O722" i="47"/>
  <c r="O98" i="47"/>
  <c r="O196" i="47"/>
  <c r="O260" i="47"/>
  <c r="O324" i="47"/>
  <c r="O436" i="47"/>
  <c r="O532" i="47"/>
  <c r="O852" i="47"/>
  <c r="O628" i="47"/>
  <c r="O121" i="47"/>
  <c r="O194" i="47"/>
  <c r="O668" i="47"/>
  <c r="O658" i="47"/>
  <c r="O38" i="47"/>
  <c r="O152" i="47"/>
  <c r="O288" i="47"/>
  <c r="O734" i="47"/>
  <c r="O784" i="47"/>
  <c r="O733" i="47"/>
  <c r="O842" i="47"/>
  <c r="O450" i="47"/>
  <c r="O122" i="47"/>
  <c r="O97" i="47"/>
  <c r="O837" i="47"/>
  <c r="O264" i="47"/>
  <c r="O42" i="47"/>
  <c r="Q166" i="47"/>
  <c r="O304" i="47"/>
  <c r="O520" i="47"/>
  <c r="O756" i="47"/>
  <c r="O308" i="47"/>
  <c r="O272" i="47"/>
  <c r="O486" i="47"/>
  <c r="O716" i="47"/>
  <c r="O857" i="47"/>
  <c r="O132" i="47"/>
  <c r="K897" i="47"/>
  <c r="I948" i="47"/>
  <c r="E909" i="47"/>
  <c r="E905" i="47"/>
  <c r="I909" i="47"/>
  <c r="B902" i="47"/>
  <c r="M905" i="47"/>
  <c r="K909" i="47"/>
  <c r="C902" i="47"/>
  <c r="N905" i="47"/>
  <c r="M931" i="47"/>
  <c r="G902" i="47"/>
  <c r="H902" i="47"/>
  <c r="J902" i="47"/>
  <c r="E950" i="47"/>
  <c r="C897" i="47"/>
  <c r="G897" i="47"/>
  <c r="E901" i="47"/>
  <c r="C906" i="47"/>
  <c r="E913" i="47"/>
  <c r="C922" i="47"/>
  <c r="E928" i="47"/>
  <c r="B943" i="47"/>
  <c r="F901" i="47"/>
  <c r="E906" i="47"/>
  <c r="G913" i="47"/>
  <c r="F922" i="47"/>
  <c r="B939" i="47"/>
  <c r="I943" i="47"/>
  <c r="C946" i="47"/>
  <c r="P897" i="47"/>
  <c r="Q897" i="47" s="1"/>
  <c r="G901" i="47"/>
  <c r="F906" i="47"/>
  <c r="I913" i="47"/>
  <c r="G922" i="47"/>
  <c r="E946" i="47"/>
  <c r="G949" i="47"/>
  <c r="K901" i="47"/>
  <c r="M906" i="47"/>
  <c r="J913" i="47"/>
  <c r="I922" i="47"/>
  <c r="M901" i="47"/>
  <c r="C910" i="47"/>
  <c r="K913" i="47"/>
  <c r="K922" i="47"/>
  <c r="O901" i="47"/>
  <c r="F910" i="47"/>
  <c r="M913" i="47"/>
  <c r="M922" i="47"/>
  <c r="C934" i="47"/>
  <c r="G941" i="47"/>
  <c r="M944" i="47"/>
  <c r="K950" i="47"/>
  <c r="I917" i="47"/>
  <c r="E921" i="47"/>
  <c r="E934" i="47"/>
  <c r="I921" i="47"/>
  <c r="F934" i="47"/>
  <c r="J921" i="47"/>
  <c r="I934" i="47"/>
  <c r="E897" i="47"/>
  <c r="F902" i="47"/>
  <c r="K914" i="47"/>
  <c r="L931" i="47"/>
  <c r="K934" i="47"/>
  <c r="C942" i="47"/>
  <c r="M945" i="47"/>
  <c r="O889" i="47"/>
  <c r="P886" i="47"/>
  <c r="P660" i="47"/>
  <c r="B889" i="47"/>
  <c r="B887" i="47"/>
  <c r="B885" i="47"/>
  <c r="P885" i="47"/>
  <c r="C889" i="47"/>
  <c r="I889" i="47" s="1"/>
  <c r="E416" i="47"/>
  <c r="B882" i="47"/>
  <c r="C882" i="47"/>
  <c r="O882" i="47"/>
  <c r="F882" i="47"/>
  <c r="P881" i="47"/>
  <c r="B881" i="47"/>
  <c r="C881" i="47"/>
  <c r="I881" i="47" s="1"/>
  <c r="O881" i="47"/>
  <c r="F881" i="47"/>
  <c r="F51" i="47"/>
  <c r="B877" i="47"/>
  <c r="O877" i="47"/>
  <c r="P877" i="47"/>
  <c r="C877" i="47"/>
  <c r="L877" i="47" s="1"/>
  <c r="B429" i="47"/>
  <c r="F318" i="47"/>
  <c r="O873" i="47"/>
  <c r="F873" i="47"/>
  <c r="O874" i="47"/>
  <c r="B874" i="47"/>
  <c r="F874" i="47"/>
  <c r="B873" i="47"/>
  <c r="B872" i="47"/>
  <c r="K872" i="47" s="1"/>
  <c r="E872" i="47"/>
  <c r="I872" i="47"/>
  <c r="M872" i="47"/>
  <c r="P872" i="47"/>
  <c r="P563" i="47"/>
  <c r="O76" i="47"/>
  <c r="F793" i="47"/>
  <c r="B869" i="47"/>
  <c r="F869" i="47"/>
  <c r="O869" i="47"/>
  <c r="F188" i="47"/>
  <c r="F658" i="47"/>
  <c r="C11" i="47"/>
  <c r="O337" i="47"/>
  <c r="C144" i="47"/>
  <c r="O660" i="47"/>
  <c r="C98" i="47"/>
  <c r="L98" i="47" s="1"/>
  <c r="B182" i="47"/>
  <c r="F324" i="47"/>
  <c r="B793" i="47"/>
  <c r="O182" i="47"/>
  <c r="P698" i="47"/>
  <c r="C703" i="47"/>
  <c r="O793" i="47"/>
  <c r="P17" i="47"/>
  <c r="F669" i="47"/>
  <c r="C837" i="47"/>
  <c r="P215" i="47"/>
  <c r="C873" i="47"/>
  <c r="B875" i="47"/>
  <c r="B893" i="47"/>
  <c r="H897" i="47"/>
  <c r="M909" i="47"/>
  <c r="B911" i="47"/>
  <c r="G918" i="47"/>
  <c r="P922" i="47"/>
  <c r="Q922" i="47" s="1"/>
  <c r="F926" i="47"/>
  <c r="O927" i="47"/>
  <c r="N944" i="47"/>
  <c r="C875" i="47"/>
  <c r="P890" i="47"/>
  <c r="C893" i="47"/>
  <c r="I893" i="47" s="1"/>
  <c r="I897" i="47"/>
  <c r="O909" i="47"/>
  <c r="C911" i="47"/>
  <c r="I918" i="47"/>
  <c r="G926" i="47"/>
  <c r="O875" i="47"/>
  <c r="O893" i="47"/>
  <c r="K918" i="47"/>
  <c r="I926" i="47"/>
  <c r="F519" i="47"/>
  <c r="H519" i="47" s="1"/>
  <c r="M918" i="47"/>
  <c r="K926" i="47"/>
  <c r="F893" i="47"/>
  <c r="P868" i="47"/>
  <c r="B890" i="47"/>
  <c r="B891" i="47"/>
  <c r="E910" i="47"/>
  <c r="E917" i="47"/>
  <c r="C890" i="47"/>
  <c r="I890" i="47" s="1"/>
  <c r="O891" i="47"/>
  <c r="P332" i="47"/>
  <c r="B337" i="47"/>
  <c r="F610" i="47"/>
  <c r="C793" i="47"/>
  <c r="B868" i="47"/>
  <c r="C885" i="47"/>
  <c r="L885" i="47" s="1"/>
  <c r="F889" i="47"/>
  <c r="O890" i="47"/>
  <c r="H901" i="47"/>
  <c r="G910" i="47"/>
  <c r="J917" i="47"/>
  <c r="B919" i="47"/>
  <c r="I938" i="47"/>
  <c r="I941" i="47"/>
  <c r="C868" i="47"/>
  <c r="E868" i="47" s="1"/>
  <c r="O885" i="47"/>
  <c r="I901" i="47"/>
  <c r="I910" i="47"/>
  <c r="K917" i="47"/>
  <c r="M919" i="47"/>
  <c r="K938" i="47"/>
  <c r="J941" i="47"/>
  <c r="O208" i="47"/>
  <c r="O868" i="47"/>
  <c r="C869" i="47"/>
  <c r="B879" i="47"/>
  <c r="C886" i="47"/>
  <c r="F890" i="47"/>
  <c r="B897" i="47"/>
  <c r="J901" i="47"/>
  <c r="K910" i="47"/>
  <c r="B927" i="47"/>
  <c r="M938" i="47"/>
  <c r="M941" i="47"/>
  <c r="C944" i="47"/>
  <c r="C162" i="47"/>
  <c r="F868" i="47"/>
  <c r="F885" i="47"/>
  <c r="M910" i="47"/>
  <c r="C841" i="47"/>
  <c r="E841" i="47" s="1"/>
  <c r="P874" i="47"/>
  <c r="Q874" i="47" s="1"/>
  <c r="L901" i="47"/>
  <c r="G909" i="47"/>
  <c r="C915" i="47"/>
  <c r="G927" i="47"/>
  <c r="H944" i="47"/>
  <c r="P893" i="47"/>
  <c r="P549" i="47"/>
  <c r="B867" i="47"/>
  <c r="F897" i="47"/>
  <c r="N901" i="47"/>
  <c r="P12" i="47"/>
  <c r="C17" i="47"/>
  <c r="N17" i="47" s="1"/>
  <c r="B563" i="47"/>
  <c r="O265" i="47"/>
  <c r="F425" i="47"/>
  <c r="F429" i="47"/>
  <c r="B624" i="47"/>
  <c r="P798" i="47"/>
  <c r="Q798" i="47" s="1"/>
  <c r="C23" i="47"/>
  <c r="L23" i="47" s="1"/>
  <c r="F140" i="47"/>
  <c r="P440" i="47"/>
  <c r="B574" i="47"/>
  <c r="B579" i="47"/>
  <c r="C656" i="47"/>
  <c r="O774" i="47"/>
  <c r="P23" i="47"/>
  <c r="P221" i="47"/>
  <c r="B426" i="47"/>
  <c r="F825" i="47"/>
  <c r="P845" i="47"/>
  <c r="C55" i="47"/>
  <c r="G55" i="47" s="1"/>
  <c r="C324" i="47"/>
  <c r="N324" i="47" s="1"/>
  <c r="F441" i="47"/>
  <c r="F71" i="47"/>
  <c r="B76" i="47"/>
  <c r="P90" i="47"/>
  <c r="C198" i="47"/>
  <c r="J198" i="47" s="1"/>
  <c r="B253" i="47"/>
  <c r="P462" i="47"/>
  <c r="Q462" i="47" s="1"/>
  <c r="C571" i="47"/>
  <c r="K571" i="47" s="1"/>
  <c r="C612" i="47"/>
  <c r="J612" i="47" s="1"/>
  <c r="C622" i="47"/>
  <c r="E622" i="47" s="1"/>
  <c r="C750" i="47"/>
  <c r="C76" i="47"/>
  <c r="J76" i="47" s="1"/>
  <c r="C253" i="47"/>
  <c r="O612" i="47"/>
  <c r="O622" i="47"/>
  <c r="F76" i="47"/>
  <c r="B204" i="47"/>
  <c r="C244" i="47"/>
  <c r="M244" i="47" s="1"/>
  <c r="B249" i="47"/>
  <c r="O694" i="47"/>
  <c r="P817" i="47"/>
  <c r="C852" i="47"/>
  <c r="F62" i="47"/>
  <c r="F204" i="47"/>
  <c r="L204" i="47" s="1"/>
  <c r="C295" i="47"/>
  <c r="F424" i="47"/>
  <c r="P694" i="47"/>
  <c r="F295" i="47"/>
  <c r="B865" i="47"/>
  <c r="C865" i="47"/>
  <c r="I865" i="47" s="1"/>
  <c r="O865" i="47"/>
  <c r="F865" i="47"/>
  <c r="O864" i="47"/>
  <c r="B864" i="47"/>
  <c r="C864" i="47"/>
  <c r="B863" i="47"/>
  <c r="C863" i="47"/>
  <c r="O863" i="47"/>
  <c r="F863" i="47"/>
  <c r="P97" i="47"/>
  <c r="B179" i="47"/>
  <c r="C264" i="47"/>
  <c r="E264" i="47" s="1"/>
  <c r="F450" i="47"/>
  <c r="F470" i="47"/>
  <c r="P571" i="47"/>
  <c r="F601" i="47"/>
  <c r="J601" i="47" s="1"/>
  <c r="F734" i="47"/>
  <c r="O764" i="47"/>
  <c r="C817" i="47"/>
  <c r="M817" i="47" s="1"/>
  <c r="C40" i="47"/>
  <c r="N40" i="47" s="1"/>
  <c r="B55" i="47"/>
  <c r="J204" i="47"/>
  <c r="B208" i="47"/>
  <c r="P226" i="47"/>
  <c r="C328" i="47"/>
  <c r="K328" i="47" s="1"/>
  <c r="P601" i="47"/>
  <c r="B656" i="47"/>
  <c r="C660" i="47"/>
  <c r="J660" i="47" s="1"/>
  <c r="C714" i="47"/>
  <c r="B719" i="47"/>
  <c r="O724" i="47"/>
  <c r="O769" i="47"/>
  <c r="B798" i="47"/>
  <c r="O817" i="47"/>
  <c r="C65" i="47"/>
  <c r="C118" i="47"/>
  <c r="L118" i="47" s="1"/>
  <c r="P127" i="47"/>
  <c r="C132" i="47"/>
  <c r="E132" i="47" s="1"/>
  <c r="B176" i="47"/>
  <c r="O204" i="47"/>
  <c r="P231" i="47"/>
  <c r="C269" i="47"/>
  <c r="B304" i="47"/>
  <c r="B343" i="47"/>
  <c r="O427" i="47"/>
  <c r="C486" i="47"/>
  <c r="E486" i="47" s="1"/>
  <c r="F837" i="47"/>
  <c r="O118" i="47"/>
  <c r="C176" i="47"/>
  <c r="E176" i="47" s="1"/>
  <c r="C304" i="47"/>
  <c r="K304" i="47" s="1"/>
  <c r="O3" i="47"/>
  <c r="O17" i="47"/>
  <c r="B162" i="47"/>
  <c r="K162" i="47" s="1"/>
  <c r="B172" i="47"/>
  <c r="C419" i="47"/>
  <c r="E419" i="47" s="1"/>
  <c r="P482" i="47"/>
  <c r="F823" i="47"/>
  <c r="C32" i="47"/>
  <c r="N32" i="47" s="1"/>
  <c r="O104" i="47"/>
  <c r="O232" i="47"/>
  <c r="P396" i="47"/>
  <c r="P400" i="47"/>
  <c r="P405" i="47"/>
  <c r="Q405" i="47" s="1"/>
  <c r="C487" i="47"/>
  <c r="F608" i="47"/>
  <c r="B838" i="47"/>
  <c r="B257" i="47"/>
  <c r="C529" i="47"/>
  <c r="N529" i="47" s="1"/>
  <c r="P608" i="47"/>
  <c r="C257" i="47"/>
  <c r="J257" i="47" s="1"/>
  <c r="C810" i="47"/>
  <c r="E810" i="47" s="1"/>
  <c r="F682" i="47"/>
  <c r="F752" i="47"/>
  <c r="P757" i="47"/>
  <c r="B10" i="47"/>
  <c r="O33" i="47"/>
  <c r="C43" i="47"/>
  <c r="I43" i="47" s="1"/>
  <c r="F67" i="47"/>
  <c r="C397" i="47"/>
  <c r="F579" i="47"/>
  <c r="F10" i="47"/>
  <c r="C545" i="47"/>
  <c r="B565" i="47"/>
  <c r="O216" i="47"/>
  <c r="F225" i="47"/>
  <c r="C277" i="47"/>
  <c r="F738" i="47"/>
  <c r="P777" i="47"/>
  <c r="F849" i="47"/>
  <c r="P277" i="47"/>
  <c r="H601" i="47"/>
  <c r="P861" i="47"/>
  <c r="C861" i="47"/>
  <c r="F861" i="47"/>
  <c r="C631" i="47"/>
  <c r="H631" i="47" s="1"/>
  <c r="C677" i="47"/>
  <c r="B714" i="47"/>
  <c r="P799" i="47"/>
  <c r="P849" i="47"/>
  <c r="O68" i="47"/>
  <c r="B72" i="47"/>
  <c r="B80" i="47"/>
  <c r="C160" i="47"/>
  <c r="M160" i="47" s="1"/>
  <c r="B197" i="47"/>
  <c r="F232" i="47"/>
  <c r="B289" i="47"/>
  <c r="C350" i="47"/>
  <c r="E350" i="47" s="1"/>
  <c r="B561" i="47"/>
  <c r="O618" i="47"/>
  <c r="C41" i="47"/>
  <c r="N41" i="47" s="1"/>
  <c r="C49" i="47"/>
  <c r="N49" i="47" s="1"/>
  <c r="B94" i="47"/>
  <c r="F160" i="47"/>
  <c r="B164" i="47"/>
  <c r="C180" i="47"/>
  <c r="L180" i="47" s="1"/>
  <c r="C197" i="47"/>
  <c r="N197" i="47" s="1"/>
  <c r="F533" i="47"/>
  <c r="F618" i="47"/>
  <c r="B668" i="47"/>
  <c r="O714" i="47"/>
  <c r="P837" i="47"/>
  <c r="C33" i="47"/>
  <c r="N33" i="47" s="1"/>
  <c r="F61" i="47"/>
  <c r="C94" i="47"/>
  <c r="M94" i="47" s="1"/>
  <c r="C164" i="47"/>
  <c r="N164" i="47" s="1"/>
  <c r="O189" i="47"/>
  <c r="O197" i="47"/>
  <c r="B201" i="47"/>
  <c r="O217" i="47"/>
  <c r="P225" i="47"/>
  <c r="C247" i="47"/>
  <c r="C267" i="47"/>
  <c r="F294" i="47"/>
  <c r="F298" i="47"/>
  <c r="B333" i="47"/>
  <c r="F486" i="47"/>
  <c r="F505" i="47"/>
  <c r="P533" i="47"/>
  <c r="Q537" i="47"/>
  <c r="F714" i="47"/>
  <c r="O164" i="47"/>
  <c r="F189" i="47"/>
  <c r="P197" i="47"/>
  <c r="F201" i="47"/>
  <c r="F247" i="47"/>
  <c r="C333" i="47"/>
  <c r="J333" i="47" s="1"/>
  <c r="C8" i="47"/>
  <c r="H8" i="47" s="1"/>
  <c r="C16" i="47"/>
  <c r="N16" i="47" s="1"/>
  <c r="O29" i="47"/>
  <c r="F33" i="47"/>
  <c r="C113" i="47"/>
  <c r="B130" i="47"/>
  <c r="B143" i="47"/>
  <c r="C152" i="47"/>
  <c r="P189" i="47"/>
  <c r="B209" i="47"/>
  <c r="F238" i="47"/>
  <c r="C312" i="47"/>
  <c r="F408" i="47"/>
  <c r="P432" i="47"/>
  <c r="B525" i="47"/>
  <c r="O598" i="47"/>
  <c r="O683" i="47"/>
  <c r="F724" i="47"/>
  <c r="C742" i="47"/>
  <c r="N742" i="47" s="1"/>
  <c r="B746" i="47"/>
  <c r="F769" i="47"/>
  <c r="C773" i="47"/>
  <c r="P842" i="47"/>
  <c r="P8" i="47"/>
  <c r="P16" i="47"/>
  <c r="Q16" i="47" s="1"/>
  <c r="B46" i="47"/>
  <c r="O57" i="47"/>
  <c r="B86" i="47"/>
  <c r="Q130" i="47"/>
  <c r="F143" i="47"/>
  <c r="O161" i="47"/>
  <c r="O169" i="47"/>
  <c r="F209" i="47"/>
  <c r="F308" i="47"/>
  <c r="F312" i="47"/>
  <c r="P333" i="47"/>
  <c r="B436" i="47"/>
  <c r="C474" i="47"/>
  <c r="I474" i="47" s="1"/>
  <c r="F598" i="47"/>
  <c r="F632" i="47"/>
  <c r="O773" i="47"/>
  <c r="O46" i="47"/>
  <c r="B50" i="47"/>
  <c r="C62" i="47"/>
  <c r="L62" i="47" s="1"/>
  <c r="O148" i="47"/>
  <c r="B174" i="47"/>
  <c r="G174" i="47" s="1"/>
  <c r="P632" i="47"/>
  <c r="F742" i="47"/>
  <c r="L742" i="47" s="1"/>
  <c r="P46" i="47"/>
  <c r="F474" i="47"/>
  <c r="O517" i="47"/>
  <c r="P742" i="47"/>
  <c r="P21" i="47"/>
  <c r="C153" i="47"/>
  <c r="K153" i="47" s="1"/>
  <c r="P190" i="47"/>
  <c r="B215" i="47"/>
  <c r="F273" i="47"/>
  <c r="E396" i="47"/>
  <c r="F517" i="47"/>
  <c r="B684" i="47"/>
  <c r="C698" i="47"/>
  <c r="G698" i="47" s="1"/>
  <c r="P825" i="47"/>
  <c r="P62" i="47"/>
  <c r="Q62" i="47" s="1"/>
  <c r="C535" i="47"/>
  <c r="N535" i="47" s="1"/>
  <c r="B612" i="47"/>
  <c r="B694" i="47"/>
  <c r="M694" i="47" s="1"/>
  <c r="O698" i="47"/>
  <c r="B766" i="47"/>
  <c r="C35" i="47"/>
  <c r="M35" i="47" s="1"/>
  <c r="B51" i="47"/>
  <c r="L115" i="47"/>
  <c r="B393" i="47"/>
  <c r="B434" i="47"/>
  <c r="P447" i="47"/>
  <c r="B568" i="47"/>
  <c r="F577" i="47"/>
  <c r="O630" i="47"/>
  <c r="F857" i="47"/>
  <c r="C288" i="47"/>
  <c r="C310" i="47"/>
  <c r="E310" i="47" s="1"/>
  <c r="C393" i="47"/>
  <c r="L393" i="47" s="1"/>
  <c r="C430" i="47"/>
  <c r="K430" i="47" s="1"/>
  <c r="C434" i="47"/>
  <c r="I434" i="47" s="1"/>
  <c r="F438" i="47"/>
  <c r="C485" i="47"/>
  <c r="C499" i="47"/>
  <c r="B600" i="47"/>
  <c r="F612" i="47"/>
  <c r="F736" i="47"/>
  <c r="J736" i="47" s="1"/>
  <c r="O740" i="47"/>
  <c r="P771" i="47"/>
  <c r="P857" i="47"/>
  <c r="P6" i="47"/>
  <c r="O10" i="47"/>
  <c r="P44" i="47"/>
  <c r="P55" i="47"/>
  <c r="C84" i="47"/>
  <c r="C101" i="47"/>
  <c r="K101" i="47" s="1"/>
  <c r="F115" i="47"/>
  <c r="J115" i="47" s="1"/>
  <c r="F179" i="47"/>
  <c r="O220" i="47"/>
  <c r="B232" i="47"/>
  <c r="M232" i="47" s="1"/>
  <c r="E253" i="47"/>
  <c r="O310" i="47"/>
  <c r="P314" i="47"/>
  <c r="P393" i="47"/>
  <c r="Q393" i="47" s="1"/>
  <c r="O430" i="47"/>
  <c r="F499" i="47"/>
  <c r="F600" i="47"/>
  <c r="F740" i="47"/>
  <c r="O849" i="47"/>
  <c r="P2" i="47"/>
  <c r="B6" i="47"/>
  <c r="P27" i="47"/>
  <c r="C31" i="47"/>
  <c r="F45" i="47"/>
  <c r="P47" i="47"/>
  <c r="P50" i="47"/>
  <c r="B92" i="47"/>
  <c r="P103" i="47"/>
  <c r="P132" i="47"/>
  <c r="Q132" i="47" s="1"/>
  <c r="C154" i="47"/>
  <c r="N154" i="47" s="1"/>
  <c r="F174" i="47"/>
  <c r="B213" i="47"/>
  <c r="F220" i="47"/>
  <c r="J220" i="47" s="1"/>
  <c r="B220" i="47"/>
  <c r="K220" i="47" s="1"/>
  <c r="O233" i="47"/>
  <c r="B340" i="47"/>
  <c r="P360" i="47"/>
  <c r="O360" i="47"/>
  <c r="B428" i="47"/>
  <c r="B507" i="47"/>
  <c r="O511" i="47"/>
  <c r="F511" i="47"/>
  <c r="B528" i="47"/>
  <c r="G528" i="47" s="1"/>
  <c r="F552" i="47"/>
  <c r="O552" i="47"/>
  <c r="C552" i="47"/>
  <c r="E552" i="47" s="1"/>
  <c r="B552" i="47"/>
  <c r="B557" i="47"/>
  <c r="B595" i="47"/>
  <c r="P636" i="47"/>
  <c r="B636" i="47"/>
  <c r="I668" i="47"/>
  <c r="O6" i="47"/>
  <c r="C140" i="47"/>
  <c r="P174" i="47"/>
  <c r="P257" i="47"/>
  <c r="O257" i="47"/>
  <c r="P344" i="47"/>
  <c r="F344" i="47"/>
  <c r="B344" i="47"/>
  <c r="P411" i="47"/>
  <c r="C411" i="47"/>
  <c r="P419" i="47"/>
  <c r="B419" i="47"/>
  <c r="F428" i="47"/>
  <c r="C477" i="47"/>
  <c r="F477" i="47"/>
  <c r="O477" i="47"/>
  <c r="C507" i="47"/>
  <c r="N507" i="47" s="1"/>
  <c r="B511" i="47"/>
  <c r="B524" i="47"/>
  <c r="F524" i="47"/>
  <c r="H524" i="47" s="1"/>
  <c r="O524" i="47"/>
  <c r="C595" i="47"/>
  <c r="P692" i="47"/>
  <c r="C692" i="47"/>
  <c r="P100" i="47"/>
  <c r="O100" i="47"/>
  <c r="O178" i="47"/>
  <c r="C178" i="47"/>
  <c r="M178" i="47" s="1"/>
  <c r="C276" i="47"/>
  <c r="J276" i="47" s="1"/>
  <c r="B276" i="47"/>
  <c r="F426" i="47"/>
  <c r="C426" i="47"/>
  <c r="E426" i="47" s="1"/>
  <c r="P426" i="47"/>
  <c r="Q426" i="47" s="1"/>
  <c r="P435" i="47"/>
  <c r="F435" i="47"/>
  <c r="P539" i="47"/>
  <c r="C548" i="47"/>
  <c r="E548" i="47" s="1"/>
  <c r="O548" i="47"/>
  <c r="B548" i="47"/>
  <c r="N660" i="47"/>
  <c r="L660" i="47"/>
  <c r="K660" i="47"/>
  <c r="P678" i="47"/>
  <c r="O678" i="47"/>
  <c r="C814" i="47"/>
  <c r="B814" i="47"/>
  <c r="F858" i="47"/>
  <c r="O858" i="47"/>
  <c r="B858" i="47"/>
  <c r="B35" i="47"/>
  <c r="B54" i="47"/>
  <c r="B61" i="47"/>
  <c r="C68" i="47"/>
  <c r="M68" i="47" s="1"/>
  <c r="B100" i="47"/>
  <c r="B148" i="47"/>
  <c r="B152" i="47"/>
  <c r="B178" i="47"/>
  <c r="B206" i="47"/>
  <c r="F206" i="47"/>
  <c r="B217" i="47"/>
  <c r="E261" i="47"/>
  <c r="C326" i="47"/>
  <c r="O356" i="47"/>
  <c r="C356" i="47"/>
  <c r="C539" i="47"/>
  <c r="F548" i="47"/>
  <c r="C558" i="47"/>
  <c r="E558" i="47" s="1"/>
  <c r="B558" i="47"/>
  <c r="P664" i="47"/>
  <c r="F664" i="47"/>
  <c r="H664" i="47" s="1"/>
  <c r="C126" i="47"/>
  <c r="J126" i="47" s="1"/>
  <c r="C353" i="47"/>
  <c r="J353" i="47" s="1"/>
  <c r="F353" i="47"/>
  <c r="O353" i="47"/>
  <c r="P512" i="47"/>
  <c r="F512" i="47"/>
  <c r="O512" i="47"/>
  <c r="C512" i="47"/>
  <c r="F544" i="47"/>
  <c r="O544" i="47"/>
  <c r="C592" i="47"/>
  <c r="B592" i="47"/>
  <c r="O596" i="47"/>
  <c r="C596" i="47"/>
  <c r="P642" i="47"/>
  <c r="F642" i="47"/>
  <c r="O642" i="47"/>
  <c r="C642" i="47"/>
  <c r="E642" i="47" s="1"/>
  <c r="N710" i="47"/>
  <c r="E710" i="47"/>
  <c r="C805" i="47"/>
  <c r="P805" i="47"/>
  <c r="F805" i="47"/>
  <c r="O805" i="47"/>
  <c r="L6" i="18"/>
  <c r="B14" i="47"/>
  <c r="O35" i="47"/>
  <c r="C51" i="47"/>
  <c r="G51" i="47" s="1"/>
  <c r="P54" i="47"/>
  <c r="P85" i="47"/>
  <c r="O85" i="47"/>
  <c r="F109" i="47"/>
  <c r="B126" i="47"/>
  <c r="F152" i="47"/>
  <c r="P178" i="47"/>
  <c r="B186" i="47"/>
  <c r="F217" i="47"/>
  <c r="C228" i="47"/>
  <c r="I228" i="47" s="1"/>
  <c r="B228" i="47"/>
  <c r="P253" i="47"/>
  <c r="O261" i="47"/>
  <c r="C268" i="47"/>
  <c r="E268" i="47" s="1"/>
  <c r="B268" i="47"/>
  <c r="K268" i="47" s="1"/>
  <c r="C292" i="47"/>
  <c r="K292" i="47" s="1"/>
  <c r="C300" i="47"/>
  <c r="J300" i="47" s="1"/>
  <c r="F300" i="47"/>
  <c r="F304" i="47"/>
  <c r="C341" i="47"/>
  <c r="K341" i="47" s="1"/>
  <c r="B353" i="47"/>
  <c r="C392" i="47"/>
  <c r="H392" i="47" s="1"/>
  <c r="P392" i="47"/>
  <c r="C408" i="47"/>
  <c r="Q408" i="47"/>
  <c r="O424" i="47"/>
  <c r="C424" i="47"/>
  <c r="F458" i="47"/>
  <c r="C458" i="47"/>
  <c r="O471" i="47"/>
  <c r="F483" i="47"/>
  <c r="C483" i="47"/>
  <c r="E483" i="47" s="1"/>
  <c r="B512" i="47"/>
  <c r="P529" i="47"/>
  <c r="O592" i="47"/>
  <c r="O608" i="47"/>
  <c r="C608" i="47"/>
  <c r="N608" i="47" s="1"/>
  <c r="P674" i="47"/>
  <c r="F674" i="47"/>
  <c r="C850" i="47"/>
  <c r="E850" i="47" s="1"/>
  <c r="P850" i="47"/>
  <c r="F850" i="47"/>
  <c r="O850" i="47"/>
  <c r="O14" i="47"/>
  <c r="F35" i="47"/>
  <c r="L35" i="47" s="1"/>
  <c r="Q51" i="47"/>
  <c r="C72" i="47"/>
  <c r="K72" i="47" s="1"/>
  <c r="P119" i="47"/>
  <c r="P126" i="47"/>
  <c r="G152" i="47"/>
  <c r="C186" i="47"/>
  <c r="N186" i="47" s="1"/>
  <c r="F261" i="47"/>
  <c r="N261" i="47" s="1"/>
  <c r="O292" i="47"/>
  <c r="P327" i="47"/>
  <c r="C327" i="47"/>
  <c r="O341" i="47"/>
  <c r="B467" i="47"/>
  <c r="O467" i="47"/>
  <c r="F604" i="47"/>
  <c r="O604" i="47"/>
  <c r="F616" i="47"/>
  <c r="B616" i="47"/>
  <c r="F14" i="47"/>
  <c r="F133" i="47"/>
  <c r="C258" i="47"/>
  <c r="L258" i="47" s="1"/>
  <c r="B273" i="47"/>
  <c r="F281" i="47"/>
  <c r="F292" i="47"/>
  <c r="O309" i="47"/>
  <c r="C420" i="47"/>
  <c r="E420" i="47" s="1"/>
  <c r="O420" i="47"/>
  <c r="C467" i="47"/>
  <c r="F563" i="47"/>
  <c r="O563" i="47"/>
  <c r="F588" i="47"/>
  <c r="O588" i="47"/>
  <c r="B604" i="47"/>
  <c r="P633" i="47"/>
  <c r="B633" i="47"/>
  <c r="C638" i="47"/>
  <c r="E638" i="47" s="1"/>
  <c r="F711" i="47"/>
  <c r="C711" i="47"/>
  <c r="I711" i="47" s="1"/>
  <c r="P834" i="47"/>
  <c r="F834" i="47"/>
  <c r="C834" i="47"/>
  <c r="P4" i="47"/>
  <c r="Q72" i="47"/>
  <c r="C82" i="47"/>
  <c r="K82" i="47" s="1"/>
  <c r="B90" i="47"/>
  <c r="F119" i="47"/>
  <c r="H119" i="47" s="1"/>
  <c r="C130" i="47"/>
  <c r="G130" i="47" s="1"/>
  <c r="C133" i="47"/>
  <c r="H133" i="47" s="1"/>
  <c r="C172" i="47"/>
  <c r="M172" i="47" s="1"/>
  <c r="H232" i="47"/>
  <c r="F258" i="47"/>
  <c r="B277" i="47"/>
  <c r="B281" i="47"/>
  <c r="C309" i="47"/>
  <c r="P324" i="47"/>
  <c r="B324" i="47"/>
  <c r="P353" i="47"/>
  <c r="P420" i="47"/>
  <c r="P454" i="47"/>
  <c r="F454" i="47"/>
  <c r="P484" i="47"/>
  <c r="P497" i="47"/>
  <c r="O497" i="47"/>
  <c r="P513" i="47"/>
  <c r="C513" i="47"/>
  <c r="L513" i="47" s="1"/>
  <c r="I563" i="47"/>
  <c r="O567" i="47"/>
  <c r="C567" i="47"/>
  <c r="E567" i="47" s="1"/>
  <c r="C604" i="47"/>
  <c r="N604" i="47" s="1"/>
  <c r="F707" i="47"/>
  <c r="C707" i="47"/>
  <c r="N707" i="47" s="1"/>
  <c r="B707" i="47"/>
  <c r="C117" i="47"/>
  <c r="J117" i="47" s="1"/>
  <c r="F560" i="47"/>
  <c r="N560" i="47" s="1"/>
  <c r="O560" i="47"/>
  <c r="P604" i="47"/>
  <c r="F80" i="47"/>
  <c r="P82" i="47"/>
  <c r="Q82" i="47" s="1"/>
  <c r="B156" i="47"/>
  <c r="G156" i="47" s="1"/>
  <c r="B198" i="47"/>
  <c r="F218" i="47"/>
  <c r="C236" i="47"/>
  <c r="M236" i="47" s="1"/>
  <c r="O236" i="47"/>
  <c r="C240" i="47"/>
  <c r="L240" i="47" s="1"/>
  <c r="O277" i="47"/>
  <c r="P281" i="47"/>
  <c r="P309" i="47"/>
  <c r="B450" i="47"/>
  <c r="C475" i="47"/>
  <c r="J475" i="47" s="1"/>
  <c r="F497" i="47"/>
  <c r="B501" i="47"/>
  <c r="O530" i="47"/>
  <c r="C530" i="47"/>
  <c r="K530" i="47" s="1"/>
  <c r="B560" i="47"/>
  <c r="K560" i="47" s="1"/>
  <c r="F567" i="47"/>
  <c r="O576" i="47"/>
  <c r="B576" i="47"/>
  <c r="O644" i="47"/>
  <c r="C644" i="47"/>
  <c r="P707" i="47"/>
  <c r="M739" i="47"/>
  <c r="O770" i="47"/>
  <c r="P770" i="47"/>
  <c r="C205" i="47"/>
  <c r="E205" i="47" s="1"/>
  <c r="B205" i="47"/>
  <c r="F313" i="47"/>
  <c r="F442" i="47"/>
  <c r="P442" i="47"/>
  <c r="O541" i="47"/>
  <c r="F541" i="47"/>
  <c r="B541" i="47"/>
  <c r="O712" i="47"/>
  <c r="P712" i="47"/>
  <c r="P730" i="47"/>
  <c r="O730" i="47"/>
  <c r="O5" i="47"/>
  <c r="B15" i="47"/>
  <c r="O18" i="47"/>
  <c r="P33" i="47"/>
  <c r="B47" i="47"/>
  <c r="P52" i="47"/>
  <c r="F55" i="47"/>
  <c r="C80" i="47"/>
  <c r="N80" i="47" s="1"/>
  <c r="P87" i="47"/>
  <c r="O87" i="47"/>
  <c r="C111" i="47"/>
  <c r="G111" i="47" s="1"/>
  <c r="O115" i="47"/>
  <c r="O156" i="47"/>
  <c r="P166" i="47"/>
  <c r="C166" i="47"/>
  <c r="G166" i="47" s="1"/>
  <c r="F169" i="47"/>
  <c r="F205" i="47"/>
  <c r="F229" i="47"/>
  <c r="F236" i="47"/>
  <c r="C248" i="47"/>
  <c r="N248" i="47" s="1"/>
  <c r="B248" i="47"/>
  <c r="O286" i="47"/>
  <c r="B313" i="47"/>
  <c r="P321" i="47"/>
  <c r="O321" i="47"/>
  <c r="B347" i="47"/>
  <c r="C354" i="47"/>
  <c r="M354" i="47" s="1"/>
  <c r="F427" i="47"/>
  <c r="B442" i="47"/>
  <c r="C473" i="47"/>
  <c r="I473" i="47" s="1"/>
  <c r="B518" i="47"/>
  <c r="P580" i="47"/>
  <c r="P650" i="47"/>
  <c r="F650" i="47"/>
  <c r="O650" i="47"/>
  <c r="B650" i="47"/>
  <c r="C15" i="47"/>
  <c r="M15" i="47" s="1"/>
  <c r="B23" i="47"/>
  <c r="C47" i="47"/>
  <c r="E47" i="47" s="1"/>
  <c r="O80" i="47"/>
  <c r="B87" i="47"/>
  <c r="P111" i="47"/>
  <c r="B115" i="47"/>
  <c r="M115" i="47" s="1"/>
  <c r="P117" i="47"/>
  <c r="B124" i="47"/>
  <c r="F156" i="47"/>
  <c r="L156" i="47" s="1"/>
  <c r="B160" i="47"/>
  <c r="B166" i="47"/>
  <c r="C196" i="47"/>
  <c r="E196" i="47" s="1"/>
  <c r="F198" i="47"/>
  <c r="O226" i="47"/>
  <c r="P229" i="47"/>
  <c r="Q229" i="47" s="1"/>
  <c r="O248" i="47"/>
  <c r="F306" i="47"/>
  <c r="C313" i="47"/>
  <c r="K313" i="47" s="1"/>
  <c r="B321" i="47"/>
  <c r="G321" i="47" s="1"/>
  <c r="C347" i="47"/>
  <c r="M347" i="47" s="1"/>
  <c r="P354" i="47"/>
  <c r="O359" i="47"/>
  <c r="B359" i="47"/>
  <c r="C425" i="47"/>
  <c r="H425" i="47" s="1"/>
  <c r="C442" i="47"/>
  <c r="P530" i="47"/>
  <c r="F551" i="47"/>
  <c r="C551" i="47"/>
  <c r="O47" i="47"/>
  <c r="B121" i="47"/>
  <c r="K121" i="47" s="1"/>
  <c r="O154" i="47"/>
  <c r="F154" i="47"/>
  <c r="O313" i="47"/>
  <c r="C422" i="47"/>
  <c r="F422" i="47"/>
  <c r="O442" i="47"/>
  <c r="B451" i="47"/>
  <c r="C451" i="47"/>
  <c r="P515" i="47"/>
  <c r="F515" i="47"/>
  <c r="B659" i="47"/>
  <c r="C659" i="47"/>
  <c r="P699" i="47"/>
  <c r="F699" i="47"/>
  <c r="O699" i="47"/>
  <c r="C699" i="47"/>
  <c r="H699" i="47" s="1"/>
  <c r="F2" i="47"/>
  <c r="B31" i="47"/>
  <c r="M31" i="47" s="1"/>
  <c r="C45" i="47"/>
  <c r="H45" i="47" s="1"/>
  <c r="C121" i="47"/>
  <c r="J121" i="47" s="1"/>
  <c r="O128" i="47"/>
  <c r="B154" i="47"/>
  <c r="O192" i="47"/>
  <c r="F192" i="47"/>
  <c r="P213" i="47"/>
  <c r="B241" i="47"/>
  <c r="O241" i="47"/>
  <c r="B336" i="47"/>
  <c r="B401" i="47"/>
  <c r="P422" i="47"/>
  <c r="C428" i="47"/>
  <c r="M428" i="47" s="1"/>
  <c r="O451" i="47"/>
  <c r="P507" i="47"/>
  <c r="K507" i="47"/>
  <c r="E507" i="47"/>
  <c r="C515" i="47"/>
  <c r="N515" i="47" s="1"/>
  <c r="C528" i="47"/>
  <c r="M528" i="47" s="1"/>
  <c r="C547" i="47"/>
  <c r="O602" i="47"/>
  <c r="C602" i="47"/>
  <c r="B602" i="47"/>
  <c r="P651" i="47"/>
  <c r="P763" i="47"/>
  <c r="P631" i="47"/>
  <c r="O656" i="47"/>
  <c r="F773" i="47"/>
  <c r="B556" i="47"/>
  <c r="C559" i="47"/>
  <c r="F653" i="47"/>
  <c r="F656" i="47"/>
  <c r="E668" i="47"/>
  <c r="P773" i="47"/>
  <c r="B777" i="47"/>
  <c r="F841" i="47"/>
  <c r="C844" i="47"/>
  <c r="O396" i="47"/>
  <c r="F509" i="47"/>
  <c r="B532" i="47"/>
  <c r="C549" i="47"/>
  <c r="J549" i="47" s="1"/>
  <c r="C556" i="47"/>
  <c r="E556" i="47" s="1"/>
  <c r="P559" i="47"/>
  <c r="C565" i="47"/>
  <c r="H565" i="47" s="1"/>
  <c r="F571" i="47"/>
  <c r="F582" i="47"/>
  <c r="O594" i="47"/>
  <c r="B610" i="47"/>
  <c r="P653" i="47"/>
  <c r="O661" i="47"/>
  <c r="F668" i="47"/>
  <c r="N668" i="47" s="1"/>
  <c r="O719" i="47"/>
  <c r="F756" i="47"/>
  <c r="C777" i="47"/>
  <c r="N777" i="47" s="1"/>
  <c r="B809" i="47"/>
  <c r="B811" i="47"/>
  <c r="K811" i="47" s="1"/>
  <c r="G841" i="47"/>
  <c r="O844" i="47"/>
  <c r="P509" i="47"/>
  <c r="C532" i="47"/>
  <c r="M532" i="47" s="1"/>
  <c r="O549" i="47"/>
  <c r="F556" i="47"/>
  <c r="F565" i="47"/>
  <c r="C610" i="47"/>
  <c r="L610" i="47" s="1"/>
  <c r="F661" i="47"/>
  <c r="F719" i="47"/>
  <c r="P756" i="47"/>
  <c r="O777" i="47"/>
  <c r="C809" i="47"/>
  <c r="H809" i="47" s="1"/>
  <c r="F811" i="47"/>
  <c r="F396" i="47"/>
  <c r="H396" i="47" s="1"/>
  <c r="B499" i="47"/>
  <c r="G499" i="47" s="1"/>
  <c r="F549" i="47"/>
  <c r="F568" i="47"/>
  <c r="C598" i="47"/>
  <c r="J598" i="47" s="1"/>
  <c r="B635" i="47"/>
  <c r="B660" i="47"/>
  <c r="G660" i="47" s="1"/>
  <c r="B715" i="47"/>
  <c r="C740" i="47"/>
  <c r="C771" i="47"/>
  <c r="O809" i="47"/>
  <c r="M841" i="47"/>
  <c r="P841" i="47"/>
  <c r="B782" i="47"/>
  <c r="B806" i="47"/>
  <c r="B757" i="47"/>
  <c r="O761" i="47"/>
  <c r="O806" i="47"/>
  <c r="B820" i="47"/>
  <c r="C845" i="47"/>
  <c r="E845" i="47" s="1"/>
  <c r="C734" i="47"/>
  <c r="E734" i="47" s="1"/>
  <c r="B738" i="47"/>
  <c r="O757" i="47"/>
  <c r="F761" i="47"/>
  <c r="B769" i="47"/>
  <c r="C820" i="47"/>
  <c r="B828" i="47"/>
  <c r="G828" i="47" s="1"/>
  <c r="O294" i="47"/>
  <c r="C314" i="47"/>
  <c r="C318" i="47"/>
  <c r="M318" i="47" s="1"/>
  <c r="P416" i="47"/>
  <c r="B441" i="47"/>
  <c r="F444" i="47"/>
  <c r="C618" i="47"/>
  <c r="M618" i="47" s="1"/>
  <c r="P648" i="47"/>
  <c r="C658" i="47"/>
  <c r="E658" i="47" s="1"/>
  <c r="Q738" i="47"/>
  <c r="F757" i="47"/>
  <c r="P761" i="47"/>
  <c r="C769" i="47"/>
  <c r="K769" i="47" s="1"/>
  <c r="P809" i="47"/>
  <c r="C828" i="47"/>
  <c r="F845" i="47"/>
  <c r="M742" i="47"/>
  <c r="V1118" i="47"/>
  <c r="V1126" i="47"/>
  <c r="V1134" i="47"/>
  <c r="V1103" i="47"/>
  <c r="V1111" i="47"/>
  <c r="V1119" i="47"/>
  <c r="V1135" i="47"/>
  <c r="V1143" i="47"/>
  <c r="V1151" i="47"/>
  <c r="V1167" i="47"/>
  <c r="V1215" i="47"/>
  <c r="V976" i="47"/>
  <c r="V1088" i="47"/>
  <c r="V1096" i="47"/>
  <c r="V1112" i="47"/>
  <c r="V1120" i="47"/>
  <c r="V1128" i="47"/>
  <c r="V1136" i="47"/>
  <c r="V1144" i="47"/>
  <c r="P34" i="47"/>
  <c r="B34" i="47"/>
  <c r="P75" i="47"/>
  <c r="C75" i="47"/>
  <c r="M75" i="47" s="1"/>
  <c r="O134" i="47"/>
  <c r="C134" i="47"/>
  <c r="B134" i="47"/>
  <c r="B3" i="47"/>
  <c r="B5" i="47"/>
  <c r="C20" i="47"/>
  <c r="F30" i="47"/>
  <c r="B30" i="47"/>
  <c r="O34" i="47"/>
  <c r="F43" i="47"/>
  <c r="B53" i="47"/>
  <c r="F53" i="47"/>
  <c r="P66" i="47"/>
  <c r="B75" i="47"/>
  <c r="K75" i="47" s="1"/>
  <c r="F134" i="47"/>
  <c r="F142" i="47"/>
  <c r="O142" i="47"/>
  <c r="C142" i="47"/>
  <c r="O256" i="47"/>
  <c r="F256" i="47"/>
  <c r="C256" i="47"/>
  <c r="B256" i="47"/>
  <c r="C3" i="47"/>
  <c r="C5" i="47"/>
  <c r="N5" i="47" s="1"/>
  <c r="B18" i="47"/>
  <c r="C28" i="47"/>
  <c r="N28" i="47" s="1"/>
  <c r="O30" i="47"/>
  <c r="F34" i="47"/>
  <c r="B39" i="47"/>
  <c r="H41" i="47"/>
  <c r="P48" i="47"/>
  <c r="C53" i="47"/>
  <c r="N53" i="47" s="1"/>
  <c r="B66" i="47"/>
  <c r="P134" i="47"/>
  <c r="P210" i="47"/>
  <c r="F210" i="47"/>
  <c r="O210" i="47"/>
  <c r="C210" i="47"/>
  <c r="M210" i="47" s="1"/>
  <c r="P30" i="47"/>
  <c r="C37" i="47"/>
  <c r="C39" i="47"/>
  <c r="J41" i="47"/>
  <c r="O53" i="47"/>
  <c r="F77" i="47"/>
  <c r="B77" i="47"/>
  <c r="Q90" i="47"/>
  <c r="F99" i="47"/>
  <c r="F120" i="47"/>
  <c r="C120" i="47"/>
  <c r="I120" i="47" s="1"/>
  <c r="F168" i="47"/>
  <c r="O168" i="47"/>
  <c r="C168" i="47"/>
  <c r="B210" i="47"/>
  <c r="F3" i="47"/>
  <c r="F5" i="47"/>
  <c r="B7" i="47"/>
  <c r="B9" i="47"/>
  <c r="B13" i="47"/>
  <c r="F18" i="47"/>
  <c r="B22" i="47"/>
  <c r="C24" i="47"/>
  <c r="L24" i="47" s="1"/>
  <c r="B26" i="47"/>
  <c r="P28" i="47"/>
  <c r="O37" i="47"/>
  <c r="L41" i="47"/>
  <c r="P71" i="47"/>
  <c r="Q71" i="47" s="1"/>
  <c r="B71" i="47"/>
  <c r="P83" i="47"/>
  <c r="F83" i="47"/>
  <c r="B168" i="47"/>
  <c r="P339" i="47"/>
  <c r="O339" i="47"/>
  <c r="C339" i="47"/>
  <c r="M339" i="47" s="1"/>
  <c r="F339" i="47"/>
  <c r="H339" i="47" s="1"/>
  <c r="B339" i="47"/>
  <c r="C7" i="47"/>
  <c r="L7" i="47" s="1"/>
  <c r="C9" i="47"/>
  <c r="L9" i="47" s="1"/>
  <c r="C13" i="47"/>
  <c r="N13" i="47" s="1"/>
  <c r="P20" i="47"/>
  <c r="O22" i="47"/>
  <c r="O26" i="47"/>
  <c r="F37" i="47"/>
  <c r="F39" i="47"/>
  <c r="M41" i="47"/>
  <c r="B49" i="47"/>
  <c r="I49" i="47" s="1"/>
  <c r="F49" i="47"/>
  <c r="J49" i="47" s="1"/>
  <c r="L49" i="47"/>
  <c r="P67" i="47"/>
  <c r="M67" i="47"/>
  <c r="I67" i="47"/>
  <c r="B67" i="47"/>
  <c r="G67" i="47" s="1"/>
  <c r="E69" i="47"/>
  <c r="B69" i="47"/>
  <c r="M69" i="47" s="1"/>
  <c r="C71" i="47"/>
  <c r="K71" i="47" s="1"/>
  <c r="B83" i="47"/>
  <c r="F202" i="47"/>
  <c r="P202" i="47"/>
  <c r="O202" i="47"/>
  <c r="C202" i="47"/>
  <c r="K202" i="47" s="1"/>
  <c r="O9" i="47"/>
  <c r="J11" i="47"/>
  <c r="O13" i="47"/>
  <c r="F22" i="47"/>
  <c r="P24" i="47"/>
  <c r="P26" i="47"/>
  <c r="O78" i="47"/>
  <c r="C78" i="47"/>
  <c r="P149" i="47"/>
  <c r="O149" i="47"/>
  <c r="C149" i="47"/>
  <c r="N149" i="47" s="1"/>
  <c r="B149" i="47"/>
  <c r="P155" i="47"/>
  <c r="F155" i="47"/>
  <c r="C155" i="47"/>
  <c r="B155" i="47"/>
  <c r="F7" i="47"/>
  <c r="F9" i="47"/>
  <c r="F13" i="47"/>
  <c r="B29" i="47"/>
  <c r="C29" i="47"/>
  <c r="P58" i="47"/>
  <c r="F58" i="47"/>
  <c r="B58" i="47"/>
  <c r="E64" i="47"/>
  <c r="O74" i="47"/>
  <c r="F74" i="47"/>
  <c r="C74" i="47"/>
  <c r="P105" i="47"/>
  <c r="M130" i="47"/>
  <c r="F147" i="47"/>
  <c r="B147" i="47"/>
  <c r="P158" i="47"/>
  <c r="F158" i="47"/>
  <c r="O158" i="47"/>
  <c r="C158" i="47"/>
  <c r="I158" i="47" s="1"/>
  <c r="B158" i="47"/>
  <c r="P193" i="47"/>
  <c r="F193" i="47"/>
  <c r="O193" i="47"/>
  <c r="C193" i="47"/>
  <c r="J193" i="47" s="1"/>
  <c r="B193" i="47"/>
  <c r="G193" i="47" s="1"/>
  <c r="P53" i="47"/>
  <c r="O58" i="47"/>
  <c r="F64" i="47"/>
  <c r="H64" i="47" s="1"/>
  <c r="K67" i="47"/>
  <c r="K69" i="47"/>
  <c r="B74" i="47"/>
  <c r="C105" i="47"/>
  <c r="J105" i="47" s="1"/>
  <c r="I140" i="47"/>
  <c r="C147" i="47"/>
  <c r="P7" i="47"/>
  <c r="O11" i="47"/>
  <c r="O15" i="47"/>
  <c r="F17" i="47"/>
  <c r="H17" i="47" s="1"/>
  <c r="B19" i="47"/>
  <c r="C21" i="47"/>
  <c r="B25" i="47"/>
  <c r="F25" i="47"/>
  <c r="B27" i="47"/>
  <c r="F29" i="47"/>
  <c r="O31" i="47"/>
  <c r="B42" i="47"/>
  <c r="K76" i="47"/>
  <c r="E76" i="47"/>
  <c r="I76" i="47"/>
  <c r="P81" i="47"/>
  <c r="P110" i="47"/>
  <c r="O110" i="47"/>
  <c r="B110" i="47"/>
  <c r="P173" i="47"/>
  <c r="C173" i="47"/>
  <c r="B173" i="47"/>
  <c r="B2" i="47"/>
  <c r="C4" i="47"/>
  <c r="H4" i="47" s="1"/>
  <c r="F11" i="47"/>
  <c r="L11" i="47" s="1"/>
  <c r="F15" i="47"/>
  <c r="C19" i="47"/>
  <c r="O21" i="47"/>
  <c r="C25" i="47"/>
  <c r="J25" i="47" s="1"/>
  <c r="C27" i="47"/>
  <c r="F31" i="47"/>
  <c r="L31" i="47" s="1"/>
  <c r="P37" i="47"/>
  <c r="F42" i="47"/>
  <c r="B45" i="47"/>
  <c r="O45" i="47"/>
  <c r="K49" i="47"/>
  <c r="B81" i="47"/>
  <c r="O88" i="47"/>
  <c r="C88" i="47"/>
  <c r="E88" i="47" s="1"/>
  <c r="C110" i="47"/>
  <c r="I110" i="47" s="1"/>
  <c r="F190" i="47"/>
  <c r="O190" i="47"/>
  <c r="C190" i="47"/>
  <c r="P194" i="47"/>
  <c r="C194" i="47"/>
  <c r="L194" i="47" s="1"/>
  <c r="B194" i="47"/>
  <c r="P11" i="47"/>
  <c r="J17" i="47"/>
  <c r="Q19" i="47"/>
  <c r="F21" i="47"/>
  <c r="O27" i="47"/>
  <c r="G31" i="47"/>
  <c r="P42" i="47"/>
  <c r="Q42" i="47" s="1"/>
  <c r="M49" i="47"/>
  <c r="P59" i="47"/>
  <c r="C59" i="47"/>
  <c r="J62" i="47"/>
  <c r="K62" i="47"/>
  <c r="F81" i="47"/>
  <c r="L144" i="47"/>
  <c r="N144" i="47"/>
  <c r="K144" i="47"/>
  <c r="P9" i="47"/>
  <c r="Q9" i="47" s="1"/>
  <c r="P13" i="47"/>
  <c r="Q13" i="47" s="1"/>
  <c r="K17" i="47"/>
  <c r="F19" i="47"/>
  <c r="O59" i="47"/>
  <c r="P65" i="47"/>
  <c r="O65" i="47"/>
  <c r="B65" i="47"/>
  <c r="F68" i="47"/>
  <c r="O70" i="47"/>
  <c r="P70" i="47"/>
  <c r="C70" i="47"/>
  <c r="G76" i="47"/>
  <c r="O101" i="47"/>
  <c r="P101" i="47"/>
  <c r="P125" i="47"/>
  <c r="C125" i="47"/>
  <c r="B125" i="47"/>
  <c r="C159" i="47"/>
  <c r="B159" i="47"/>
  <c r="B234" i="47"/>
  <c r="P234" i="47"/>
  <c r="F234" i="47"/>
  <c r="O234" i="47"/>
  <c r="C234" i="47"/>
  <c r="F293" i="47"/>
  <c r="O293" i="47"/>
  <c r="P293" i="47"/>
  <c r="C293" i="47"/>
  <c r="K293" i="47" s="1"/>
  <c r="B293" i="47"/>
  <c r="P348" i="47"/>
  <c r="O348" i="47"/>
  <c r="B348" i="47"/>
  <c r="L17" i="47"/>
  <c r="P38" i="47"/>
  <c r="B38" i="47"/>
  <c r="F59" i="47"/>
  <c r="I62" i="47"/>
  <c r="L65" i="47"/>
  <c r="P74" i="47"/>
  <c r="H76" i="47"/>
  <c r="P88" i="47"/>
  <c r="B101" i="47"/>
  <c r="P137" i="47"/>
  <c r="B137" i="47"/>
  <c r="M156" i="47"/>
  <c r="H156" i="47"/>
  <c r="F159" i="47"/>
  <c r="P170" i="47"/>
  <c r="F170" i="47"/>
  <c r="O170" i="47"/>
  <c r="C170" i="47"/>
  <c r="I170" i="47" s="1"/>
  <c r="P177" i="47"/>
  <c r="O177" i="47"/>
  <c r="C177" i="47"/>
  <c r="B177" i="47"/>
  <c r="H180" i="47"/>
  <c r="O184" i="47"/>
  <c r="C184" i="47"/>
  <c r="H184" i="47" s="1"/>
  <c r="B184" i="47"/>
  <c r="B57" i="47"/>
  <c r="F57" i="47"/>
  <c r="F96" i="47"/>
  <c r="C96" i="47"/>
  <c r="K96" i="47" s="1"/>
  <c r="B96" i="47"/>
  <c r="C122" i="47"/>
  <c r="L122" i="47" s="1"/>
  <c r="B122" i="47"/>
  <c r="P151" i="47"/>
  <c r="F151" i="47"/>
  <c r="C151" i="47"/>
  <c r="G151" i="47" s="1"/>
  <c r="L8" i="47"/>
  <c r="C12" i="47"/>
  <c r="P36" i="47"/>
  <c r="F38" i="47"/>
  <c r="B41" i="47"/>
  <c r="O41" i="47"/>
  <c r="P41" i="47"/>
  <c r="B43" i="47"/>
  <c r="C57" i="47"/>
  <c r="N57" i="47" s="1"/>
  <c r="M62" i="47"/>
  <c r="F70" i="47"/>
  <c r="N76" i="47"/>
  <c r="P96" i="47"/>
  <c r="C107" i="47"/>
  <c r="O124" i="47"/>
  <c r="O126" i="47"/>
  <c r="E156" i="47"/>
  <c r="H160" i="47"/>
  <c r="O162" i="47"/>
  <c r="O172" i="47"/>
  <c r="O186" i="47"/>
  <c r="B196" i="47"/>
  <c r="G196" i="47" s="1"/>
  <c r="M220" i="47"/>
  <c r="H228" i="47"/>
  <c r="P247" i="47"/>
  <c r="H247" i="47"/>
  <c r="O268" i="47"/>
  <c r="F288" i="47"/>
  <c r="B288" i="47"/>
  <c r="F301" i="47"/>
  <c r="C301" i="47"/>
  <c r="I301" i="47" s="1"/>
  <c r="P301" i="47"/>
  <c r="O301" i="47"/>
  <c r="I321" i="47"/>
  <c r="K336" i="47"/>
  <c r="P352" i="47"/>
  <c r="B352" i="47"/>
  <c r="I115" i="47"/>
  <c r="E124" i="47"/>
  <c r="J160" i="47"/>
  <c r="F162" i="47"/>
  <c r="L162" i="47" s="1"/>
  <c r="M204" i="47"/>
  <c r="C230" i="47"/>
  <c r="H230" i="47" s="1"/>
  <c r="G248" i="47"/>
  <c r="F268" i="47"/>
  <c r="H268" i="47" s="1"/>
  <c r="F285" i="47"/>
  <c r="C285" i="47"/>
  <c r="N285" i="47" s="1"/>
  <c r="P291" i="47"/>
  <c r="F291" i="47"/>
  <c r="C296" i="47"/>
  <c r="P362" i="47"/>
  <c r="B362" i="47"/>
  <c r="F543" i="47"/>
  <c r="C543" i="47"/>
  <c r="B104" i="47"/>
  <c r="J124" i="47"/>
  <c r="F126" i="47"/>
  <c r="B128" i="47"/>
  <c r="M132" i="47"/>
  <c r="B136" i="47"/>
  <c r="O138" i="47"/>
  <c r="K160" i="47"/>
  <c r="F186" i="47"/>
  <c r="L186" i="47" s="1"/>
  <c r="N204" i="47"/>
  <c r="C206" i="47"/>
  <c r="N206" i="47" s="1"/>
  <c r="P214" i="47"/>
  <c r="P218" i="47"/>
  <c r="B226" i="47"/>
  <c r="B230" i="47"/>
  <c r="C260" i="47"/>
  <c r="B291" i="47"/>
  <c r="B296" i="47"/>
  <c r="F317" i="47"/>
  <c r="O317" i="47"/>
  <c r="C317" i="47"/>
  <c r="M317" i="47" s="1"/>
  <c r="N62" i="47"/>
  <c r="F87" i="47"/>
  <c r="C90" i="47"/>
  <c r="N90" i="47" s="1"/>
  <c r="B98" i="47"/>
  <c r="C100" i="47"/>
  <c r="C104" i="47"/>
  <c r="E115" i="47"/>
  <c r="B117" i="47"/>
  <c r="C128" i="47"/>
  <c r="K128" i="47" s="1"/>
  <c r="P133" i="47"/>
  <c r="C136" i="47"/>
  <c r="B144" i="47"/>
  <c r="M144" i="47" s="1"/>
  <c r="C148" i="47"/>
  <c r="E148" i="47" s="1"/>
  <c r="L160" i="47"/>
  <c r="B175" i="47"/>
  <c r="B180" i="47"/>
  <c r="G180" i="47" s="1"/>
  <c r="C182" i="47"/>
  <c r="F196" i="47"/>
  <c r="H196" i="47" s="1"/>
  <c r="C201" i="47"/>
  <c r="O206" i="47"/>
  <c r="O209" i="47"/>
  <c r="C226" i="47"/>
  <c r="E226" i="47" s="1"/>
  <c r="O228" i="47"/>
  <c r="O230" i="47"/>
  <c r="B260" i="47"/>
  <c r="P266" i="47"/>
  <c r="B266" i="47"/>
  <c r="C272" i="47"/>
  <c r="E272" i="47" s="1"/>
  <c r="B272" i="47"/>
  <c r="O285" i="47"/>
  <c r="C291" i="47"/>
  <c r="O296" i="47"/>
  <c r="I309" i="47"/>
  <c r="B317" i="47"/>
  <c r="F376" i="47"/>
  <c r="P381" i="47"/>
  <c r="Q381" i="47" s="1"/>
  <c r="L429" i="47"/>
  <c r="M429" i="47"/>
  <c r="H429" i="47"/>
  <c r="G429" i="47"/>
  <c r="C472" i="47"/>
  <c r="J472" i="47" s="1"/>
  <c r="P472" i="47"/>
  <c r="B472" i="47"/>
  <c r="F252" i="47"/>
  <c r="C252" i="47"/>
  <c r="N252" i="47" s="1"/>
  <c r="F269" i="47"/>
  <c r="P285" i="47"/>
  <c r="F296" i="47"/>
  <c r="F305" i="47"/>
  <c r="C305" i="47"/>
  <c r="J305" i="47" s="1"/>
  <c r="P305" i="47"/>
  <c r="C320" i="47"/>
  <c r="L320" i="47" s="1"/>
  <c r="O346" i="47"/>
  <c r="P346" i="47"/>
  <c r="B346" i="47"/>
  <c r="F98" i="47"/>
  <c r="F100" i="47"/>
  <c r="J113" i="47"/>
  <c r="G115" i="47"/>
  <c r="F128" i="47"/>
  <c r="O144" i="47"/>
  <c r="K156" i="47"/>
  <c r="N160" i="47"/>
  <c r="F164" i="47"/>
  <c r="F166" i="47"/>
  <c r="P175" i="47"/>
  <c r="O180" i="47"/>
  <c r="F182" i="47"/>
  <c r="C189" i="47"/>
  <c r="G189" i="47" s="1"/>
  <c r="P206" i="47"/>
  <c r="C209" i="47"/>
  <c r="P219" i="47"/>
  <c r="F219" i="47"/>
  <c r="F221" i="47"/>
  <c r="B224" i="47"/>
  <c r="J228" i="47"/>
  <c r="F230" i="47"/>
  <c r="B237" i="47"/>
  <c r="F244" i="47"/>
  <c r="B252" i="47"/>
  <c r="F260" i="47"/>
  <c r="C262" i="47"/>
  <c r="F266" i="47"/>
  <c r="B269" i="47"/>
  <c r="F272" i="47"/>
  <c r="F289" i="47"/>
  <c r="O289" i="47"/>
  <c r="C289" i="47"/>
  <c r="B305" i="47"/>
  <c r="B320" i="47"/>
  <c r="G320" i="47" s="1"/>
  <c r="B322" i="47"/>
  <c r="G322" i="47" s="1"/>
  <c r="F322" i="47"/>
  <c r="L322" i="47" s="1"/>
  <c r="O322" i="47"/>
  <c r="F346" i="47"/>
  <c r="C363" i="47"/>
  <c r="F372" i="47"/>
  <c r="C224" i="47"/>
  <c r="F237" i="47"/>
  <c r="O252" i="47"/>
  <c r="P307" i="47"/>
  <c r="B307" i="47"/>
  <c r="M312" i="47"/>
  <c r="N312" i="47"/>
  <c r="E332" i="47"/>
  <c r="B332" i="47"/>
  <c r="K332" i="47" s="1"/>
  <c r="O334" i="47"/>
  <c r="C334" i="47"/>
  <c r="B334" i="47"/>
  <c r="C340" i="47"/>
  <c r="J340" i="47" s="1"/>
  <c r="O377" i="47"/>
  <c r="C377" i="47"/>
  <c r="P413" i="47"/>
  <c r="F413" i="47"/>
  <c r="O413" i="47"/>
  <c r="P423" i="47"/>
  <c r="F117" i="47"/>
  <c r="B163" i="47"/>
  <c r="B171" i="47"/>
  <c r="O224" i="47"/>
  <c r="P237" i="47"/>
  <c r="P240" i="47"/>
  <c r="B258" i="47"/>
  <c r="I258" i="47" s="1"/>
  <c r="C680" i="47"/>
  <c r="B680" i="47"/>
  <c r="P680" i="47"/>
  <c r="F63" i="47"/>
  <c r="V67" i="47"/>
  <c r="F94" i="47"/>
  <c r="C97" i="47"/>
  <c r="J97" i="47" s="1"/>
  <c r="C103" i="47"/>
  <c r="J103" i="47" s="1"/>
  <c r="K115" i="47"/>
  <c r="B119" i="47"/>
  <c r="B132" i="47"/>
  <c r="B133" i="47"/>
  <c r="C163" i="47"/>
  <c r="N163" i="47" s="1"/>
  <c r="V168" i="47"/>
  <c r="C171" i="47"/>
  <c r="K171" i="47" s="1"/>
  <c r="O205" i="47"/>
  <c r="M228" i="47"/>
  <c r="B240" i="47"/>
  <c r="M240" i="47" s="1"/>
  <c r="P242" i="47"/>
  <c r="N247" i="47"/>
  <c r="O258" i="47"/>
  <c r="F267" i="47"/>
  <c r="P273" i="47"/>
  <c r="Q273" i="47" s="1"/>
  <c r="C273" i="47"/>
  <c r="K273" i="47" s="1"/>
  <c r="C286" i="47"/>
  <c r="B310" i="47"/>
  <c r="F310" i="47"/>
  <c r="P317" i="47"/>
  <c r="F332" i="47"/>
  <c r="H332" i="47" s="1"/>
  <c r="F340" i="47"/>
  <c r="F465" i="47"/>
  <c r="N140" i="47"/>
  <c r="F163" i="47"/>
  <c r="F171" i="47"/>
  <c r="P222" i="47"/>
  <c r="B222" i="47"/>
  <c r="G222" i="47" s="1"/>
  <c r="E249" i="47"/>
  <c r="I249" i="47"/>
  <c r="C308" i="47"/>
  <c r="N308" i="47" s="1"/>
  <c r="B308" i="47"/>
  <c r="M326" i="47"/>
  <c r="P334" i="47"/>
  <c r="M222" i="47"/>
  <c r="C238" i="47"/>
  <c r="M238" i="47" s="1"/>
  <c r="P263" i="47"/>
  <c r="C263" i="47"/>
  <c r="K263" i="47" s="1"/>
  <c r="C280" i="47"/>
  <c r="I280" i="47" s="1"/>
  <c r="F297" i="47"/>
  <c r="O297" i="47"/>
  <c r="C297" i="47"/>
  <c r="P297" i="47"/>
  <c r="N300" i="47"/>
  <c r="B188" i="47"/>
  <c r="B192" i="47"/>
  <c r="B212" i="47"/>
  <c r="O222" i="47"/>
  <c r="F233" i="47"/>
  <c r="B238" i="47"/>
  <c r="F240" i="47"/>
  <c r="N240" i="47" s="1"/>
  <c r="P243" i="47"/>
  <c r="F243" i="47"/>
  <c r="J243" i="47" s="1"/>
  <c r="K248" i="47"/>
  <c r="K249" i="47"/>
  <c r="P258" i="47"/>
  <c r="B263" i="47"/>
  <c r="P265" i="47"/>
  <c r="F265" i="47"/>
  <c r="H265" i="47" s="1"/>
  <c r="E265" i="47"/>
  <c r="B270" i="47"/>
  <c r="C290" i="47"/>
  <c r="L290" i="47" s="1"/>
  <c r="B297" i="47"/>
  <c r="B300" i="47"/>
  <c r="O338" i="47"/>
  <c r="B338" i="47"/>
  <c r="P338" i="47"/>
  <c r="P365" i="47"/>
  <c r="B365" i="47"/>
  <c r="G365" i="47" s="1"/>
  <c r="F132" i="47"/>
  <c r="O140" i="47"/>
  <c r="O160" i="47"/>
  <c r="C174" i="47"/>
  <c r="C181" i="47"/>
  <c r="C188" i="47"/>
  <c r="C192" i="47"/>
  <c r="N192" i="47" s="1"/>
  <c r="F195" i="47"/>
  <c r="B200" i="47"/>
  <c r="K204" i="47"/>
  <c r="C208" i="47"/>
  <c r="C212" i="47"/>
  <c r="J212" i="47" s="1"/>
  <c r="B214" i="47"/>
  <c r="B216" i="47"/>
  <c r="K216" i="47" s="1"/>
  <c r="B218" i="47"/>
  <c r="E222" i="47"/>
  <c r="B225" i="47"/>
  <c r="B229" i="47"/>
  <c r="P233" i="47"/>
  <c r="O238" i="47"/>
  <c r="C243" i="47"/>
  <c r="F263" i="47"/>
  <c r="B265" i="47"/>
  <c r="G265" i="47" s="1"/>
  <c r="C270" i="47"/>
  <c r="F280" i="47"/>
  <c r="C284" i="47"/>
  <c r="B284" i="47"/>
  <c r="M284" i="47" s="1"/>
  <c r="P287" i="47"/>
  <c r="C287" i="47"/>
  <c r="K287" i="47" s="1"/>
  <c r="O290" i="47"/>
  <c r="O300" i="47"/>
  <c r="N326" i="47"/>
  <c r="F338" i="47"/>
  <c r="C365" i="47"/>
  <c r="K365" i="47" s="1"/>
  <c r="P415" i="47"/>
  <c r="C415" i="47"/>
  <c r="B415" i="47"/>
  <c r="E140" i="47"/>
  <c r="C200" i="47"/>
  <c r="O212" i="47"/>
  <c r="C214" i="47"/>
  <c r="L214" i="47" s="1"/>
  <c r="C216" i="47"/>
  <c r="H216" i="47" s="1"/>
  <c r="C218" i="47"/>
  <c r="L218" i="47" s="1"/>
  <c r="F222" i="47"/>
  <c r="L222" i="47" s="1"/>
  <c r="B306" i="47"/>
  <c r="O306" i="47"/>
  <c r="O316" i="47"/>
  <c r="B316" i="47"/>
  <c r="C404" i="47"/>
  <c r="P404" i="47"/>
  <c r="F404" i="47"/>
  <c r="O404" i="47"/>
  <c r="P673" i="47"/>
  <c r="O673" i="47"/>
  <c r="F673" i="47"/>
  <c r="C673" i="47"/>
  <c r="B673" i="47"/>
  <c r="P290" i="47"/>
  <c r="C306" i="47"/>
  <c r="K306" i="47" s="1"/>
  <c r="C316" i="47"/>
  <c r="N316" i="47" s="1"/>
  <c r="J422" i="47"/>
  <c r="L425" i="47"/>
  <c r="K425" i="47"/>
  <c r="P505" i="47"/>
  <c r="B505" i="47"/>
  <c r="K505" i="47" s="1"/>
  <c r="P676" i="47"/>
  <c r="P800" i="47"/>
  <c r="F800" i="47"/>
  <c r="J264" i="47"/>
  <c r="F309" i="47"/>
  <c r="N309" i="47" s="1"/>
  <c r="B309" i="47"/>
  <c r="K309" i="47" s="1"/>
  <c r="O318" i="47"/>
  <c r="P510" i="47"/>
  <c r="O510" i="47"/>
  <c r="C510" i="47"/>
  <c r="M510" i="47" s="1"/>
  <c r="B510" i="47"/>
  <c r="J528" i="47"/>
  <c r="E532" i="47"/>
  <c r="P535" i="47"/>
  <c r="L535" i="47"/>
  <c r="J535" i="47"/>
  <c r="F537" i="47"/>
  <c r="B537" i="47"/>
  <c r="O652" i="47"/>
  <c r="C652" i="47"/>
  <c r="K652" i="47" s="1"/>
  <c r="B652" i="47"/>
  <c r="P652" i="47"/>
  <c r="O438" i="47"/>
  <c r="B463" i="47"/>
  <c r="K463" i="47" s="1"/>
  <c r="I610" i="47"/>
  <c r="P625" i="47"/>
  <c r="B625" i="47"/>
  <c r="F553" i="47"/>
  <c r="O553" i="47"/>
  <c r="B553" i="47"/>
  <c r="O585" i="47"/>
  <c r="F585" i="47"/>
  <c r="C585" i="47"/>
  <c r="B585" i="47"/>
  <c r="P741" i="47"/>
  <c r="C741" i="47"/>
  <c r="F741" i="47"/>
  <c r="B744" i="47"/>
  <c r="F744" i="47"/>
  <c r="O744" i="47"/>
  <c r="C744" i="47"/>
  <c r="E744" i="47" s="1"/>
  <c r="I204" i="47"/>
  <c r="I253" i="47"/>
  <c r="P261" i="47"/>
  <c r="E309" i="47"/>
  <c r="F314" i="47"/>
  <c r="P347" i="47"/>
  <c r="Q347" i="47" s="1"/>
  <c r="F347" i="47"/>
  <c r="L347" i="47" s="1"/>
  <c r="O350" i="47"/>
  <c r="F350" i="47"/>
  <c r="C359" i="47"/>
  <c r="F411" i="47"/>
  <c r="N411" i="47" s="1"/>
  <c r="I425" i="47"/>
  <c r="P430" i="47"/>
  <c r="Q430" i="47" s="1"/>
  <c r="C436" i="47"/>
  <c r="B444" i="47"/>
  <c r="O447" i="47"/>
  <c r="C450" i="47"/>
  <c r="I450" i="47" s="1"/>
  <c r="O457" i="47"/>
  <c r="O463" i="47"/>
  <c r="C466" i="47"/>
  <c r="J466" i="47" s="1"/>
  <c r="B502" i="47"/>
  <c r="P519" i="47"/>
  <c r="E519" i="47"/>
  <c r="B544" i="47"/>
  <c r="B550" i="47"/>
  <c r="G550" i="47" s="1"/>
  <c r="C553" i="47"/>
  <c r="K553" i="47" s="1"/>
  <c r="F557" i="47"/>
  <c r="O557" i="47"/>
  <c r="C557" i="47"/>
  <c r="P596" i="47"/>
  <c r="B596" i="47"/>
  <c r="G596" i="47" s="1"/>
  <c r="F596" i="47"/>
  <c r="J596" i="47" s="1"/>
  <c r="E610" i="47"/>
  <c r="M622" i="47"/>
  <c r="B630" i="47"/>
  <c r="F630" i="47"/>
  <c r="O741" i="47"/>
  <c r="P318" i="47"/>
  <c r="F321" i="47"/>
  <c r="H321" i="47" s="1"/>
  <c r="J321" i="47"/>
  <c r="Q344" i="47"/>
  <c r="F359" i="47"/>
  <c r="N429" i="47"/>
  <c r="C444" i="47"/>
  <c r="E444" i="47" s="1"/>
  <c r="F463" i="47"/>
  <c r="L463" i="47" s="1"/>
  <c r="F466" i="47"/>
  <c r="F506" i="47"/>
  <c r="C506" i="47"/>
  <c r="B506" i="47"/>
  <c r="H535" i="47"/>
  <c r="C544" i="47"/>
  <c r="P553" i="47"/>
  <c r="I560" i="47"/>
  <c r="F620" i="47"/>
  <c r="P620" i="47"/>
  <c r="O626" i="47"/>
  <c r="C626" i="47"/>
  <c r="F626" i="47"/>
  <c r="B626" i="47"/>
  <c r="N769" i="47"/>
  <c r="I769" i="47"/>
  <c r="E769" i="47"/>
  <c r="M769" i="47"/>
  <c r="L769" i="47"/>
  <c r="O538" i="47"/>
  <c r="P647" i="47"/>
  <c r="C647" i="47"/>
  <c r="F647" i="47"/>
  <c r="P735" i="47"/>
  <c r="B735" i="47"/>
  <c r="C826" i="47"/>
  <c r="P826" i="47"/>
  <c r="F826" i="47"/>
  <c r="O826" i="47"/>
  <c r="B826" i="47"/>
  <c r="K826" i="47" s="1"/>
  <c r="B508" i="47"/>
  <c r="C527" i="47"/>
  <c r="P527" i="47"/>
  <c r="C538" i="47"/>
  <c r="O593" i="47"/>
  <c r="P593" i="47"/>
  <c r="E596" i="47"/>
  <c r="C620" i="47"/>
  <c r="G620" i="47" s="1"/>
  <c r="P623" i="47"/>
  <c r="F623" i="47"/>
  <c r="B647" i="47"/>
  <c r="F697" i="47"/>
  <c r="F735" i="47"/>
  <c r="E429" i="47"/>
  <c r="C456" i="47"/>
  <c r="B456" i="47"/>
  <c r="P463" i="47"/>
  <c r="O503" i="47"/>
  <c r="F503" i="47"/>
  <c r="H503" i="47" s="1"/>
  <c r="C503" i="47"/>
  <c r="O620" i="47"/>
  <c r="O647" i="47"/>
  <c r="M668" i="47"/>
  <c r="H668" i="47"/>
  <c r="P691" i="47"/>
  <c r="C691" i="47"/>
  <c r="E321" i="47"/>
  <c r="O326" i="47"/>
  <c r="F326" i="47"/>
  <c r="L326" i="47" s="1"/>
  <c r="L327" i="47"/>
  <c r="F341" i="47"/>
  <c r="N341" i="47" s="1"/>
  <c r="Q419" i="47"/>
  <c r="C454" i="47"/>
  <c r="I454" i="47" s="1"/>
  <c r="F536" i="47"/>
  <c r="J536" i="47" s="1"/>
  <c r="E536" i="47"/>
  <c r="P611" i="47"/>
  <c r="O611" i="47"/>
  <c r="F644" i="47"/>
  <c r="N644" i="47" s="1"/>
  <c r="P644" i="47"/>
  <c r="B261" i="47"/>
  <c r="I261" i="47" s="1"/>
  <c r="B264" i="47"/>
  <c r="I264" i="47" s="1"/>
  <c r="B326" i="47"/>
  <c r="I326" i="47" s="1"/>
  <c r="N327" i="47"/>
  <c r="C331" i="47"/>
  <c r="I331" i="47" s="1"/>
  <c r="P341" i="47"/>
  <c r="F384" i="47"/>
  <c r="C389" i="47"/>
  <c r="E389" i="47" s="1"/>
  <c r="P409" i="47"/>
  <c r="O409" i="47"/>
  <c r="C412" i="47"/>
  <c r="N412" i="47" s="1"/>
  <c r="B412" i="47"/>
  <c r="P436" i="47"/>
  <c r="P487" i="47"/>
  <c r="O487" i="47"/>
  <c r="P506" i="47"/>
  <c r="Q506" i="47" s="1"/>
  <c r="B536" i="47"/>
  <c r="I536" i="47" s="1"/>
  <c r="M560" i="47"/>
  <c r="F583" i="47"/>
  <c r="P583" i="47"/>
  <c r="O583" i="47"/>
  <c r="C583" i="47"/>
  <c r="B644" i="47"/>
  <c r="M644" i="47" s="1"/>
  <c r="P475" i="47"/>
  <c r="O500" i="47"/>
  <c r="B500" i="47"/>
  <c r="C520" i="47"/>
  <c r="B520" i="47"/>
  <c r="F520" i="47"/>
  <c r="P591" i="47"/>
  <c r="B591" i="47"/>
  <c r="G591" i="47" s="1"/>
  <c r="E591" i="47"/>
  <c r="O597" i="47"/>
  <c r="P597" i="47"/>
  <c r="F597" i="47"/>
  <c r="J628" i="47"/>
  <c r="K628" i="47"/>
  <c r="F628" i="47"/>
  <c r="L628" i="47" s="1"/>
  <c r="E628" i="47"/>
  <c r="P628" i="47"/>
  <c r="B628" i="47"/>
  <c r="G628" i="47" s="1"/>
  <c r="P657" i="47"/>
  <c r="B657" i="47"/>
  <c r="O665" i="47"/>
  <c r="C665" i="47"/>
  <c r="P679" i="47"/>
  <c r="O679" i="47"/>
  <c r="C414" i="47"/>
  <c r="E414" i="47" s="1"/>
  <c r="B432" i="47"/>
  <c r="N539" i="47"/>
  <c r="H539" i="47"/>
  <c r="B665" i="47"/>
  <c r="I665" i="47" s="1"/>
  <c r="P675" i="47"/>
  <c r="F675" i="47"/>
  <c r="B675" i="47"/>
  <c r="B679" i="47"/>
  <c r="P797" i="47"/>
  <c r="F797" i="47"/>
  <c r="B797" i="47"/>
  <c r="O797" i="47"/>
  <c r="J312" i="47"/>
  <c r="O312" i="47"/>
  <c r="K321" i="47"/>
  <c r="C400" i="47"/>
  <c r="E400" i="47" s="1"/>
  <c r="F400" i="47"/>
  <c r="F419" i="47"/>
  <c r="L419" i="47" s="1"/>
  <c r="B435" i="47"/>
  <c r="F437" i="47"/>
  <c r="O437" i="47"/>
  <c r="F467" i="47"/>
  <c r="O475" i="47"/>
  <c r="J509" i="47"/>
  <c r="P511" i="47"/>
  <c r="I528" i="47"/>
  <c r="F528" i="47"/>
  <c r="H528" i="47" s="1"/>
  <c r="O528" i="47"/>
  <c r="F532" i="47"/>
  <c r="H567" i="47"/>
  <c r="F591" i="47"/>
  <c r="N591" i="47" s="1"/>
  <c r="F606" i="47"/>
  <c r="O606" i="47"/>
  <c r="B606" i="47"/>
  <c r="P609" i="47"/>
  <c r="F609" i="47"/>
  <c r="B609" i="47"/>
  <c r="F665" i="47"/>
  <c r="F679" i="47"/>
  <c r="C767" i="47"/>
  <c r="M767" i="47" s="1"/>
  <c r="P767" i="47"/>
  <c r="P785" i="47"/>
  <c r="F785" i="47"/>
  <c r="O785" i="47"/>
  <c r="C785" i="47"/>
  <c r="B785" i="47"/>
  <c r="C797" i="47"/>
  <c r="G797" i="47" s="1"/>
  <c r="P584" i="47"/>
  <c r="J584" i="47"/>
  <c r="N601" i="47"/>
  <c r="L601" i="47"/>
  <c r="C606" i="47"/>
  <c r="C747" i="47"/>
  <c r="B747" i="47"/>
  <c r="P839" i="47"/>
  <c r="F839" i="47"/>
  <c r="O561" i="47"/>
  <c r="F561" i="47"/>
  <c r="H610" i="47"/>
  <c r="C715" i="47"/>
  <c r="I715" i="47" s="1"/>
  <c r="P722" i="47"/>
  <c r="Q722" i="47" s="1"/>
  <c r="B722" i="47"/>
  <c r="B748" i="47"/>
  <c r="M748" i="47" s="1"/>
  <c r="F748" i="47"/>
  <c r="L748" i="47" s="1"/>
  <c r="E750" i="47"/>
  <c r="O781" i="47"/>
  <c r="C781" i="47"/>
  <c r="K781" i="47" s="1"/>
  <c r="B781" i="47"/>
  <c r="C561" i="47"/>
  <c r="P567" i="47"/>
  <c r="B567" i="47"/>
  <c r="G567" i="47" s="1"/>
  <c r="P576" i="47"/>
  <c r="F576" i="47"/>
  <c r="F594" i="47"/>
  <c r="O636" i="47"/>
  <c r="J668" i="47"/>
  <c r="P682" i="47"/>
  <c r="C682" i="47"/>
  <c r="J682" i="47" s="1"/>
  <c r="E694" i="47"/>
  <c r="F722" i="47"/>
  <c r="C726" i="47"/>
  <c r="G726" i="47" s="1"/>
  <c r="O748" i="47"/>
  <c r="O758" i="47"/>
  <c r="C758" i="47"/>
  <c r="B758" i="47"/>
  <c r="E837" i="47"/>
  <c r="F842" i="47"/>
  <c r="B842" i="47"/>
  <c r="K604" i="47"/>
  <c r="F636" i="47"/>
  <c r="N664" i="47"/>
  <c r="L664" i="47"/>
  <c r="O664" i="47"/>
  <c r="I694" i="47"/>
  <c r="O708" i="47"/>
  <c r="C708" i="47"/>
  <c r="H708" i="47" s="1"/>
  <c r="E748" i="47"/>
  <c r="P765" i="47"/>
  <c r="C765" i="47"/>
  <c r="P781" i="47"/>
  <c r="C840" i="47"/>
  <c r="B840" i="47"/>
  <c r="C853" i="47"/>
  <c r="P613" i="47"/>
  <c r="O616" i="47"/>
  <c r="C616" i="47"/>
  <c r="M616" i="47" s="1"/>
  <c r="P616" i="47"/>
  <c r="P655" i="47"/>
  <c r="C655" i="47"/>
  <c r="H655" i="47" s="1"/>
  <c r="M660" i="47"/>
  <c r="I660" i="47"/>
  <c r="B664" i="47"/>
  <c r="K664" i="47" s="1"/>
  <c r="O682" i="47"/>
  <c r="C685" i="47"/>
  <c r="M685" i="47" s="1"/>
  <c r="B708" i="47"/>
  <c r="P711" i="47"/>
  <c r="E711" i="47"/>
  <c r="F730" i="47"/>
  <c r="N734" i="47"/>
  <c r="B734" i="47"/>
  <c r="B765" i="47"/>
  <c r="P801" i="47"/>
  <c r="F801" i="47"/>
  <c r="H801" i="47" s="1"/>
  <c r="B801" i="47"/>
  <c r="I801" i="47" s="1"/>
  <c r="B821" i="47"/>
  <c r="O821" i="47"/>
  <c r="C821" i="47"/>
  <c r="E821" i="47" s="1"/>
  <c r="B829" i="47"/>
  <c r="O829" i="47"/>
  <c r="C829" i="47"/>
  <c r="G837" i="47"/>
  <c r="P840" i="47"/>
  <c r="E842" i="47"/>
  <c r="C848" i="47"/>
  <c r="O853" i="47"/>
  <c r="O795" i="47"/>
  <c r="C795" i="47"/>
  <c r="B833" i="47"/>
  <c r="P833" i="47"/>
  <c r="H837" i="47"/>
  <c r="F853" i="47"/>
  <c r="F624" i="47"/>
  <c r="B634" i="47"/>
  <c r="O634" i="47"/>
  <c r="P723" i="47"/>
  <c r="C723" i="47"/>
  <c r="C759" i="47"/>
  <c r="O762" i="47"/>
  <c r="F765" i="47"/>
  <c r="K773" i="47"/>
  <c r="M773" i="47"/>
  <c r="B813" i="47"/>
  <c r="F821" i="47"/>
  <c r="C833" i="47"/>
  <c r="P848" i="47"/>
  <c r="Q848" i="47" s="1"/>
  <c r="O577" i="47"/>
  <c r="O614" i="47"/>
  <c r="C614" i="47"/>
  <c r="H614" i="47" s="1"/>
  <c r="B662" i="47"/>
  <c r="J664" i="47"/>
  <c r="B716" i="47"/>
  <c r="B727" i="47"/>
  <c r="O759" i="47"/>
  <c r="E801" i="47"/>
  <c r="C813" i="47"/>
  <c r="O833" i="47"/>
  <c r="P853" i="47"/>
  <c r="F540" i="47"/>
  <c r="C546" i="47"/>
  <c r="I546" i="47" s="1"/>
  <c r="B546" i="47"/>
  <c r="B577" i="47"/>
  <c r="P586" i="47"/>
  <c r="O589" i="47"/>
  <c r="F589" i="47"/>
  <c r="C589" i="47"/>
  <c r="B589" i="47"/>
  <c r="B605" i="47"/>
  <c r="B614" i="47"/>
  <c r="C624" i="47"/>
  <c r="G624" i="47" s="1"/>
  <c r="F634" i="47"/>
  <c r="P640" i="47"/>
  <c r="F640" i="47"/>
  <c r="O640" i="47"/>
  <c r="B648" i="47"/>
  <c r="C662" i="47"/>
  <c r="E662" i="47" s="1"/>
  <c r="B669" i="47"/>
  <c r="M669" i="47" s="1"/>
  <c r="B686" i="47"/>
  <c r="O702" i="47"/>
  <c r="C702" i="47"/>
  <c r="K702" i="47" s="1"/>
  <c r="B702" i="47"/>
  <c r="P708" i="47"/>
  <c r="F716" i="47"/>
  <c r="Q727" i="47"/>
  <c r="C731" i="47"/>
  <c r="N748" i="47"/>
  <c r="Q756" i="47"/>
  <c r="F759" i="47"/>
  <c r="E773" i="47"/>
  <c r="C779" i="47"/>
  <c r="P789" i="47"/>
  <c r="F789" i="47"/>
  <c r="O789" i="47"/>
  <c r="C789" i="47"/>
  <c r="Q819" i="47"/>
  <c r="B819" i="47"/>
  <c r="B824" i="47"/>
  <c r="P827" i="47"/>
  <c r="B827" i="47"/>
  <c r="F833" i="47"/>
  <c r="F835" i="47"/>
  <c r="O835" i="47"/>
  <c r="B835" i="47"/>
  <c r="B540" i="47"/>
  <c r="E565" i="47"/>
  <c r="C577" i="47"/>
  <c r="H577" i="47" s="1"/>
  <c r="C586" i="47"/>
  <c r="E586" i="47" s="1"/>
  <c r="C605" i="47"/>
  <c r="K605" i="47" s="1"/>
  <c r="F614" i="47"/>
  <c r="G622" i="47"/>
  <c r="F622" i="47"/>
  <c r="L622" i="47" s="1"/>
  <c r="O624" i="47"/>
  <c r="N634" i="47"/>
  <c r="B640" i="47"/>
  <c r="C648" i="47"/>
  <c r="B651" i="47"/>
  <c r="E656" i="47"/>
  <c r="H660" i="47"/>
  <c r="O662" i="47"/>
  <c r="I664" i="47"/>
  <c r="C669" i="47"/>
  <c r="B672" i="47"/>
  <c r="B683" i="47"/>
  <c r="C686" i="47"/>
  <c r="C690" i="47"/>
  <c r="E690" i="47" s="1"/>
  <c r="L707" i="47"/>
  <c r="I707" i="47"/>
  <c r="G711" i="47"/>
  <c r="P716" i="47"/>
  <c r="Q716" i="47" s="1"/>
  <c r="F727" i="47"/>
  <c r="O731" i="47"/>
  <c r="F779" i="47"/>
  <c r="F813" i="47"/>
  <c r="P816" i="47"/>
  <c r="O816" i="47"/>
  <c r="B816" i="47"/>
  <c r="Q824" i="47"/>
  <c r="P829" i="47"/>
  <c r="P835" i="47"/>
  <c r="Q324" i="47"/>
  <c r="B424" i="47"/>
  <c r="C427" i="47"/>
  <c r="L427" i="47" s="1"/>
  <c r="P483" i="47"/>
  <c r="H485" i="47"/>
  <c r="C540" i="47"/>
  <c r="E540" i="47" s="1"/>
  <c r="N563" i="47"/>
  <c r="K563" i="47"/>
  <c r="J563" i="47"/>
  <c r="O586" i="47"/>
  <c r="F605" i="47"/>
  <c r="B638" i="47"/>
  <c r="M638" i="47" s="1"/>
  <c r="F638" i="47"/>
  <c r="O648" i="47"/>
  <c r="P668" i="47"/>
  <c r="L668" i="47"/>
  <c r="G668" i="47"/>
  <c r="Q669" i="47"/>
  <c r="P672" i="47"/>
  <c r="Q672" i="47" s="1"/>
  <c r="O686" i="47"/>
  <c r="H711" i="47"/>
  <c r="P734" i="47"/>
  <c r="H773" i="47"/>
  <c r="L809" i="47"/>
  <c r="P846" i="47"/>
  <c r="O846" i="47"/>
  <c r="B846" i="47"/>
  <c r="B854" i="47"/>
  <c r="F854" i="47"/>
  <c r="O854" i="47"/>
  <c r="C854" i="47"/>
  <c r="L854" i="47" s="1"/>
  <c r="O653" i="47"/>
  <c r="C653" i="47"/>
  <c r="N653" i="47" s="1"/>
  <c r="B653" i="47"/>
  <c r="K668" i="47"/>
  <c r="L714" i="47"/>
  <c r="L773" i="47"/>
  <c r="C846" i="47"/>
  <c r="H846" i="47" s="1"/>
  <c r="F817" i="47"/>
  <c r="V844" i="47"/>
  <c r="V1092" i="47"/>
  <c r="V1124" i="47"/>
  <c r="V1140" i="47"/>
  <c r="L841" i="47"/>
  <c r="O845" i="47"/>
  <c r="V881" i="47"/>
  <c r="V913" i="47"/>
  <c r="V973" i="47"/>
  <c r="F710" i="47"/>
  <c r="J710" i="47" s="1"/>
  <c r="I837" i="47"/>
  <c r="I841" i="47"/>
  <c r="P565" i="47"/>
  <c r="Q565" i="47" s="1"/>
  <c r="B582" i="47"/>
  <c r="I604" i="47"/>
  <c r="I612" i="47"/>
  <c r="C696" i="47"/>
  <c r="N696" i="47" s="1"/>
  <c r="B720" i="47"/>
  <c r="C729" i="47"/>
  <c r="C752" i="47"/>
  <c r="J752" i="47" s="1"/>
  <c r="B756" i="47"/>
  <c r="B761" i="47"/>
  <c r="K761" i="47" s="1"/>
  <c r="B805" i="47"/>
  <c r="I805" i="47" s="1"/>
  <c r="C825" i="47"/>
  <c r="E825" i="47" s="1"/>
  <c r="J837" i="47"/>
  <c r="J841" i="47"/>
  <c r="B850" i="47"/>
  <c r="V991" i="47"/>
  <c r="V1223" i="47"/>
  <c r="G595" i="47"/>
  <c r="G694" i="47"/>
  <c r="J793" i="47"/>
  <c r="O825" i="47"/>
  <c r="K837" i="47"/>
  <c r="K841" i="47"/>
  <c r="I845" i="47"/>
  <c r="C849" i="47"/>
  <c r="K849" i="47" s="1"/>
  <c r="P852" i="47"/>
  <c r="M837" i="47"/>
  <c r="N841" i="47"/>
  <c r="J9" i="18"/>
  <c r="V71" i="47"/>
  <c r="V1339" i="47"/>
  <c r="V1363" i="47"/>
  <c r="V250" i="47"/>
  <c r="V264" i="47"/>
  <c r="V405" i="47"/>
  <c r="V478" i="47"/>
  <c r="V482" i="47"/>
  <c r="V391" i="47"/>
  <c r="V479" i="47"/>
  <c r="V75" i="47"/>
  <c r="V387" i="47"/>
  <c r="V397" i="47"/>
  <c r="V400" i="47"/>
  <c r="V441" i="47"/>
  <c r="V407" i="47"/>
  <c r="V875" i="47"/>
  <c r="V970" i="47"/>
  <c r="V1098" i="47"/>
  <c r="V1114" i="47"/>
  <c r="V1122" i="47"/>
  <c r="V1130" i="47"/>
  <c r="V1146" i="47"/>
  <c r="V1154" i="47"/>
  <c r="V1162" i="47"/>
  <c r="V1242" i="47"/>
  <c r="V1250" i="47"/>
  <c r="V1258" i="47"/>
  <c r="V1274" i="47"/>
  <c r="V1346" i="47"/>
  <c r="V1354" i="47"/>
  <c r="V1362" i="47"/>
  <c r="V1370" i="47"/>
  <c r="V1386" i="47"/>
  <c r="V18" i="47"/>
  <c r="V1364" i="47"/>
  <c r="V1388" i="47"/>
  <c r="V1165" i="47"/>
  <c r="V1277" i="47"/>
  <c r="V1142" i="47"/>
  <c r="V1166" i="47"/>
  <c r="V1231" i="47"/>
  <c r="V1287" i="47"/>
  <c r="V1295" i="47"/>
  <c r="V1311" i="47"/>
  <c r="V1327" i="47"/>
  <c r="V1335" i="47"/>
  <c r="V1343" i="47"/>
  <c r="V1351" i="47"/>
  <c r="V1359" i="47"/>
  <c r="V1375" i="47"/>
  <c r="V1391" i="47"/>
  <c r="V1399" i="47"/>
  <c r="V1248" i="47"/>
  <c r="V1312" i="47"/>
  <c r="V1376" i="47"/>
  <c r="V1392" i="47"/>
  <c r="V1400" i="47"/>
  <c r="V389" i="47"/>
  <c r="V1083" i="47"/>
  <c r="V1259" i="47"/>
  <c r="V423" i="47"/>
  <c r="V53" i="47"/>
  <c r="V1293" i="47"/>
  <c r="V1317" i="47"/>
  <c r="V305" i="47"/>
  <c r="V497" i="47"/>
  <c r="V887" i="47"/>
  <c r="V977" i="47"/>
  <c r="V1041" i="47"/>
  <c r="V1105" i="47"/>
  <c r="V1121" i="47"/>
  <c r="V1265" i="47"/>
  <c r="V1321" i="47"/>
  <c r="V1153" i="47"/>
  <c r="V117" i="47"/>
  <c r="V163" i="47"/>
  <c r="V165" i="47"/>
  <c r="V237" i="47"/>
  <c r="V249" i="47"/>
  <c r="V302" i="47"/>
  <c r="V322" i="47"/>
  <c r="V546" i="47"/>
  <c r="V596" i="47"/>
  <c r="V630" i="47"/>
  <c r="V739" i="47"/>
  <c r="V748" i="47"/>
  <c r="V1338" i="47"/>
  <c r="V14" i="47"/>
  <c r="V59" i="47"/>
  <c r="V97" i="47"/>
  <c r="V270" i="47"/>
  <c r="V384" i="47"/>
  <c r="V412" i="47"/>
  <c r="V586" i="47"/>
  <c r="V732" i="47"/>
  <c r="V797" i="47"/>
  <c r="V799" i="47"/>
  <c r="V49" i="47"/>
  <c r="V303" i="47"/>
  <c r="V549" i="47"/>
  <c r="V734" i="47"/>
  <c r="V744" i="47"/>
  <c r="V822" i="47"/>
  <c r="V843" i="47"/>
  <c r="V873" i="47"/>
  <c r="V41" i="47"/>
  <c r="V138" i="47"/>
  <c r="V141" i="47"/>
  <c r="V200" i="47"/>
  <c r="V212" i="47"/>
  <c r="V266" i="47"/>
  <c r="V283" i="47"/>
  <c r="V296" i="47"/>
  <c r="V339" i="47"/>
  <c r="V626" i="47"/>
  <c r="V628" i="47"/>
  <c r="V1213" i="47"/>
  <c r="V845" i="47"/>
  <c r="V850" i="47"/>
  <c r="V1254" i="47"/>
  <c r="V1286" i="47"/>
  <c r="V1350" i="47"/>
  <c r="V173" i="47"/>
  <c r="V232" i="47"/>
  <c r="V245" i="47"/>
  <c r="V277" i="47"/>
  <c r="V509" i="47"/>
  <c r="V658" i="47"/>
  <c r="V2" i="47"/>
  <c r="V209" i="47"/>
  <c r="V240" i="47"/>
  <c r="V532" i="47"/>
  <c r="V548" i="47"/>
  <c r="V656" i="47"/>
  <c r="V707" i="47"/>
  <c r="V738" i="47"/>
  <c r="V759" i="47"/>
  <c r="V265" i="47"/>
  <c r="V538" i="47"/>
  <c r="V728" i="47"/>
  <c r="V755" i="47"/>
  <c r="V760" i="47"/>
  <c r="V46" i="47"/>
  <c r="V63" i="47"/>
  <c r="V77" i="47"/>
  <c r="V291" i="47"/>
  <c r="V463" i="47"/>
  <c r="V571" i="47"/>
  <c r="V608" i="47"/>
  <c r="V126" i="47"/>
  <c r="V129" i="47"/>
  <c r="V204" i="47"/>
  <c r="V314" i="47"/>
  <c r="V328" i="47"/>
  <c r="V383" i="47"/>
  <c r="V634" i="47"/>
  <c r="V803" i="47"/>
  <c r="C856" i="47"/>
  <c r="V1034" i="47"/>
  <c r="V1066" i="47"/>
  <c r="V1322" i="47"/>
  <c r="V1115" i="47"/>
  <c r="V1131" i="47"/>
  <c r="V1139" i="47"/>
  <c r="V1163" i="47"/>
  <c r="V1211" i="47"/>
  <c r="V1219" i="47"/>
  <c r="V1227" i="47"/>
  <c r="V1235" i="47"/>
  <c r="V1251" i="47"/>
  <c r="V1299" i="47"/>
  <c r="V1315" i="47"/>
  <c r="V1379" i="47"/>
  <c r="V1395" i="47"/>
  <c r="V72" i="47"/>
  <c r="V217" i="47"/>
  <c r="V318" i="47"/>
  <c r="V357" i="47"/>
  <c r="V388" i="47"/>
  <c r="V452" i="47"/>
  <c r="V500" i="47"/>
  <c r="V687" i="47"/>
  <c r="V701" i="47"/>
  <c r="V806" i="47"/>
  <c r="V817" i="47"/>
  <c r="V828" i="47"/>
  <c r="V21" i="47"/>
  <c r="V1268" i="47"/>
  <c r="V1284" i="47"/>
  <c r="V1324" i="47"/>
  <c r="V92" i="47"/>
  <c r="V181" i="47"/>
  <c r="V229" i="47"/>
  <c r="V319" i="47"/>
  <c r="V401" i="47"/>
  <c r="V404" i="47"/>
  <c r="V603" i="47"/>
  <c r="V666" i="47"/>
  <c r="V772" i="47"/>
  <c r="V1381" i="47"/>
  <c r="V294" i="47"/>
  <c r="V670" i="47"/>
  <c r="V682" i="47"/>
  <c r="V685" i="47"/>
  <c r="V768" i="47"/>
  <c r="V807" i="47"/>
  <c r="O856" i="47"/>
  <c r="V879" i="47"/>
  <c r="V894" i="47"/>
  <c r="V981" i="47"/>
  <c r="V1029" i="47"/>
  <c r="V1045" i="47"/>
  <c r="V1053" i="47"/>
  <c r="P856" i="47"/>
  <c r="V1214" i="47"/>
  <c r="V43" i="47"/>
  <c r="V93" i="47"/>
  <c r="V261" i="47"/>
  <c r="V288" i="47"/>
  <c r="V290" i="47"/>
  <c r="V655" i="47"/>
  <c r="V710" i="47"/>
  <c r="V723" i="47"/>
  <c r="V816" i="47"/>
  <c r="V827" i="47"/>
  <c r="V856" i="47"/>
  <c r="V863" i="47"/>
  <c r="V133" i="47"/>
  <c r="V190" i="47"/>
  <c r="V381" i="47"/>
  <c r="V415" i="47"/>
  <c r="V420" i="47"/>
  <c r="V521" i="47"/>
  <c r="V592" i="47"/>
  <c r="V620" i="47"/>
  <c r="V752" i="47"/>
  <c r="V825" i="47"/>
  <c r="V859" i="47"/>
  <c r="V868" i="47"/>
  <c r="V159" i="47"/>
  <c r="V216" i="47"/>
  <c r="V331" i="47"/>
  <c r="V347" i="47"/>
  <c r="V505" i="47"/>
  <c r="V614" i="47"/>
  <c r="V624" i="47"/>
  <c r="V653" i="47"/>
  <c r="V802" i="47"/>
  <c r="V819" i="47"/>
  <c r="V897" i="47"/>
  <c r="V905" i="47"/>
  <c r="O697" i="47"/>
  <c r="O90" i="47"/>
  <c r="O465" i="47"/>
  <c r="Q133" i="47"/>
  <c r="Q434" i="47"/>
  <c r="Q694" i="47"/>
  <c r="Q174" i="47"/>
  <c r="Q354" i="47"/>
  <c r="V5" i="47"/>
  <c r="V69" i="47"/>
  <c r="V84" i="47"/>
  <c r="F108" i="47"/>
  <c r="V149" i="47"/>
  <c r="V235" i="47"/>
  <c r="V385" i="47"/>
  <c r="V494" i="47"/>
  <c r="V541" i="47"/>
  <c r="V636" i="47"/>
  <c r="V667" i="47"/>
  <c r="V694" i="47"/>
  <c r="V830" i="47"/>
  <c r="V945" i="47"/>
  <c r="V1038" i="47"/>
  <c r="V1069" i="47"/>
  <c r="V1085" i="47"/>
  <c r="V1101" i="47"/>
  <c r="V1109" i="47"/>
  <c r="V1133" i="47"/>
  <c r="V1212" i="47"/>
  <c r="V1220" i="47"/>
  <c r="V1228" i="47"/>
  <c r="V1283" i="47"/>
  <c r="V1314" i="47"/>
  <c r="V1369" i="47"/>
  <c r="V1385" i="47"/>
  <c r="V1393" i="47"/>
  <c r="V101" i="47"/>
  <c r="V121" i="47"/>
  <c r="V134" i="47"/>
  <c r="V152" i="47"/>
  <c r="V96" i="47"/>
  <c r="V333" i="47"/>
  <c r="V369" i="47"/>
  <c r="V408" i="47"/>
  <c r="V671" i="47"/>
  <c r="V693" i="47"/>
  <c r="V775" i="47"/>
  <c r="V801" i="47"/>
  <c r="V831" i="47"/>
  <c r="V961" i="47"/>
  <c r="V969" i="47"/>
  <c r="V1024" i="47"/>
  <c r="V1150" i="47"/>
  <c r="V1253" i="47"/>
  <c r="V1300" i="47"/>
  <c r="V1347" i="47"/>
  <c r="V13" i="47"/>
  <c r="V15" i="47"/>
  <c r="V34" i="47"/>
  <c r="V38" i="47"/>
  <c r="V85" i="47"/>
  <c r="V116" i="47"/>
  <c r="V150" i="47"/>
  <c r="V145" i="47"/>
  <c r="V278" i="47"/>
  <c r="V402" i="47"/>
  <c r="V475" i="47"/>
  <c r="V490" i="47"/>
  <c r="V595" i="47"/>
  <c r="V766" i="47"/>
  <c r="V796" i="47"/>
  <c r="V800" i="47"/>
  <c r="V876" i="47"/>
  <c r="V882" i="47"/>
  <c r="V917" i="47"/>
  <c r="V919" i="47"/>
  <c r="V925" i="47"/>
  <c r="V929" i="47"/>
  <c r="V954" i="47"/>
  <c r="V993" i="47"/>
  <c r="V1001" i="47"/>
  <c r="V1025" i="47"/>
  <c r="V1033" i="47"/>
  <c r="V1056" i="47"/>
  <c r="V1159" i="47"/>
  <c r="V1182" i="47"/>
  <c r="V17" i="47"/>
  <c r="V68" i="47"/>
  <c r="V73" i="47"/>
  <c r="V82" i="47"/>
  <c r="V88" i="47"/>
  <c r="V214" i="47"/>
  <c r="V317" i="47"/>
  <c r="V336" i="47"/>
  <c r="V356" i="47"/>
  <c r="V359" i="47"/>
  <c r="V167" i="47"/>
  <c r="V196" i="47"/>
  <c r="V198" i="47"/>
  <c r="V211" i="47"/>
  <c r="V281" i="47"/>
  <c r="V307" i="47"/>
  <c r="V340" i="47"/>
  <c r="V370" i="47"/>
  <c r="V458" i="47"/>
  <c r="V462" i="47"/>
  <c r="V491" i="47"/>
  <c r="V553" i="47"/>
  <c r="V575" i="47"/>
  <c r="V580" i="47"/>
  <c r="V648" i="47"/>
  <c r="V691" i="47"/>
  <c r="V754" i="47"/>
  <c r="V849" i="47"/>
  <c r="V941" i="47"/>
  <c r="V963" i="47"/>
  <c r="V986" i="47"/>
  <c r="V1002" i="47"/>
  <c r="V1018" i="47"/>
  <c r="V1057" i="47"/>
  <c r="V1065" i="47"/>
  <c r="V1175" i="47"/>
  <c r="V1247" i="47"/>
  <c r="V1278" i="47"/>
  <c r="V1341" i="47"/>
  <c r="V1357" i="47"/>
  <c r="V1216" i="47"/>
  <c r="V1224" i="47"/>
  <c r="V1263" i="47"/>
  <c r="Y49" i="18"/>
  <c r="V42" i="47"/>
  <c r="V375" i="47"/>
  <c r="V394" i="47"/>
  <c r="V403" i="47"/>
  <c r="V426" i="47"/>
  <c r="V432" i="47"/>
  <c r="V593" i="47"/>
  <c r="V689" i="47"/>
  <c r="V757" i="47"/>
  <c r="V762" i="47"/>
  <c r="V810" i="47"/>
  <c r="V814" i="47"/>
  <c r="V891" i="47"/>
  <c r="V933" i="47"/>
  <c r="V987" i="47"/>
  <c r="V995" i="47"/>
  <c r="V1019" i="47"/>
  <c r="V176" i="47"/>
  <c r="V189" i="47"/>
  <c r="V244" i="47"/>
  <c r="V1138" i="47"/>
  <c r="V1241" i="47"/>
  <c r="V1256" i="47"/>
  <c r="V1326" i="47"/>
  <c r="V1342" i="47"/>
  <c r="V29" i="47"/>
  <c r="V54" i="47"/>
  <c r="V248" i="47"/>
  <c r="V364" i="47"/>
  <c r="V442" i="47"/>
  <c r="V450" i="47"/>
  <c r="V474" i="47"/>
  <c r="V487" i="47"/>
  <c r="V528" i="47"/>
  <c r="V602" i="47"/>
  <c r="V610" i="47"/>
  <c r="V640" i="47"/>
  <c r="V643" i="47"/>
  <c r="V645" i="47"/>
  <c r="V665" i="47"/>
  <c r="V679" i="47"/>
  <c r="V736" i="47"/>
  <c r="V773" i="47"/>
  <c r="V782" i="47"/>
  <c r="V788" i="47"/>
  <c r="V836" i="47"/>
  <c r="V837" i="47"/>
  <c r="V840" i="47"/>
  <c r="V909" i="47"/>
  <c r="V957" i="47"/>
  <c r="V972" i="47"/>
  <c r="V1059" i="47"/>
  <c r="V1082" i="47"/>
  <c r="V104" i="47"/>
  <c r="V174" i="47"/>
  <c r="V179" i="47"/>
  <c r="V234" i="47"/>
  <c r="V327" i="47"/>
  <c r="V1304" i="47"/>
  <c r="V367" i="47"/>
  <c r="V380" i="47"/>
  <c r="V395" i="47"/>
  <c r="V433" i="47"/>
  <c r="V437" i="47"/>
  <c r="V467" i="47"/>
  <c r="V488" i="47"/>
  <c r="V493" i="47"/>
  <c r="V522" i="47"/>
  <c r="V669" i="47"/>
  <c r="V708" i="47"/>
  <c r="V713" i="47"/>
  <c r="V737" i="47"/>
  <c r="V780" i="47"/>
  <c r="V791" i="47"/>
  <c r="V804" i="47"/>
  <c r="V846" i="47"/>
  <c r="V852" i="47"/>
  <c r="V884" i="47"/>
  <c r="V950" i="47"/>
  <c r="V989" i="47"/>
  <c r="V1005" i="47"/>
  <c r="V1021" i="47"/>
  <c r="V1036" i="47"/>
  <c r="V1067" i="47"/>
  <c r="V1194" i="47"/>
  <c r="V1210" i="47"/>
  <c r="V1305" i="47"/>
  <c r="V1328" i="47"/>
  <c r="V1360" i="47"/>
  <c r="B108" i="47"/>
  <c r="V22" i="47"/>
  <c r="V197" i="47"/>
  <c r="V221" i="47"/>
  <c r="V253" i="47"/>
  <c r="V274" i="47"/>
  <c r="V280" i="47"/>
  <c r="V372" i="47"/>
  <c r="V398" i="47"/>
  <c r="V445" i="47"/>
  <c r="V457" i="47"/>
  <c r="V460" i="47"/>
  <c r="V563" i="47"/>
  <c r="V613" i="47"/>
  <c r="V616" i="47"/>
  <c r="V638" i="47"/>
  <c r="V641" i="47"/>
  <c r="V662" i="47"/>
  <c r="V674" i="47"/>
  <c r="V677" i="47"/>
  <c r="V715" i="47"/>
  <c r="V774" i="47"/>
  <c r="V792" i="47"/>
  <c r="V824" i="47"/>
  <c r="V869" i="47"/>
  <c r="V912" i="47"/>
  <c r="V937" i="47"/>
  <c r="V1037" i="47"/>
  <c r="V1156" i="47"/>
  <c r="V1195" i="47"/>
  <c r="V1290" i="47"/>
  <c r="V1298" i="47"/>
  <c r="V1306" i="47"/>
  <c r="V1329" i="47"/>
  <c r="V1353" i="47"/>
  <c r="Y35" i="18"/>
  <c r="V6" i="47"/>
  <c r="V30" i="47"/>
  <c r="V32" i="47"/>
  <c r="V45" i="47"/>
  <c r="V51" i="47"/>
  <c r="V103" i="47"/>
  <c r="V153" i="47"/>
  <c r="V183" i="47"/>
  <c r="V205" i="47"/>
  <c r="V349" i="47"/>
  <c r="V371" i="47"/>
  <c r="V379" i="47"/>
  <c r="V411" i="47"/>
  <c r="V417" i="47"/>
  <c r="V429" i="47"/>
  <c r="V438" i="47"/>
  <c r="V486" i="47"/>
  <c r="V514" i="47"/>
  <c r="V517" i="47"/>
  <c r="V526" i="47"/>
  <c r="V576" i="47"/>
  <c r="V584" i="47"/>
  <c r="V598" i="47"/>
  <c r="V618" i="47"/>
  <c r="V622" i="47"/>
  <c r="V642" i="47"/>
  <c r="V741" i="47"/>
  <c r="V781" i="47"/>
  <c r="V821" i="47"/>
  <c r="V1006" i="47"/>
  <c r="V1051" i="47"/>
  <c r="V1081" i="47"/>
  <c r="V1183" i="47"/>
  <c r="V1191" i="47"/>
  <c r="V1199" i="47"/>
  <c r="V1207" i="47"/>
  <c r="V1267" i="47"/>
  <c r="V1319" i="47"/>
  <c r="V1334" i="47"/>
  <c r="V194" i="47"/>
  <c r="V262" i="47"/>
  <c r="V275" i="47"/>
  <c r="V306" i="47"/>
  <c r="V335" i="47"/>
  <c r="V434" i="47"/>
  <c r="V542" i="47"/>
  <c r="V550" i="47"/>
  <c r="V558" i="47"/>
  <c r="V562" i="47"/>
  <c r="V649" i="47"/>
  <c r="V652" i="47"/>
  <c r="V675" i="47"/>
  <c r="V695" i="47"/>
  <c r="V787" i="47"/>
  <c r="V805" i="47"/>
  <c r="V813" i="47"/>
  <c r="V984" i="47"/>
  <c r="V1030" i="47"/>
  <c r="V1044" i="47"/>
  <c r="V1052" i="47"/>
  <c r="V1074" i="47"/>
  <c r="V1113" i="47"/>
  <c r="V1192" i="47"/>
  <c r="V1208" i="47"/>
  <c r="V1239" i="47"/>
  <c r="V1261" i="47"/>
  <c r="V1320" i="47"/>
  <c r="Y28" i="18"/>
  <c r="V10" i="47"/>
  <c r="V55" i="47"/>
  <c r="V64" i="47"/>
  <c r="V123" i="47"/>
  <c r="V202" i="47"/>
  <c r="V226" i="47"/>
  <c r="V252" i="47"/>
  <c r="V254" i="47"/>
  <c r="V257" i="47"/>
  <c r="V267" i="47"/>
  <c r="V272" i="47"/>
  <c r="V298" i="47"/>
  <c r="V341" i="47"/>
  <c r="V355" i="47"/>
  <c r="V361" i="47"/>
  <c r="V376" i="47"/>
  <c r="V454" i="47"/>
  <c r="V456" i="47"/>
  <c r="V464" i="47"/>
  <c r="V470" i="47"/>
  <c r="V472" i="47"/>
  <c r="V496" i="47"/>
  <c r="V518" i="47"/>
  <c r="V520" i="47"/>
  <c r="V531" i="47"/>
  <c r="V556" i="47"/>
  <c r="V568" i="47"/>
  <c r="V579" i="47"/>
  <c r="V607" i="47"/>
  <c r="V609" i="47"/>
  <c r="V631" i="47"/>
  <c r="V779" i="47"/>
  <c r="V838" i="47"/>
  <c r="V847" i="47"/>
  <c r="V927" i="47"/>
  <c r="V949" i="47"/>
  <c r="V1008" i="47"/>
  <c r="V1169" i="47"/>
  <c r="V1177" i="47"/>
  <c r="V1193" i="47"/>
  <c r="V1201" i="47"/>
  <c r="V1358" i="47"/>
  <c r="V1387" i="47"/>
  <c r="V23" i="47"/>
  <c r="V114" i="47"/>
  <c r="V142" i="47"/>
  <c r="V144" i="47"/>
  <c r="V162" i="47"/>
  <c r="V177" i="47"/>
  <c r="V195" i="47"/>
  <c r="V236" i="47"/>
  <c r="V287" i="47"/>
  <c r="V313" i="47"/>
  <c r="V325" i="47"/>
  <c r="V329" i="47"/>
  <c r="V345" i="47"/>
  <c r="V392" i="47"/>
  <c r="V459" i="47"/>
  <c r="V506" i="47"/>
  <c r="V627" i="47"/>
  <c r="V659" i="47"/>
  <c r="V740" i="47"/>
  <c r="V763" i="47"/>
  <c r="V767" i="47"/>
  <c r="V885" i="47"/>
  <c r="V971" i="47"/>
  <c r="V978" i="47"/>
  <c r="V1009" i="47"/>
  <c r="V1017" i="47"/>
  <c r="V1046" i="47"/>
  <c r="V1061" i="47"/>
  <c r="V1068" i="47"/>
  <c r="V1076" i="47"/>
  <c r="V1147" i="47"/>
  <c r="V1178" i="47"/>
  <c r="V1186" i="47"/>
  <c r="V1202" i="47"/>
  <c r="V1255" i="47"/>
  <c r="V1262" i="47"/>
  <c r="V1270" i="47"/>
  <c r="V1367" i="47"/>
  <c r="V25" i="47"/>
  <c r="V50" i="47"/>
  <c r="V100" i="47"/>
  <c r="V111" i="47"/>
  <c r="V127" i="47"/>
  <c r="V155" i="47"/>
  <c r="V156" i="47"/>
  <c r="V175" i="47"/>
  <c r="V201" i="47"/>
  <c r="V215" i="47"/>
  <c r="V219" i="47"/>
  <c r="V223" i="47"/>
  <c r="V225" i="47"/>
  <c r="V227" i="47"/>
  <c r="V255" i="47"/>
  <c r="V256" i="47"/>
  <c r="V279" i="47"/>
  <c r="V304" i="47"/>
  <c r="V312" i="47"/>
  <c r="V373" i="47"/>
  <c r="V410" i="47"/>
  <c r="V425" i="47"/>
  <c r="V440" i="47"/>
  <c r="V512" i="47"/>
  <c r="V559" i="47"/>
  <c r="V702" i="47"/>
  <c r="V783" i="47"/>
  <c r="V833" i="47"/>
  <c r="V870" i="47"/>
  <c r="V908" i="47"/>
  <c r="V921" i="47"/>
  <c r="V942" i="47"/>
  <c r="V944" i="47"/>
  <c r="V947" i="47"/>
  <c r="V1077" i="47"/>
  <c r="V1084" i="47"/>
  <c r="V1100" i="47"/>
  <c r="V1171" i="47"/>
  <c r="V1179" i="47"/>
  <c r="V1187" i="47"/>
  <c r="V1203" i="47"/>
  <c r="V1234" i="47"/>
  <c r="V1271" i="47"/>
  <c r="V1279" i="47"/>
  <c r="Y10" i="18"/>
  <c r="V1148" i="47"/>
  <c r="Y18" i="18"/>
  <c r="V148" i="47"/>
  <c r="V186" i="47"/>
  <c r="V238" i="47"/>
  <c r="V282" i="47"/>
  <c r="V301" i="47"/>
  <c r="V316" i="47"/>
  <c r="V399" i="47"/>
  <c r="V414" i="47"/>
  <c r="V465" i="47"/>
  <c r="V477" i="47"/>
  <c r="V554" i="47"/>
  <c r="V583" i="47"/>
  <c r="V699" i="47"/>
  <c r="V714" i="47"/>
  <c r="V777" i="47"/>
  <c r="V785" i="47"/>
  <c r="V815" i="47"/>
  <c r="V839" i="47"/>
  <c r="V853" i="47"/>
  <c r="V872" i="47"/>
  <c r="V874" i="47"/>
  <c r="V1026" i="47"/>
  <c r="V1048" i="47"/>
  <c r="V1093" i="47"/>
  <c r="V1141" i="47"/>
  <c r="V1149" i="47"/>
  <c r="V1172" i="47"/>
  <c r="V1196" i="47"/>
  <c r="V1257" i="47"/>
  <c r="V1264" i="47"/>
  <c r="V1272" i="47"/>
  <c r="V1294" i="47"/>
  <c r="V1323" i="47"/>
  <c r="V1331" i="47"/>
  <c r="V1383" i="47"/>
  <c r="V1390" i="47"/>
  <c r="V1398" i="47"/>
  <c r="V4" i="47"/>
  <c r="V33" i="47"/>
  <c r="V35" i="47"/>
  <c r="V37" i="47"/>
  <c r="V79" i="47"/>
  <c r="V109" i="47"/>
  <c r="V130" i="47"/>
  <c r="V161" i="47"/>
  <c r="V180" i="47"/>
  <c r="V39" i="47"/>
  <c r="V65" i="47"/>
  <c r="V120" i="47"/>
  <c r="V140" i="47"/>
  <c r="V157" i="47"/>
  <c r="V171" i="47"/>
  <c r="V182" i="47"/>
  <c r="V187" i="47"/>
  <c r="V207" i="47"/>
  <c r="V247" i="47"/>
  <c r="V260" i="47"/>
  <c r="V273" i="47"/>
  <c r="V348" i="47"/>
  <c r="V365" i="47"/>
  <c r="V374" i="47"/>
  <c r="V416" i="47"/>
  <c r="V430" i="47"/>
  <c r="V443" i="47"/>
  <c r="V473" i="47"/>
  <c r="V489" i="47"/>
  <c r="V525" i="47"/>
  <c r="V533" i="47"/>
  <c r="V557" i="47"/>
  <c r="V588" i="47"/>
  <c r="V604" i="47"/>
  <c r="V639" i="47"/>
  <c r="V690" i="47"/>
  <c r="V703" i="47"/>
  <c r="V761" i="47"/>
  <c r="V784" i="47"/>
  <c r="V795" i="47"/>
  <c r="V848" i="47"/>
  <c r="V898" i="47"/>
  <c r="V988" i="47"/>
  <c r="V1004" i="47"/>
  <c r="V1079" i="47"/>
  <c r="V1102" i="47"/>
  <c r="V1205" i="47"/>
  <c r="V1158" i="47"/>
  <c r="V1229" i="47"/>
  <c r="V1236" i="47"/>
  <c r="V1288" i="47"/>
  <c r="V1303" i="47"/>
  <c r="V1348" i="47"/>
  <c r="V9" i="47"/>
  <c r="V26" i="47"/>
  <c r="V76" i="47"/>
  <c r="E107" i="47"/>
  <c r="V124" i="47"/>
  <c r="V191" i="47"/>
  <c r="V310" i="47"/>
  <c r="V320" i="47"/>
  <c r="V363" i="47"/>
  <c r="V396" i="47"/>
  <c r="V422" i="47"/>
  <c r="V446" i="47"/>
  <c r="V451" i="47"/>
  <c r="V498" i="47"/>
  <c r="V552" i="47"/>
  <c r="V578" i="47"/>
  <c r="V661" i="47"/>
  <c r="V789" i="47"/>
  <c r="V809" i="47"/>
  <c r="V811" i="47"/>
  <c r="V829" i="47"/>
  <c r="V841" i="47"/>
  <c r="V877" i="47"/>
  <c r="V880" i="47"/>
  <c r="V910" i="47"/>
  <c r="V982" i="47"/>
  <c r="V1020" i="47"/>
  <c r="V1035" i="47"/>
  <c r="V1042" i="47"/>
  <c r="V1050" i="47"/>
  <c r="V1072" i="47"/>
  <c r="V1190" i="47"/>
  <c r="V1198" i="47"/>
  <c r="V1206" i="47"/>
  <c r="J107" i="47"/>
  <c r="V297" i="47"/>
  <c r="V300" i="47"/>
  <c r="V1237" i="47"/>
  <c r="V1378" i="47"/>
  <c r="Y40" i="18"/>
  <c r="V1230" i="47"/>
  <c r="V1244" i="47"/>
  <c r="V1266" i="47"/>
  <c r="V1273" i="47"/>
  <c r="V1280" i="47"/>
  <c r="V1330" i="47"/>
  <c r="V1337" i="47"/>
  <c r="V1344" i="47"/>
  <c r="V1394" i="47"/>
  <c r="Y17" i="18"/>
  <c r="V57" i="47"/>
  <c r="V112" i="47"/>
  <c r="V185" i="47"/>
  <c r="V230" i="47"/>
  <c r="V354" i="47"/>
  <c r="V366" i="47"/>
  <c r="V419" i="47"/>
  <c r="V513" i="47"/>
  <c r="V536" i="47"/>
  <c r="V591" i="47"/>
  <c r="V646" i="47"/>
  <c r="V647" i="47"/>
  <c r="V753" i="47"/>
  <c r="V790" i="47"/>
  <c r="V854" i="47"/>
  <c r="V867" i="47"/>
  <c r="V902" i="47"/>
  <c r="V914" i="47"/>
  <c r="V1022" i="47"/>
  <c r="V1086" i="47"/>
  <c r="V1094" i="47"/>
  <c r="V1116" i="47"/>
  <c r="V1152" i="47"/>
  <c r="V1173" i="47"/>
  <c r="V1180" i="47"/>
  <c r="V1238" i="47"/>
  <c r="V1245" i="47"/>
  <c r="V1252" i="47"/>
  <c r="V1302" i="47"/>
  <c r="V1309" i="47"/>
  <c r="V1316" i="47"/>
  <c r="V1366" i="47"/>
  <c r="V1373" i="47"/>
  <c r="V1380" i="47"/>
  <c r="Y7" i="18"/>
  <c r="Y12" i="18"/>
  <c r="Y29" i="18"/>
  <c r="V60" i="47"/>
  <c r="V87" i="47"/>
  <c r="V99" i="47"/>
  <c r="V137" i="47"/>
  <c r="V504" i="47"/>
  <c r="V507" i="47"/>
  <c r="V519" i="47"/>
  <c r="V540" i="47"/>
  <c r="V564" i="47"/>
  <c r="V566" i="47"/>
  <c r="V582" i="47"/>
  <c r="V594" i="47"/>
  <c r="V637" i="47"/>
  <c r="V717" i="47"/>
  <c r="V743" i="47"/>
  <c r="V793" i="47"/>
  <c r="V798" i="47"/>
  <c r="V818" i="47"/>
  <c r="V835" i="47"/>
  <c r="V842" i="47"/>
  <c r="V892" i="47"/>
  <c r="V893" i="47"/>
  <c r="V928" i="47"/>
  <c r="V956" i="47"/>
  <c r="V1016" i="47"/>
  <c r="V1023" i="47"/>
  <c r="V1058" i="47"/>
  <c r="V1080" i="47"/>
  <c r="V1087" i="47"/>
  <c r="V1095" i="47"/>
  <c r="V1117" i="47"/>
  <c r="V1160" i="47"/>
  <c r="V1174" i="47"/>
  <c r="V1181" i="47"/>
  <c r="V1188" i="47"/>
  <c r="V1209" i="47"/>
  <c r="V1281" i="47"/>
  <c r="V1345" i="47"/>
  <c r="V1352" i="47"/>
  <c r="Y42" i="18"/>
  <c r="V81" i="47"/>
  <c r="V160" i="47"/>
  <c r="V172" i="47"/>
  <c r="V210" i="47"/>
  <c r="V323" i="47"/>
  <c r="V344" i="47"/>
  <c r="V358" i="47"/>
  <c r="V360" i="47"/>
  <c r="V377" i="47"/>
  <c r="V406" i="47"/>
  <c r="V449" i="47"/>
  <c r="V501" i="47"/>
  <c r="V560" i="47"/>
  <c r="V632" i="47"/>
  <c r="V676" i="47"/>
  <c r="V750" i="47"/>
  <c r="V812" i="47"/>
  <c r="V820" i="47"/>
  <c r="V826" i="47"/>
  <c r="V855" i="47"/>
  <c r="V883" i="47"/>
  <c r="V886" i="47"/>
  <c r="V899" i="47"/>
  <c r="V903" i="47"/>
  <c r="V931" i="47"/>
  <c r="V979" i="47"/>
  <c r="V994" i="47"/>
  <c r="V1073" i="47"/>
  <c r="V1110" i="47"/>
  <c r="V1125" i="47"/>
  <c r="V1132" i="47"/>
  <c r="V1161" i="47"/>
  <c r="V1189" i="47"/>
  <c r="V1232" i="47"/>
  <c r="V1246" i="47"/>
  <c r="V1260" i="47"/>
  <c r="V1282" i="47"/>
  <c r="V1289" i="47"/>
  <c r="V1296" i="47"/>
  <c r="V1310" i="47"/>
  <c r="V1374" i="47"/>
  <c r="Y5" i="18"/>
  <c r="Y13" i="18"/>
  <c r="Y30" i="18"/>
  <c r="V36" i="47"/>
  <c r="V62" i="47"/>
  <c r="V118" i="47"/>
  <c r="V170" i="47"/>
  <c r="V193" i="47"/>
  <c r="V199" i="47"/>
  <c r="V224" i="47"/>
  <c r="V231" i="47"/>
  <c r="V233" i="47"/>
  <c r="V239" i="47"/>
  <c r="V286" i="47"/>
  <c r="V378" i="47"/>
  <c r="V612" i="47"/>
  <c r="V673" i="47"/>
  <c r="V680" i="47"/>
  <c r="V720" i="47"/>
  <c r="V726" i="47"/>
  <c r="V729" i="47"/>
  <c r="V764" i="47"/>
  <c r="V860" i="47"/>
  <c r="V888" i="47"/>
  <c r="V901" i="47"/>
  <c r="V934" i="47"/>
  <c r="V965" i="47"/>
  <c r="V1217" i="47"/>
  <c r="V1225" i="47"/>
  <c r="V1318" i="47"/>
  <c r="V1325" i="47"/>
  <c r="V1332" i="47"/>
  <c r="V1382" i="47"/>
  <c r="V1389" i="47"/>
  <c r="V1396" i="47"/>
  <c r="Y36" i="18"/>
  <c r="V382" i="47"/>
  <c r="V606" i="47"/>
  <c r="V660" i="47"/>
  <c r="V698" i="47"/>
  <c r="V751" i="47"/>
  <c r="V770" i="47"/>
  <c r="V794" i="47"/>
  <c r="V851" i="47"/>
  <c r="V889" i="47"/>
  <c r="V890" i="47"/>
  <c r="V900" i="47"/>
  <c r="V915" i="47"/>
  <c r="V943" i="47"/>
  <c r="V1003" i="47"/>
  <c r="V1010" i="47"/>
  <c r="V1039" i="47"/>
  <c r="V1060" i="47"/>
  <c r="V1089" i="47"/>
  <c r="V1097" i="47"/>
  <c r="V1104" i="47"/>
  <c r="V1168" i="47"/>
  <c r="V1233" i="47"/>
  <c r="V1240" i="47"/>
  <c r="V1275" i="47"/>
  <c r="V1297" i="47"/>
  <c r="V1361" i="47"/>
  <c r="V1368" i="47"/>
  <c r="Y8" i="18"/>
  <c r="Y24" i="18"/>
  <c r="V27" i="47"/>
  <c r="V58" i="47"/>
  <c r="V110" i="47"/>
  <c r="V113" i="47"/>
  <c r="V154" i="47"/>
  <c r="V158" i="47"/>
  <c r="V188" i="47"/>
  <c r="V246" i="47"/>
  <c r="V258" i="47"/>
  <c r="V263" i="47"/>
  <c r="V268" i="47"/>
  <c r="V289" i="47"/>
  <c r="V330" i="47"/>
  <c r="V386" i="47"/>
  <c r="V390" i="47"/>
  <c r="V418" i="47"/>
  <c r="V471" i="47"/>
  <c r="V492" i="47"/>
  <c r="V508" i="47"/>
  <c r="V534" i="47"/>
  <c r="V537" i="47"/>
  <c r="V590" i="47"/>
  <c r="V599" i="47"/>
  <c r="V683" i="47"/>
  <c r="V861" i="47"/>
  <c r="V866" i="47"/>
  <c r="V878" i="47"/>
  <c r="V948" i="47"/>
  <c r="V1075" i="47"/>
  <c r="V1127" i="47"/>
  <c r="V1155" i="47"/>
  <c r="V1176" i="47"/>
  <c r="V1197" i="47"/>
  <c r="V1204" i="47"/>
  <c r="V1218" i="47"/>
  <c r="V1226" i="47"/>
  <c r="V1269" i="47"/>
  <c r="V1276" i="47"/>
  <c r="V1333" i="47"/>
  <c r="V1340" i="47"/>
  <c r="V1397" i="47"/>
  <c r="Y43" i="18"/>
  <c r="V241" i="47"/>
  <c r="V276" i="47"/>
  <c r="V284" i="47"/>
  <c r="V293" i="47"/>
  <c r="V321" i="47"/>
  <c r="V342" i="47"/>
  <c r="V350" i="47"/>
  <c r="V413" i="47"/>
  <c r="V439" i="47"/>
  <c r="V502" i="47"/>
  <c r="V530" i="47"/>
  <c r="V778" i="47"/>
  <c r="V952" i="47"/>
  <c r="V959" i="47"/>
  <c r="V1011" i="47"/>
  <c r="V1040" i="47"/>
  <c r="V1090" i="47"/>
  <c r="V128" i="47"/>
  <c r="V146" i="47"/>
  <c r="V681" i="47"/>
  <c r="Y31" i="18"/>
  <c r="Y9" i="18"/>
  <c r="Y20" i="18"/>
  <c r="V122" i="47"/>
  <c r="V132" i="47"/>
  <c r="V47" i="47"/>
  <c r="V61" i="47"/>
  <c r="V78" i="47"/>
  <c r="V102" i="47"/>
  <c r="V151" i="47"/>
  <c r="V164" i="47"/>
  <c r="V166" i="47"/>
  <c r="V192" i="47"/>
  <c r="V208" i="47"/>
  <c r="V218" i="47"/>
  <c r="V220" i="47"/>
  <c r="V222" i="47"/>
  <c r="V228" i="47"/>
  <c r="V271" i="47"/>
  <c r="V309" i="47"/>
  <c r="V332" i="47"/>
  <c r="V362" i="47"/>
  <c r="V368" i="47"/>
  <c r="V393" i="47"/>
  <c r="V428" i="47"/>
  <c r="V447" i="47"/>
  <c r="V461" i="47"/>
  <c r="V481" i="47"/>
  <c r="V483" i="47"/>
  <c r="V485" i="47"/>
  <c r="V515" i="47"/>
  <c r="V529" i="47"/>
  <c r="V544" i="47"/>
  <c r="V597" i="47"/>
  <c r="V601" i="47"/>
  <c r="V615" i="47"/>
  <c r="V644" i="47"/>
  <c r="V668" i="47"/>
  <c r="V706" i="47"/>
  <c r="V730" i="47"/>
  <c r="V834" i="47"/>
  <c r="V895" i="47"/>
  <c r="V935" i="47"/>
  <c r="V938" i="47"/>
  <c r="V953" i="47"/>
  <c r="V960" i="47"/>
  <c r="V968" i="47"/>
  <c r="V975" i="47"/>
  <c r="V997" i="47"/>
  <c r="V1054" i="47"/>
  <c r="V1062" i="47"/>
  <c r="V1091" i="47"/>
  <c r="V1170" i="47"/>
  <c r="V1184" i="47"/>
  <c r="V1249" i="47"/>
  <c r="V1291" i="47"/>
  <c r="V1313" i="47"/>
  <c r="V1355" i="47"/>
  <c r="V1377" i="47"/>
  <c r="V1384" i="47"/>
  <c r="Y14" i="18"/>
  <c r="Y6" i="18"/>
  <c r="Y15" i="18"/>
  <c r="Y32" i="18"/>
  <c r="Y38" i="18"/>
  <c r="V91" i="47"/>
  <c r="V105" i="47"/>
  <c r="V108" i="47"/>
  <c r="V139" i="47"/>
  <c r="V203" i="47"/>
  <c r="V213" i="47"/>
  <c r="V308" i="47"/>
  <c r="V421" i="47"/>
  <c r="V570" i="47"/>
  <c r="V611" i="47"/>
  <c r="V654" i="47"/>
  <c r="V663" i="47"/>
  <c r="V664" i="47"/>
  <c r="V724" i="47"/>
  <c r="V749" i="47"/>
  <c r="V786" i="47"/>
  <c r="V922" i="47"/>
  <c r="V930" i="47"/>
  <c r="V998" i="47"/>
  <c r="V1027" i="47"/>
  <c r="V1049" i="47"/>
  <c r="V1055" i="47"/>
  <c r="V1099" i="47"/>
  <c r="V1106" i="47"/>
  <c r="V1285" i="47"/>
  <c r="V1292" i="47"/>
  <c r="V1349" i="47"/>
  <c r="V1356" i="47"/>
  <c r="V1129" i="47"/>
  <c r="V1157" i="47"/>
  <c r="V1185" i="47"/>
  <c r="Y21" i="18"/>
  <c r="Y46" i="18"/>
  <c r="V31" i="47"/>
  <c r="V80" i="47"/>
  <c r="V125" i="47"/>
  <c r="V136" i="47"/>
  <c r="V184" i="47"/>
  <c r="V353" i="47"/>
  <c r="V469" i="47"/>
  <c r="V651" i="47"/>
  <c r="V711" i="47"/>
  <c r="V896" i="47"/>
  <c r="V1013" i="47"/>
  <c r="V1107" i="47"/>
  <c r="V1164" i="47"/>
  <c r="V1221" i="47"/>
  <c r="Y16" i="18"/>
  <c r="Y33" i="18"/>
  <c r="V3" i="47"/>
  <c r="V83" i="47"/>
  <c r="V89" i="47"/>
  <c r="V169" i="47"/>
  <c r="V178" i="47"/>
  <c r="V206" i="47"/>
  <c r="V324" i="47"/>
  <c r="V453" i="47"/>
  <c r="V466" i="47"/>
  <c r="V510" i="47"/>
  <c r="V555" i="47"/>
  <c r="V600" i="47"/>
  <c r="V629" i="47"/>
  <c r="V692" i="47"/>
  <c r="V697" i="47"/>
  <c r="V722" i="47"/>
  <c r="V725" i="47"/>
  <c r="V745" i="47"/>
  <c r="V758" i="47"/>
  <c r="V771" i="47"/>
  <c r="V858" i="47"/>
  <c r="V864" i="47"/>
  <c r="V871" i="47"/>
  <c r="V962" i="47"/>
  <c r="V1014" i="47"/>
  <c r="V1064" i="47"/>
  <c r="V1070" i="47"/>
  <c r="V1243" i="47"/>
  <c r="V1307" i="47"/>
  <c r="V1371" i="47"/>
  <c r="Y11" i="18"/>
  <c r="V19" i="47"/>
  <c r="V95" i="47"/>
  <c r="V106" i="47"/>
  <c r="V269" i="47"/>
  <c r="V285" i="47"/>
  <c r="V292" i="47"/>
  <c r="V427" i="47"/>
  <c r="V448" i="47"/>
  <c r="V503" i="47"/>
  <c r="V516" i="47"/>
  <c r="V524" i="47"/>
  <c r="V567" i="47"/>
  <c r="V678" i="47"/>
  <c r="V716" i="47"/>
  <c r="V719" i="47"/>
  <c r="V756" i="47"/>
  <c r="V832" i="47"/>
  <c r="V857" i="47"/>
  <c r="V862" i="47"/>
  <c r="V865" i="47"/>
  <c r="V939" i="47"/>
  <c r="V955" i="47"/>
  <c r="V985" i="47"/>
  <c r="V992" i="47"/>
  <c r="V1000" i="47"/>
  <c r="V1007" i="47"/>
  <c r="V1043" i="47"/>
  <c r="V1071" i="47"/>
  <c r="V1108" i="47"/>
  <c r="V1123" i="47"/>
  <c r="V1137" i="47"/>
  <c r="V1145" i="47"/>
  <c r="V1200" i="47"/>
  <c r="V1222" i="47"/>
  <c r="V1301" i="47"/>
  <c r="V1308" i="47"/>
  <c r="V1336" i="47"/>
  <c r="V1365" i="47"/>
  <c r="V1372" i="47"/>
  <c r="B7" i="18"/>
  <c r="K9" i="18"/>
  <c r="L7" i="18"/>
  <c r="L8" i="18"/>
  <c r="Y50" i="18"/>
  <c r="Y52" i="18"/>
  <c r="H27" i="47"/>
  <c r="E27" i="47"/>
  <c r="V28" i="47"/>
  <c r="N48" i="47"/>
  <c r="L51" i="47"/>
  <c r="L5" i="18"/>
  <c r="Y19" i="18"/>
  <c r="Y23" i="18"/>
  <c r="Y39" i="18"/>
  <c r="K7" i="47"/>
  <c r="H7" i="47"/>
  <c r="E7" i="47"/>
  <c r="N7" i="47"/>
  <c r="M7" i="47"/>
  <c r="V8" i="47"/>
  <c r="G11" i="47"/>
  <c r="J39" i="47"/>
  <c r="L48" i="47"/>
  <c r="Y34" i="18"/>
  <c r="Y45" i="18"/>
  <c r="I3" i="47"/>
  <c r="V40" i="47"/>
  <c r="H23" i="47"/>
  <c r="E23" i="47"/>
  <c r="M23" i="47"/>
  <c r="V24" i="47"/>
  <c r="L36" i="47"/>
  <c r="N39" i="47"/>
  <c r="B9" i="18"/>
  <c r="V48" i="47"/>
  <c r="J19" i="47"/>
  <c r="O73" i="47"/>
  <c r="C73" i="47"/>
  <c r="N73" i="47" s="1"/>
  <c r="B73" i="47"/>
  <c r="P73" i="47"/>
  <c r="F73" i="47"/>
  <c r="Y53" i="18"/>
  <c r="V11" i="47"/>
  <c r="J47" i="47"/>
  <c r="M78" i="47"/>
  <c r="Y25" i="18"/>
  <c r="Y41" i="18"/>
  <c r="G3" i="47"/>
  <c r="K19" i="47"/>
  <c r="H19" i="47"/>
  <c r="E19" i="47"/>
  <c r="N19" i="47"/>
  <c r="M19" i="47"/>
  <c r="V20" i="47"/>
  <c r="E35" i="47"/>
  <c r="N35" i="47"/>
  <c r="G52" i="47"/>
  <c r="N44" i="47"/>
  <c r="K47" i="47"/>
  <c r="H47" i="47"/>
  <c r="H52" i="47"/>
  <c r="V7" i="47"/>
  <c r="H12" i="47"/>
  <c r="J31" i="47"/>
  <c r="Y26" i="18"/>
  <c r="Y47" i="18"/>
  <c r="Y44" i="18"/>
  <c r="L12" i="47"/>
  <c r="G19" i="47"/>
  <c r="V52" i="47"/>
  <c r="Y37" i="18"/>
  <c r="N12" i="47"/>
  <c r="K15" i="47"/>
  <c r="V16" i="47"/>
  <c r="K31" i="47"/>
  <c r="H31" i="47"/>
  <c r="E31" i="47"/>
  <c r="N31" i="47"/>
  <c r="V44" i="47"/>
  <c r="Y22" i="18"/>
  <c r="Y27" i="18"/>
  <c r="N56" i="47"/>
  <c r="N8" i="47"/>
  <c r="K11" i="47"/>
  <c r="H11" i="47"/>
  <c r="E11" i="47"/>
  <c r="N11" i="47"/>
  <c r="M11" i="47"/>
  <c r="V12" i="47"/>
  <c r="V56" i="47"/>
  <c r="L55" i="47"/>
  <c r="M59" i="47"/>
  <c r="E62" i="47"/>
  <c r="B63" i="47"/>
  <c r="P64" i="47"/>
  <c r="M65" i="47"/>
  <c r="L71" i="47"/>
  <c r="F79" i="47"/>
  <c r="P93" i="47"/>
  <c r="V98" i="47"/>
  <c r="M100" i="47"/>
  <c r="E103" i="47"/>
  <c r="F112" i="47"/>
  <c r="C114" i="47"/>
  <c r="P118" i="47"/>
  <c r="I123" i="47"/>
  <c r="K124" i="47"/>
  <c r="N130" i="47"/>
  <c r="K134" i="47"/>
  <c r="H151" i="47"/>
  <c r="Y48" i="18"/>
  <c r="Q2" i="47"/>
  <c r="E5" i="47"/>
  <c r="I8" i="47"/>
  <c r="I12" i="47"/>
  <c r="I16" i="47"/>
  <c r="E17" i="47"/>
  <c r="E21" i="47"/>
  <c r="E29" i="47"/>
  <c r="I32" i="47"/>
  <c r="I36" i="47"/>
  <c r="E37" i="47"/>
  <c r="Q38" i="47"/>
  <c r="I40" i="47"/>
  <c r="E41" i="47"/>
  <c r="E49" i="47"/>
  <c r="E53" i="47"/>
  <c r="M55" i="47"/>
  <c r="N59" i="47"/>
  <c r="C63" i="47"/>
  <c r="L63" i="47" s="1"/>
  <c r="N65" i="47"/>
  <c r="H67" i="47"/>
  <c r="O82" i="47"/>
  <c r="F85" i="47"/>
  <c r="C86" i="47"/>
  <c r="F91" i="47"/>
  <c r="C92" i="47"/>
  <c r="E92" i="47" s="1"/>
  <c r="E97" i="47"/>
  <c r="N100" i="47"/>
  <c r="B105" i="47"/>
  <c r="M105" i="47" s="1"/>
  <c r="F113" i="47"/>
  <c r="N113" i="47" s="1"/>
  <c r="O114" i="47"/>
  <c r="M121" i="47"/>
  <c r="K123" i="47"/>
  <c r="M124" i="47"/>
  <c r="I128" i="47"/>
  <c r="P131" i="47"/>
  <c r="M134" i="47"/>
  <c r="V135" i="47"/>
  <c r="C137" i="47"/>
  <c r="I137" i="47" s="1"/>
  <c r="F137" i="47"/>
  <c r="J140" i="47"/>
  <c r="O143" i="47"/>
  <c r="E144" i="47"/>
  <c r="O150" i="47"/>
  <c r="P150" i="47"/>
  <c r="J151" i="47"/>
  <c r="O167" i="47"/>
  <c r="F167" i="47"/>
  <c r="C167" i="47"/>
  <c r="K167" i="47" s="1"/>
  <c r="B167" i="47"/>
  <c r="P167" i="47"/>
  <c r="J8" i="47"/>
  <c r="J12" i="47"/>
  <c r="J16" i="47"/>
  <c r="J32" i="47"/>
  <c r="J36" i="47"/>
  <c r="J40" i="47"/>
  <c r="O63" i="47"/>
  <c r="L64" i="47"/>
  <c r="J111" i="47"/>
  <c r="P116" i="47"/>
  <c r="C2" i="47"/>
  <c r="N2" i="47" s="1"/>
  <c r="G5" i="47"/>
  <c r="C6" i="47"/>
  <c r="E6" i="47" s="1"/>
  <c r="K8" i="47"/>
  <c r="C10" i="47"/>
  <c r="K12" i="47"/>
  <c r="C14" i="47"/>
  <c r="E14" i="47" s="1"/>
  <c r="K16" i="47"/>
  <c r="G17" i="47"/>
  <c r="C18" i="47"/>
  <c r="M18" i="47" s="1"/>
  <c r="G21" i="47"/>
  <c r="C22" i="47"/>
  <c r="M22" i="47" s="1"/>
  <c r="O23" i="47"/>
  <c r="C26" i="47"/>
  <c r="G29" i="47"/>
  <c r="C30" i="47"/>
  <c r="C34" i="47"/>
  <c r="N34" i="47" s="1"/>
  <c r="K36" i="47"/>
  <c r="G37" i="47"/>
  <c r="C38" i="47"/>
  <c r="E38" i="47" s="1"/>
  <c r="G41" i="47"/>
  <c r="C42" i="47"/>
  <c r="E42" i="47" s="1"/>
  <c r="C46" i="47"/>
  <c r="K48" i="47"/>
  <c r="G49" i="47"/>
  <c r="C50" i="47"/>
  <c r="N50" i="47" s="1"/>
  <c r="G53" i="47"/>
  <c r="C54" i="47"/>
  <c r="N54" i="47" s="1"/>
  <c r="O55" i="47"/>
  <c r="C58" i="47"/>
  <c r="M58" i="47" s="1"/>
  <c r="H62" i="47"/>
  <c r="B64" i="47"/>
  <c r="G64" i="47" s="1"/>
  <c r="J67" i="47"/>
  <c r="O69" i="47"/>
  <c r="V70" i="47"/>
  <c r="O71" i="47"/>
  <c r="O75" i="47"/>
  <c r="L76" i="47"/>
  <c r="C81" i="47"/>
  <c r="N81" i="47" s="1"/>
  <c r="K84" i="47"/>
  <c r="F86" i="47"/>
  <c r="C87" i="47"/>
  <c r="M87" i="47" s="1"/>
  <c r="K90" i="47"/>
  <c r="B93" i="47"/>
  <c r="P94" i="47"/>
  <c r="Q94" i="47" s="1"/>
  <c r="B99" i="47"/>
  <c r="O105" i="47"/>
  <c r="B106" i="47"/>
  <c r="V107" i="47"/>
  <c r="F114" i="47"/>
  <c r="B116" i="47"/>
  <c r="L117" i="47"/>
  <c r="V119" i="47"/>
  <c r="P129" i="47"/>
  <c r="V131" i="47"/>
  <c r="P136" i="47"/>
  <c r="Q136" i="47" s="1"/>
  <c r="F136" i="47"/>
  <c r="H136" i="47" s="1"/>
  <c r="K136" i="47"/>
  <c r="I136" i="47"/>
  <c r="O137" i="47"/>
  <c r="C143" i="47"/>
  <c r="H144" i="47"/>
  <c r="C150" i="47"/>
  <c r="I150" i="47" s="1"/>
  <c r="O153" i="47"/>
  <c r="P153" i="47"/>
  <c r="I153" i="47"/>
  <c r="F153" i="47"/>
  <c r="N153" i="47" s="1"/>
  <c r="P77" i="47"/>
  <c r="M84" i="47"/>
  <c r="L88" i="47"/>
  <c r="F92" i="47"/>
  <c r="C93" i="47"/>
  <c r="H93" i="47" s="1"/>
  <c r="C99" i="47"/>
  <c r="E105" i="47"/>
  <c r="C106" i="47"/>
  <c r="I106" i="47" s="1"/>
  <c r="O107" i="47"/>
  <c r="F107" i="47"/>
  <c r="N107" i="47" s="1"/>
  <c r="I113" i="47"/>
  <c r="C116" i="47"/>
  <c r="H118" i="47"/>
  <c r="J118" i="47"/>
  <c r="P123" i="47"/>
  <c r="M128" i="47"/>
  <c r="N142" i="47"/>
  <c r="L142" i="47"/>
  <c r="Q3" i="47"/>
  <c r="I5" i="47"/>
  <c r="M8" i="47"/>
  <c r="M12" i="47"/>
  <c r="M16" i="47"/>
  <c r="I17" i="47"/>
  <c r="I21" i="47"/>
  <c r="Q23" i="47"/>
  <c r="M28" i="47"/>
  <c r="I29" i="47"/>
  <c r="M32" i="47"/>
  <c r="M36" i="47"/>
  <c r="I37" i="47"/>
  <c r="M40" i="47"/>
  <c r="I41" i="47"/>
  <c r="M44" i="47"/>
  <c r="M48" i="47"/>
  <c r="Q55" i="47"/>
  <c r="M56" i="47"/>
  <c r="B59" i="47"/>
  <c r="I59" i="47" s="1"/>
  <c r="P60" i="47"/>
  <c r="H65" i="47"/>
  <c r="L67" i="47"/>
  <c r="F69" i="47"/>
  <c r="N69" i="47" s="1"/>
  <c r="F75" i="47"/>
  <c r="L75" i="47" s="1"/>
  <c r="N78" i="47"/>
  <c r="B82" i="47"/>
  <c r="I82" i="47" s="1"/>
  <c r="N84" i="47"/>
  <c r="B88" i="47"/>
  <c r="G88" i="47" s="1"/>
  <c r="P89" i="47"/>
  <c r="O93" i="47"/>
  <c r="V94" i="47"/>
  <c r="Q99" i="47"/>
  <c r="L100" i="47"/>
  <c r="F105" i="47"/>
  <c r="N105" i="47" s="1"/>
  <c r="O106" i="47"/>
  <c r="B107" i="47"/>
  <c r="M107" i="47" s="1"/>
  <c r="P108" i="47"/>
  <c r="Q108" i="47" s="1"/>
  <c r="C108" i="47"/>
  <c r="O116" i="47"/>
  <c r="B118" i="47"/>
  <c r="G118" i="47" s="1"/>
  <c r="O119" i="47"/>
  <c r="E119" i="47"/>
  <c r="G119" i="47"/>
  <c r="P120" i="47"/>
  <c r="B120" i="47"/>
  <c r="M120" i="47" s="1"/>
  <c r="O120" i="47"/>
  <c r="B142" i="47"/>
  <c r="G142" i="47" s="1"/>
  <c r="F150" i="47"/>
  <c r="O135" i="47"/>
  <c r="B109" i="47"/>
  <c r="O131" i="47"/>
  <c r="C131" i="47"/>
  <c r="F131" i="47"/>
  <c r="B135" i="47"/>
  <c r="P141" i="47"/>
  <c r="P56" i="47"/>
  <c r="B60" i="47"/>
  <c r="V66" i="47"/>
  <c r="I75" i="47"/>
  <c r="C77" i="47"/>
  <c r="M77" i="47" s="1"/>
  <c r="F82" i="47"/>
  <c r="C83" i="47"/>
  <c r="B89" i="47"/>
  <c r="E94" i="47"/>
  <c r="B95" i="47"/>
  <c r="O102" i="47"/>
  <c r="I105" i="47"/>
  <c r="G107" i="47"/>
  <c r="C109" i="47"/>
  <c r="L109" i="47" s="1"/>
  <c r="E118" i="47"/>
  <c r="P124" i="47"/>
  <c r="G124" i="47"/>
  <c r="L124" i="47"/>
  <c r="I124" i="47"/>
  <c r="O125" i="47"/>
  <c r="F125" i="47"/>
  <c r="F130" i="47"/>
  <c r="J130" i="47" s="1"/>
  <c r="I130" i="47"/>
  <c r="B131" i="47"/>
  <c r="C135" i="47"/>
  <c r="B141" i="47"/>
  <c r="E142" i="47"/>
  <c r="F146" i="47"/>
  <c r="C146" i="47"/>
  <c r="B146" i="47"/>
  <c r="L152" i="47"/>
  <c r="K152" i="47"/>
  <c r="J152" i="47"/>
  <c r="I152" i="47"/>
  <c r="H152" i="47"/>
  <c r="F157" i="47"/>
  <c r="O157" i="47"/>
  <c r="C157" i="47"/>
  <c r="J157" i="47" s="1"/>
  <c r="B157" i="47"/>
  <c r="I178" i="47"/>
  <c r="N178" i="47"/>
  <c r="L178" i="47"/>
  <c r="K178" i="47"/>
  <c r="Q4" i="47"/>
  <c r="M5" i="47"/>
  <c r="Q12" i="47"/>
  <c r="M17" i="47"/>
  <c r="M21" i="47"/>
  <c r="M29" i="47"/>
  <c r="E55" i="47"/>
  <c r="C60" i="47"/>
  <c r="E65" i="47"/>
  <c r="O77" i="47"/>
  <c r="O83" i="47"/>
  <c r="L84" i="47"/>
  <c r="C89" i="47"/>
  <c r="E89" i="47" s="1"/>
  <c r="C95" i="47"/>
  <c r="E95" i="47" s="1"/>
  <c r="E100" i="47"/>
  <c r="P102" i="47"/>
  <c r="Q102" i="47" s="1"/>
  <c r="H107" i="47"/>
  <c r="O109" i="47"/>
  <c r="O123" i="47"/>
  <c r="J123" i="47"/>
  <c r="L123" i="47"/>
  <c r="C141" i="47"/>
  <c r="E141" i="47" s="1"/>
  <c r="I162" i="47"/>
  <c r="N162" i="47"/>
  <c r="M162" i="47"/>
  <c r="G162" i="47"/>
  <c r="Y51" i="18"/>
  <c r="B4" i="47"/>
  <c r="B8" i="47"/>
  <c r="G8" i="47" s="1"/>
  <c r="B12" i="47"/>
  <c r="G12" i="47" s="1"/>
  <c r="B16" i="47"/>
  <c r="G16" i="47" s="1"/>
  <c r="B20" i="47"/>
  <c r="B24" i="47"/>
  <c r="B28" i="47"/>
  <c r="K28" i="47" s="1"/>
  <c r="B32" i="47"/>
  <c r="K32" i="47" s="1"/>
  <c r="B36" i="47"/>
  <c r="G36" i="47" s="1"/>
  <c r="B40" i="47"/>
  <c r="G40" i="47" s="1"/>
  <c r="B44" i="47"/>
  <c r="I44" i="47" s="1"/>
  <c r="B48" i="47"/>
  <c r="I48" i="47" s="1"/>
  <c r="B52" i="47"/>
  <c r="K52" i="47" s="1"/>
  <c r="B56" i="47"/>
  <c r="G56" i="47" s="1"/>
  <c r="G59" i="47"/>
  <c r="O60" i="47"/>
  <c r="C66" i="47"/>
  <c r="K66" i="47" s="1"/>
  <c r="L69" i="47"/>
  <c r="B78" i="47"/>
  <c r="I78" i="47" s="1"/>
  <c r="B84" i="47"/>
  <c r="G84" i="47" s="1"/>
  <c r="O89" i="47"/>
  <c r="V90" i="47"/>
  <c r="O95" i="47"/>
  <c r="L96" i="47"/>
  <c r="I107" i="47"/>
  <c r="O111" i="47"/>
  <c r="K111" i="47"/>
  <c r="I119" i="47"/>
  <c r="H120" i="47"/>
  <c r="B123" i="47"/>
  <c r="G123" i="47" s="1"/>
  <c r="O127" i="47"/>
  <c r="C127" i="47"/>
  <c r="G127" i="47" s="1"/>
  <c r="B129" i="47"/>
  <c r="F135" i="47"/>
  <c r="O141" i="47"/>
  <c r="J142" i="47"/>
  <c r="E152" i="47"/>
  <c r="I174" i="47"/>
  <c r="E174" i="47"/>
  <c r="N174" i="47"/>
  <c r="M174" i="47"/>
  <c r="L174" i="47"/>
  <c r="K174" i="47"/>
  <c r="J174" i="47"/>
  <c r="P112" i="47"/>
  <c r="C129" i="47"/>
  <c r="E134" i="47"/>
  <c r="O139" i="47"/>
  <c r="C139" i="47"/>
  <c r="G139" i="47" s="1"/>
  <c r="B139" i="47"/>
  <c r="P139" i="47"/>
  <c r="M142" i="47"/>
  <c r="V143" i="47"/>
  <c r="E162" i="47"/>
  <c r="O8" i="47"/>
  <c r="O12" i="47"/>
  <c r="O16" i="47"/>
  <c r="O24" i="47"/>
  <c r="O28" i="47"/>
  <c r="O32" i="47"/>
  <c r="O36" i="47"/>
  <c r="O40" i="47"/>
  <c r="O48" i="47"/>
  <c r="O52" i="47"/>
  <c r="O56" i="47"/>
  <c r="F60" i="47"/>
  <c r="C61" i="47"/>
  <c r="K61" i="47" s="1"/>
  <c r="K64" i="47"/>
  <c r="I65" i="47"/>
  <c r="F66" i="47"/>
  <c r="E78" i="47"/>
  <c r="B79" i="47"/>
  <c r="O84" i="47"/>
  <c r="F89" i="47"/>
  <c r="F95" i="47"/>
  <c r="H100" i="47"/>
  <c r="B102" i="47"/>
  <c r="B112" i="47"/>
  <c r="K119" i="47"/>
  <c r="J120" i="47"/>
  <c r="E123" i="47"/>
  <c r="O129" i="47"/>
  <c r="E130" i="47"/>
  <c r="F141" i="47"/>
  <c r="P142" i="47"/>
  <c r="B145" i="47"/>
  <c r="Q145" i="47"/>
  <c r="F165" i="47"/>
  <c r="O165" i="47"/>
  <c r="B165" i="47"/>
  <c r="P165" i="47"/>
  <c r="E172" i="47"/>
  <c r="L172" i="47"/>
  <c r="K172" i="47"/>
  <c r="J172" i="47"/>
  <c r="I7" i="47"/>
  <c r="E8" i="47"/>
  <c r="I11" i="47"/>
  <c r="E12" i="47"/>
  <c r="E16" i="47"/>
  <c r="I19" i="47"/>
  <c r="I23" i="47"/>
  <c r="E28" i="47"/>
  <c r="Q29" i="47"/>
  <c r="I31" i="47"/>
  <c r="E32" i="47"/>
  <c r="E36" i="47"/>
  <c r="Q37" i="47"/>
  <c r="I39" i="47"/>
  <c r="E40" i="47"/>
  <c r="E44" i="47"/>
  <c r="E48" i="47"/>
  <c r="E52" i="47"/>
  <c r="E56" i="47"/>
  <c r="J59" i="47"/>
  <c r="O61" i="47"/>
  <c r="M64" i="47"/>
  <c r="J65" i="47"/>
  <c r="F72" i="47"/>
  <c r="N75" i="47"/>
  <c r="F78" i="47"/>
  <c r="J78" i="47" s="1"/>
  <c r="C79" i="47"/>
  <c r="E79" i="47" s="1"/>
  <c r="E84" i="47"/>
  <c r="B85" i="47"/>
  <c r="P86" i="47"/>
  <c r="Q86" i="47" s="1"/>
  <c r="J88" i="47"/>
  <c r="B91" i="47"/>
  <c r="P92" i="47"/>
  <c r="Q92" i="47" s="1"/>
  <c r="J94" i="47"/>
  <c r="H97" i="47"/>
  <c r="I100" i="47"/>
  <c r="F101" i="47"/>
  <c r="C102" i="47"/>
  <c r="K102" i="47" s="1"/>
  <c r="O103" i="47"/>
  <c r="L107" i="47"/>
  <c r="F110" i="47"/>
  <c r="C112" i="47"/>
  <c r="E113" i="47"/>
  <c r="M118" i="47"/>
  <c r="L119" i="47"/>
  <c r="K120" i="47"/>
  <c r="H121" i="47"/>
  <c r="F122" i="47"/>
  <c r="F123" i="47"/>
  <c r="H123" i="47" s="1"/>
  <c r="F124" i="47"/>
  <c r="H124" i="47" s="1"/>
  <c r="F127" i="47"/>
  <c r="E128" i="47"/>
  <c r="G134" i="47"/>
  <c r="F139" i="47"/>
  <c r="C145" i="47"/>
  <c r="J162" i="47"/>
  <c r="C165" i="47"/>
  <c r="G176" i="47"/>
  <c r="F28" i="47"/>
  <c r="L28" i="47" s="1"/>
  <c r="F32" i="47"/>
  <c r="L32" i="47" s="1"/>
  <c r="F36" i="47"/>
  <c r="H36" i="47" s="1"/>
  <c r="F40" i="47"/>
  <c r="H40" i="47" s="1"/>
  <c r="F44" i="47"/>
  <c r="J44" i="47" s="1"/>
  <c r="F48" i="47"/>
  <c r="J48" i="47" s="1"/>
  <c r="F52" i="47"/>
  <c r="L52" i="47" s="1"/>
  <c r="F56" i="47"/>
  <c r="H56" i="47" s="1"/>
  <c r="B62" i="47"/>
  <c r="G62" i="47" s="1"/>
  <c r="N64" i="47"/>
  <c r="K65" i="47"/>
  <c r="E67" i="47"/>
  <c r="B68" i="47"/>
  <c r="P69" i="47"/>
  <c r="V74" i="47"/>
  <c r="M76" i="47"/>
  <c r="Q79" i="47"/>
  <c r="L82" i="47"/>
  <c r="F84" i="47"/>
  <c r="H84" i="47" s="1"/>
  <c r="C85" i="47"/>
  <c r="F90" i="47"/>
  <c r="L90" i="47" s="1"/>
  <c r="C91" i="47"/>
  <c r="B97" i="47"/>
  <c r="I97" i="47" s="1"/>
  <c r="P98" i="47"/>
  <c r="Q98" i="47" s="1"/>
  <c r="J100" i="47"/>
  <c r="B103" i="47"/>
  <c r="P104" i="47"/>
  <c r="F111" i="47"/>
  <c r="O112" i="47"/>
  <c r="B113" i="47"/>
  <c r="M113" i="47" s="1"/>
  <c r="N118" i="47"/>
  <c r="M119" i="47"/>
  <c r="L120" i="47"/>
  <c r="J125" i="47"/>
  <c r="F129" i="47"/>
  <c r="I134" i="47"/>
  <c r="Q138" i="47"/>
  <c r="F138" i="47"/>
  <c r="C138" i="47"/>
  <c r="B138" i="47"/>
  <c r="F145" i="47"/>
  <c r="N152" i="47"/>
  <c r="G170" i="47"/>
  <c r="V86" i="47"/>
  <c r="Q91" i="47"/>
  <c r="F102" i="47"/>
  <c r="P106" i="47"/>
  <c r="B114" i="47"/>
  <c r="P135" i="47"/>
  <c r="J144" i="47"/>
  <c r="I144" i="47"/>
  <c r="G144" i="47"/>
  <c r="G154" i="47"/>
  <c r="E154" i="47"/>
  <c r="O203" i="47"/>
  <c r="C203" i="47"/>
  <c r="J206" i="47"/>
  <c r="O211" i="47"/>
  <c r="C211" i="47"/>
  <c r="I211" i="47" s="1"/>
  <c r="Q218" i="47"/>
  <c r="N269" i="47"/>
  <c r="K269" i="47"/>
  <c r="J269" i="47"/>
  <c r="I269" i="47"/>
  <c r="H269" i="47"/>
  <c r="G269" i="47"/>
  <c r="G276" i="47"/>
  <c r="V115" i="47"/>
  <c r="L121" i="47"/>
  <c r="N128" i="47"/>
  <c r="N134" i="47"/>
  <c r="M140" i="47"/>
  <c r="V147" i="47"/>
  <c r="P163" i="47"/>
  <c r="M166" i="47"/>
  <c r="K168" i="47"/>
  <c r="I171" i="47"/>
  <c r="I177" i="47"/>
  <c r="J180" i="47"/>
  <c r="L182" i="47"/>
  <c r="K184" i="47"/>
  <c r="M186" i="47"/>
  <c r="N188" i="47"/>
  <c r="M194" i="47"/>
  <c r="I194" i="47"/>
  <c r="G194" i="47"/>
  <c r="H197" i="47"/>
  <c r="P199" i="47"/>
  <c r="B203" i="47"/>
  <c r="K206" i="47"/>
  <c r="P207" i="47"/>
  <c r="B211" i="47"/>
  <c r="I224" i="47"/>
  <c r="G224" i="47"/>
  <c r="E224" i="47"/>
  <c r="N224" i="47"/>
  <c r="L133" i="47"/>
  <c r="E147" i="47"/>
  <c r="O147" i="47"/>
  <c r="L151" i="47"/>
  <c r="E159" i="47"/>
  <c r="O159" i="47"/>
  <c r="I160" i="47"/>
  <c r="N166" i="47"/>
  <c r="L168" i="47"/>
  <c r="J171" i="47"/>
  <c r="I173" i="47"/>
  <c r="N181" i="47"/>
  <c r="L184" i="47"/>
  <c r="P187" i="47"/>
  <c r="I197" i="47"/>
  <c r="L198" i="47"/>
  <c r="F203" i="47"/>
  <c r="L206" i="47"/>
  <c r="F211" i="47"/>
  <c r="J234" i="47"/>
  <c r="E269" i="47"/>
  <c r="N281" i="47"/>
  <c r="K281" i="47"/>
  <c r="J281" i="47"/>
  <c r="I281" i="47"/>
  <c r="H281" i="47"/>
  <c r="G281" i="47"/>
  <c r="E281" i="47"/>
  <c r="N286" i="47"/>
  <c r="M151" i="47"/>
  <c r="P185" i="47"/>
  <c r="O191" i="47"/>
  <c r="C191" i="47"/>
  <c r="J197" i="47"/>
  <c r="O223" i="47"/>
  <c r="C223" i="47"/>
  <c r="N223" i="47" s="1"/>
  <c r="B223" i="47"/>
  <c r="B274" i="47"/>
  <c r="P274" i="47"/>
  <c r="F274" i="47"/>
  <c r="N151" i="47"/>
  <c r="B161" i="47"/>
  <c r="N168" i="47"/>
  <c r="L171" i="47"/>
  <c r="N173" i="47"/>
  <c r="M180" i="47"/>
  <c r="P181" i="47"/>
  <c r="Q181" i="47" s="1"/>
  <c r="P183" i="47"/>
  <c r="N184" i="47"/>
  <c r="B191" i="47"/>
  <c r="K196" i="47"/>
  <c r="M202" i="47"/>
  <c r="I202" i="47"/>
  <c r="G202" i="47"/>
  <c r="I216" i="47"/>
  <c r="F223" i="47"/>
  <c r="H224" i="47"/>
  <c r="N253" i="47"/>
  <c r="J253" i="47"/>
  <c r="C274" i="47"/>
  <c r="E274" i="47" s="1"/>
  <c r="O279" i="47"/>
  <c r="P279" i="47"/>
  <c r="F279" i="47"/>
  <c r="J284" i="47"/>
  <c r="E284" i="47"/>
  <c r="N284" i="47"/>
  <c r="L284" i="47"/>
  <c r="K284" i="47"/>
  <c r="I284" i="47"/>
  <c r="H284" i="47"/>
  <c r="G284" i="47"/>
  <c r="H134" i="47"/>
  <c r="P140" i="47"/>
  <c r="E158" i="47"/>
  <c r="C161" i="47"/>
  <c r="E161" i="47" s="1"/>
  <c r="M163" i="47"/>
  <c r="O163" i="47"/>
  <c r="N171" i="47"/>
  <c r="N180" i="47"/>
  <c r="E189" i="47"/>
  <c r="F191" i="47"/>
  <c r="L196" i="47"/>
  <c r="I208" i="47"/>
  <c r="J224" i="47"/>
  <c r="G228" i="47"/>
  <c r="E228" i="47"/>
  <c r="N228" i="47"/>
  <c r="F241" i="47"/>
  <c r="C241" i="47"/>
  <c r="E241" i="47" s="1"/>
  <c r="P241" i="47"/>
  <c r="V242" i="47"/>
  <c r="O255" i="47"/>
  <c r="F255" i="47"/>
  <c r="C255" i="47"/>
  <c r="B255" i="47"/>
  <c r="O274" i="47"/>
  <c r="B279" i="47"/>
  <c r="I188" i="47"/>
  <c r="M190" i="47"/>
  <c r="G190" i="47"/>
  <c r="G216" i="47"/>
  <c r="E216" i="47"/>
  <c r="F246" i="47"/>
  <c r="C246" i="47"/>
  <c r="B246" i="47"/>
  <c r="F250" i="47"/>
  <c r="B250" i="47"/>
  <c r="P250" i="47"/>
  <c r="C279" i="47"/>
  <c r="H192" i="47"/>
  <c r="N196" i="47"/>
  <c r="G200" i="47"/>
  <c r="E200" i="47"/>
  <c r="G208" i="47"/>
  <c r="E208" i="47"/>
  <c r="Q215" i="47"/>
  <c r="C215" i="47"/>
  <c r="L215" i="47" s="1"/>
  <c r="L224" i="47"/>
  <c r="O227" i="47"/>
  <c r="C227" i="47"/>
  <c r="N227" i="47" s="1"/>
  <c r="B227" i="47"/>
  <c r="I232" i="47"/>
  <c r="C250" i="47"/>
  <c r="M270" i="47"/>
  <c r="I270" i="47"/>
  <c r="P270" i="47"/>
  <c r="Q270" i="47" s="1"/>
  <c r="O270" i="47"/>
  <c r="K270" i="47"/>
  <c r="J270" i="47"/>
  <c r="G270" i="47"/>
  <c r="F270" i="47"/>
  <c r="N270" i="47" s="1"/>
  <c r="E270" i="47"/>
  <c r="N277" i="47"/>
  <c r="K277" i="47"/>
  <c r="J277" i="47"/>
  <c r="I277" i="47"/>
  <c r="H277" i="47"/>
  <c r="G277" i="47"/>
  <c r="E277" i="47"/>
  <c r="O187" i="47"/>
  <c r="C187" i="47"/>
  <c r="M187" i="47" s="1"/>
  <c r="E190" i="47"/>
  <c r="O199" i="47"/>
  <c r="C199" i="47"/>
  <c r="C207" i="47"/>
  <c r="J207" i="47" s="1"/>
  <c r="M224" i="47"/>
  <c r="I236" i="47"/>
  <c r="N268" i="47"/>
  <c r="L268" i="47"/>
  <c r="J268" i="47"/>
  <c r="I268" i="47"/>
  <c r="E151" i="47"/>
  <c r="O151" i="47"/>
  <c r="K158" i="47"/>
  <c r="I180" i="47"/>
  <c r="E181" i="47"/>
  <c r="M181" i="47"/>
  <c r="O183" i="47"/>
  <c r="C183" i="47"/>
  <c r="J183" i="47" s="1"/>
  <c r="B185" i="47"/>
  <c r="B187" i="47"/>
  <c r="B199" i="47"/>
  <c r="P203" i="47"/>
  <c r="B207" i="47"/>
  <c r="P211" i="47"/>
  <c r="G232" i="47"/>
  <c r="E232" i="47"/>
  <c r="N232" i="47"/>
  <c r="O275" i="47"/>
  <c r="P275" i="47"/>
  <c r="F275" i="47"/>
  <c r="B282" i="47"/>
  <c r="P282" i="47"/>
  <c r="F282" i="47"/>
  <c r="O282" i="47"/>
  <c r="B151" i="47"/>
  <c r="I151" i="47" s="1"/>
  <c r="L158" i="47"/>
  <c r="B169" i="47"/>
  <c r="E177" i="47"/>
  <c r="K177" i="47"/>
  <c r="Q179" i="47"/>
  <c r="C179" i="47"/>
  <c r="K179" i="47" s="1"/>
  <c r="B181" i="47"/>
  <c r="G181" i="47" s="1"/>
  <c r="B183" i="47"/>
  <c r="C185" i="47"/>
  <c r="J185" i="47" s="1"/>
  <c r="G186" i="47"/>
  <c r="F187" i="47"/>
  <c r="J190" i="47"/>
  <c r="F199" i="47"/>
  <c r="G236" i="47"/>
  <c r="E236" i="47"/>
  <c r="N236" i="47"/>
  <c r="B275" i="47"/>
  <c r="C282" i="47"/>
  <c r="E282" i="47" s="1"/>
  <c r="C169" i="47"/>
  <c r="M169" i="47" s="1"/>
  <c r="M171" i="47"/>
  <c r="E171" i="47"/>
  <c r="E173" i="47"/>
  <c r="M173" i="47"/>
  <c r="L173" i="47"/>
  <c r="K173" i="47"/>
  <c r="C175" i="47"/>
  <c r="N175" i="47" s="1"/>
  <c r="I182" i="47"/>
  <c r="G182" i="47"/>
  <c r="G188" i="47"/>
  <c r="K190" i="47"/>
  <c r="M192" i="47"/>
  <c r="E197" i="47"/>
  <c r="J200" i="47"/>
  <c r="N202" i="47"/>
  <c r="J208" i="47"/>
  <c r="N210" i="47"/>
  <c r="I220" i="47"/>
  <c r="J222" i="47"/>
  <c r="P223" i="47"/>
  <c r="M226" i="47"/>
  <c r="C231" i="47"/>
  <c r="B231" i="47"/>
  <c r="H243" i="47"/>
  <c r="K258" i="47"/>
  <c r="J258" i="47"/>
  <c r="G258" i="47"/>
  <c r="E258" i="47"/>
  <c r="Q266" i="47"/>
  <c r="G268" i="47"/>
  <c r="C275" i="47"/>
  <c r="J280" i="47"/>
  <c r="M280" i="47"/>
  <c r="L280" i="47"/>
  <c r="K280" i="47"/>
  <c r="M206" i="47"/>
  <c r="G206" i="47"/>
  <c r="E180" i="47"/>
  <c r="F181" i="47"/>
  <c r="L181" i="47" s="1"/>
  <c r="E182" i="47"/>
  <c r="J188" i="47"/>
  <c r="N190" i="47"/>
  <c r="P191" i="47"/>
  <c r="L208" i="47"/>
  <c r="M216" i="47"/>
  <c r="G220" i="47"/>
  <c r="E220" i="47"/>
  <c r="N220" i="47"/>
  <c r="J232" i="47"/>
  <c r="F235" i="47"/>
  <c r="O235" i="47"/>
  <c r="C235" i="47"/>
  <c r="B235" i="47"/>
  <c r="H236" i="47"/>
  <c r="F239" i="47"/>
  <c r="Q239" i="47"/>
  <c r="C239" i="47"/>
  <c r="B239" i="47"/>
  <c r="P245" i="47"/>
  <c r="F245" i="47"/>
  <c r="O245" i="47"/>
  <c r="P254" i="47"/>
  <c r="L254" i="47"/>
  <c r="J254" i="47"/>
  <c r="F254" i="47"/>
  <c r="N254" i="47" s="1"/>
  <c r="E254" i="47"/>
  <c r="O254" i="47"/>
  <c r="Q173" i="47"/>
  <c r="F177" i="47"/>
  <c r="J177" i="47" s="1"/>
  <c r="G184" i="47"/>
  <c r="K188" i="47"/>
  <c r="O195" i="47"/>
  <c r="C195" i="47"/>
  <c r="M200" i="47"/>
  <c r="E206" i="47"/>
  <c r="M208" i="47"/>
  <c r="N216" i="47"/>
  <c r="O219" i="47"/>
  <c r="C219" i="47"/>
  <c r="N222" i="47"/>
  <c r="K232" i="47"/>
  <c r="Q242" i="47"/>
  <c r="C242" i="47"/>
  <c r="L242" i="47" s="1"/>
  <c r="B242" i="47"/>
  <c r="B245" i="47"/>
  <c r="Q251" i="47"/>
  <c r="F251" i="47"/>
  <c r="C251" i="47"/>
  <c r="B251" i="47"/>
  <c r="B254" i="47"/>
  <c r="M254" i="47" s="1"/>
  <c r="E271" i="47"/>
  <c r="O271" i="47"/>
  <c r="P271" i="47"/>
  <c r="J271" i="47"/>
  <c r="F271" i="47"/>
  <c r="N271" i="47" s="1"/>
  <c r="B278" i="47"/>
  <c r="P278" i="47"/>
  <c r="Q278" i="47" s="1"/>
  <c r="O278" i="47"/>
  <c r="F278" i="47"/>
  <c r="O283" i="47"/>
  <c r="P283" i="47"/>
  <c r="F283" i="47"/>
  <c r="C283" i="47"/>
  <c r="P115" i="47"/>
  <c r="P121" i="47"/>
  <c r="L128" i="47"/>
  <c r="O133" i="47"/>
  <c r="L134" i="47"/>
  <c r="K140" i="47"/>
  <c r="P147" i="47"/>
  <c r="M155" i="47"/>
  <c r="E155" i="47"/>
  <c r="O155" i="47"/>
  <c r="P161" i="47"/>
  <c r="K166" i="47"/>
  <c r="G171" i="47"/>
  <c r="F173" i="47"/>
  <c r="H173" i="47" s="1"/>
  <c r="J182" i="47"/>
  <c r="B195" i="47"/>
  <c r="N200" i="47"/>
  <c r="G204" i="47"/>
  <c r="E204" i="47"/>
  <c r="N208" i="47"/>
  <c r="G212" i="47"/>
  <c r="J214" i="47"/>
  <c r="B219" i="47"/>
  <c r="J226" i="47"/>
  <c r="P227" i="47"/>
  <c r="L232" i="47"/>
  <c r="K236" i="47"/>
  <c r="C245" i="47"/>
  <c r="N258" i="47"/>
  <c r="N267" i="47"/>
  <c r="J267" i="47"/>
  <c r="B271" i="47"/>
  <c r="I271" i="47" s="1"/>
  <c r="C278" i="47"/>
  <c r="B283" i="47"/>
  <c r="J288" i="47"/>
  <c r="E288" i="47"/>
  <c r="K300" i="47"/>
  <c r="F319" i="47"/>
  <c r="N322" i="47"/>
  <c r="P351" i="47"/>
  <c r="F351" i="47"/>
  <c r="O351" i="47"/>
  <c r="C351" i="47"/>
  <c r="E290" i="47"/>
  <c r="E293" i="47"/>
  <c r="L300" i="47"/>
  <c r="P303" i="47"/>
  <c r="I308" i="47"/>
  <c r="G308" i="47"/>
  <c r="E308" i="47"/>
  <c r="C329" i="47"/>
  <c r="B329" i="47"/>
  <c r="N339" i="47"/>
  <c r="L339" i="47"/>
  <c r="G339" i="47"/>
  <c r="E339" i="47"/>
  <c r="E286" i="47"/>
  <c r="F287" i="47"/>
  <c r="E289" i="47"/>
  <c r="G291" i="47"/>
  <c r="G293" i="47"/>
  <c r="H295" i="47"/>
  <c r="M300" i="47"/>
  <c r="P302" i="47"/>
  <c r="O307" i="47"/>
  <c r="E318" i="47"/>
  <c r="O329" i="47"/>
  <c r="E336" i="47"/>
  <c r="V337" i="47"/>
  <c r="P259" i="47"/>
  <c r="F286" i="47"/>
  <c r="L286" i="47" s="1"/>
  <c r="G288" i="47"/>
  <c r="G289" i="47"/>
  <c r="H291" i="47"/>
  <c r="H293" i="47"/>
  <c r="P355" i="47"/>
  <c r="O355" i="47"/>
  <c r="C355" i="47"/>
  <c r="B355" i="47"/>
  <c r="K189" i="47"/>
  <c r="K193" i="47"/>
  <c r="K197" i="47"/>
  <c r="K201" i="47"/>
  <c r="K205" i="47"/>
  <c r="K209" i="47"/>
  <c r="G210" i="47"/>
  <c r="G214" i="47"/>
  <c r="G226" i="47"/>
  <c r="G234" i="47"/>
  <c r="G238" i="47"/>
  <c r="E247" i="47"/>
  <c r="O247" i="47"/>
  <c r="P249" i="47"/>
  <c r="G253" i="47"/>
  <c r="L264" i="47"/>
  <c r="J265" i="47"/>
  <c r="H288" i="47"/>
  <c r="H289" i="47"/>
  <c r="J290" i="47"/>
  <c r="J291" i="47"/>
  <c r="I293" i="47"/>
  <c r="C307" i="47"/>
  <c r="H308" i="47"/>
  <c r="P311" i="47"/>
  <c r="O315" i="47"/>
  <c r="G318" i="47"/>
  <c r="O323" i="47"/>
  <c r="F329" i="47"/>
  <c r="I339" i="47"/>
  <c r="F355" i="47"/>
  <c r="P144" i="47"/>
  <c r="P148" i="47"/>
  <c r="P152" i="47"/>
  <c r="Q152" i="47" s="1"/>
  <c r="H154" i="47"/>
  <c r="P156" i="47"/>
  <c r="H158" i="47"/>
  <c r="P160" i="47"/>
  <c r="H162" i="47"/>
  <c r="P164" i="47"/>
  <c r="H166" i="47"/>
  <c r="P168" i="47"/>
  <c r="Q168" i="47" s="1"/>
  <c r="P172" i="47"/>
  <c r="H174" i="47"/>
  <c r="P176" i="47"/>
  <c r="H178" i="47"/>
  <c r="P180" i="47"/>
  <c r="H182" i="47"/>
  <c r="P184" i="47"/>
  <c r="H186" i="47"/>
  <c r="P188" i="47"/>
  <c r="Q188" i="47" s="1"/>
  <c r="L189" i="47"/>
  <c r="H190" i="47"/>
  <c r="P192" i="47"/>
  <c r="L193" i="47"/>
  <c r="H194" i="47"/>
  <c r="P196" i="47"/>
  <c r="Q196" i="47" s="1"/>
  <c r="L197" i="47"/>
  <c r="H198" i="47"/>
  <c r="P200" i="47"/>
  <c r="L201" i="47"/>
  <c r="H202" i="47"/>
  <c r="P204" i="47"/>
  <c r="L205" i="47"/>
  <c r="H206" i="47"/>
  <c r="P208" i="47"/>
  <c r="L209" i="47"/>
  <c r="H210" i="47"/>
  <c r="P212" i="47"/>
  <c r="P216" i="47"/>
  <c r="H218" i="47"/>
  <c r="P220" i="47"/>
  <c r="Q220" i="47" s="1"/>
  <c r="H222" i="47"/>
  <c r="P224" i="47"/>
  <c r="H226" i="47"/>
  <c r="P228" i="47"/>
  <c r="P232" i="47"/>
  <c r="H234" i="47"/>
  <c r="P236" i="47"/>
  <c r="B247" i="47"/>
  <c r="I247" i="47" s="1"/>
  <c r="H253" i="47"/>
  <c r="M257" i="47"/>
  <c r="L257" i="47"/>
  <c r="V259" i="47"/>
  <c r="P262" i="47"/>
  <c r="K265" i="47"/>
  <c r="L267" i="47"/>
  <c r="I288" i="47"/>
  <c r="I289" i="47"/>
  <c r="K290" i="47"/>
  <c r="K291" i="47"/>
  <c r="J293" i="47"/>
  <c r="L295" i="47"/>
  <c r="P299" i="47"/>
  <c r="F307" i="47"/>
  <c r="K308" i="47"/>
  <c r="B315" i="47"/>
  <c r="J318" i="47"/>
  <c r="B323" i="47"/>
  <c r="P328" i="47"/>
  <c r="N328" i="47"/>
  <c r="M328" i="47"/>
  <c r="J328" i="47"/>
  <c r="F328" i="47"/>
  <c r="H328" i="47" s="1"/>
  <c r="E328" i="47"/>
  <c r="P331" i="47"/>
  <c r="F331" i="47"/>
  <c r="O331" i="47"/>
  <c r="B331" i="47"/>
  <c r="J339" i="47"/>
  <c r="P345" i="47"/>
  <c r="F345" i="47"/>
  <c r="O345" i="47"/>
  <c r="C345" i="47"/>
  <c r="I154" i="47"/>
  <c r="I186" i="47"/>
  <c r="M189" i="47"/>
  <c r="I190" i="47"/>
  <c r="M193" i="47"/>
  <c r="M197" i="47"/>
  <c r="M201" i="47"/>
  <c r="M205" i="47"/>
  <c r="I206" i="47"/>
  <c r="M209" i="47"/>
  <c r="I210" i="47"/>
  <c r="I214" i="47"/>
  <c r="I222" i="47"/>
  <c r="I226" i="47"/>
  <c r="I230" i="47"/>
  <c r="I234" i="47"/>
  <c r="L243" i="47"/>
  <c r="M258" i="47"/>
  <c r="H258" i="47"/>
  <c r="N264" i="47"/>
  <c r="K288" i="47"/>
  <c r="L291" i="47"/>
  <c r="L308" i="47"/>
  <c r="V311" i="47"/>
  <c r="C315" i="47"/>
  <c r="C323" i="47"/>
  <c r="P335" i="47"/>
  <c r="Q335" i="47" s="1"/>
  <c r="C335" i="47"/>
  <c r="B335" i="47"/>
  <c r="O335" i="47"/>
  <c r="K339" i="47"/>
  <c r="O342" i="47"/>
  <c r="F342" i="47"/>
  <c r="C342" i="47"/>
  <c r="M342" i="47" s="1"/>
  <c r="P342" i="47"/>
  <c r="B345" i="47"/>
  <c r="V351" i="47"/>
  <c r="M249" i="47"/>
  <c r="L249" i="47"/>
  <c r="O259" i="47"/>
  <c r="L288" i="47"/>
  <c r="K289" i="47"/>
  <c r="V299" i="47"/>
  <c r="E304" i="47"/>
  <c r="V343" i="47"/>
  <c r="N363" i="47"/>
  <c r="M288" i="47"/>
  <c r="B302" i="47"/>
  <c r="P329" i="47"/>
  <c r="L363" i="47"/>
  <c r="J363" i="47"/>
  <c r="C259" i="47"/>
  <c r="N288" i="47"/>
  <c r="C302" i="47"/>
  <c r="C303" i="47"/>
  <c r="K303" i="47" s="1"/>
  <c r="E314" i="47"/>
  <c r="G328" i="47"/>
  <c r="F335" i="47"/>
  <c r="Q225" i="47"/>
  <c r="Q237" i="47"/>
  <c r="O249" i="47"/>
  <c r="V251" i="47"/>
  <c r="F259" i="47"/>
  <c r="B262" i="47"/>
  <c r="M262" i="47" s="1"/>
  <c r="O263" i="47"/>
  <c r="V295" i="47"/>
  <c r="O302" i="47"/>
  <c r="F303" i="47"/>
  <c r="I312" i="47"/>
  <c r="G312" i="47"/>
  <c r="E312" i="47"/>
  <c r="E322" i="47"/>
  <c r="J347" i="47"/>
  <c r="N347" i="47"/>
  <c r="M356" i="47"/>
  <c r="J356" i="47"/>
  <c r="E356" i="47"/>
  <c r="H363" i="47"/>
  <c r="O299" i="47"/>
  <c r="I304" i="47"/>
  <c r="O311" i="47"/>
  <c r="G314" i="47"/>
  <c r="I328" i="47"/>
  <c r="O330" i="47"/>
  <c r="P330" i="47"/>
  <c r="C213" i="47"/>
  <c r="K213" i="47" s="1"/>
  <c r="C217" i="47"/>
  <c r="L217" i="47" s="1"/>
  <c r="C221" i="47"/>
  <c r="C225" i="47"/>
  <c r="E225" i="47" s="1"/>
  <c r="C229" i="47"/>
  <c r="K229" i="47" s="1"/>
  <c r="C233" i="47"/>
  <c r="C237" i="47"/>
  <c r="E237" i="47" s="1"/>
  <c r="H240" i="47"/>
  <c r="V243" i="47"/>
  <c r="H248" i="47"/>
  <c r="F249" i="47"/>
  <c r="J249" i="47" s="1"/>
  <c r="H257" i="47"/>
  <c r="G260" i="47"/>
  <c r="O262" i="47"/>
  <c r="B298" i="47"/>
  <c r="B299" i="47"/>
  <c r="F302" i="47"/>
  <c r="B311" i="47"/>
  <c r="J314" i="47"/>
  <c r="I320" i="47"/>
  <c r="E320" i="47"/>
  <c r="P323" i="47"/>
  <c r="B330" i="47"/>
  <c r="E341" i="47"/>
  <c r="E347" i="47"/>
  <c r="I240" i="47"/>
  <c r="E243" i="47"/>
  <c r="O243" i="47"/>
  <c r="I248" i="47"/>
  <c r="G249" i="47"/>
  <c r="I257" i="47"/>
  <c r="H260" i="47"/>
  <c r="E262" i="47"/>
  <c r="E267" i="47"/>
  <c r="O267" i="47"/>
  <c r="B294" i="47"/>
  <c r="N295" i="47"/>
  <c r="E295" i="47"/>
  <c r="O295" i="47"/>
  <c r="C298" i="47"/>
  <c r="H298" i="47" s="1"/>
  <c r="C299" i="47"/>
  <c r="J299" i="47" s="1"/>
  <c r="L304" i="47"/>
  <c r="C311" i="47"/>
  <c r="L311" i="47" s="1"/>
  <c r="H312" i="47"/>
  <c r="K314" i="47"/>
  <c r="P315" i="47"/>
  <c r="J322" i="47"/>
  <c r="F325" i="47"/>
  <c r="Q325" i="47"/>
  <c r="B325" i="47"/>
  <c r="C330" i="47"/>
  <c r="I354" i="47"/>
  <c r="O364" i="47"/>
  <c r="C364" i="47"/>
  <c r="J364" i="47" s="1"/>
  <c r="B364" i="47"/>
  <c r="P364" i="47"/>
  <c r="F366" i="47"/>
  <c r="O366" i="47"/>
  <c r="C366" i="47"/>
  <c r="E366" i="47" s="1"/>
  <c r="B366" i="47"/>
  <c r="P366" i="47"/>
  <c r="B243" i="47"/>
  <c r="G243" i="47" s="1"/>
  <c r="M253" i="47"/>
  <c r="L253" i="47"/>
  <c r="I260" i="47"/>
  <c r="F262" i="47"/>
  <c r="N262" i="47" s="1"/>
  <c r="C266" i="47"/>
  <c r="K266" i="47" s="1"/>
  <c r="B267" i="47"/>
  <c r="M267" i="47" s="1"/>
  <c r="B290" i="47"/>
  <c r="G290" i="47" s="1"/>
  <c r="M290" i="47"/>
  <c r="H290" i="47"/>
  <c r="N291" i="47"/>
  <c r="I291" i="47"/>
  <c r="E291" i="47"/>
  <c r="O291" i="47"/>
  <c r="C294" i="47"/>
  <c r="B295" i="47"/>
  <c r="G295" i="47" s="1"/>
  <c r="J296" i="47"/>
  <c r="F299" i="47"/>
  <c r="F311" i="47"/>
  <c r="K312" i="47"/>
  <c r="L314" i="47"/>
  <c r="B319" i="47"/>
  <c r="K322" i="47"/>
  <c r="C325" i="47"/>
  <c r="J327" i="47"/>
  <c r="F330" i="47"/>
  <c r="G334" i="47"/>
  <c r="G341" i="47"/>
  <c r="G347" i="47"/>
  <c r="O349" i="47"/>
  <c r="C349" i="47"/>
  <c r="B349" i="47"/>
  <c r="J354" i="47"/>
  <c r="F364" i="47"/>
  <c r="B286" i="47"/>
  <c r="G286" i="47" s="1"/>
  <c r="M286" i="47"/>
  <c r="O287" i="47"/>
  <c r="J292" i="47"/>
  <c r="I300" i="47"/>
  <c r="J308" i="47"/>
  <c r="L312" i="47"/>
  <c r="V315" i="47"/>
  <c r="C319" i="47"/>
  <c r="E319" i="47" s="1"/>
  <c r="H320" i="47"/>
  <c r="I336" i="47"/>
  <c r="G336" i="47"/>
  <c r="F336" i="47"/>
  <c r="L336" i="47" s="1"/>
  <c r="O336" i="47"/>
  <c r="P336" i="47"/>
  <c r="M336" i="47"/>
  <c r="M341" i="47"/>
  <c r="F349" i="47"/>
  <c r="V352" i="47"/>
  <c r="K361" i="47"/>
  <c r="F406" i="47"/>
  <c r="O406" i="47"/>
  <c r="C406" i="47"/>
  <c r="B406" i="47"/>
  <c r="P369" i="47"/>
  <c r="F373" i="47"/>
  <c r="F383" i="47"/>
  <c r="C383" i="47"/>
  <c r="L383" i="47" s="1"/>
  <c r="B383" i="47"/>
  <c r="P383" i="47"/>
  <c r="C388" i="47"/>
  <c r="B388" i="47"/>
  <c r="V334" i="47"/>
  <c r="N353" i="47"/>
  <c r="K354" i="47"/>
  <c r="B357" i="47"/>
  <c r="P358" i="47"/>
  <c r="Q358" i="47" s="1"/>
  <c r="M359" i="47"/>
  <c r="P368" i="47"/>
  <c r="B373" i="47"/>
  <c r="F378" i="47"/>
  <c r="O378" i="47"/>
  <c r="C378" i="47"/>
  <c r="B378" i="47"/>
  <c r="O383" i="47"/>
  <c r="O388" i="47"/>
  <c r="P394" i="47"/>
  <c r="E397" i="47"/>
  <c r="V409" i="47"/>
  <c r="V346" i="47"/>
  <c r="C357" i="47"/>
  <c r="M357" i="47" s="1"/>
  <c r="N359" i="47"/>
  <c r="B372" i="47"/>
  <c r="G372" i="47" s="1"/>
  <c r="N372" i="47"/>
  <c r="L372" i="47"/>
  <c r="J372" i="47"/>
  <c r="C373" i="47"/>
  <c r="I373" i="47" s="1"/>
  <c r="P380" i="47"/>
  <c r="E393" i="47"/>
  <c r="E408" i="47"/>
  <c r="Q420" i="47"/>
  <c r="F371" i="47"/>
  <c r="B371" i="47"/>
  <c r="P371" i="47"/>
  <c r="O373" i="47"/>
  <c r="F387" i="47"/>
  <c r="C387" i="47"/>
  <c r="B387" i="47"/>
  <c r="P387" i="47"/>
  <c r="F388" i="47"/>
  <c r="I393" i="47"/>
  <c r="F399" i="47"/>
  <c r="C399" i="47"/>
  <c r="B399" i="47"/>
  <c r="P399" i="47"/>
  <c r="F410" i="47"/>
  <c r="C410" i="47"/>
  <c r="N410" i="47" s="1"/>
  <c r="P244" i="47"/>
  <c r="P248" i="47"/>
  <c r="P252" i="47"/>
  <c r="P256" i="47"/>
  <c r="P260" i="47"/>
  <c r="Q260" i="47" s="1"/>
  <c r="L261" i="47"/>
  <c r="P264" i="47"/>
  <c r="L265" i="47"/>
  <c r="P268" i="47"/>
  <c r="L269" i="47"/>
  <c r="P272" i="47"/>
  <c r="Q272" i="47" s="1"/>
  <c r="P276" i="47"/>
  <c r="L277" i="47"/>
  <c r="P280" i="47"/>
  <c r="L281" i="47"/>
  <c r="P284" i="47"/>
  <c r="P288" i="47"/>
  <c r="Q288" i="47" s="1"/>
  <c r="L289" i="47"/>
  <c r="P292" i="47"/>
  <c r="L293" i="47"/>
  <c r="P296" i="47"/>
  <c r="L297" i="47"/>
  <c r="P300" i="47"/>
  <c r="L301" i="47"/>
  <c r="P304" i="47"/>
  <c r="Q304" i="47" s="1"/>
  <c r="L305" i="47"/>
  <c r="P308" i="47"/>
  <c r="Q308" i="47" s="1"/>
  <c r="L309" i="47"/>
  <c r="H310" i="47"/>
  <c r="P312" i="47"/>
  <c r="H314" i="47"/>
  <c r="P316" i="47"/>
  <c r="L317" i="47"/>
  <c r="H318" i="47"/>
  <c r="P320" i="47"/>
  <c r="L321" i="47"/>
  <c r="H322" i="47"/>
  <c r="K326" i="47"/>
  <c r="H327" i="47"/>
  <c r="J332" i="47"/>
  <c r="E334" i="47"/>
  <c r="O340" i="47"/>
  <c r="H341" i="47"/>
  <c r="C346" i="47"/>
  <c r="N346" i="47" s="1"/>
  <c r="C352" i="47"/>
  <c r="J352" i="47" s="1"/>
  <c r="N354" i="47"/>
  <c r="H356" i="47"/>
  <c r="B358" i="47"/>
  <c r="P361" i="47"/>
  <c r="M363" i="47"/>
  <c r="C371" i="47"/>
  <c r="O372" i="47"/>
  <c r="K377" i="47"/>
  <c r="F377" i="47"/>
  <c r="J377" i="47" s="1"/>
  <c r="F382" i="47"/>
  <c r="O382" i="47"/>
  <c r="C382" i="47"/>
  <c r="B382" i="47"/>
  <c r="O387" i="47"/>
  <c r="P397" i="47"/>
  <c r="Q397" i="47" s="1"/>
  <c r="O399" i="47"/>
  <c r="F402" i="47"/>
  <c r="C402" i="47"/>
  <c r="E402" i="47" s="1"/>
  <c r="B402" i="47"/>
  <c r="O405" i="47"/>
  <c r="F405" i="47"/>
  <c r="C405" i="47"/>
  <c r="B410" i="47"/>
  <c r="M261" i="47"/>
  <c r="M265" i="47"/>
  <c r="M269" i="47"/>
  <c r="M277" i="47"/>
  <c r="M281" i="47"/>
  <c r="M289" i="47"/>
  <c r="M293" i="47"/>
  <c r="M301" i="47"/>
  <c r="M305" i="47"/>
  <c r="M309" i="47"/>
  <c r="M313" i="47"/>
  <c r="I314" i="47"/>
  <c r="I318" i="47"/>
  <c r="M321" i="47"/>
  <c r="I322" i="47"/>
  <c r="F334" i="47"/>
  <c r="H334" i="47" s="1"/>
  <c r="J350" i="47"/>
  <c r="O352" i="47"/>
  <c r="H353" i="47"/>
  <c r="O354" i="47"/>
  <c r="F357" i="47"/>
  <c r="C358" i="47"/>
  <c r="K358" i="47" s="1"/>
  <c r="P359" i="47"/>
  <c r="F370" i="47"/>
  <c r="Q370" i="47"/>
  <c r="C370" i="47"/>
  <c r="L370" i="47" s="1"/>
  <c r="B370" i="47"/>
  <c r="O371" i="47"/>
  <c r="E372" i="47"/>
  <c r="B377" i="47"/>
  <c r="I377" i="47" s="1"/>
  <c r="F395" i="47"/>
  <c r="C395" i="47"/>
  <c r="B395" i="47"/>
  <c r="P395" i="47"/>
  <c r="Q395" i="47" s="1"/>
  <c r="O395" i="47"/>
  <c r="B405" i="47"/>
  <c r="P406" i="47"/>
  <c r="H408" i="47"/>
  <c r="F369" i="47"/>
  <c r="F391" i="47"/>
  <c r="C391" i="47"/>
  <c r="B391" i="47"/>
  <c r="P391" i="47"/>
  <c r="P421" i="47"/>
  <c r="F421" i="47"/>
  <c r="C421" i="47"/>
  <c r="B421" i="47"/>
  <c r="F358" i="47"/>
  <c r="B368" i="47"/>
  <c r="B369" i="47"/>
  <c r="C376" i="47"/>
  <c r="L376" i="47" s="1"/>
  <c r="B376" i="47"/>
  <c r="O381" i="47"/>
  <c r="F381" i="47"/>
  <c r="F386" i="47"/>
  <c r="Q386" i="47"/>
  <c r="C386" i="47"/>
  <c r="B386" i="47"/>
  <c r="O391" i="47"/>
  <c r="B360" i="47"/>
  <c r="J361" i="47"/>
  <c r="F367" i="47"/>
  <c r="B367" i="47"/>
  <c r="P367" i="47"/>
  <c r="Q367" i="47" s="1"/>
  <c r="O367" i="47"/>
  <c r="C368" i="47"/>
  <c r="C369" i="47"/>
  <c r="E369" i="47" s="1"/>
  <c r="H372" i="47"/>
  <c r="E377" i="47"/>
  <c r="B381" i="47"/>
  <c r="P388" i="47"/>
  <c r="Q305" i="47"/>
  <c r="M310" i="47"/>
  <c r="M314" i="47"/>
  <c r="M322" i="47"/>
  <c r="M327" i="47"/>
  <c r="C348" i="47"/>
  <c r="M348" i="47" s="1"/>
  <c r="E353" i="47"/>
  <c r="B354" i="47"/>
  <c r="G354" i="47" s="1"/>
  <c r="N356" i="47"/>
  <c r="E359" i="47"/>
  <c r="C360" i="47"/>
  <c r="B361" i="47"/>
  <c r="G361" i="47" s="1"/>
  <c r="F362" i="47"/>
  <c r="O362" i="47"/>
  <c r="C362" i="47"/>
  <c r="E362" i="47" s="1"/>
  <c r="B363" i="47"/>
  <c r="K363" i="47" s="1"/>
  <c r="P363" i="47"/>
  <c r="C367" i="47"/>
  <c r="E367" i="47" s="1"/>
  <c r="O368" i="47"/>
  <c r="O369" i="47"/>
  <c r="P373" i="47"/>
  <c r="P378" i="47"/>
  <c r="C381" i="47"/>
  <c r="F398" i="47"/>
  <c r="Q398" i="47"/>
  <c r="C398" i="47"/>
  <c r="B398" i="47"/>
  <c r="F401" i="47"/>
  <c r="C401" i="47"/>
  <c r="L401" i="47" s="1"/>
  <c r="F375" i="47"/>
  <c r="C375" i="47"/>
  <c r="E375" i="47" s="1"/>
  <c r="B375" i="47"/>
  <c r="P375" i="47"/>
  <c r="C380" i="47"/>
  <c r="E380" i="47" s="1"/>
  <c r="B380" i="47"/>
  <c r="F385" i="47"/>
  <c r="F390" i="47"/>
  <c r="O390" i="47"/>
  <c r="C390" i="47"/>
  <c r="B390" i="47"/>
  <c r="F394" i="47"/>
  <c r="O394" i="47"/>
  <c r="C394" i="47"/>
  <c r="B394" i="47"/>
  <c r="V326" i="47"/>
  <c r="C337" i="47"/>
  <c r="K340" i="47"/>
  <c r="I341" i="47"/>
  <c r="C343" i="47"/>
  <c r="H347" i="47"/>
  <c r="P350" i="47"/>
  <c r="G353" i="47"/>
  <c r="E354" i="47"/>
  <c r="P356" i="47"/>
  <c r="G359" i="47"/>
  <c r="O361" i="47"/>
  <c r="O363" i="47"/>
  <c r="F365" i="47"/>
  <c r="H365" i="47" s="1"/>
  <c r="F368" i="47"/>
  <c r="P372" i="47"/>
  <c r="O375" i="47"/>
  <c r="B385" i="47"/>
  <c r="O401" i="47"/>
  <c r="E404" i="47"/>
  <c r="P322" i="47"/>
  <c r="M334" i="47"/>
  <c r="V338" i="47"/>
  <c r="J341" i="47"/>
  <c r="I347" i="47"/>
  <c r="F348" i="47"/>
  <c r="I353" i="47"/>
  <c r="F354" i="47"/>
  <c r="H354" i="47" s="1"/>
  <c r="H359" i="47"/>
  <c r="F360" i="47"/>
  <c r="E361" i="47"/>
  <c r="E363" i="47"/>
  <c r="P377" i="47"/>
  <c r="P382" i="47"/>
  <c r="C385" i="47"/>
  <c r="L356" i="47"/>
  <c r="O357" i="47"/>
  <c r="F361" i="47"/>
  <c r="H361" i="47" s="1"/>
  <c r="F379" i="47"/>
  <c r="C379" i="47"/>
  <c r="B379" i="47"/>
  <c r="P379" i="47"/>
  <c r="F380" i="47"/>
  <c r="C384" i="47"/>
  <c r="L384" i="47" s="1"/>
  <c r="B384" i="47"/>
  <c r="Q385" i="47"/>
  <c r="K389" i="47"/>
  <c r="F389" i="47"/>
  <c r="O397" i="47"/>
  <c r="F397" i="47"/>
  <c r="L397" i="47" s="1"/>
  <c r="E326" i="47"/>
  <c r="B327" i="47"/>
  <c r="G327" i="47" s="1"/>
  <c r="F337" i="47"/>
  <c r="C338" i="47"/>
  <c r="L341" i="47"/>
  <c r="F343" i="47"/>
  <c r="C344" i="47"/>
  <c r="K347" i="47"/>
  <c r="B350" i="47"/>
  <c r="K350" i="47" s="1"/>
  <c r="K353" i="47"/>
  <c r="B356" i="47"/>
  <c r="I356" i="47" s="1"/>
  <c r="P357" i="47"/>
  <c r="Q357" i="47" s="1"/>
  <c r="J359" i="47"/>
  <c r="F374" i="47"/>
  <c r="C374" i="47"/>
  <c r="B374" i="47"/>
  <c r="O379" i="47"/>
  <c r="B389" i="47"/>
  <c r="O393" i="47"/>
  <c r="M393" i="47"/>
  <c r="K393" i="47"/>
  <c r="G393" i="47"/>
  <c r="F393" i="47"/>
  <c r="J393" i="47" s="1"/>
  <c r="B397" i="47"/>
  <c r="K397" i="47" s="1"/>
  <c r="F403" i="47"/>
  <c r="C403" i="47"/>
  <c r="B403" i="47"/>
  <c r="P403" i="47"/>
  <c r="Q403" i="47" s="1"/>
  <c r="O403" i="47"/>
  <c r="C409" i="47"/>
  <c r="M409" i="47" s="1"/>
  <c r="O414" i="47"/>
  <c r="G415" i="47"/>
  <c r="B420" i="47"/>
  <c r="K420" i="47" s="1"/>
  <c r="L424" i="47"/>
  <c r="B431" i="47"/>
  <c r="C432" i="47"/>
  <c r="N432" i="47" s="1"/>
  <c r="O433" i="47"/>
  <c r="E434" i="47"/>
  <c r="Q440" i="47"/>
  <c r="F440" i="47"/>
  <c r="C440" i="47"/>
  <c r="P445" i="47"/>
  <c r="F445" i="47"/>
  <c r="V455" i="47"/>
  <c r="L477" i="47"/>
  <c r="H477" i="47"/>
  <c r="P439" i="47"/>
  <c r="F439" i="47"/>
  <c r="J392" i="47"/>
  <c r="J396" i="47"/>
  <c r="J400" i="47"/>
  <c r="J404" i="47"/>
  <c r="J408" i="47"/>
  <c r="F409" i="47"/>
  <c r="O415" i="47"/>
  <c r="I419" i="47"/>
  <c r="F420" i="47"/>
  <c r="L420" i="47" s="1"/>
  <c r="M425" i="47"/>
  <c r="K426" i="47"/>
  <c r="J429" i="47"/>
  <c r="F431" i="47"/>
  <c r="B439" i="47"/>
  <c r="K442" i="47"/>
  <c r="C445" i="47"/>
  <c r="K445" i="47" s="1"/>
  <c r="O452" i="47"/>
  <c r="F452" i="47"/>
  <c r="C452" i="47"/>
  <c r="B452" i="47"/>
  <c r="E477" i="47"/>
  <c r="K392" i="47"/>
  <c r="O407" i="47"/>
  <c r="G411" i="47"/>
  <c r="E415" i="47"/>
  <c r="B416" i="47"/>
  <c r="G416" i="47" s="1"/>
  <c r="P417" i="47"/>
  <c r="Q417" i="47" s="1"/>
  <c r="J419" i="47"/>
  <c r="L422" i="47"/>
  <c r="M422" i="47"/>
  <c r="N425" i="47"/>
  <c r="N426" i="47"/>
  <c r="K429" i="47"/>
  <c r="I430" i="47"/>
  <c r="B438" i="47"/>
  <c r="C439" i="47"/>
  <c r="O445" i="47"/>
  <c r="P446" i="47"/>
  <c r="O448" i="47"/>
  <c r="F448" i="47"/>
  <c r="N448" i="47" s="1"/>
  <c r="E448" i="47"/>
  <c r="P448" i="47"/>
  <c r="M467" i="47"/>
  <c r="L392" i="47"/>
  <c r="L396" i="47"/>
  <c r="L404" i="47"/>
  <c r="P407" i="47"/>
  <c r="Q407" i="47" s="1"/>
  <c r="L408" i="47"/>
  <c r="B411" i="47"/>
  <c r="I411" i="47" s="1"/>
  <c r="P412" i="47"/>
  <c r="F415" i="47"/>
  <c r="L415" i="47" s="1"/>
  <c r="O416" i="47"/>
  <c r="K419" i="47"/>
  <c r="B422" i="47"/>
  <c r="K422" i="47" s="1"/>
  <c r="M427" i="47"/>
  <c r="C438" i="47"/>
  <c r="O439" i="47"/>
  <c r="N442" i="47"/>
  <c r="B448" i="47"/>
  <c r="G448" i="47" s="1"/>
  <c r="F488" i="47"/>
  <c r="O488" i="47"/>
  <c r="B488" i="47"/>
  <c r="P488" i="47"/>
  <c r="C488" i="47"/>
  <c r="J488" i="47" s="1"/>
  <c r="J414" i="47"/>
  <c r="O417" i="47"/>
  <c r="O423" i="47"/>
  <c r="N427" i="47"/>
  <c r="P459" i="47"/>
  <c r="F459" i="47"/>
  <c r="N392" i="47"/>
  <c r="N404" i="47"/>
  <c r="B407" i="47"/>
  <c r="N408" i="47"/>
  <c r="O411" i="47"/>
  <c r="L414" i="47"/>
  <c r="I415" i="47"/>
  <c r="F416" i="47"/>
  <c r="H416" i="47" s="1"/>
  <c r="B417" i="47"/>
  <c r="P418" i="47"/>
  <c r="M419" i="47"/>
  <c r="B423" i="47"/>
  <c r="V435" i="47"/>
  <c r="P437" i="47"/>
  <c r="C437" i="47"/>
  <c r="E437" i="47" s="1"/>
  <c r="J444" i="47"/>
  <c r="I444" i="47"/>
  <c r="N451" i="47"/>
  <c r="M451" i="47"/>
  <c r="I451" i="47"/>
  <c r="G451" i="47"/>
  <c r="F451" i="47"/>
  <c r="L451" i="47" s="1"/>
  <c r="E451" i="47"/>
  <c r="B459" i="47"/>
  <c r="O392" i="47"/>
  <c r="O400" i="47"/>
  <c r="C407" i="47"/>
  <c r="E411" i="47"/>
  <c r="C417" i="47"/>
  <c r="N419" i="47"/>
  <c r="E422" i="47"/>
  <c r="C423" i="47"/>
  <c r="G423" i="47" s="1"/>
  <c r="P425" i="47"/>
  <c r="O425" i="47"/>
  <c r="C459" i="47"/>
  <c r="F468" i="47"/>
  <c r="O468" i="47"/>
  <c r="P468" i="47"/>
  <c r="P478" i="47"/>
  <c r="F478" i="47"/>
  <c r="O478" i="47"/>
  <c r="C478" i="47"/>
  <c r="J478" i="47" s="1"/>
  <c r="O459" i="47"/>
  <c r="B468" i="47"/>
  <c r="B478" i="47"/>
  <c r="B489" i="47"/>
  <c r="P489" i="47"/>
  <c r="F489" i="47"/>
  <c r="C489" i="47"/>
  <c r="M489" i="47" s="1"/>
  <c r="Q400" i="47"/>
  <c r="H411" i="47"/>
  <c r="B418" i="47"/>
  <c r="G422" i="47"/>
  <c r="F423" i="47"/>
  <c r="E424" i="47"/>
  <c r="C443" i="47"/>
  <c r="B443" i="47"/>
  <c r="P452" i="47"/>
  <c r="O455" i="47"/>
  <c r="C455" i="47"/>
  <c r="B455" i="47"/>
  <c r="P455" i="47"/>
  <c r="C468" i="47"/>
  <c r="I468" i="47" s="1"/>
  <c r="O489" i="47"/>
  <c r="B392" i="47"/>
  <c r="G392" i="47" s="1"/>
  <c r="B396" i="47"/>
  <c r="G396" i="47" s="1"/>
  <c r="B400" i="47"/>
  <c r="M400" i="47" s="1"/>
  <c r="B404" i="47"/>
  <c r="K404" i="47" s="1"/>
  <c r="F407" i="47"/>
  <c r="B408" i="47"/>
  <c r="I408" i="47" s="1"/>
  <c r="B413" i="47"/>
  <c r="P414" i="47"/>
  <c r="M415" i="47"/>
  <c r="F417" i="47"/>
  <c r="C418" i="47"/>
  <c r="N418" i="47" s="1"/>
  <c r="H422" i="47"/>
  <c r="E425" i="47"/>
  <c r="H427" i="47"/>
  <c r="J427" i="47"/>
  <c r="Q442" i="47"/>
  <c r="F455" i="47"/>
  <c r="N476" i="47"/>
  <c r="J411" i="47"/>
  <c r="C413" i="47"/>
  <c r="N413" i="47" s="1"/>
  <c r="O418" i="47"/>
  <c r="G419" i="47"/>
  <c r="H424" i="47"/>
  <c r="B427" i="47"/>
  <c r="Q428" i="47"/>
  <c r="P429" i="47"/>
  <c r="I429" i="47"/>
  <c r="O429" i="47"/>
  <c r="V431" i="47"/>
  <c r="L434" i="47"/>
  <c r="N434" i="47"/>
  <c r="K434" i="47"/>
  <c r="G434" i="47"/>
  <c r="F434" i="47"/>
  <c r="H434" i="47" s="1"/>
  <c r="E436" i="47"/>
  <c r="F443" i="47"/>
  <c r="K451" i="47"/>
  <c r="V468" i="47"/>
  <c r="E476" i="47"/>
  <c r="I424" i="47"/>
  <c r="P433" i="47"/>
  <c r="F446" i="47"/>
  <c r="O446" i="47"/>
  <c r="C446" i="47"/>
  <c r="B414" i="47"/>
  <c r="F418" i="47"/>
  <c r="J424" i="47"/>
  <c r="B433" i="47"/>
  <c r="B446" i="47"/>
  <c r="P451" i="47"/>
  <c r="F460" i="47"/>
  <c r="C460" i="47"/>
  <c r="B469" i="47"/>
  <c r="P469" i="47"/>
  <c r="F469" i="47"/>
  <c r="O469" i="47"/>
  <c r="B498" i="47"/>
  <c r="P498" i="47"/>
  <c r="F498" i="47"/>
  <c r="O498" i="47"/>
  <c r="C498" i="47"/>
  <c r="C431" i="47"/>
  <c r="P431" i="47"/>
  <c r="Q431" i="47" s="1"/>
  <c r="O431" i="47"/>
  <c r="C433" i="47"/>
  <c r="E433" i="47" s="1"/>
  <c r="P449" i="47"/>
  <c r="O449" i="47"/>
  <c r="C449" i="47"/>
  <c r="N449" i="47" s="1"/>
  <c r="B449" i="47"/>
  <c r="B460" i="47"/>
  <c r="C469" i="47"/>
  <c r="I469" i="47" s="1"/>
  <c r="P496" i="47"/>
  <c r="F496" i="47"/>
  <c r="O496" i="47"/>
  <c r="M499" i="47"/>
  <c r="L499" i="47"/>
  <c r="P504" i="47"/>
  <c r="O504" i="47"/>
  <c r="B504" i="47"/>
  <c r="B521" i="47"/>
  <c r="B523" i="47"/>
  <c r="P523" i="47"/>
  <c r="F542" i="47"/>
  <c r="P542" i="47"/>
  <c r="C542" i="47"/>
  <c r="B542" i="47"/>
  <c r="F491" i="47"/>
  <c r="E499" i="47"/>
  <c r="C504" i="47"/>
  <c r="E504" i="47" s="1"/>
  <c r="E505" i="47"/>
  <c r="E512" i="47"/>
  <c r="C521" i="47"/>
  <c r="C523" i="47"/>
  <c r="J523" i="47" s="1"/>
  <c r="O525" i="47"/>
  <c r="C525" i="47"/>
  <c r="M540" i="47"/>
  <c r="L540" i="47"/>
  <c r="K540" i="47"/>
  <c r="J540" i="47"/>
  <c r="I540" i="47"/>
  <c r="O542" i="47"/>
  <c r="J592" i="47"/>
  <c r="K592" i="47"/>
  <c r="B461" i="47"/>
  <c r="P461" i="47"/>
  <c r="E487" i="47"/>
  <c r="C490" i="47"/>
  <c r="B491" i="47"/>
  <c r="F492" i="47"/>
  <c r="O492" i="47"/>
  <c r="B492" i="47"/>
  <c r="B493" i="47"/>
  <c r="P493" i="47"/>
  <c r="O495" i="47"/>
  <c r="C496" i="47"/>
  <c r="G496" i="47" s="1"/>
  <c r="J583" i="47"/>
  <c r="I583" i="47"/>
  <c r="E583" i="47"/>
  <c r="N583" i="47"/>
  <c r="M583" i="47"/>
  <c r="K583" i="47"/>
  <c r="H583" i="47"/>
  <c r="G583" i="47"/>
  <c r="G458" i="47"/>
  <c r="C461" i="47"/>
  <c r="G467" i="47"/>
  <c r="B470" i="47"/>
  <c r="I476" i="47"/>
  <c r="B479" i="47"/>
  <c r="V480" i="47"/>
  <c r="I485" i="47"/>
  <c r="G487" i="47"/>
  <c r="O490" i="47"/>
  <c r="C491" i="47"/>
  <c r="J491" i="47" s="1"/>
  <c r="C492" i="47"/>
  <c r="C493" i="47"/>
  <c r="B494" i="47"/>
  <c r="B495" i="47"/>
  <c r="F504" i="47"/>
  <c r="G505" i="47"/>
  <c r="L515" i="47"/>
  <c r="O555" i="47"/>
  <c r="B555" i="47"/>
  <c r="P555" i="47"/>
  <c r="F555" i="47"/>
  <c r="C555" i="47"/>
  <c r="F587" i="47"/>
  <c r="O587" i="47"/>
  <c r="C587" i="47"/>
  <c r="P587" i="47"/>
  <c r="B587" i="47"/>
  <c r="B453" i="47"/>
  <c r="P453" i="47"/>
  <c r="H458" i="47"/>
  <c r="O461" i="47"/>
  <c r="I467" i="47"/>
  <c r="C470" i="47"/>
  <c r="L470" i="47" s="1"/>
  <c r="J476" i="47"/>
  <c r="C479" i="47"/>
  <c r="I479" i="47" s="1"/>
  <c r="F480" i="47"/>
  <c r="J485" i="47"/>
  <c r="H486" i="47"/>
  <c r="I487" i="47"/>
  <c r="O493" i="47"/>
  <c r="C494" i="47"/>
  <c r="C495" i="47"/>
  <c r="E495" i="47" s="1"/>
  <c r="J503" i="47"/>
  <c r="H505" i="47"/>
  <c r="E509" i="47"/>
  <c r="F514" i="47"/>
  <c r="O514" i="47"/>
  <c r="C514" i="47"/>
  <c r="B514" i="47"/>
  <c r="P525" i="47"/>
  <c r="H548" i="47"/>
  <c r="V424" i="47"/>
  <c r="L430" i="47"/>
  <c r="C435" i="47"/>
  <c r="I435" i="47" s="1"/>
  <c r="Q436" i="47"/>
  <c r="C441" i="47"/>
  <c r="J441" i="47" s="1"/>
  <c r="K444" i="47"/>
  <c r="B447" i="47"/>
  <c r="J450" i="47"/>
  <c r="C453" i="47"/>
  <c r="H453" i="47" s="1"/>
  <c r="I458" i="47"/>
  <c r="B462" i="47"/>
  <c r="P464" i="47"/>
  <c r="K467" i="47"/>
  <c r="B471" i="47"/>
  <c r="I477" i="47"/>
  <c r="Q479" i="47"/>
  <c r="B480" i="47"/>
  <c r="B481" i="47"/>
  <c r="P481" i="47"/>
  <c r="Q481" i="47" s="1"/>
  <c r="I486" i="47"/>
  <c r="K487" i="47"/>
  <c r="F490" i="47"/>
  <c r="I499" i="47"/>
  <c r="I505" i="47"/>
  <c r="V523" i="47"/>
  <c r="G540" i="47"/>
  <c r="V436" i="47"/>
  <c r="L444" i="47"/>
  <c r="C447" i="47"/>
  <c r="H447" i="47" s="1"/>
  <c r="K450" i="47"/>
  <c r="O453" i="47"/>
  <c r="N454" i="47"/>
  <c r="L454" i="47"/>
  <c r="J458" i="47"/>
  <c r="F461" i="47"/>
  <c r="C462" i="47"/>
  <c r="J463" i="47"/>
  <c r="H463" i="47"/>
  <c r="L467" i="47"/>
  <c r="C471" i="47"/>
  <c r="J471" i="47" s="1"/>
  <c r="F472" i="47"/>
  <c r="H472" i="47" s="1"/>
  <c r="J477" i="47"/>
  <c r="C480" i="47"/>
  <c r="C481" i="47"/>
  <c r="I481" i="47" s="1"/>
  <c r="L485" i="47"/>
  <c r="F493" i="47"/>
  <c r="F495" i="47"/>
  <c r="J499" i="47"/>
  <c r="J505" i="47"/>
  <c r="P508" i="47"/>
  <c r="O508" i="47"/>
  <c r="C508" i="47"/>
  <c r="N508" i="47" s="1"/>
  <c r="V545" i="47"/>
  <c r="B473" i="47"/>
  <c r="M473" i="47" s="1"/>
  <c r="P473" i="47"/>
  <c r="F479" i="47"/>
  <c r="M486" i="47"/>
  <c r="M487" i="47"/>
  <c r="F494" i="47"/>
  <c r="K499" i="47"/>
  <c r="Q502" i="47"/>
  <c r="C502" i="47"/>
  <c r="L502" i="47" s="1"/>
  <c r="I503" i="47"/>
  <c r="H509" i="47"/>
  <c r="M520" i="47"/>
  <c r="L520" i="47"/>
  <c r="K520" i="47"/>
  <c r="I520" i="47"/>
  <c r="H520" i="47"/>
  <c r="G520" i="47"/>
  <c r="F464" i="47"/>
  <c r="O464" i="47"/>
  <c r="F522" i="47"/>
  <c r="P522" i="47"/>
  <c r="P578" i="47"/>
  <c r="C578" i="47"/>
  <c r="K578" i="47" s="1"/>
  <c r="F578" i="47"/>
  <c r="O578" i="47"/>
  <c r="B578" i="47"/>
  <c r="F462" i="47"/>
  <c r="B464" i="47"/>
  <c r="B465" i="47"/>
  <c r="P465" i="47"/>
  <c r="Q465" i="47" s="1"/>
  <c r="F471" i="47"/>
  <c r="E472" i="47"/>
  <c r="O473" i="47"/>
  <c r="N474" i="47"/>
  <c r="L474" i="47"/>
  <c r="F481" i="47"/>
  <c r="C482" i="47"/>
  <c r="J483" i="47"/>
  <c r="H483" i="47"/>
  <c r="P486" i="47"/>
  <c r="Q486" i="47" s="1"/>
  <c r="F502" i="47"/>
  <c r="L503" i="47"/>
  <c r="F513" i="47"/>
  <c r="H513" i="47" s="1"/>
  <c r="E513" i="47"/>
  <c r="E520" i="47"/>
  <c r="B522" i="47"/>
  <c r="M524" i="47"/>
  <c r="L524" i="47"/>
  <c r="K524" i="47"/>
  <c r="J524" i="47"/>
  <c r="I524" i="47"/>
  <c r="E524" i="47"/>
  <c r="F526" i="47"/>
  <c r="O526" i="47"/>
  <c r="C526" i="47"/>
  <c r="B526" i="47"/>
  <c r="P566" i="47"/>
  <c r="O566" i="47"/>
  <c r="F566" i="47"/>
  <c r="C566" i="47"/>
  <c r="N566" i="47" s="1"/>
  <c r="B566" i="47"/>
  <c r="G424" i="47"/>
  <c r="L426" i="47"/>
  <c r="F430" i="47"/>
  <c r="H430" i="47" s="1"/>
  <c r="F436" i="47"/>
  <c r="L436" i="47" s="1"/>
  <c r="E442" i="47"/>
  <c r="P444" i="47"/>
  <c r="Q444" i="47" s="1"/>
  <c r="E454" i="47"/>
  <c r="F456" i="47"/>
  <c r="O456" i="47"/>
  <c r="P458" i="47"/>
  <c r="E463" i="47"/>
  <c r="C464" i="47"/>
  <c r="E464" i="47" s="1"/>
  <c r="C465" i="47"/>
  <c r="N465" i="47" s="1"/>
  <c r="P467" i="47"/>
  <c r="G472" i="47"/>
  <c r="E473" i="47"/>
  <c r="B474" i="47"/>
  <c r="P476" i="47"/>
  <c r="N477" i="47"/>
  <c r="O482" i="47"/>
  <c r="B483" i="47"/>
  <c r="K483" i="47" s="1"/>
  <c r="V484" i="47"/>
  <c r="P501" i="47"/>
  <c r="Q501" i="47" s="1"/>
  <c r="F501" i="47"/>
  <c r="M503" i="47"/>
  <c r="L507" i="47"/>
  <c r="G507" i="47"/>
  <c r="F507" i="47"/>
  <c r="J507" i="47" s="1"/>
  <c r="M509" i="47"/>
  <c r="B513" i="47"/>
  <c r="P514" i="47"/>
  <c r="P516" i="47"/>
  <c r="C516" i="47"/>
  <c r="E516" i="47" s="1"/>
  <c r="B516" i="47"/>
  <c r="C522" i="47"/>
  <c r="E522" i="47" s="1"/>
  <c r="B457" i="47"/>
  <c r="P457" i="47"/>
  <c r="N466" i="47"/>
  <c r="L466" i="47"/>
  <c r="F473" i="47"/>
  <c r="N473" i="47" s="1"/>
  <c r="F484" i="47"/>
  <c r="H484" i="47" s="1"/>
  <c r="N503" i="47"/>
  <c r="N509" i="47"/>
  <c r="J520" i="47"/>
  <c r="O522" i="47"/>
  <c r="L559" i="47"/>
  <c r="J559" i="47"/>
  <c r="H559" i="47"/>
  <c r="V444" i="47"/>
  <c r="L450" i="47"/>
  <c r="G454" i="47"/>
  <c r="C457" i="47"/>
  <c r="G463" i="47"/>
  <c r="B466" i="47"/>
  <c r="G466" i="47" s="1"/>
  <c r="I472" i="47"/>
  <c r="O474" i="47"/>
  <c r="B475" i="47"/>
  <c r="V476" i="47"/>
  <c r="F482" i="47"/>
  <c r="Q483" i="47"/>
  <c r="B484" i="47"/>
  <c r="G484" i="47" s="1"/>
  <c r="B485" i="47"/>
  <c r="G485" i="47" s="1"/>
  <c r="P485" i="47"/>
  <c r="N485" i="47"/>
  <c r="P490" i="47"/>
  <c r="P495" i="47"/>
  <c r="P500" i="47"/>
  <c r="C501" i="47"/>
  <c r="O506" i="47"/>
  <c r="O513" i="47"/>
  <c r="G524" i="47"/>
  <c r="P526" i="47"/>
  <c r="V527" i="47"/>
  <c r="G549" i="47"/>
  <c r="N458" i="47"/>
  <c r="L458" i="47"/>
  <c r="J467" i="47"/>
  <c r="H467" i="47"/>
  <c r="F476" i="47"/>
  <c r="L476" i="47" s="1"/>
  <c r="O476" i="47"/>
  <c r="N486" i="47"/>
  <c r="L486" i="47"/>
  <c r="J486" i="47"/>
  <c r="P491" i="47"/>
  <c r="P494" i="47"/>
  <c r="B476" i="47"/>
  <c r="G476" i="47" s="1"/>
  <c r="B477" i="47"/>
  <c r="M477" i="47" s="1"/>
  <c r="P477" i="47"/>
  <c r="B486" i="47"/>
  <c r="G486" i="47" s="1"/>
  <c r="J487" i="47"/>
  <c r="F487" i="47"/>
  <c r="H487" i="47" s="1"/>
  <c r="P492" i="47"/>
  <c r="V495" i="47"/>
  <c r="C500" i="47"/>
  <c r="J500" i="47" s="1"/>
  <c r="I507" i="47"/>
  <c r="N513" i="47"/>
  <c r="M544" i="47"/>
  <c r="L544" i="47"/>
  <c r="K544" i="47"/>
  <c r="J544" i="47"/>
  <c r="I544" i="47"/>
  <c r="H544" i="47"/>
  <c r="G544" i="47"/>
  <c r="E544" i="47"/>
  <c r="M512" i="47"/>
  <c r="H512" i="47"/>
  <c r="J515" i="47"/>
  <c r="H515" i="47"/>
  <c r="E515" i="47"/>
  <c r="P521" i="47"/>
  <c r="F521" i="47"/>
  <c r="F554" i="47"/>
  <c r="P554" i="47"/>
  <c r="O554" i="47"/>
  <c r="C554" i="47"/>
  <c r="B554" i="47"/>
  <c r="C541" i="47"/>
  <c r="E541" i="47" s="1"/>
  <c r="E543" i="47"/>
  <c r="O543" i="47"/>
  <c r="B543" i="47"/>
  <c r="I543" i="47" s="1"/>
  <c r="M549" i="47"/>
  <c r="I550" i="47"/>
  <c r="F550" i="47"/>
  <c r="N550" i="47" s="1"/>
  <c r="M550" i="47"/>
  <c r="E551" i="47"/>
  <c r="O551" i="47"/>
  <c r="B551" i="47"/>
  <c r="M551" i="47" s="1"/>
  <c r="P572" i="47"/>
  <c r="C572" i="47"/>
  <c r="M545" i="47"/>
  <c r="J545" i="47"/>
  <c r="F546" i="47"/>
  <c r="E547" i="47"/>
  <c r="B547" i="47"/>
  <c r="K547" i="47" s="1"/>
  <c r="O558" i="47"/>
  <c r="L565" i="47"/>
  <c r="G565" i="47"/>
  <c r="V569" i="47"/>
  <c r="B572" i="47"/>
  <c r="E557" i="47"/>
  <c r="O572" i="47"/>
  <c r="V574" i="47"/>
  <c r="P603" i="47"/>
  <c r="F603" i="47"/>
  <c r="O603" i="47"/>
  <c r="C603" i="47"/>
  <c r="K603" i="47" s="1"/>
  <c r="O564" i="47"/>
  <c r="C564" i="47"/>
  <c r="B564" i="47"/>
  <c r="P570" i="47"/>
  <c r="O570" i="47"/>
  <c r="C570" i="47"/>
  <c r="L570" i="47" s="1"/>
  <c r="B570" i="47"/>
  <c r="E527" i="47"/>
  <c r="O527" i="47"/>
  <c r="B527" i="47"/>
  <c r="M527" i="47" s="1"/>
  <c r="O534" i="47"/>
  <c r="K536" i="47"/>
  <c r="H543" i="47"/>
  <c r="O545" i="47"/>
  <c r="O546" i="47"/>
  <c r="E550" i="47"/>
  <c r="H551" i="47"/>
  <c r="G552" i="47"/>
  <c r="H556" i="47"/>
  <c r="G557" i="47"/>
  <c r="M563" i="47"/>
  <c r="F564" i="47"/>
  <c r="F570" i="47"/>
  <c r="F572" i="47"/>
  <c r="F575" i="47"/>
  <c r="O575" i="47"/>
  <c r="K589" i="47"/>
  <c r="M505" i="47"/>
  <c r="J506" i="47"/>
  <c r="L509" i="47"/>
  <c r="I512" i="47"/>
  <c r="P534" i="47"/>
  <c r="Q534" i="47" s="1"/>
  <c r="L536" i="47"/>
  <c r="L539" i="47"/>
  <c r="E545" i="47"/>
  <c r="E546" i="47"/>
  <c r="H547" i="47"/>
  <c r="J551" i="47"/>
  <c r="H552" i="47"/>
  <c r="H557" i="47"/>
  <c r="O581" i="47"/>
  <c r="F581" i="47"/>
  <c r="C581" i="47"/>
  <c r="P581" i="47"/>
  <c r="I598" i="47"/>
  <c r="H598" i="47"/>
  <c r="G598" i="47"/>
  <c r="E598" i="47"/>
  <c r="N598" i="47"/>
  <c r="M598" i="47"/>
  <c r="L598" i="47"/>
  <c r="C497" i="47"/>
  <c r="L497" i="47" s="1"/>
  <c r="N499" i="47"/>
  <c r="B503" i="47"/>
  <c r="K503" i="47" s="1"/>
  <c r="N505" i="47"/>
  <c r="K506" i="47"/>
  <c r="B509" i="47"/>
  <c r="K509" i="47" s="1"/>
  <c r="J512" i="47"/>
  <c r="B515" i="47"/>
  <c r="M515" i="47" s="1"/>
  <c r="L519" i="47"/>
  <c r="F527" i="47"/>
  <c r="H527" i="47" s="1"/>
  <c r="B529" i="47"/>
  <c r="I530" i="47"/>
  <c r="F530" i="47"/>
  <c r="J530" i="47" s="1"/>
  <c r="J543" i="47"/>
  <c r="F545" i="47"/>
  <c r="L545" i="47" s="1"/>
  <c r="J547" i="47"/>
  <c r="J550" i="47"/>
  <c r="K551" i="47"/>
  <c r="I552" i="47"/>
  <c r="J556" i="47"/>
  <c r="I557" i="47"/>
  <c r="J565" i="47"/>
  <c r="H571" i="47"/>
  <c r="V573" i="47"/>
  <c r="C575" i="47"/>
  <c r="B581" i="47"/>
  <c r="V587" i="47"/>
  <c r="H589" i="47"/>
  <c r="B531" i="47"/>
  <c r="G545" i="47"/>
  <c r="K550" i="47"/>
  <c r="L551" i="47"/>
  <c r="J552" i="47"/>
  <c r="K556" i="47"/>
  <c r="K557" i="47"/>
  <c r="P562" i="47"/>
  <c r="O562" i="47"/>
  <c r="O569" i="47"/>
  <c r="F569" i="47"/>
  <c r="L589" i="47"/>
  <c r="P499" i="47"/>
  <c r="Q499" i="47" s="1"/>
  <c r="E503" i="47"/>
  <c r="M506" i="47"/>
  <c r="O509" i="47"/>
  <c r="H510" i="47"/>
  <c r="L512" i="47"/>
  <c r="N519" i="47"/>
  <c r="C531" i="47"/>
  <c r="E531" i="47" s="1"/>
  <c r="V535" i="47"/>
  <c r="P538" i="47"/>
  <c r="L543" i="47"/>
  <c r="L547" i="47"/>
  <c r="K552" i="47"/>
  <c r="L556" i="47"/>
  <c r="B562" i="47"/>
  <c r="M565" i="47"/>
  <c r="B569" i="47"/>
  <c r="J571" i="47"/>
  <c r="P574" i="47"/>
  <c r="C574" i="47"/>
  <c r="N574" i="47" s="1"/>
  <c r="F580" i="47"/>
  <c r="H580" i="47" s="1"/>
  <c r="B580" i="47"/>
  <c r="G580" i="47" s="1"/>
  <c r="N580" i="47"/>
  <c r="M589" i="47"/>
  <c r="K630" i="47"/>
  <c r="I630" i="47"/>
  <c r="H630" i="47"/>
  <c r="N630" i="47"/>
  <c r="M630" i="47"/>
  <c r="L630" i="47"/>
  <c r="J630" i="47"/>
  <c r="G630" i="47"/>
  <c r="E630" i="47"/>
  <c r="P643" i="47"/>
  <c r="F643" i="47"/>
  <c r="O643" i="47"/>
  <c r="C643" i="47"/>
  <c r="E643" i="47" s="1"/>
  <c r="B643" i="47"/>
  <c r="F531" i="47"/>
  <c r="F534" i="47"/>
  <c r="I545" i="47"/>
  <c r="N551" i="47"/>
  <c r="L552" i="47"/>
  <c r="M556" i="47"/>
  <c r="P558" i="47"/>
  <c r="C562" i="47"/>
  <c r="C569" i="47"/>
  <c r="M595" i="47"/>
  <c r="J595" i="47"/>
  <c r="I595" i="47"/>
  <c r="H595" i="47"/>
  <c r="E595" i="47"/>
  <c r="K598" i="47"/>
  <c r="V499" i="47"/>
  <c r="L505" i="47"/>
  <c r="N512" i="47"/>
  <c r="B517" i="47"/>
  <c r="C533" i="47"/>
  <c r="J533" i="47" s="1"/>
  <c r="B534" i="47"/>
  <c r="E535" i="47"/>
  <c r="O535" i="47"/>
  <c r="B535" i="47"/>
  <c r="M535" i="47" s="1"/>
  <c r="P541" i="47"/>
  <c r="Q541" i="47" s="1"/>
  <c r="N543" i="47"/>
  <c r="K545" i="47"/>
  <c r="N546" i="47"/>
  <c r="N547" i="47"/>
  <c r="M552" i="47"/>
  <c r="N571" i="47"/>
  <c r="V572" i="47"/>
  <c r="O574" i="47"/>
  <c r="V605" i="47"/>
  <c r="F637" i="47"/>
  <c r="O637" i="47"/>
  <c r="P637" i="47"/>
  <c r="C637" i="47"/>
  <c r="B637" i="47"/>
  <c r="V511" i="47"/>
  <c r="C517" i="47"/>
  <c r="F518" i="47"/>
  <c r="C534" i="47"/>
  <c r="E534" i="47" s="1"/>
  <c r="V539" i="47"/>
  <c r="P550" i="47"/>
  <c r="P551" i="47"/>
  <c r="F562" i="47"/>
  <c r="P564" i="47"/>
  <c r="C568" i="47"/>
  <c r="I568" i="47" s="1"/>
  <c r="E580" i="47"/>
  <c r="N584" i="47"/>
  <c r="F584" i="47"/>
  <c r="H584" i="47" s="1"/>
  <c r="B584" i="47"/>
  <c r="M584" i="47" s="1"/>
  <c r="P590" i="47"/>
  <c r="F590" i="47"/>
  <c r="O590" i="47"/>
  <c r="C590" i="47"/>
  <c r="B590" i="47"/>
  <c r="N602" i="47"/>
  <c r="M602" i="47"/>
  <c r="K602" i="47"/>
  <c r="J602" i="47"/>
  <c r="I602" i="47"/>
  <c r="H602" i="47"/>
  <c r="G602" i="47"/>
  <c r="E602" i="47"/>
  <c r="F538" i="47"/>
  <c r="L538" i="47" s="1"/>
  <c r="P543" i="47"/>
  <c r="P546" i="47"/>
  <c r="P547" i="47"/>
  <c r="N561" i="47"/>
  <c r="L561" i="47"/>
  <c r="G561" i="47"/>
  <c r="O573" i="47"/>
  <c r="F573" i="47"/>
  <c r="H506" i="47"/>
  <c r="C511" i="47"/>
  <c r="C518" i="47"/>
  <c r="O519" i="47"/>
  <c r="B519" i="47"/>
  <c r="G519" i="47" s="1"/>
  <c r="C537" i="47"/>
  <c r="M537" i="47" s="1"/>
  <c r="B538" i="47"/>
  <c r="G538" i="47" s="1"/>
  <c r="E539" i="47"/>
  <c r="B539" i="47"/>
  <c r="M539" i="47" s="1"/>
  <c r="P545" i="47"/>
  <c r="V551" i="47"/>
  <c r="E561" i="47"/>
  <c r="Q568" i="47"/>
  <c r="B573" i="47"/>
  <c r="P575" i="47"/>
  <c r="C579" i="47"/>
  <c r="K579" i="47" s="1"/>
  <c r="Q584" i="47"/>
  <c r="V543" i="47"/>
  <c r="V547" i="47"/>
  <c r="M557" i="47"/>
  <c r="F558" i="47"/>
  <c r="E559" i="47"/>
  <c r="B559" i="47"/>
  <c r="M559" i="47" s="1"/>
  <c r="N559" i="47"/>
  <c r="J560" i="47"/>
  <c r="E560" i="47"/>
  <c r="N567" i="47"/>
  <c r="K567" i="47"/>
  <c r="C573" i="47"/>
  <c r="O579" i="47"/>
  <c r="V581" i="47"/>
  <c r="E584" i="47"/>
  <c r="F599" i="47"/>
  <c r="O599" i="47"/>
  <c r="C599" i="47"/>
  <c r="E599" i="47" s="1"/>
  <c r="B599" i="47"/>
  <c r="P599" i="47"/>
  <c r="L602" i="47"/>
  <c r="F621" i="47"/>
  <c r="O621" i="47"/>
  <c r="P621" i="47"/>
  <c r="C621" i="47"/>
  <c r="B621" i="47"/>
  <c r="F649" i="47"/>
  <c r="O649" i="47"/>
  <c r="C649" i="47"/>
  <c r="E649" i="47" s="1"/>
  <c r="B649" i="47"/>
  <c r="V561" i="47"/>
  <c r="L567" i="47"/>
  <c r="P585" i="47"/>
  <c r="E589" i="47"/>
  <c r="M592" i="47"/>
  <c r="O595" i="47"/>
  <c r="O605" i="47"/>
  <c r="V617" i="47"/>
  <c r="F629" i="47"/>
  <c r="P654" i="47"/>
  <c r="O654" i="47"/>
  <c r="C654" i="47"/>
  <c r="O619" i="47"/>
  <c r="P666" i="47"/>
  <c r="F666" i="47"/>
  <c r="O666" i="47"/>
  <c r="C666" i="47"/>
  <c r="B666" i="47"/>
  <c r="V585" i="47"/>
  <c r="G589" i="47"/>
  <c r="L591" i="47"/>
  <c r="I606" i="47"/>
  <c r="B607" i="47"/>
  <c r="I608" i="47"/>
  <c r="B619" i="47"/>
  <c r="J622" i="47"/>
  <c r="V625" i="47"/>
  <c r="C629" i="47"/>
  <c r="K629" i="47" s="1"/>
  <c r="V633" i="47"/>
  <c r="M635" i="47"/>
  <c r="G635" i="47"/>
  <c r="E635" i="47"/>
  <c r="O635" i="47"/>
  <c r="J642" i="47"/>
  <c r="H642" i="47"/>
  <c r="F654" i="47"/>
  <c r="E604" i="47"/>
  <c r="C607" i="47"/>
  <c r="K607" i="47" s="1"/>
  <c r="O609" i="47"/>
  <c r="C619" i="47"/>
  <c r="O627" i="47"/>
  <c r="N648" i="47"/>
  <c r="I648" i="47"/>
  <c r="G648" i="47"/>
  <c r="E648" i="47"/>
  <c r="V650" i="47"/>
  <c r="K653" i="47"/>
  <c r="J653" i="47"/>
  <c r="H653" i="47"/>
  <c r="G653" i="47"/>
  <c r="I589" i="47"/>
  <c r="B597" i="47"/>
  <c r="O607" i="47"/>
  <c r="F613" i="47"/>
  <c r="O613" i="47"/>
  <c r="F617" i="47"/>
  <c r="Q617" i="47"/>
  <c r="F646" i="47"/>
  <c r="O646" i="47"/>
  <c r="P646" i="47"/>
  <c r="L563" i="47"/>
  <c r="E585" i="47"/>
  <c r="B586" i="47"/>
  <c r="M586" i="47" s="1"/>
  <c r="J589" i="47"/>
  <c r="O591" i="47"/>
  <c r="C597" i="47"/>
  <c r="L597" i="47" s="1"/>
  <c r="G604" i="47"/>
  <c r="F607" i="47"/>
  <c r="C609" i="47"/>
  <c r="G609" i="47" s="1"/>
  <c r="B611" i="47"/>
  <c r="B613" i="47"/>
  <c r="B615" i="47"/>
  <c r="B617" i="47"/>
  <c r="V623" i="47"/>
  <c r="C627" i="47"/>
  <c r="E627" i="47" s="1"/>
  <c r="I634" i="47"/>
  <c r="H634" i="47"/>
  <c r="F635" i="47"/>
  <c r="H635" i="47" s="1"/>
  <c r="F641" i="47"/>
  <c r="Q641" i="47"/>
  <c r="B646" i="47"/>
  <c r="P649" i="47"/>
  <c r="E653" i="47"/>
  <c r="J604" i="47"/>
  <c r="C611" i="47"/>
  <c r="I611" i="47" s="1"/>
  <c r="C613" i="47"/>
  <c r="M613" i="47" s="1"/>
  <c r="C615" i="47"/>
  <c r="E615" i="47" s="1"/>
  <c r="C617" i="47"/>
  <c r="K626" i="47"/>
  <c r="I626" i="47"/>
  <c r="H626" i="47"/>
  <c r="F627" i="47"/>
  <c r="B641" i="47"/>
  <c r="C646" i="47"/>
  <c r="H648" i="47"/>
  <c r="B687" i="47"/>
  <c r="O687" i="47"/>
  <c r="P687" i="47"/>
  <c r="F687" i="47"/>
  <c r="C687" i="47"/>
  <c r="O615" i="47"/>
  <c r="F625" i="47"/>
  <c r="O625" i="47"/>
  <c r="F633" i="47"/>
  <c r="E634" i="47"/>
  <c r="I635" i="47"/>
  <c r="C641" i="47"/>
  <c r="J648" i="47"/>
  <c r="I651" i="47"/>
  <c r="M651" i="47"/>
  <c r="I656" i="47"/>
  <c r="H656" i="47"/>
  <c r="G656" i="47"/>
  <c r="N656" i="47"/>
  <c r="M656" i="47"/>
  <c r="M659" i="47"/>
  <c r="L604" i="47"/>
  <c r="G608" i="47"/>
  <c r="F611" i="47"/>
  <c r="E612" i="47"/>
  <c r="F615" i="47"/>
  <c r="B645" i="47"/>
  <c r="P645" i="47"/>
  <c r="L653" i="47"/>
  <c r="V657" i="47"/>
  <c r="K659" i="47"/>
  <c r="N520" i="47"/>
  <c r="N524" i="47"/>
  <c r="N528" i="47"/>
  <c r="N532" i="47"/>
  <c r="N536" i="47"/>
  <c r="N540" i="47"/>
  <c r="N544" i="47"/>
  <c r="N552" i="47"/>
  <c r="N556" i="47"/>
  <c r="J557" i="47"/>
  <c r="K561" i="47"/>
  <c r="E563" i="47"/>
  <c r="J567" i="47"/>
  <c r="I585" i="47"/>
  <c r="F586" i="47"/>
  <c r="N586" i="47" s="1"/>
  <c r="N589" i="47"/>
  <c r="H591" i="47"/>
  <c r="E592" i="47"/>
  <c r="B593" i="47"/>
  <c r="N595" i="47"/>
  <c r="M604" i="47"/>
  <c r="K606" i="47"/>
  <c r="J608" i="47"/>
  <c r="G610" i="47"/>
  <c r="G614" i="47"/>
  <c r="V621" i="47"/>
  <c r="C625" i="47"/>
  <c r="P629" i="47"/>
  <c r="C633" i="47"/>
  <c r="M633" i="47" s="1"/>
  <c r="G634" i="47"/>
  <c r="K635" i="47"/>
  <c r="O639" i="47"/>
  <c r="C645" i="47"/>
  <c r="L648" i="47"/>
  <c r="J585" i="47"/>
  <c r="I591" i="47"/>
  <c r="F592" i="47"/>
  <c r="H592" i="47" s="1"/>
  <c r="C593" i="47"/>
  <c r="K608" i="47"/>
  <c r="G612" i="47"/>
  <c r="P619" i="47"/>
  <c r="O623" i="47"/>
  <c r="G626" i="47"/>
  <c r="J634" i="47"/>
  <c r="B639" i="47"/>
  <c r="M648" i="47"/>
  <c r="K651" i="47"/>
  <c r="Q658" i="47"/>
  <c r="N665" i="47"/>
  <c r="L665" i="47"/>
  <c r="J665" i="47"/>
  <c r="H665" i="47"/>
  <c r="E665" i="47"/>
  <c r="P520" i="47"/>
  <c r="Q520" i="47" s="1"/>
  <c r="P524" i="47"/>
  <c r="Q524" i="47" s="1"/>
  <c r="P528" i="47"/>
  <c r="P532" i="47"/>
  <c r="Q532" i="47" s="1"/>
  <c r="P536" i="47"/>
  <c r="P540" i="47"/>
  <c r="Q540" i="47" s="1"/>
  <c r="P544" i="47"/>
  <c r="P548" i="47"/>
  <c r="P552" i="47"/>
  <c r="P556" i="47"/>
  <c r="Q556" i="47" s="1"/>
  <c r="L557" i="47"/>
  <c r="P560" i="47"/>
  <c r="Q560" i="47" s="1"/>
  <c r="M561" i="47"/>
  <c r="G563" i="47"/>
  <c r="V565" i="47"/>
  <c r="M567" i="47"/>
  <c r="L571" i="47"/>
  <c r="C576" i="47"/>
  <c r="C582" i="47"/>
  <c r="K585" i="47"/>
  <c r="B588" i="47"/>
  <c r="P589" i="47"/>
  <c r="J591" i="47"/>
  <c r="G592" i="47"/>
  <c r="B594" i="47"/>
  <c r="P595" i="47"/>
  <c r="M596" i="47"/>
  <c r="C600" i="47"/>
  <c r="I600" i="47" s="1"/>
  <c r="E601" i="47"/>
  <c r="O601" i="47"/>
  <c r="M606" i="47"/>
  <c r="L608" i="47"/>
  <c r="J610" i="47"/>
  <c r="K612" i="47"/>
  <c r="J614" i="47"/>
  <c r="B623" i="47"/>
  <c r="J626" i="47"/>
  <c r="N631" i="47"/>
  <c r="L631" i="47"/>
  <c r="E631" i="47"/>
  <c r="L634" i="47"/>
  <c r="P635" i="47"/>
  <c r="C639" i="47"/>
  <c r="J656" i="47"/>
  <c r="E677" i="47"/>
  <c r="M683" i="47"/>
  <c r="K683" i="47"/>
  <c r="I683" i="47"/>
  <c r="G683" i="47"/>
  <c r="E683" i="47"/>
  <c r="H563" i="47"/>
  <c r="V577" i="47"/>
  <c r="L583" i="47"/>
  <c r="L585" i="47"/>
  <c r="I586" i="47"/>
  <c r="C588" i="47"/>
  <c r="K591" i="47"/>
  <c r="I592" i="47"/>
  <c r="F593" i="47"/>
  <c r="C594" i="47"/>
  <c r="N596" i="47"/>
  <c r="O600" i="47"/>
  <c r="B601" i="47"/>
  <c r="I601" i="47" s="1"/>
  <c r="P605" i="47"/>
  <c r="N606" i="47"/>
  <c r="M608" i="47"/>
  <c r="K610" i="47"/>
  <c r="L612" i="47"/>
  <c r="K614" i="47"/>
  <c r="V619" i="47"/>
  <c r="C623" i="47"/>
  <c r="L626" i="47"/>
  <c r="P627" i="47"/>
  <c r="B631" i="47"/>
  <c r="G631" i="47" s="1"/>
  <c r="M634" i="47"/>
  <c r="I638" i="47"/>
  <c r="H638" i="47"/>
  <c r="F639" i="47"/>
  <c r="F645" i="47"/>
  <c r="K656" i="47"/>
  <c r="V589" i="47"/>
  <c r="L595" i="47"/>
  <c r="P607" i="47"/>
  <c r="M612" i="47"/>
  <c r="K622" i="47"/>
  <c r="I622" i="47"/>
  <c r="H622" i="47"/>
  <c r="V635" i="47"/>
  <c r="L656" i="47"/>
  <c r="K665" i="47"/>
  <c r="P709" i="47"/>
  <c r="F709" i="47"/>
  <c r="C709" i="47"/>
  <c r="E709" i="47" s="1"/>
  <c r="O659" i="47"/>
  <c r="B681" i="47"/>
  <c r="P681" i="47"/>
  <c r="O681" i="47"/>
  <c r="C681" i="47"/>
  <c r="F704" i="47"/>
  <c r="O704" i="47"/>
  <c r="P704" i="47"/>
  <c r="C704" i="47"/>
  <c r="P706" i="47"/>
  <c r="F706" i="47"/>
  <c r="C706" i="47"/>
  <c r="H658" i="47"/>
  <c r="F659" i="47"/>
  <c r="H659" i="47" s="1"/>
  <c r="B667" i="47"/>
  <c r="N669" i="47"/>
  <c r="E682" i="47"/>
  <c r="B695" i="47"/>
  <c r="C695" i="47"/>
  <c r="P695" i="47"/>
  <c r="B704" i="47"/>
  <c r="B706" i="47"/>
  <c r="Q640" i="47"/>
  <c r="B655" i="47"/>
  <c r="J658" i="47"/>
  <c r="G659" i="47"/>
  <c r="P662" i="47"/>
  <c r="G665" i="47"/>
  <c r="C667" i="47"/>
  <c r="I667" i="47" s="1"/>
  <c r="F681" i="47"/>
  <c r="G702" i="47"/>
  <c r="O706" i="47"/>
  <c r="O667" i="47"/>
  <c r="P670" i="47"/>
  <c r="V684" i="47"/>
  <c r="F695" i="47"/>
  <c r="O717" i="47"/>
  <c r="F717" i="47"/>
  <c r="C717" i="47"/>
  <c r="N717" i="47" s="1"/>
  <c r="B717" i="47"/>
  <c r="C632" i="47"/>
  <c r="J632" i="47" s="1"/>
  <c r="K634" i="47"/>
  <c r="C636" i="47"/>
  <c r="H636" i="47" s="1"/>
  <c r="C640" i="47"/>
  <c r="H640" i="47" s="1"/>
  <c r="L642" i="47"/>
  <c r="E644" i="47"/>
  <c r="C650" i="47"/>
  <c r="J650" i="47" s="1"/>
  <c r="L658" i="47"/>
  <c r="I659" i="47"/>
  <c r="B661" i="47"/>
  <c r="P663" i="47"/>
  <c r="F667" i="47"/>
  <c r="P671" i="47"/>
  <c r="C678" i="47"/>
  <c r="B701" i="47"/>
  <c r="P701" i="47"/>
  <c r="C701" i="47"/>
  <c r="O725" i="47"/>
  <c r="B725" i="47"/>
  <c r="P725" i="47"/>
  <c r="F725" i="47"/>
  <c r="C725" i="47"/>
  <c r="E651" i="47"/>
  <c r="J659" i="47"/>
  <c r="C661" i="47"/>
  <c r="I661" i="47" s="1"/>
  <c r="I662" i="47"/>
  <c r="B678" i="47"/>
  <c r="B685" i="47"/>
  <c r="P685" i="47"/>
  <c r="L685" i="47"/>
  <c r="J685" i="47"/>
  <c r="H685" i="47"/>
  <c r="O685" i="47"/>
  <c r="B689" i="47"/>
  <c r="P689" i="47"/>
  <c r="F689" i="47"/>
  <c r="O689" i="47"/>
  <c r="C689" i="47"/>
  <c r="B693" i="47"/>
  <c r="P693" i="47"/>
  <c r="Q693" i="47" s="1"/>
  <c r="F693" i="47"/>
  <c r="C693" i="47"/>
  <c r="N693" i="47" s="1"/>
  <c r="M698" i="47"/>
  <c r="I698" i="47"/>
  <c r="P717" i="47"/>
  <c r="L659" i="47"/>
  <c r="F678" i="47"/>
  <c r="E685" i="47"/>
  <c r="I686" i="47"/>
  <c r="E698" i="47"/>
  <c r="F701" i="47"/>
  <c r="J703" i="47"/>
  <c r="H703" i="47"/>
  <c r="B703" i="47"/>
  <c r="I703" i="47" s="1"/>
  <c r="P703" i="47"/>
  <c r="M703" i="47"/>
  <c r="L703" i="47"/>
  <c r="E703" i="47"/>
  <c r="B670" i="47"/>
  <c r="F671" i="47"/>
  <c r="F676" i="47"/>
  <c r="O676" i="47"/>
  <c r="B676" i="47"/>
  <c r="B705" i="47"/>
  <c r="P705" i="47"/>
  <c r="O705" i="47"/>
  <c r="P598" i="47"/>
  <c r="P602" i="47"/>
  <c r="H604" i="47"/>
  <c r="P606" i="47"/>
  <c r="H608" i="47"/>
  <c r="P610" i="47"/>
  <c r="Q610" i="47" s="1"/>
  <c r="H612" i="47"/>
  <c r="P614" i="47"/>
  <c r="H616" i="47"/>
  <c r="P618" i="47"/>
  <c r="H620" i="47"/>
  <c r="P622" i="47"/>
  <c r="H624" i="47"/>
  <c r="P626" i="47"/>
  <c r="Q626" i="47" s="1"/>
  <c r="H628" i="47"/>
  <c r="P630" i="47"/>
  <c r="P634" i="47"/>
  <c r="P638" i="47"/>
  <c r="Q638" i="47" s="1"/>
  <c r="J644" i="47"/>
  <c r="E647" i="47"/>
  <c r="F651" i="47"/>
  <c r="H651" i="47" s="1"/>
  <c r="J655" i="47"/>
  <c r="C657" i="47"/>
  <c r="L657" i="47" s="1"/>
  <c r="C663" i="47"/>
  <c r="P665" i="47"/>
  <c r="E669" i="47"/>
  <c r="C670" i="47"/>
  <c r="B671" i="47"/>
  <c r="C676" i="47"/>
  <c r="E676" i="47" s="1"/>
  <c r="F684" i="47"/>
  <c r="Q684" i="47"/>
  <c r="F692" i="47"/>
  <c r="H692" i="47" s="1"/>
  <c r="Q692" i="47"/>
  <c r="N692" i="47"/>
  <c r="E692" i="47"/>
  <c r="B692" i="47"/>
  <c r="G692" i="47" s="1"/>
  <c r="O703" i="47"/>
  <c r="C705" i="47"/>
  <c r="J705" i="47" s="1"/>
  <c r="K707" i="47"/>
  <c r="I624" i="47"/>
  <c r="I628" i="47"/>
  <c r="K644" i="47"/>
  <c r="G651" i="47"/>
  <c r="K655" i="47"/>
  <c r="O657" i="47"/>
  <c r="F662" i="47"/>
  <c r="O663" i="47"/>
  <c r="O670" i="47"/>
  <c r="C671" i="47"/>
  <c r="F688" i="47"/>
  <c r="O688" i="47"/>
  <c r="C688" i="47"/>
  <c r="E688" i="47" s="1"/>
  <c r="B688" i="47"/>
  <c r="O721" i="47"/>
  <c r="F721" i="47"/>
  <c r="C721" i="47"/>
  <c r="M721" i="47" s="1"/>
  <c r="P721" i="47"/>
  <c r="B721" i="47"/>
  <c r="B642" i="47"/>
  <c r="M642" i="47" s="1"/>
  <c r="M653" i="47"/>
  <c r="L655" i="47"/>
  <c r="B658" i="47"/>
  <c r="G658" i="47" s="1"/>
  <c r="P659" i="47"/>
  <c r="F663" i="47"/>
  <c r="G669" i="47"/>
  <c r="O671" i="47"/>
  <c r="B674" i="47"/>
  <c r="C675" i="47"/>
  <c r="E675" i="47" s="1"/>
  <c r="C684" i="47"/>
  <c r="K698" i="47"/>
  <c r="F700" i="47"/>
  <c r="O700" i="47"/>
  <c r="B700" i="47"/>
  <c r="F705" i="47"/>
  <c r="F657" i="47"/>
  <c r="M665" i="47"/>
  <c r="F670" i="47"/>
  <c r="C674" i="47"/>
  <c r="L674" i="47" s="1"/>
  <c r="O675" i="47"/>
  <c r="P683" i="47"/>
  <c r="F683" i="47"/>
  <c r="H683" i="47" s="1"/>
  <c r="N685" i="47"/>
  <c r="V686" i="47"/>
  <c r="I692" i="47"/>
  <c r="C700" i="47"/>
  <c r="N703" i="47"/>
  <c r="E659" i="47"/>
  <c r="P667" i="47"/>
  <c r="B677" i="47"/>
  <c r="G677" i="47" s="1"/>
  <c r="P677" i="47"/>
  <c r="Q677" i="47" s="1"/>
  <c r="F686" i="47"/>
  <c r="V688" i="47"/>
  <c r="E702" i="47"/>
  <c r="J714" i="47"/>
  <c r="E731" i="47"/>
  <c r="J740" i="47"/>
  <c r="I740" i="47"/>
  <c r="K740" i="47"/>
  <c r="G740" i="47"/>
  <c r="E740" i="47"/>
  <c r="O754" i="47"/>
  <c r="P754" i="47"/>
  <c r="B754" i="47"/>
  <c r="F754" i="47"/>
  <c r="K714" i="47"/>
  <c r="M715" i="47"/>
  <c r="V718" i="47"/>
  <c r="F720" i="47"/>
  <c r="V747" i="47"/>
  <c r="B749" i="47"/>
  <c r="P749" i="47"/>
  <c r="F749" i="47"/>
  <c r="O749" i="47"/>
  <c r="C749" i="47"/>
  <c r="E749" i="47" s="1"/>
  <c r="C754" i="47"/>
  <c r="F690" i="47"/>
  <c r="I702" i="47"/>
  <c r="J711" i="47"/>
  <c r="C720" i="47"/>
  <c r="J720" i="47" s="1"/>
  <c r="O737" i="47"/>
  <c r="B737" i="47"/>
  <c r="H740" i="47"/>
  <c r="V672" i="47"/>
  <c r="F677" i="47"/>
  <c r="H677" i="47" s="1"/>
  <c r="E686" i="47"/>
  <c r="B690" i="47"/>
  <c r="B691" i="47"/>
  <c r="K691" i="47" s="1"/>
  <c r="H707" i="47"/>
  <c r="M710" i="47"/>
  <c r="K711" i="47"/>
  <c r="O720" i="47"/>
  <c r="E733" i="47"/>
  <c r="F733" i="47"/>
  <c r="J733" i="47" s="1"/>
  <c r="B733" i="47"/>
  <c r="G733" i="47" s="1"/>
  <c r="P733" i="47"/>
  <c r="L733" i="47"/>
  <c r="C737" i="47"/>
  <c r="E737" i="47" s="1"/>
  <c r="L740" i="47"/>
  <c r="L752" i="47"/>
  <c r="N752" i="47"/>
  <c r="M752" i="47"/>
  <c r="H752" i="47"/>
  <c r="E752" i="47"/>
  <c r="K752" i="47"/>
  <c r="I752" i="47"/>
  <c r="G752" i="47"/>
  <c r="B803" i="47"/>
  <c r="F803" i="47"/>
  <c r="O803" i="47"/>
  <c r="P803" i="47"/>
  <c r="C803" i="47"/>
  <c r="M711" i="47"/>
  <c r="P718" i="47"/>
  <c r="Q718" i="47" s="1"/>
  <c r="F718" i="47"/>
  <c r="C718" i="47"/>
  <c r="J718" i="47" s="1"/>
  <c r="O729" i="47"/>
  <c r="P729" i="47"/>
  <c r="F729" i="47"/>
  <c r="N729" i="47" s="1"/>
  <c r="E729" i="47"/>
  <c r="M740" i="47"/>
  <c r="F755" i="47"/>
  <c r="O755" i="47"/>
  <c r="P755" i="47"/>
  <c r="C755" i="47"/>
  <c r="C672" i="47"/>
  <c r="C679" i="47"/>
  <c r="J679" i="47" s="1"/>
  <c r="F680" i="47"/>
  <c r="J680" i="47" s="1"/>
  <c r="O680" i="47"/>
  <c r="O690" i="47"/>
  <c r="F694" i="47"/>
  <c r="H694" i="47" s="1"/>
  <c r="V696" i="47"/>
  <c r="M702" i="47"/>
  <c r="N711" i="47"/>
  <c r="B718" i="47"/>
  <c r="C724" i="47"/>
  <c r="E724" i="47" s="1"/>
  <c r="B724" i="47"/>
  <c r="V727" i="47"/>
  <c r="B729" i="47"/>
  <c r="M729" i="47" s="1"/>
  <c r="V731" i="47"/>
  <c r="F737" i="47"/>
  <c r="N740" i="47"/>
  <c r="B755" i="47"/>
  <c r="L757" i="47"/>
  <c r="K757" i="47"/>
  <c r="G757" i="47"/>
  <c r="M757" i="47"/>
  <c r="I757" i="47"/>
  <c r="H757" i="47"/>
  <c r="E757" i="47"/>
  <c r="F672" i="47"/>
  <c r="F691" i="47"/>
  <c r="L691" i="47" s="1"/>
  <c r="F696" i="47"/>
  <c r="B697" i="47"/>
  <c r="P697" i="47"/>
  <c r="Q697" i="47" s="1"/>
  <c r="P702" i="47"/>
  <c r="B728" i="47"/>
  <c r="F732" i="47"/>
  <c r="O732" i="47"/>
  <c r="P732" i="47"/>
  <c r="P737" i="47"/>
  <c r="N682" i="47"/>
  <c r="L682" i="47"/>
  <c r="B696" i="47"/>
  <c r="K696" i="47" s="1"/>
  <c r="C697" i="47"/>
  <c r="J697" i="47" s="1"/>
  <c r="F698" i="47"/>
  <c r="L698" i="47" s="1"/>
  <c r="V700" i="47"/>
  <c r="V712" i="47"/>
  <c r="F715" i="47"/>
  <c r="H715" i="47" s="1"/>
  <c r="K715" i="47"/>
  <c r="F723" i="47"/>
  <c r="L723" i="47" s="1"/>
  <c r="E723" i="47"/>
  <c r="C728" i="47"/>
  <c r="B732" i="47"/>
  <c r="K733" i="47"/>
  <c r="B699" i="47"/>
  <c r="V709" i="47"/>
  <c r="V721" i="47"/>
  <c r="B723" i="47"/>
  <c r="K723" i="47" s="1"/>
  <c r="Q728" i="47"/>
  <c r="C732" i="47"/>
  <c r="N757" i="47"/>
  <c r="O713" i="47"/>
  <c r="C713" i="47"/>
  <c r="E713" i="47" s="1"/>
  <c r="G714" i="47"/>
  <c r="N714" i="47"/>
  <c r="N736" i="47"/>
  <c r="H736" i="47"/>
  <c r="F702" i="47"/>
  <c r="H702" i="47" s="1"/>
  <c r="V704" i="47"/>
  <c r="P710" i="47"/>
  <c r="O710" i="47"/>
  <c r="B710" i="47"/>
  <c r="K710" i="47" s="1"/>
  <c r="L710" i="47"/>
  <c r="B713" i="47"/>
  <c r="E715" i="47"/>
  <c r="Q723" i="47"/>
  <c r="F728" i="47"/>
  <c r="V733" i="47"/>
  <c r="E736" i="47"/>
  <c r="E741" i="47"/>
  <c r="F712" i="47"/>
  <c r="C712" i="47"/>
  <c r="E714" i="47"/>
  <c r="G715" i="47"/>
  <c r="F731" i="47"/>
  <c r="N731" i="47" s="1"/>
  <c r="B731" i="47"/>
  <c r="I731" i="47" s="1"/>
  <c r="P731" i="47"/>
  <c r="C745" i="47"/>
  <c r="K745" i="47" s="1"/>
  <c r="F745" i="47"/>
  <c r="O745" i="47"/>
  <c r="B745" i="47"/>
  <c r="B712" i="47"/>
  <c r="F713" i="47"/>
  <c r="P726" i="47"/>
  <c r="F726" i="47"/>
  <c r="L726" i="47" s="1"/>
  <c r="O726" i="47"/>
  <c r="N726" i="47"/>
  <c r="F743" i="47"/>
  <c r="O743" i="47"/>
  <c r="P743" i="47"/>
  <c r="B743" i="47"/>
  <c r="C743" i="47"/>
  <c r="M747" i="47"/>
  <c r="K747" i="47"/>
  <c r="I747" i="47"/>
  <c r="F751" i="47"/>
  <c r="O751" i="47"/>
  <c r="P751" i="47"/>
  <c r="C751" i="47"/>
  <c r="E751" i="47" s="1"/>
  <c r="B751" i="47"/>
  <c r="G761" i="47"/>
  <c r="M761" i="47"/>
  <c r="L761" i="47"/>
  <c r="E761" i="47"/>
  <c r="I761" i="47"/>
  <c r="H761" i="47"/>
  <c r="E772" i="47"/>
  <c r="L772" i="47"/>
  <c r="B772" i="47"/>
  <c r="G772" i="47" s="1"/>
  <c r="P772" i="47"/>
  <c r="F772" i="47"/>
  <c r="N772" i="47" s="1"/>
  <c r="M777" i="47"/>
  <c r="L777" i="47"/>
  <c r="K777" i="47"/>
  <c r="E777" i="47"/>
  <c r="B763" i="47"/>
  <c r="O763" i="47"/>
  <c r="F763" i="47"/>
  <c r="E779" i="47"/>
  <c r="N779" i="47"/>
  <c r="L779" i="47"/>
  <c r="P753" i="47"/>
  <c r="E758" i="47"/>
  <c r="C763" i="47"/>
  <c r="O772" i="47"/>
  <c r="B730" i="47"/>
  <c r="P739" i="47"/>
  <c r="C746" i="47"/>
  <c r="Q750" i="47"/>
  <c r="N750" i="47"/>
  <c r="F750" i="47"/>
  <c r="J750" i="47" s="1"/>
  <c r="B750" i="47"/>
  <c r="I750" i="47" s="1"/>
  <c r="B753" i="47"/>
  <c r="N761" i="47"/>
  <c r="H777" i="47"/>
  <c r="B783" i="47"/>
  <c r="F783" i="47"/>
  <c r="O783" i="47"/>
  <c r="P783" i="47"/>
  <c r="C783" i="47"/>
  <c r="C730" i="47"/>
  <c r="K730" i="47" s="1"/>
  <c r="C753" i="47"/>
  <c r="I758" i="47"/>
  <c r="O760" i="47"/>
  <c r="C760" i="47"/>
  <c r="H760" i="47" s="1"/>
  <c r="B760" i="47"/>
  <c r="O768" i="47"/>
  <c r="C768" i="47"/>
  <c r="B768" i="47"/>
  <c r="C719" i="47"/>
  <c r="N741" i="47"/>
  <c r="L741" i="47"/>
  <c r="B741" i="47"/>
  <c r="G741" i="47" s="1"/>
  <c r="F746" i="47"/>
  <c r="F753" i="47"/>
  <c r="F760" i="47"/>
  <c r="F768" i="47"/>
  <c r="N771" i="47"/>
  <c r="E771" i="47"/>
  <c r="O776" i="47"/>
  <c r="B776" i="47"/>
  <c r="F778" i="47"/>
  <c r="C778" i="47"/>
  <c r="O778" i="47"/>
  <c r="C792" i="47"/>
  <c r="B792" i="47"/>
  <c r="F792" i="47"/>
  <c r="O792" i="47"/>
  <c r="P792" i="47"/>
  <c r="F739" i="47"/>
  <c r="H739" i="47" s="1"/>
  <c r="E739" i="47"/>
  <c r="O739" i="47"/>
  <c r="P760" i="47"/>
  <c r="P768" i="47"/>
  <c r="C776" i="47"/>
  <c r="B778" i="47"/>
  <c r="B780" i="47"/>
  <c r="F780" i="47"/>
  <c r="O780" i="47"/>
  <c r="C780" i="47"/>
  <c r="P780" i="47"/>
  <c r="Q734" i="47"/>
  <c r="V735" i="47"/>
  <c r="B739" i="47"/>
  <c r="G739" i="47" s="1"/>
  <c r="H771" i="47"/>
  <c r="F776" i="47"/>
  <c r="J771" i="47"/>
  <c r="P776" i="47"/>
  <c r="C784" i="47"/>
  <c r="B784" i="47"/>
  <c r="F784" i="47"/>
  <c r="J707" i="47"/>
  <c r="G708" i="47"/>
  <c r="C727" i="47"/>
  <c r="K727" i="47" s="1"/>
  <c r="B736" i="47"/>
  <c r="G736" i="47" s="1"/>
  <c r="P736" i="47"/>
  <c r="L736" i="47"/>
  <c r="C738" i="47"/>
  <c r="J741" i="47"/>
  <c r="V746" i="47"/>
  <c r="E759" i="47"/>
  <c r="B764" i="47"/>
  <c r="C764" i="47"/>
  <c r="L771" i="47"/>
  <c r="V776" i="47"/>
  <c r="F782" i="47"/>
  <c r="C782" i="47"/>
  <c r="K782" i="47" s="1"/>
  <c r="P778" i="47"/>
  <c r="E795" i="47"/>
  <c r="N795" i="47"/>
  <c r="L795" i="47"/>
  <c r="V705" i="47"/>
  <c r="M707" i="47"/>
  <c r="L711" i="47"/>
  <c r="I714" i="47"/>
  <c r="C716" i="47"/>
  <c r="L716" i="47" s="1"/>
  <c r="C722" i="47"/>
  <c r="C735" i="47"/>
  <c r="N735" i="47" s="1"/>
  <c r="O736" i="47"/>
  <c r="F758" i="47"/>
  <c r="H758" i="47" s="1"/>
  <c r="M758" i="47"/>
  <c r="P758" i="47"/>
  <c r="K758" i="47"/>
  <c r="G758" i="47"/>
  <c r="F764" i="47"/>
  <c r="N767" i="47"/>
  <c r="J777" i="47"/>
  <c r="C788" i="47"/>
  <c r="I788" i="47" s="1"/>
  <c r="B788" i="47"/>
  <c r="O788" i="47"/>
  <c r="I789" i="47"/>
  <c r="B807" i="47"/>
  <c r="P807" i="47"/>
  <c r="F807" i="47"/>
  <c r="O807" i="47"/>
  <c r="C807" i="47"/>
  <c r="I807" i="47" s="1"/>
  <c r="B791" i="47"/>
  <c r="F791" i="47"/>
  <c r="Q791" i="47"/>
  <c r="F794" i="47"/>
  <c r="C794" i="47"/>
  <c r="P794" i="47"/>
  <c r="Q794" i="47" s="1"/>
  <c r="O794" i="47"/>
  <c r="C804" i="47"/>
  <c r="L804" i="47" s="1"/>
  <c r="B804" i="47"/>
  <c r="B818" i="47"/>
  <c r="V742" i="47"/>
  <c r="F747" i="47"/>
  <c r="N747" i="47" s="1"/>
  <c r="E747" i="47"/>
  <c r="O747" i="47"/>
  <c r="P747" i="47"/>
  <c r="F762" i="47"/>
  <c r="C762" i="47"/>
  <c r="K762" i="47" s="1"/>
  <c r="I773" i="47"/>
  <c r="F788" i="47"/>
  <c r="C791" i="47"/>
  <c r="B794" i="47"/>
  <c r="O804" i="47"/>
  <c r="C818" i="47"/>
  <c r="O822" i="47"/>
  <c r="F822" i="47"/>
  <c r="C822" i="47"/>
  <c r="B822" i="47"/>
  <c r="O818" i="47"/>
  <c r="E826" i="47"/>
  <c r="L826" i="47"/>
  <c r="J826" i="47"/>
  <c r="I826" i="47"/>
  <c r="G826" i="47"/>
  <c r="F831" i="47"/>
  <c r="O831" i="47"/>
  <c r="C831" i="47"/>
  <c r="P831" i="47"/>
  <c r="B831" i="47"/>
  <c r="J742" i="47"/>
  <c r="I742" i="47"/>
  <c r="H742" i="47"/>
  <c r="O742" i="47"/>
  <c r="G747" i="47"/>
  <c r="J761" i="47"/>
  <c r="V765" i="47"/>
  <c r="B767" i="47"/>
  <c r="I767" i="47" s="1"/>
  <c r="F767" i="47"/>
  <c r="L767" i="47" s="1"/>
  <c r="E767" i="47"/>
  <c r="O767" i="47"/>
  <c r="N773" i="47"/>
  <c r="P822" i="47"/>
  <c r="B787" i="47"/>
  <c r="F787" i="47"/>
  <c r="O787" i="47"/>
  <c r="P788" i="47"/>
  <c r="Q788" i="47" s="1"/>
  <c r="C796" i="47"/>
  <c r="B796" i="47"/>
  <c r="O796" i="47"/>
  <c r="P804" i="47"/>
  <c r="K817" i="47"/>
  <c r="H817" i="47"/>
  <c r="N817" i="47"/>
  <c r="I817" i="47"/>
  <c r="G817" i="47"/>
  <c r="F766" i="47"/>
  <c r="C766" i="47"/>
  <c r="E766" i="47" s="1"/>
  <c r="B775" i="47"/>
  <c r="M775" i="47" s="1"/>
  <c r="P775" i="47"/>
  <c r="C787" i="47"/>
  <c r="F790" i="47"/>
  <c r="C790" i="47"/>
  <c r="B790" i="47"/>
  <c r="P818" i="47"/>
  <c r="P808" i="47"/>
  <c r="O808" i="47"/>
  <c r="C808" i="47"/>
  <c r="O766" i="47"/>
  <c r="O775" i="47"/>
  <c r="N793" i="47"/>
  <c r="M793" i="47"/>
  <c r="L793" i="47"/>
  <c r="K793" i="47"/>
  <c r="E793" i="47"/>
  <c r="B808" i="47"/>
  <c r="K825" i="47"/>
  <c r="H825" i="47"/>
  <c r="N825" i="47"/>
  <c r="M825" i="47"/>
  <c r="L825" i="47"/>
  <c r="I825" i="47"/>
  <c r="G825" i="47"/>
  <c r="N844" i="47"/>
  <c r="M844" i="47"/>
  <c r="G742" i="47"/>
  <c r="K748" i="47"/>
  <c r="P762" i="47"/>
  <c r="F774" i="47"/>
  <c r="C774" i="47"/>
  <c r="P774" i="47"/>
  <c r="E775" i="47"/>
  <c r="F808" i="47"/>
  <c r="N814" i="47"/>
  <c r="M814" i="47"/>
  <c r="G814" i="47"/>
  <c r="E814" i="47"/>
  <c r="O814" i="47"/>
  <c r="I814" i="47"/>
  <c r="F814" i="47"/>
  <c r="H814" i="47" s="1"/>
  <c r="P814" i="47"/>
  <c r="J817" i="47"/>
  <c r="H734" i="47"/>
  <c r="K742" i="47"/>
  <c r="B759" i="47"/>
  <c r="G759" i="47" s="1"/>
  <c r="P759" i="47"/>
  <c r="H759" i="47"/>
  <c r="H765" i="47"/>
  <c r="E765" i="47"/>
  <c r="J773" i="47"/>
  <c r="F775" i="47"/>
  <c r="N775" i="47" s="1"/>
  <c r="B779" i="47"/>
  <c r="K779" i="47" s="1"/>
  <c r="J779" i="47"/>
  <c r="H779" i="47"/>
  <c r="Q779" i="47"/>
  <c r="F786" i="47"/>
  <c r="C786" i="47"/>
  <c r="O786" i="47"/>
  <c r="B786" i="47"/>
  <c r="E799" i="47"/>
  <c r="H811" i="47"/>
  <c r="J825" i="47"/>
  <c r="V769" i="47"/>
  <c r="N789" i="47"/>
  <c r="H789" i="47"/>
  <c r="E789" i="47"/>
  <c r="M789" i="47"/>
  <c r="P790" i="47"/>
  <c r="Q790" i="47" s="1"/>
  <c r="I793" i="47"/>
  <c r="P796" i="47"/>
  <c r="F798" i="47"/>
  <c r="C798" i="47"/>
  <c r="M798" i="47" s="1"/>
  <c r="O798" i="47"/>
  <c r="N805" i="47"/>
  <c r="H805" i="47"/>
  <c r="E805" i="47"/>
  <c r="M805" i="47"/>
  <c r="M810" i="47"/>
  <c r="F810" i="47"/>
  <c r="J810" i="47" s="1"/>
  <c r="P810" i="47"/>
  <c r="Q810" i="47" s="1"/>
  <c r="O810" i="47"/>
  <c r="B810" i="47"/>
  <c r="K810" i="47" s="1"/>
  <c r="L811" i="47"/>
  <c r="K814" i="47"/>
  <c r="F802" i="47"/>
  <c r="C802" i="47"/>
  <c r="E802" i="47" s="1"/>
  <c r="O802" i="47"/>
  <c r="B802" i="47"/>
  <c r="F832" i="47"/>
  <c r="C832" i="47"/>
  <c r="B832" i="47"/>
  <c r="B795" i="47"/>
  <c r="G795" i="47" s="1"/>
  <c r="F795" i="47"/>
  <c r="H795" i="47" s="1"/>
  <c r="N797" i="47"/>
  <c r="V823" i="47"/>
  <c r="O832" i="47"/>
  <c r="O838" i="47"/>
  <c r="F838" i="47"/>
  <c r="C838" i="47"/>
  <c r="E838" i="47" s="1"/>
  <c r="P838" i="47"/>
  <c r="Q838" i="47" s="1"/>
  <c r="L842" i="47"/>
  <c r="I842" i="47"/>
  <c r="H842" i="47"/>
  <c r="G842" i="47"/>
  <c r="F836" i="47"/>
  <c r="C836" i="47"/>
  <c r="J836" i="47" s="1"/>
  <c r="B836" i="47"/>
  <c r="P836" i="47"/>
  <c r="J795" i="47"/>
  <c r="I797" i="47"/>
  <c r="F806" i="47"/>
  <c r="C806" i="47"/>
  <c r="K806" i="47" s="1"/>
  <c r="P815" i="47"/>
  <c r="C815" i="47"/>
  <c r="J815" i="47" s="1"/>
  <c r="B815" i="47"/>
  <c r="O836" i="47"/>
  <c r="K842" i="47"/>
  <c r="J765" i="47"/>
  <c r="J789" i="47"/>
  <c r="K797" i="47"/>
  <c r="J805" i="47"/>
  <c r="P823" i="47"/>
  <c r="Q823" i="47" s="1"/>
  <c r="C823" i="47"/>
  <c r="B823" i="47"/>
  <c r="P832" i="47"/>
  <c r="P830" i="47"/>
  <c r="O830" i="47"/>
  <c r="N840" i="47"/>
  <c r="M840" i="47"/>
  <c r="B830" i="47"/>
  <c r="C830" i="47"/>
  <c r="F843" i="47"/>
  <c r="C843" i="47"/>
  <c r="I843" i="47" s="1"/>
  <c r="P740" i="47"/>
  <c r="P744" i="47"/>
  <c r="P748" i="47"/>
  <c r="P752" i="47"/>
  <c r="P795" i="47"/>
  <c r="F812" i="47"/>
  <c r="B812" i="47"/>
  <c r="F830" i="47"/>
  <c r="K840" i="47"/>
  <c r="B843" i="47"/>
  <c r="F770" i="47"/>
  <c r="C770" i="47"/>
  <c r="C800" i="47"/>
  <c r="B800" i="47"/>
  <c r="C812" i="47"/>
  <c r="M820" i="47"/>
  <c r="K820" i="47"/>
  <c r="M828" i="47"/>
  <c r="K828" i="47"/>
  <c r="B839" i="47"/>
  <c r="O843" i="47"/>
  <c r="F847" i="47"/>
  <c r="O847" i="47"/>
  <c r="C847" i="47"/>
  <c r="N847" i="47" s="1"/>
  <c r="B847" i="47"/>
  <c r="P847" i="47"/>
  <c r="C756" i="47"/>
  <c r="N756" i="47" s="1"/>
  <c r="J757" i="47"/>
  <c r="B770" i="47"/>
  <c r="B771" i="47"/>
  <c r="G771" i="47" s="1"/>
  <c r="I771" i="47"/>
  <c r="B799" i="47"/>
  <c r="M799" i="47" s="1"/>
  <c r="F799" i="47"/>
  <c r="N799" i="47" s="1"/>
  <c r="O800" i="47"/>
  <c r="O812" i="47"/>
  <c r="F819" i="47"/>
  <c r="C819" i="47"/>
  <c r="M819" i="47" s="1"/>
  <c r="G820" i="47"/>
  <c r="C839" i="47"/>
  <c r="J839" i="47" s="1"/>
  <c r="V808" i="47"/>
  <c r="J811" i="47"/>
  <c r="I811" i="47"/>
  <c r="G811" i="47"/>
  <c r="O811" i="47"/>
  <c r="P811" i="47"/>
  <c r="N811" i="47"/>
  <c r="F827" i="47"/>
  <c r="C827" i="47"/>
  <c r="O839" i="47"/>
  <c r="B940" i="47"/>
  <c r="P940" i="47"/>
  <c r="Q940" i="47" s="1"/>
  <c r="O940" i="47"/>
  <c r="L940" i="47"/>
  <c r="J940" i="47"/>
  <c r="G940" i="47"/>
  <c r="F940" i="47"/>
  <c r="N940" i="47"/>
  <c r="M940" i="47"/>
  <c r="K940" i="47"/>
  <c r="I940" i="47"/>
  <c r="H940" i="47"/>
  <c r="E940" i="47"/>
  <c r="C940" i="47"/>
  <c r="F855" i="47"/>
  <c r="O855" i="47"/>
  <c r="F816" i="47"/>
  <c r="F824" i="47"/>
  <c r="F851" i="47"/>
  <c r="B855" i="47"/>
  <c r="P894" i="47"/>
  <c r="Q894" i="47" s="1"/>
  <c r="F894" i="47"/>
  <c r="O894" i="47"/>
  <c r="C894" i="47"/>
  <c r="B894" i="47"/>
  <c r="N834" i="47"/>
  <c r="B851" i="47"/>
  <c r="C855" i="47"/>
  <c r="F900" i="47"/>
  <c r="E900" i="47"/>
  <c r="C900" i="47"/>
  <c r="B900" i="47"/>
  <c r="O900" i="47"/>
  <c r="P900" i="47"/>
  <c r="Q900" i="47" s="1"/>
  <c r="N900" i="47"/>
  <c r="M900" i="47"/>
  <c r="L900" i="47"/>
  <c r="K900" i="47"/>
  <c r="J900" i="47"/>
  <c r="I900" i="47"/>
  <c r="H900" i="47"/>
  <c r="G900" i="47"/>
  <c r="Q765" i="47"/>
  <c r="Q793" i="47"/>
  <c r="Q797" i="47"/>
  <c r="C816" i="47"/>
  <c r="K816" i="47" s="1"/>
  <c r="C824" i="47"/>
  <c r="E824" i="47" s="1"/>
  <c r="B834" i="47"/>
  <c r="G834" i="47" s="1"/>
  <c r="C851" i="47"/>
  <c r="P859" i="47"/>
  <c r="Q859" i="47" s="1"/>
  <c r="O859" i="47"/>
  <c r="F859" i="47"/>
  <c r="Q851" i="47"/>
  <c r="B859" i="47"/>
  <c r="P870" i="47"/>
  <c r="F870" i="47"/>
  <c r="O870" i="47"/>
  <c r="C870" i="47"/>
  <c r="E870" i="47" s="1"/>
  <c r="B870" i="47"/>
  <c r="N826" i="47"/>
  <c r="M826" i="47"/>
  <c r="O834" i="47"/>
  <c r="C835" i="47"/>
  <c r="M835" i="47" s="1"/>
  <c r="P855" i="47"/>
  <c r="C859" i="47"/>
  <c r="E859" i="47" s="1"/>
  <c r="K850" i="47"/>
  <c r="I850" i="47"/>
  <c r="I854" i="47"/>
  <c r="H854" i="47"/>
  <c r="G765" i="47"/>
  <c r="G769" i="47"/>
  <c r="G773" i="47"/>
  <c r="G777" i="47"/>
  <c r="G785" i="47"/>
  <c r="G789" i="47"/>
  <c r="G793" i="47"/>
  <c r="G805" i="47"/>
  <c r="I809" i="47"/>
  <c r="F820" i="47"/>
  <c r="N820" i="47" s="1"/>
  <c r="E820" i="47"/>
  <c r="F828" i="47"/>
  <c r="H828" i="47" s="1"/>
  <c r="E828" i="47"/>
  <c r="H834" i="47"/>
  <c r="I840" i="47"/>
  <c r="G840" i="47"/>
  <c r="F840" i="47"/>
  <c r="H840" i="47" s="1"/>
  <c r="E840" i="47"/>
  <c r="F844" i="47"/>
  <c r="H844" i="47" s="1"/>
  <c r="E844" i="47"/>
  <c r="B844" i="47"/>
  <c r="K844" i="47" s="1"/>
  <c r="G850" i="47"/>
  <c r="E853" i="47"/>
  <c r="N853" i="47"/>
  <c r="L853" i="47"/>
  <c r="H850" i="47"/>
  <c r="F860" i="47"/>
  <c r="O860" i="47"/>
  <c r="C860" i="47"/>
  <c r="O820" i="47"/>
  <c r="H826" i="47"/>
  <c r="O828" i="47"/>
  <c r="O840" i="47"/>
  <c r="L850" i="47"/>
  <c r="B860" i="47"/>
  <c r="B876" i="47"/>
  <c r="F883" i="47"/>
  <c r="F895" i="47"/>
  <c r="P907" i="47"/>
  <c r="Q907" i="47" s="1"/>
  <c r="N907" i="47"/>
  <c r="K907" i="47"/>
  <c r="J907" i="47"/>
  <c r="H907" i="47"/>
  <c r="O907" i="47"/>
  <c r="M907" i="47"/>
  <c r="L907" i="47"/>
  <c r="G907" i="47"/>
  <c r="E907" i="47"/>
  <c r="B912" i="47"/>
  <c r="P912" i="47"/>
  <c r="Q912" i="47" s="1"/>
  <c r="L912" i="47"/>
  <c r="J912" i="47"/>
  <c r="G912" i="47"/>
  <c r="F912" i="47"/>
  <c r="O912" i="47"/>
  <c r="M912" i="47"/>
  <c r="I912" i="47"/>
  <c r="P871" i="47"/>
  <c r="C876" i="47"/>
  <c r="B883" i="47"/>
  <c r="B895" i="47"/>
  <c r="O896" i="47"/>
  <c r="B896" i="47"/>
  <c r="B907" i="47"/>
  <c r="C912" i="47"/>
  <c r="O876" i="47"/>
  <c r="Q877" i="47"/>
  <c r="C883" i="47"/>
  <c r="E883" i="47" s="1"/>
  <c r="B884" i="47"/>
  <c r="C895" i="47"/>
  <c r="H895" i="47" s="1"/>
  <c r="C896" i="47"/>
  <c r="G896" i="47" s="1"/>
  <c r="I899" i="47"/>
  <c r="H899" i="47"/>
  <c r="G899" i="47"/>
  <c r="F899" i="47"/>
  <c r="B899" i="47"/>
  <c r="C907" i="47"/>
  <c r="E912" i="47"/>
  <c r="F876" i="47"/>
  <c r="O883" i="47"/>
  <c r="C884" i="47"/>
  <c r="I884" i="47" s="1"/>
  <c r="O895" i="47"/>
  <c r="F896" i="47"/>
  <c r="M898" i="47"/>
  <c r="L898" i="47"/>
  <c r="K898" i="47"/>
  <c r="J898" i="47"/>
  <c r="H898" i="47"/>
  <c r="C899" i="47"/>
  <c r="J904" i="47"/>
  <c r="M904" i="47"/>
  <c r="L904" i="47"/>
  <c r="K904" i="47"/>
  <c r="I904" i="47"/>
  <c r="H904" i="47"/>
  <c r="F904" i="47"/>
  <c r="C904" i="47"/>
  <c r="F907" i="47"/>
  <c r="H912" i="47"/>
  <c r="F923" i="47"/>
  <c r="P923" i="47"/>
  <c r="Q923" i="47" s="1"/>
  <c r="N923" i="47"/>
  <c r="K923" i="47"/>
  <c r="J923" i="47"/>
  <c r="H923" i="47"/>
  <c r="I923" i="47"/>
  <c r="G923" i="47"/>
  <c r="E923" i="47"/>
  <c r="C923" i="47"/>
  <c r="B923" i="47"/>
  <c r="B871" i="47"/>
  <c r="O884" i="47"/>
  <c r="P888" i="47"/>
  <c r="B898" i="47"/>
  <c r="E899" i="47"/>
  <c r="B904" i="47"/>
  <c r="I907" i="47"/>
  <c r="K912" i="47"/>
  <c r="B916" i="47"/>
  <c r="P916" i="47"/>
  <c r="Q916" i="47" s="1"/>
  <c r="L916" i="47"/>
  <c r="J916" i="47"/>
  <c r="G916" i="47"/>
  <c r="F916" i="47"/>
  <c r="O916" i="47"/>
  <c r="N916" i="47"/>
  <c r="K916" i="47"/>
  <c r="H916" i="47"/>
  <c r="L923" i="47"/>
  <c r="J930" i="47"/>
  <c r="H930" i="47"/>
  <c r="B930" i="47"/>
  <c r="O930" i="47"/>
  <c r="N930" i="47"/>
  <c r="L930" i="47"/>
  <c r="P930" i="47"/>
  <c r="Q930" i="47" s="1"/>
  <c r="M930" i="47"/>
  <c r="K930" i="47"/>
  <c r="I930" i="47"/>
  <c r="G930" i="47"/>
  <c r="F930" i="47"/>
  <c r="Q852" i="47"/>
  <c r="Q856" i="47"/>
  <c r="B866" i="47"/>
  <c r="P867" i="47"/>
  <c r="C871" i="47"/>
  <c r="F884" i="47"/>
  <c r="C898" i="47"/>
  <c r="J899" i="47"/>
  <c r="E904" i="47"/>
  <c r="N912" i="47"/>
  <c r="M923" i="47"/>
  <c r="J842" i="47"/>
  <c r="J846" i="47"/>
  <c r="B848" i="47"/>
  <c r="M848" i="47" s="1"/>
  <c r="J850" i="47"/>
  <c r="B852" i="47"/>
  <c r="M852" i="47" s="1"/>
  <c r="J854" i="47"/>
  <c r="B856" i="47"/>
  <c r="G856" i="47" s="1"/>
  <c r="P862" i="47"/>
  <c r="C866" i="47"/>
  <c r="O871" i="47"/>
  <c r="B878" i="47"/>
  <c r="M886" i="47"/>
  <c r="J886" i="47"/>
  <c r="K899" i="47"/>
  <c r="G904" i="47"/>
  <c r="E916" i="47"/>
  <c r="O923" i="47"/>
  <c r="E930" i="47"/>
  <c r="O866" i="47"/>
  <c r="C878" i="47"/>
  <c r="F879" i="47"/>
  <c r="F887" i="47"/>
  <c r="E898" i="47"/>
  <c r="L899" i="47"/>
  <c r="H903" i="47"/>
  <c r="O903" i="47"/>
  <c r="N903" i="47"/>
  <c r="M903" i="47"/>
  <c r="L903" i="47"/>
  <c r="K903" i="47"/>
  <c r="I903" i="47"/>
  <c r="F903" i="47"/>
  <c r="N904" i="47"/>
  <c r="P908" i="47"/>
  <c r="Q908" i="47" s="1"/>
  <c r="L908" i="47"/>
  <c r="J908" i="47"/>
  <c r="G908" i="47"/>
  <c r="F908" i="47"/>
  <c r="N908" i="47"/>
  <c r="K908" i="47"/>
  <c r="I916" i="47"/>
  <c r="F871" i="47"/>
  <c r="O878" i="47"/>
  <c r="O888" i="47"/>
  <c r="B888" i="47"/>
  <c r="F898" i="47"/>
  <c r="M899" i="47"/>
  <c r="B903" i="47"/>
  <c r="O904" i="47"/>
  <c r="B908" i="47"/>
  <c r="M916" i="47"/>
  <c r="B920" i="47"/>
  <c r="P920" i="47"/>
  <c r="Q920" i="47" s="1"/>
  <c r="L920" i="47"/>
  <c r="J920" i="47"/>
  <c r="G920" i="47"/>
  <c r="F920" i="47"/>
  <c r="O920" i="47"/>
  <c r="N920" i="47"/>
  <c r="M920" i="47"/>
  <c r="I920" i="47"/>
  <c r="E920" i="47"/>
  <c r="M842" i="47"/>
  <c r="M846" i="47"/>
  <c r="E848" i="47"/>
  <c r="M850" i="47"/>
  <c r="E852" i="47"/>
  <c r="Q853" i="47"/>
  <c r="M854" i="47"/>
  <c r="E856" i="47"/>
  <c r="Q857" i="47"/>
  <c r="B862" i="47"/>
  <c r="P863" i="47"/>
  <c r="M864" i="47"/>
  <c r="F866" i="47"/>
  <c r="C867" i="47"/>
  <c r="O872" i="47"/>
  <c r="Q873" i="47"/>
  <c r="C879" i="47"/>
  <c r="K879" i="47" s="1"/>
  <c r="B880" i="47"/>
  <c r="N882" i="47"/>
  <c r="O886" i="47"/>
  <c r="C887" i="47"/>
  <c r="C888" i="47"/>
  <c r="P892" i="47"/>
  <c r="G898" i="47"/>
  <c r="N899" i="47"/>
  <c r="C903" i="47"/>
  <c r="P904" i="47"/>
  <c r="Q904" i="47" s="1"/>
  <c r="C908" i="47"/>
  <c r="C920" i="47"/>
  <c r="N842" i="47"/>
  <c r="N846" i="47"/>
  <c r="F848" i="47"/>
  <c r="N848" i="47" s="1"/>
  <c r="N850" i="47"/>
  <c r="F852" i="47"/>
  <c r="L852" i="47" s="1"/>
  <c r="B853" i="47"/>
  <c r="K853" i="47" s="1"/>
  <c r="F856" i="47"/>
  <c r="J856" i="47" s="1"/>
  <c r="B857" i="47"/>
  <c r="P858" i="47"/>
  <c r="C862" i="47"/>
  <c r="N864" i="47"/>
  <c r="O867" i="47"/>
  <c r="F872" i="47"/>
  <c r="L872" i="47" s="1"/>
  <c r="F878" i="47"/>
  <c r="O879" i="47"/>
  <c r="C880" i="47"/>
  <c r="I880" i="47" s="1"/>
  <c r="E886" i="47"/>
  <c r="O887" i="47"/>
  <c r="F888" i="47"/>
  <c r="I898" i="47"/>
  <c r="O899" i="47"/>
  <c r="L902" i="47"/>
  <c r="P902" i="47"/>
  <c r="Q902" i="47" s="1"/>
  <c r="O902" i="47"/>
  <c r="N902" i="47"/>
  <c r="K902" i="47"/>
  <c r="I902" i="47"/>
  <c r="E908" i="47"/>
  <c r="H920" i="47"/>
  <c r="C857" i="47"/>
  <c r="O862" i="47"/>
  <c r="G872" i="47"/>
  <c r="P875" i="47"/>
  <c r="O880" i="47"/>
  <c r="P882" i="47"/>
  <c r="F886" i="47"/>
  <c r="L886" i="47" s="1"/>
  <c r="M890" i="47"/>
  <c r="L890" i="47"/>
  <c r="J890" i="47"/>
  <c r="N898" i="47"/>
  <c r="P899" i="47"/>
  <c r="Q899" i="47" s="1"/>
  <c r="E903" i="47"/>
  <c r="V904" i="47"/>
  <c r="H908" i="47"/>
  <c r="N917" i="47"/>
  <c r="L917" i="47"/>
  <c r="H917" i="47"/>
  <c r="F917" i="47"/>
  <c r="C917" i="47"/>
  <c r="B917" i="47"/>
  <c r="P917" i="47"/>
  <c r="Q917" i="47" s="1"/>
  <c r="M917" i="47"/>
  <c r="K920" i="47"/>
  <c r="V924" i="47"/>
  <c r="P854" i="47"/>
  <c r="Q854" i="47" s="1"/>
  <c r="P864" i="47"/>
  <c r="F867" i="47"/>
  <c r="F880" i="47"/>
  <c r="G886" i="47"/>
  <c r="F891" i="47"/>
  <c r="P895" i="47"/>
  <c r="O898" i="47"/>
  <c r="G903" i="47"/>
  <c r="I908" i="47"/>
  <c r="F862" i="47"/>
  <c r="P876" i="47"/>
  <c r="P883" i="47"/>
  <c r="O892" i="47"/>
  <c r="B892" i="47"/>
  <c r="P896" i="47"/>
  <c r="Q896" i="47" s="1"/>
  <c r="P898" i="47"/>
  <c r="Q898" i="47" s="1"/>
  <c r="J903" i="47"/>
  <c r="L905" i="47"/>
  <c r="F905" i="47"/>
  <c r="P905" i="47"/>
  <c r="Q905" i="47" s="1"/>
  <c r="K905" i="47"/>
  <c r="J905" i="47"/>
  <c r="I905" i="47"/>
  <c r="H905" i="47"/>
  <c r="G905" i="47"/>
  <c r="B905" i="47"/>
  <c r="M908" i="47"/>
  <c r="N925" i="47"/>
  <c r="L925" i="47"/>
  <c r="H925" i="47"/>
  <c r="F925" i="47"/>
  <c r="C925" i="47"/>
  <c r="B925" i="47"/>
  <c r="P925" i="47"/>
  <c r="Q925" i="47" s="1"/>
  <c r="M925" i="47"/>
  <c r="K925" i="47"/>
  <c r="J925" i="47"/>
  <c r="I925" i="47"/>
  <c r="G925" i="47"/>
  <c r="E925" i="47"/>
  <c r="C858" i="47"/>
  <c r="J872" i="47"/>
  <c r="C874" i="47"/>
  <c r="E874" i="47" s="1"/>
  <c r="I875" i="47"/>
  <c r="F875" i="47"/>
  <c r="M882" i="47"/>
  <c r="J882" i="47"/>
  <c r="I886" i="47"/>
  <c r="C891" i="47"/>
  <c r="G891" i="47" s="1"/>
  <c r="C892" i="47"/>
  <c r="J892" i="47" s="1"/>
  <c r="E902" i="47"/>
  <c r="P903" i="47"/>
  <c r="Q903" i="47" s="1"/>
  <c r="C905" i="47"/>
  <c r="V906" i="47"/>
  <c r="O908" i="47"/>
  <c r="V911" i="47"/>
  <c r="F915" i="47"/>
  <c r="P915" i="47"/>
  <c r="Q915" i="47" s="1"/>
  <c r="N915" i="47"/>
  <c r="K915" i="47"/>
  <c r="J915" i="47"/>
  <c r="H915" i="47"/>
  <c r="M915" i="47"/>
  <c r="L915" i="47"/>
  <c r="I915" i="47"/>
  <c r="G915" i="47"/>
  <c r="E915" i="47"/>
  <c r="B915" i="47"/>
  <c r="G917" i="47"/>
  <c r="N921" i="47"/>
  <c r="L921" i="47"/>
  <c r="H921" i="47"/>
  <c r="F921" i="47"/>
  <c r="C921" i="47"/>
  <c r="B921" i="47"/>
  <c r="P921" i="47"/>
  <c r="Q921" i="47" s="1"/>
  <c r="O921" i="47"/>
  <c r="K921" i="47"/>
  <c r="G921" i="47"/>
  <c r="O925" i="47"/>
  <c r="N937" i="47"/>
  <c r="L937" i="47"/>
  <c r="K937" i="47"/>
  <c r="H937" i="47"/>
  <c r="F937" i="47"/>
  <c r="C937" i="47"/>
  <c r="B937" i="47"/>
  <c r="P937" i="47"/>
  <c r="Q937" i="47" s="1"/>
  <c r="O937" i="47"/>
  <c r="M937" i="47"/>
  <c r="J937" i="47"/>
  <c r="I937" i="47"/>
  <c r="G937" i="47"/>
  <c r="V932" i="47"/>
  <c r="F947" i="47"/>
  <c r="C947" i="47"/>
  <c r="P947" i="47"/>
  <c r="Q947" i="47" s="1"/>
  <c r="N947" i="47"/>
  <c r="K947" i="47"/>
  <c r="J947" i="47"/>
  <c r="H947" i="47"/>
  <c r="V958" i="47"/>
  <c r="V990" i="47"/>
  <c r="N929" i="47"/>
  <c r="L929" i="47"/>
  <c r="H929" i="47"/>
  <c r="F929" i="47"/>
  <c r="C929" i="47"/>
  <c r="B929" i="47"/>
  <c r="P929" i="47"/>
  <c r="Q929" i="47" s="1"/>
  <c r="N933" i="47"/>
  <c r="L933" i="47"/>
  <c r="K933" i="47"/>
  <c r="H933" i="47"/>
  <c r="F933" i="47"/>
  <c r="C933" i="47"/>
  <c r="B933" i="47"/>
  <c r="P933" i="47"/>
  <c r="Q933" i="47" s="1"/>
  <c r="E947" i="47"/>
  <c r="J950" i="47"/>
  <c r="H950" i="47"/>
  <c r="G950" i="47"/>
  <c r="B950" i="47"/>
  <c r="O950" i="47"/>
  <c r="N950" i="47"/>
  <c r="L950" i="47"/>
  <c r="V923" i="47"/>
  <c r="F943" i="47"/>
  <c r="C943" i="47"/>
  <c r="P943" i="47"/>
  <c r="Q943" i="47" s="1"/>
  <c r="N943" i="47"/>
  <c r="K943" i="47"/>
  <c r="J943" i="47"/>
  <c r="H943" i="47"/>
  <c r="G947" i="47"/>
  <c r="V966" i="47"/>
  <c r="V1063" i="47"/>
  <c r="E929" i="47"/>
  <c r="E933" i="47"/>
  <c r="B936" i="47"/>
  <c r="P936" i="47"/>
  <c r="Q936" i="47" s="1"/>
  <c r="O936" i="47"/>
  <c r="L936" i="47"/>
  <c r="J936" i="47"/>
  <c r="G936" i="47"/>
  <c r="F936" i="47"/>
  <c r="I947" i="47"/>
  <c r="B924" i="47"/>
  <c r="P924" i="47"/>
  <c r="Q924" i="47" s="1"/>
  <c r="L924" i="47"/>
  <c r="J924" i="47"/>
  <c r="G924" i="47"/>
  <c r="F924" i="47"/>
  <c r="G929" i="47"/>
  <c r="G933" i="47"/>
  <c r="C936" i="47"/>
  <c r="E943" i="47"/>
  <c r="J946" i="47"/>
  <c r="H946" i="47"/>
  <c r="G946" i="47"/>
  <c r="B946" i="47"/>
  <c r="O946" i="47"/>
  <c r="N946" i="47"/>
  <c r="L946" i="47"/>
  <c r="L947" i="47"/>
  <c r="F950" i="47"/>
  <c r="V967" i="47"/>
  <c r="V999" i="47"/>
  <c r="V1031" i="47"/>
  <c r="H906" i="47"/>
  <c r="B906" i="47"/>
  <c r="O906" i="47"/>
  <c r="N906" i="47"/>
  <c r="L906" i="47"/>
  <c r="F911" i="47"/>
  <c r="P911" i="47"/>
  <c r="Q911" i="47" s="1"/>
  <c r="N911" i="47"/>
  <c r="K911" i="47"/>
  <c r="J911" i="47"/>
  <c r="H911" i="47"/>
  <c r="V918" i="47"/>
  <c r="C924" i="47"/>
  <c r="B928" i="47"/>
  <c r="P928" i="47"/>
  <c r="Q928" i="47" s="1"/>
  <c r="L928" i="47"/>
  <c r="J928" i="47"/>
  <c r="G928" i="47"/>
  <c r="F928" i="47"/>
  <c r="I929" i="47"/>
  <c r="I933" i="47"/>
  <c r="E936" i="47"/>
  <c r="F939" i="47"/>
  <c r="C939" i="47"/>
  <c r="P939" i="47"/>
  <c r="Q939" i="47" s="1"/>
  <c r="N939" i="47"/>
  <c r="K939" i="47"/>
  <c r="J939" i="47"/>
  <c r="H939" i="47"/>
  <c r="G943" i="47"/>
  <c r="M947" i="47"/>
  <c r="N949" i="47"/>
  <c r="L949" i="47"/>
  <c r="K949" i="47"/>
  <c r="H949" i="47"/>
  <c r="F949" i="47"/>
  <c r="C949" i="47"/>
  <c r="B949" i="47"/>
  <c r="P949" i="47"/>
  <c r="Q949" i="47" s="1"/>
  <c r="I950" i="47"/>
  <c r="V980" i="47"/>
  <c r="V1012" i="47"/>
  <c r="E924" i="47"/>
  <c r="J929" i="47"/>
  <c r="B932" i="47"/>
  <c r="P932" i="47"/>
  <c r="Q932" i="47" s="1"/>
  <c r="O932" i="47"/>
  <c r="L932" i="47"/>
  <c r="J932" i="47"/>
  <c r="G932" i="47"/>
  <c r="F932" i="47"/>
  <c r="J933" i="47"/>
  <c r="H936" i="47"/>
  <c r="O947" i="47"/>
  <c r="V1032" i="47"/>
  <c r="V1078" i="47"/>
  <c r="F919" i="47"/>
  <c r="P919" i="47"/>
  <c r="Q919" i="47" s="1"/>
  <c r="N919" i="47"/>
  <c r="K919" i="47"/>
  <c r="J919" i="47"/>
  <c r="H919" i="47"/>
  <c r="H924" i="47"/>
  <c r="V926" i="47"/>
  <c r="K929" i="47"/>
  <c r="C932" i="47"/>
  <c r="M933" i="47"/>
  <c r="I936" i="47"/>
  <c r="E939" i="47"/>
  <c r="J942" i="47"/>
  <c r="H942" i="47"/>
  <c r="G942" i="47"/>
  <c r="B942" i="47"/>
  <c r="O942" i="47"/>
  <c r="N942" i="47"/>
  <c r="L942" i="47"/>
  <c r="L943" i="47"/>
  <c r="F946" i="47"/>
  <c r="E949" i="47"/>
  <c r="M950" i="47"/>
  <c r="V974" i="47"/>
  <c r="O933" i="47"/>
  <c r="F935" i="47"/>
  <c r="C935" i="47"/>
  <c r="P935" i="47"/>
  <c r="Q935" i="47" s="1"/>
  <c r="N935" i="47"/>
  <c r="K935" i="47"/>
  <c r="J935" i="47"/>
  <c r="H935" i="47"/>
  <c r="N945" i="47"/>
  <c r="L945" i="47"/>
  <c r="K945" i="47"/>
  <c r="H945" i="47"/>
  <c r="F945" i="47"/>
  <c r="C945" i="47"/>
  <c r="B945" i="47"/>
  <c r="P945" i="47"/>
  <c r="Q945" i="47" s="1"/>
  <c r="N897" i="47"/>
  <c r="Q901" i="47"/>
  <c r="G906" i="47"/>
  <c r="J910" i="47"/>
  <c r="H910" i="47"/>
  <c r="B910" i="47"/>
  <c r="O910" i="47"/>
  <c r="N910" i="47"/>
  <c r="L910" i="47"/>
  <c r="G911" i="47"/>
  <c r="C919" i="47"/>
  <c r="K924" i="47"/>
  <c r="F927" i="47"/>
  <c r="P927" i="47"/>
  <c r="Q927" i="47" s="1"/>
  <c r="N927" i="47"/>
  <c r="K927" i="47"/>
  <c r="J927" i="47"/>
  <c r="H927" i="47"/>
  <c r="I928" i="47"/>
  <c r="O929" i="47"/>
  <c r="H932" i="47"/>
  <c r="B935" i="47"/>
  <c r="M936" i="47"/>
  <c r="I939" i="47"/>
  <c r="V940" i="47"/>
  <c r="E942" i="47"/>
  <c r="O943" i="47"/>
  <c r="K946" i="47"/>
  <c r="I949" i="47"/>
  <c r="Q950" i="47"/>
  <c r="I906" i="47"/>
  <c r="I911" i="47"/>
  <c r="J914" i="47"/>
  <c r="H914" i="47"/>
  <c r="B914" i="47"/>
  <c r="O914" i="47"/>
  <c r="N914" i="47"/>
  <c r="L914" i="47"/>
  <c r="E919" i="47"/>
  <c r="M924" i="47"/>
  <c r="K928" i="47"/>
  <c r="F931" i="47"/>
  <c r="P931" i="47"/>
  <c r="Q931" i="47" s="1"/>
  <c r="N931" i="47"/>
  <c r="K931" i="47"/>
  <c r="J931" i="47"/>
  <c r="H931" i="47"/>
  <c r="I932" i="47"/>
  <c r="E935" i="47"/>
  <c r="N936" i="47"/>
  <c r="J938" i="47"/>
  <c r="H938" i="47"/>
  <c r="G938" i="47"/>
  <c r="B938" i="47"/>
  <c r="O938" i="47"/>
  <c r="N938" i="47"/>
  <c r="L938" i="47"/>
  <c r="L939" i="47"/>
  <c r="F942" i="47"/>
  <c r="E945" i="47"/>
  <c r="M946" i="47"/>
  <c r="B948" i="47"/>
  <c r="P948" i="47"/>
  <c r="Q948" i="47" s="1"/>
  <c r="O948" i="47"/>
  <c r="L948" i="47"/>
  <c r="J948" i="47"/>
  <c r="G948" i="47"/>
  <c r="F948" i="47"/>
  <c r="J949" i="47"/>
  <c r="B901" i="47"/>
  <c r="J906" i="47"/>
  <c r="L911" i="47"/>
  <c r="C914" i="47"/>
  <c r="J918" i="47"/>
  <c r="H918" i="47"/>
  <c r="B918" i="47"/>
  <c r="O918" i="47"/>
  <c r="N918" i="47"/>
  <c r="L918" i="47"/>
  <c r="G919" i="47"/>
  <c r="N924" i="47"/>
  <c r="M928" i="47"/>
  <c r="B931" i="47"/>
  <c r="K932" i="47"/>
  <c r="G935" i="47"/>
  <c r="C938" i="47"/>
  <c r="M939" i="47"/>
  <c r="N941" i="47"/>
  <c r="L941" i="47"/>
  <c r="K941" i="47"/>
  <c r="H941" i="47"/>
  <c r="F941" i="47"/>
  <c r="C941" i="47"/>
  <c r="B941" i="47"/>
  <c r="P941" i="47"/>
  <c r="Q941" i="47" s="1"/>
  <c r="I942" i="47"/>
  <c r="G945" i="47"/>
  <c r="P946" i="47"/>
  <c r="C948" i="47"/>
  <c r="M949" i="47"/>
  <c r="C901" i="47"/>
  <c r="K906" i="47"/>
  <c r="N909" i="47"/>
  <c r="L909" i="47"/>
  <c r="H909" i="47"/>
  <c r="F909" i="47"/>
  <c r="C909" i="47"/>
  <c r="B909" i="47"/>
  <c r="P909" i="47"/>
  <c r="Q909" i="47" s="1"/>
  <c r="M911" i="47"/>
  <c r="E914" i="47"/>
  <c r="V916" i="47"/>
  <c r="C918" i="47"/>
  <c r="I919" i="47"/>
  <c r="J922" i="47"/>
  <c r="H922" i="47"/>
  <c r="B922" i="47"/>
  <c r="O922" i="47"/>
  <c r="N922" i="47"/>
  <c r="L922" i="47"/>
  <c r="O924" i="47"/>
  <c r="E927" i="47"/>
  <c r="N928" i="47"/>
  <c r="C931" i="47"/>
  <c r="M932" i="47"/>
  <c r="I935" i="47"/>
  <c r="V936" i="47"/>
  <c r="E938" i="47"/>
  <c r="O939" i="47"/>
  <c r="K942" i="47"/>
  <c r="I945" i="47"/>
  <c r="Q946" i="47"/>
  <c r="E948" i="47"/>
  <c r="O949" i="47"/>
  <c r="V951" i="47"/>
  <c r="V983" i="47"/>
  <c r="V1015" i="47"/>
  <c r="V1047" i="47"/>
  <c r="V907" i="47"/>
  <c r="O911" i="47"/>
  <c r="N913" i="47"/>
  <c r="L913" i="47"/>
  <c r="H913" i="47"/>
  <c r="F913" i="47"/>
  <c r="C913" i="47"/>
  <c r="B913" i="47"/>
  <c r="P913" i="47"/>
  <c r="Q913" i="47" s="1"/>
  <c r="L919" i="47"/>
  <c r="V920" i="47"/>
  <c r="J926" i="47"/>
  <c r="H926" i="47"/>
  <c r="B926" i="47"/>
  <c r="O926" i="47"/>
  <c r="N926" i="47"/>
  <c r="L926" i="47"/>
  <c r="O928" i="47"/>
  <c r="E931" i="47"/>
  <c r="N932" i="47"/>
  <c r="J934" i="47"/>
  <c r="H934" i="47"/>
  <c r="G934" i="47"/>
  <c r="B934" i="47"/>
  <c r="O934" i="47"/>
  <c r="N934" i="47"/>
  <c r="L934" i="47"/>
  <c r="L935" i="47"/>
  <c r="F938" i="47"/>
  <c r="E941" i="47"/>
  <c r="M942" i="47"/>
  <c r="B944" i="47"/>
  <c r="P944" i="47"/>
  <c r="Q944" i="47" s="1"/>
  <c r="O944" i="47"/>
  <c r="L944" i="47"/>
  <c r="J944" i="47"/>
  <c r="G944" i="47"/>
  <c r="F944" i="47"/>
  <c r="J945" i="47"/>
  <c r="V946" i="47"/>
  <c r="H948" i="47"/>
  <c r="V964" i="47"/>
  <c r="V996" i="47"/>
  <c r="V1028" i="47"/>
  <c r="Q539" i="47" l="1"/>
  <c r="I625" i="47"/>
  <c r="N15" i="47"/>
  <c r="J132" i="47"/>
  <c r="N68" i="47"/>
  <c r="O166" i="47"/>
  <c r="J558" i="47"/>
  <c r="L894" i="47"/>
  <c r="L618" i="47"/>
  <c r="I558" i="47"/>
  <c r="I238" i="47"/>
  <c r="E163" i="47"/>
  <c r="I15" i="47"/>
  <c r="H71" i="47"/>
  <c r="I4" i="47"/>
  <c r="N88" i="47"/>
  <c r="E15" i="47"/>
  <c r="J119" i="47"/>
  <c r="J68" i="47"/>
  <c r="H306" i="47"/>
  <c r="E699" i="47"/>
  <c r="J618" i="47"/>
  <c r="E529" i="47"/>
  <c r="E549" i="47"/>
  <c r="G548" i="47"/>
  <c r="E292" i="47"/>
  <c r="M4" i="47"/>
  <c r="H15" i="47"/>
  <c r="I519" i="47"/>
  <c r="H549" i="47"/>
  <c r="L596" i="47"/>
  <c r="J247" i="47"/>
  <c r="K549" i="47"/>
  <c r="G686" i="47"/>
  <c r="I548" i="47"/>
  <c r="N549" i="47"/>
  <c r="J548" i="47"/>
  <c r="G428" i="47"/>
  <c r="J331" i="47"/>
  <c r="N333" i="47"/>
  <c r="G230" i="47"/>
  <c r="H292" i="47"/>
  <c r="G292" i="47"/>
  <c r="E198" i="47"/>
  <c r="L149" i="47"/>
  <c r="M13" i="47"/>
  <c r="H80" i="47"/>
  <c r="G13" i="47"/>
  <c r="J24" i="47"/>
  <c r="M51" i="47"/>
  <c r="K658" i="47"/>
  <c r="H560" i="47"/>
  <c r="N744" i="47"/>
  <c r="H686" i="47"/>
  <c r="N854" i="47"/>
  <c r="H744" i="47"/>
  <c r="I726" i="47"/>
  <c r="L651" i="47"/>
  <c r="E618" i="47"/>
  <c r="H618" i="47"/>
  <c r="K548" i="47"/>
  <c r="L428" i="47"/>
  <c r="I267" i="47"/>
  <c r="I218" i="47"/>
  <c r="M149" i="47"/>
  <c r="L80" i="47"/>
  <c r="E4" i="47"/>
  <c r="M24" i="47"/>
  <c r="N51" i="47"/>
  <c r="N845" i="47"/>
  <c r="K208" i="47"/>
  <c r="I132" i="47"/>
  <c r="H98" i="47"/>
  <c r="J519" i="47"/>
  <c r="G854" i="47"/>
  <c r="I744" i="47"/>
  <c r="L605" i="47"/>
  <c r="N548" i="47"/>
  <c r="I618" i="47"/>
  <c r="M529" i="47"/>
  <c r="J529" i="47"/>
  <c r="L456" i="47"/>
  <c r="L548" i="47"/>
  <c r="K428" i="47"/>
  <c r="I292" i="47"/>
  <c r="G218" i="47"/>
  <c r="M9" i="47"/>
  <c r="E51" i="47"/>
  <c r="H529" i="47"/>
  <c r="J71" i="47"/>
  <c r="K854" i="47"/>
  <c r="N677" i="47"/>
  <c r="M896" i="47"/>
  <c r="L708" i="47"/>
  <c r="L744" i="47"/>
  <c r="J726" i="47"/>
  <c r="G685" i="47"/>
  <c r="M704" i="47"/>
  <c r="K618" i="47"/>
  <c r="L529" i="47"/>
  <c r="G558" i="47"/>
  <c r="M548" i="47"/>
  <c r="H450" i="47"/>
  <c r="G427" i="47"/>
  <c r="L333" i="47"/>
  <c r="H287" i="47"/>
  <c r="G9" i="47"/>
  <c r="M71" i="47"/>
  <c r="I24" i="47"/>
  <c r="H51" i="47"/>
  <c r="J769" i="47"/>
  <c r="N759" i="47"/>
  <c r="H540" i="47"/>
  <c r="J425" i="47"/>
  <c r="I200" i="47"/>
  <c r="N132" i="47"/>
  <c r="N257" i="47"/>
  <c r="H204" i="47"/>
  <c r="K41" i="47"/>
  <c r="M110" i="47"/>
  <c r="K39" i="47"/>
  <c r="H841" i="47"/>
  <c r="M764" i="47"/>
  <c r="K703" i="47"/>
  <c r="G623" i="47"/>
  <c r="K596" i="47"/>
  <c r="E450" i="47"/>
  <c r="H333" i="47"/>
  <c r="N331" i="47"/>
  <c r="G287" i="47"/>
  <c r="J4" i="47"/>
  <c r="E68" i="47"/>
  <c r="K51" i="47"/>
  <c r="I532" i="47"/>
  <c r="I644" i="47"/>
  <c r="N612" i="47"/>
  <c r="J336" i="47"/>
  <c r="I51" i="47"/>
  <c r="G618" i="47"/>
  <c r="I856" i="47"/>
  <c r="M699" i="47"/>
  <c r="I525" i="47"/>
  <c r="I306" i="47"/>
  <c r="G331" i="47"/>
  <c r="H238" i="47"/>
  <c r="G272" i="47"/>
  <c r="E218" i="47"/>
  <c r="K845" i="47"/>
  <c r="G560" i="47"/>
  <c r="E257" i="47"/>
  <c r="L15" i="47"/>
  <c r="L837" i="47"/>
  <c r="K877" i="47"/>
  <c r="I699" i="47"/>
  <c r="H690" i="47"/>
  <c r="N684" i="47"/>
  <c r="N618" i="47"/>
  <c r="L549" i="47"/>
  <c r="E333" i="47"/>
  <c r="H272" i="47"/>
  <c r="I68" i="47"/>
  <c r="I71" i="47"/>
  <c r="K4" i="47"/>
  <c r="J98" i="47"/>
  <c r="J51" i="47"/>
  <c r="J734" i="47"/>
  <c r="G734" i="47"/>
  <c r="K257" i="47"/>
  <c r="H267" i="47"/>
  <c r="K98" i="47"/>
  <c r="E331" i="47"/>
  <c r="E98" i="47"/>
  <c r="M26" i="47"/>
  <c r="E13" i="47"/>
  <c r="J110" i="47"/>
  <c r="H24" i="47"/>
  <c r="L734" i="47"/>
  <c r="K224" i="47"/>
  <c r="L16" i="47"/>
  <c r="I584" i="47"/>
  <c r="K253" i="47"/>
  <c r="M811" i="47"/>
  <c r="N690" i="47"/>
  <c r="G333" i="47"/>
  <c r="G198" i="47"/>
  <c r="J272" i="47"/>
  <c r="L68" i="47"/>
  <c r="E854" i="47"/>
  <c r="L830" i="47"/>
  <c r="J699" i="47"/>
  <c r="N699" i="47"/>
  <c r="K558" i="47"/>
  <c r="K498" i="47"/>
  <c r="L332" i="47"/>
  <c r="L331" i="47"/>
  <c r="I333" i="47"/>
  <c r="I198" i="47"/>
  <c r="K198" i="47"/>
  <c r="E24" i="47"/>
  <c r="I88" i="47"/>
  <c r="I13" i="47"/>
  <c r="K24" i="47"/>
  <c r="G15" i="47"/>
  <c r="E605" i="47"/>
  <c r="J428" i="47"/>
  <c r="K333" i="47"/>
  <c r="M333" i="47"/>
  <c r="M198" i="47"/>
  <c r="J238" i="47"/>
  <c r="E71" i="47"/>
  <c r="E9" i="47"/>
  <c r="L845" i="47"/>
  <c r="G845" i="47"/>
  <c r="G197" i="47"/>
  <c r="M98" i="47"/>
  <c r="H16" i="47"/>
  <c r="H499" i="47"/>
  <c r="M605" i="47"/>
  <c r="L558" i="47"/>
  <c r="K726" i="47"/>
  <c r="M726" i="47"/>
  <c r="G690" i="47"/>
  <c r="M558" i="47"/>
  <c r="N396" i="47"/>
  <c r="L219" i="47"/>
  <c r="I9" i="47"/>
  <c r="N71" i="47"/>
  <c r="N4" i="47"/>
  <c r="H845" i="47"/>
  <c r="H793" i="47"/>
  <c r="G877" i="47"/>
  <c r="I25" i="47"/>
  <c r="E25" i="47"/>
  <c r="G25" i="47"/>
  <c r="M25" i="47"/>
  <c r="K896" i="47"/>
  <c r="I896" i="47"/>
  <c r="E896" i="47"/>
  <c r="L896" i="47"/>
  <c r="N896" i="47"/>
  <c r="H896" i="47"/>
  <c r="J896" i="47"/>
  <c r="M895" i="47"/>
  <c r="Q895" i="47"/>
  <c r="I895" i="47"/>
  <c r="J895" i="47"/>
  <c r="N895" i="47"/>
  <c r="K895" i="47"/>
  <c r="G895" i="47"/>
  <c r="L895" i="47"/>
  <c r="E895" i="47"/>
  <c r="E894" i="47"/>
  <c r="H894" i="47"/>
  <c r="K894" i="47"/>
  <c r="M894" i="47"/>
  <c r="G894" i="47"/>
  <c r="I894" i="47"/>
  <c r="N894" i="47"/>
  <c r="J894" i="47"/>
  <c r="Q346" i="47"/>
  <c r="Q821" i="47"/>
  <c r="Q719" i="47"/>
  <c r="Q809" i="47"/>
  <c r="Q805" i="47"/>
  <c r="Q49" i="47"/>
  <c r="M164" i="47"/>
  <c r="G164" i="47"/>
  <c r="G889" i="47"/>
  <c r="G744" i="47"/>
  <c r="J744" i="47"/>
  <c r="H682" i="47"/>
  <c r="N304" i="47"/>
  <c r="H304" i="47"/>
  <c r="G304" i="47"/>
  <c r="G285" i="47"/>
  <c r="K186" i="47"/>
  <c r="N280" i="47"/>
  <c r="N172" i="47"/>
  <c r="E178" i="47"/>
  <c r="G153" i="47"/>
  <c r="N23" i="47"/>
  <c r="I53" i="47"/>
  <c r="E285" i="47"/>
  <c r="E280" i="47"/>
  <c r="E90" i="47"/>
  <c r="H153" i="47"/>
  <c r="I111" i="47"/>
  <c r="G47" i="47"/>
  <c r="E153" i="47"/>
  <c r="K164" i="47"/>
  <c r="H889" i="47"/>
  <c r="N393" i="47"/>
  <c r="I682" i="47"/>
  <c r="K637" i="47"/>
  <c r="G414" i="47"/>
  <c r="L400" i="47"/>
  <c r="L340" i="47"/>
  <c r="N263" i="47"/>
  <c r="H276" i="47"/>
  <c r="N111" i="47"/>
  <c r="G98" i="47"/>
  <c r="G45" i="47"/>
  <c r="H35" i="47"/>
  <c r="K23" i="47"/>
  <c r="E655" i="47"/>
  <c r="H596" i="47"/>
  <c r="L313" i="47"/>
  <c r="L285" i="47"/>
  <c r="H285" i="47"/>
  <c r="J186" i="47"/>
  <c r="I172" i="47"/>
  <c r="I276" i="47"/>
  <c r="G94" i="47"/>
  <c r="M111" i="47"/>
  <c r="E45" i="47"/>
  <c r="J101" i="47"/>
  <c r="K35" i="47"/>
  <c r="E608" i="47"/>
  <c r="E186" i="47"/>
  <c r="E287" i="47"/>
  <c r="E263" i="47"/>
  <c r="H316" i="47"/>
  <c r="K276" i="47"/>
  <c r="E111" i="47"/>
  <c r="M153" i="47"/>
  <c r="E817" i="47"/>
  <c r="E101" i="47"/>
  <c r="K546" i="47"/>
  <c r="G556" i="47"/>
  <c r="M285" i="47"/>
  <c r="E392" i="47"/>
  <c r="I287" i="47"/>
  <c r="I263" i="47"/>
  <c r="G244" i="47"/>
  <c r="L276" i="47"/>
  <c r="G101" i="47"/>
  <c r="I47" i="47"/>
  <c r="H176" i="47"/>
  <c r="M90" i="47"/>
  <c r="G801" i="47"/>
  <c r="I655" i="47"/>
  <c r="I549" i="47"/>
  <c r="G513" i="47"/>
  <c r="N400" i="47"/>
  <c r="M340" i="47"/>
  <c r="N287" i="47"/>
  <c r="M264" i="47"/>
  <c r="I156" i="47"/>
  <c r="H244" i="47"/>
  <c r="M276" i="47"/>
  <c r="J176" i="47"/>
  <c r="I45" i="47"/>
  <c r="I90" i="47"/>
  <c r="G96" i="47"/>
  <c r="J35" i="47"/>
  <c r="K244" i="47"/>
  <c r="E244" i="47"/>
  <c r="L887" i="47"/>
  <c r="M546" i="47"/>
  <c r="J316" i="47"/>
  <c r="I164" i="47"/>
  <c r="I244" i="47"/>
  <c r="N276" i="47"/>
  <c r="K176" i="47"/>
  <c r="M101" i="47"/>
  <c r="L546" i="47"/>
  <c r="K414" i="47"/>
  <c r="I340" i="47"/>
  <c r="E340" i="47"/>
  <c r="L316" i="47"/>
  <c r="I176" i="47"/>
  <c r="J244" i="47"/>
  <c r="E276" i="47"/>
  <c r="L176" i="47"/>
  <c r="L59" i="47"/>
  <c r="M234" i="47"/>
  <c r="L889" i="47"/>
  <c r="J889" i="47"/>
  <c r="I763" i="47"/>
  <c r="M682" i="47"/>
  <c r="J513" i="47"/>
  <c r="M430" i="47"/>
  <c r="M304" i="47"/>
  <c r="E96" i="47"/>
  <c r="N101" i="47"/>
  <c r="M176" i="47"/>
  <c r="L47" i="47"/>
  <c r="J23" i="47"/>
  <c r="G682" i="47"/>
  <c r="I556" i="47"/>
  <c r="M513" i="47"/>
  <c r="H414" i="47"/>
  <c r="J304" i="47"/>
  <c r="G280" i="47"/>
  <c r="K94" i="47"/>
  <c r="G172" i="47"/>
  <c r="N176" i="47"/>
  <c r="J96" i="47"/>
  <c r="N47" i="47"/>
  <c r="N313" i="47"/>
  <c r="L45" i="47"/>
  <c r="L101" i="47"/>
  <c r="K744" i="47"/>
  <c r="M744" i="47"/>
  <c r="K285" i="47"/>
  <c r="I285" i="47"/>
  <c r="I35" i="47"/>
  <c r="H172" i="47"/>
  <c r="J178" i="47"/>
  <c r="K108" i="47"/>
  <c r="N638" i="47"/>
  <c r="L244" i="47"/>
  <c r="H164" i="47"/>
  <c r="Q889" i="47"/>
  <c r="M39" i="47"/>
  <c r="M834" i="47"/>
  <c r="E39" i="47"/>
  <c r="G23" i="47"/>
  <c r="H39" i="47"/>
  <c r="K485" i="47"/>
  <c r="K180" i="47"/>
  <c r="G178" i="47"/>
  <c r="H389" i="47"/>
  <c r="E212" i="47"/>
  <c r="G205" i="47"/>
  <c r="E430" i="47"/>
  <c r="M248" i="47"/>
  <c r="J15" i="47"/>
  <c r="N482" i="47"/>
  <c r="N490" i="47"/>
  <c r="L391" i="47"/>
  <c r="G430" i="47"/>
  <c r="H428" i="47"/>
  <c r="I677" i="47"/>
  <c r="M389" i="47"/>
  <c r="J853" i="47"/>
  <c r="M463" i="47"/>
  <c r="M306" i="47"/>
  <c r="M251" i="47"/>
  <c r="H220" i="47"/>
  <c r="Q774" i="47"/>
  <c r="Q8" i="47"/>
  <c r="Q214" i="47"/>
  <c r="Q216" i="47"/>
  <c r="Q296" i="47"/>
  <c r="Q882" i="47"/>
  <c r="Q292" i="47"/>
  <c r="Q217" i="47"/>
  <c r="Q46" i="47"/>
  <c r="Q205" i="47"/>
  <c r="Q837" i="47"/>
  <c r="J389" i="47"/>
  <c r="I316" i="47"/>
  <c r="K739" i="47"/>
  <c r="L334" i="47"/>
  <c r="I246" i="47"/>
  <c r="H128" i="47"/>
  <c r="I871" i="47"/>
  <c r="I779" i="47"/>
  <c r="M581" i="47"/>
  <c r="H714" i="47"/>
  <c r="N810" i="47"/>
  <c r="I335" i="47"/>
  <c r="K88" i="47"/>
  <c r="K775" i="47"/>
  <c r="J580" i="47"/>
  <c r="L560" i="47"/>
  <c r="H869" i="47"/>
  <c r="Q200" i="47"/>
  <c r="Q893" i="47"/>
  <c r="N893" i="47"/>
  <c r="L893" i="47"/>
  <c r="K893" i="47"/>
  <c r="E893" i="47"/>
  <c r="M893" i="47"/>
  <c r="H893" i="47"/>
  <c r="J893" i="47"/>
  <c r="G893" i="47"/>
  <c r="Q269" i="47"/>
  <c r="Q158" i="47"/>
  <c r="Q618" i="47"/>
  <c r="Q817" i="47"/>
  <c r="Q773" i="47"/>
  <c r="Q608" i="47"/>
  <c r="Q306" i="47"/>
  <c r="Q76" i="47"/>
  <c r="M772" i="47"/>
  <c r="N415" i="47"/>
  <c r="L328" i="47"/>
  <c r="I250" i="47"/>
  <c r="H532" i="47"/>
  <c r="I777" i="47"/>
  <c r="J236" i="47"/>
  <c r="M47" i="47"/>
  <c r="G512" i="47"/>
  <c r="Q314" i="47"/>
  <c r="G442" i="47"/>
  <c r="J692" i="47"/>
  <c r="K130" i="47"/>
  <c r="Q892" i="47"/>
  <c r="J677" i="47"/>
  <c r="M543" i="47"/>
  <c r="L355" i="47"/>
  <c r="L248" i="47"/>
  <c r="H168" i="47"/>
  <c r="L292" i="47"/>
  <c r="L188" i="47"/>
  <c r="K695" i="47"/>
  <c r="L448" i="47"/>
  <c r="H741" i="47"/>
  <c r="M159" i="47"/>
  <c r="K741" i="47"/>
  <c r="G887" i="47"/>
  <c r="N628" i="47"/>
  <c r="K795" i="47"/>
  <c r="I580" i="47"/>
  <c r="J866" i="47"/>
  <c r="J285" i="47"/>
  <c r="L388" i="47"/>
  <c r="G546" i="47"/>
  <c r="N889" i="47"/>
  <c r="K700" i="47"/>
  <c r="N283" i="47"/>
  <c r="J289" i="47"/>
  <c r="Q353" i="47"/>
  <c r="Q622" i="47"/>
  <c r="Q801" i="47"/>
  <c r="Q232" i="47"/>
  <c r="E892" i="47"/>
  <c r="M892" i="47"/>
  <c r="L892" i="47"/>
  <c r="K892" i="47"/>
  <c r="I892" i="47"/>
  <c r="H892" i="47"/>
  <c r="G892" i="47"/>
  <c r="N892" i="47"/>
  <c r="M324" i="47"/>
  <c r="J181" i="47"/>
  <c r="M122" i="47"/>
  <c r="N483" i="47"/>
  <c r="E881" i="47"/>
  <c r="I475" i="47"/>
  <c r="M126" i="47"/>
  <c r="L33" i="47"/>
  <c r="N122" i="47"/>
  <c r="K122" i="47"/>
  <c r="M33" i="47"/>
  <c r="I126" i="47"/>
  <c r="L324" i="47"/>
  <c r="M235" i="47"/>
  <c r="E33" i="47"/>
  <c r="Q724" i="47"/>
  <c r="H350" i="47"/>
  <c r="K218" i="47"/>
  <c r="J55" i="47"/>
  <c r="L19" i="47"/>
  <c r="H769" i="47"/>
  <c r="M781" i="47"/>
  <c r="L662" i="47"/>
  <c r="Q628" i="47"/>
  <c r="I553" i="47"/>
  <c r="K324" i="47"/>
  <c r="K272" i="47"/>
  <c r="K135" i="47"/>
  <c r="M72" i="47"/>
  <c r="G313" i="47"/>
  <c r="L883" i="47"/>
  <c r="K753" i="47"/>
  <c r="J577" i="47"/>
  <c r="J455" i="47"/>
  <c r="H170" i="47"/>
  <c r="L272" i="47"/>
  <c r="G110" i="47"/>
  <c r="J170" i="47"/>
  <c r="H103" i="47"/>
  <c r="K44" i="47"/>
  <c r="L126" i="47"/>
  <c r="G662" i="47"/>
  <c r="H553" i="47"/>
  <c r="J708" i="47"/>
  <c r="I741" i="47"/>
  <c r="M639" i="47"/>
  <c r="E696" i="47"/>
  <c r="E553" i="47"/>
  <c r="N475" i="47"/>
  <c r="L442" i="47"/>
  <c r="M414" i="47"/>
  <c r="L273" i="47"/>
  <c r="E300" i="47"/>
  <c r="L350" i="47"/>
  <c r="I252" i="47"/>
  <c r="M272" i="47"/>
  <c r="Q140" i="47"/>
  <c r="J154" i="47"/>
  <c r="K170" i="47"/>
  <c r="I33" i="47"/>
  <c r="K142" i="47"/>
  <c r="N55" i="47"/>
  <c r="H890" i="47"/>
  <c r="L878" i="47"/>
  <c r="I781" i="47"/>
  <c r="J416" i="47"/>
  <c r="O314" i="47"/>
  <c r="G300" i="47"/>
  <c r="M316" i="47"/>
  <c r="N272" i="47"/>
  <c r="M103" i="47"/>
  <c r="I55" i="47"/>
  <c r="H55" i="47"/>
  <c r="L170" i="47"/>
  <c r="L130" i="47"/>
  <c r="K110" i="47"/>
  <c r="E57" i="47"/>
  <c r="N82" i="47"/>
  <c r="L43" i="47"/>
  <c r="K648" i="47"/>
  <c r="M881" i="47"/>
  <c r="L638" i="47"/>
  <c r="N884" i="47"/>
  <c r="E781" i="47"/>
  <c r="K316" i="47"/>
  <c r="G72" i="47"/>
  <c r="M170" i="47"/>
  <c r="M43" i="47"/>
  <c r="G126" i="47"/>
  <c r="J43" i="47"/>
  <c r="I515" i="47"/>
  <c r="E324" i="47"/>
  <c r="N170" i="47"/>
  <c r="J122" i="47"/>
  <c r="I72" i="47"/>
  <c r="N43" i="47"/>
  <c r="K117" i="47"/>
  <c r="E126" i="47"/>
  <c r="J29" i="47"/>
  <c r="Q891" i="47"/>
  <c r="K662" i="47"/>
  <c r="H781" i="47"/>
  <c r="I708" i="47"/>
  <c r="L553" i="47"/>
  <c r="G475" i="47"/>
  <c r="N493" i="47"/>
  <c r="M442" i="47"/>
  <c r="H442" i="47"/>
  <c r="I310" i="47"/>
  <c r="H300" i="47"/>
  <c r="G324" i="47"/>
  <c r="H126" i="47"/>
  <c r="L110" i="47"/>
  <c r="E170" i="47"/>
  <c r="N52" i="47"/>
  <c r="E43" i="47"/>
  <c r="L483" i="47"/>
  <c r="G450" i="47"/>
  <c r="J33" i="47"/>
  <c r="M884" i="47"/>
  <c r="J781" i="47"/>
  <c r="Q735" i="47"/>
  <c r="K699" i="47"/>
  <c r="K638" i="47"/>
  <c r="H558" i="47"/>
  <c r="J324" i="47"/>
  <c r="H324" i="47"/>
  <c r="J82" i="47"/>
  <c r="I57" i="47"/>
  <c r="H43" i="47"/>
  <c r="L310" i="47"/>
  <c r="J881" i="47"/>
  <c r="G781" i="47"/>
  <c r="J553" i="47"/>
  <c r="G553" i="47"/>
  <c r="I860" i="47"/>
  <c r="N577" i="47"/>
  <c r="H475" i="47"/>
  <c r="J252" i="47"/>
  <c r="E316" i="47"/>
  <c r="I324" i="47"/>
  <c r="M117" i="47"/>
  <c r="G57" i="47"/>
  <c r="G33" i="47"/>
  <c r="G43" i="47"/>
  <c r="K43" i="47"/>
  <c r="K310" i="47"/>
  <c r="I442" i="47"/>
  <c r="G890" i="47"/>
  <c r="H881" i="47"/>
  <c r="I350" i="47"/>
  <c r="N888" i="47"/>
  <c r="Q758" i="47"/>
  <c r="L696" i="47"/>
  <c r="L40" i="47"/>
  <c r="K436" i="47"/>
  <c r="J442" i="47"/>
  <c r="Q571" i="47"/>
  <c r="E885" i="47"/>
  <c r="E890" i="47"/>
  <c r="G881" i="47"/>
  <c r="M580" i="47"/>
  <c r="N350" i="47"/>
  <c r="G122" i="47"/>
  <c r="L72" i="47"/>
  <c r="I313" i="47"/>
  <c r="G310" i="47"/>
  <c r="H885" i="47"/>
  <c r="K881" i="47"/>
  <c r="Q888" i="47"/>
  <c r="Q497" i="47"/>
  <c r="Q41" i="47"/>
  <c r="H891" i="47"/>
  <c r="I891" i="47"/>
  <c r="K891" i="47"/>
  <c r="M891" i="47"/>
  <c r="L891" i="47"/>
  <c r="N891" i="47"/>
  <c r="J891" i="47"/>
  <c r="E891" i="47"/>
  <c r="Q883" i="47"/>
  <c r="Q806" i="47"/>
  <c r="Q890" i="47"/>
  <c r="J156" i="47"/>
  <c r="Q674" i="47"/>
  <c r="L354" i="47"/>
  <c r="I334" i="47"/>
  <c r="M701" i="47"/>
  <c r="J334" i="47"/>
  <c r="K78" i="47"/>
  <c r="J698" i="47"/>
  <c r="I181" i="47"/>
  <c r="E884" i="47"/>
  <c r="L840" i="47"/>
  <c r="J729" i="47"/>
  <c r="K476" i="47"/>
  <c r="M377" i="47"/>
  <c r="H261" i="47"/>
  <c r="G257" i="47"/>
  <c r="G132" i="47"/>
  <c r="K890" i="47"/>
  <c r="N890" i="47"/>
  <c r="K431" i="47"/>
  <c r="K40" i="47"/>
  <c r="L44" i="47"/>
  <c r="J799" i="47"/>
  <c r="M889" i="47"/>
  <c r="I885" i="47"/>
  <c r="K889" i="47"/>
  <c r="L867" i="47"/>
  <c r="H887" i="47"/>
  <c r="N883" i="47"/>
  <c r="I631" i="47"/>
  <c r="K492" i="47"/>
  <c r="H203" i="47"/>
  <c r="N159" i="47"/>
  <c r="N126" i="47"/>
  <c r="I887" i="47"/>
  <c r="J439" i="47"/>
  <c r="M52" i="47"/>
  <c r="M411" i="47"/>
  <c r="H132" i="47"/>
  <c r="E889" i="47"/>
  <c r="G888" i="47"/>
  <c r="L689" i="47"/>
  <c r="I290" i="47"/>
  <c r="K56" i="47"/>
  <c r="K538" i="47"/>
  <c r="J136" i="47"/>
  <c r="Q887" i="47"/>
  <c r="L484" i="47"/>
  <c r="M397" i="47"/>
  <c r="M350" i="47"/>
  <c r="Q36" i="47"/>
  <c r="L153" i="47"/>
  <c r="I653" i="47"/>
  <c r="Q885" i="47"/>
  <c r="M885" i="47"/>
  <c r="K222" i="47"/>
  <c r="E887" i="47"/>
  <c r="N397" i="47"/>
  <c r="L56" i="47"/>
  <c r="Q886" i="47"/>
  <c r="J887" i="47"/>
  <c r="L884" i="47"/>
  <c r="K484" i="47"/>
  <c r="Q28" i="47"/>
  <c r="N321" i="47"/>
  <c r="I799" i="47"/>
  <c r="M783" i="47"/>
  <c r="I547" i="47"/>
  <c r="L390" i="47"/>
  <c r="L361" i="47"/>
  <c r="L78" i="47"/>
  <c r="N422" i="47"/>
  <c r="I877" i="47"/>
  <c r="K559" i="47"/>
  <c r="K327" i="47"/>
  <c r="Q884" i="47"/>
  <c r="Q875" i="47"/>
  <c r="Q253" i="47"/>
  <c r="Q850" i="47"/>
  <c r="Q636" i="47"/>
  <c r="M888" i="47"/>
  <c r="H888" i="47"/>
  <c r="I888" i="47"/>
  <c r="H884" i="47"/>
  <c r="G884" i="47"/>
  <c r="N886" i="47"/>
  <c r="H886" i="47"/>
  <c r="N887" i="47"/>
  <c r="E888" i="47"/>
  <c r="J885" i="47"/>
  <c r="K884" i="47"/>
  <c r="J884" i="47"/>
  <c r="M887" i="47"/>
  <c r="J888" i="47"/>
  <c r="K888" i="47"/>
  <c r="K887" i="47"/>
  <c r="K886" i="47"/>
  <c r="K885" i="47"/>
  <c r="G885" i="47"/>
  <c r="N885" i="47"/>
  <c r="L888" i="47"/>
  <c r="M547" i="47"/>
  <c r="J694" i="47"/>
  <c r="M770" i="47"/>
  <c r="I818" i="47"/>
  <c r="I729" i="47"/>
  <c r="M577" i="47"/>
  <c r="M349" i="47"/>
  <c r="L302" i="47"/>
  <c r="H254" i="47"/>
  <c r="H96" i="47"/>
  <c r="L750" i="47"/>
  <c r="G316" i="47"/>
  <c r="E252" i="47"/>
  <c r="I775" i="47"/>
  <c r="M741" i="47"/>
  <c r="I521" i="47"/>
  <c r="M444" i="47"/>
  <c r="G421" i="47"/>
  <c r="K192" i="47"/>
  <c r="N120" i="47"/>
  <c r="J638" i="47"/>
  <c r="K133" i="47"/>
  <c r="M133" i="47"/>
  <c r="J133" i="47"/>
  <c r="G571" i="47"/>
  <c r="L747" i="47"/>
  <c r="K791" i="47"/>
  <c r="G201" i="47"/>
  <c r="I571" i="47"/>
  <c r="H872" i="47"/>
  <c r="L192" i="47"/>
  <c r="E120" i="47"/>
  <c r="I99" i="47"/>
  <c r="E867" i="47"/>
  <c r="K642" i="47"/>
  <c r="I192" i="47"/>
  <c r="M801" i="47"/>
  <c r="E571" i="47"/>
  <c r="M152" i="47"/>
  <c r="L389" i="47"/>
  <c r="L532" i="47"/>
  <c r="I565" i="47"/>
  <c r="M877" i="47"/>
  <c r="K408" i="47"/>
  <c r="K685" i="47"/>
  <c r="M696" i="47"/>
  <c r="J199" i="47"/>
  <c r="I96" i="47"/>
  <c r="K805" i="47"/>
  <c r="M80" i="47"/>
  <c r="N147" i="47"/>
  <c r="K750" i="47"/>
  <c r="E877" i="47"/>
  <c r="Q881" i="47"/>
  <c r="L644" i="47"/>
  <c r="J775" i="47"/>
  <c r="I539" i="47"/>
  <c r="J678" i="47"/>
  <c r="N635" i="47"/>
  <c r="K372" i="47"/>
  <c r="N133" i="47"/>
  <c r="H68" i="47"/>
  <c r="L882" i="47"/>
  <c r="J456" i="47"/>
  <c r="Q425" i="47"/>
  <c r="I278" i="47"/>
  <c r="J85" i="47"/>
  <c r="I723" i="47"/>
  <c r="Q880" i="47"/>
  <c r="L29" i="47"/>
  <c r="M571" i="47"/>
  <c r="N881" i="47"/>
  <c r="L881" i="47"/>
  <c r="Q878" i="47"/>
  <c r="K883" i="47"/>
  <c r="H883" i="47"/>
  <c r="I883" i="47"/>
  <c r="G883" i="47"/>
  <c r="J883" i="47"/>
  <c r="M883" i="47"/>
  <c r="Q328" i="47"/>
  <c r="Q404" i="47"/>
  <c r="K882" i="47"/>
  <c r="H882" i="47"/>
  <c r="G882" i="47"/>
  <c r="E882" i="47"/>
  <c r="I882" i="47"/>
  <c r="Q762" i="47"/>
  <c r="O819" i="47"/>
  <c r="Q712" i="47"/>
  <c r="Q309" i="47"/>
  <c r="Q785" i="47"/>
  <c r="Q190" i="47"/>
  <c r="Q661" i="47"/>
  <c r="Q592" i="47"/>
  <c r="Q612" i="47"/>
  <c r="Q683" i="47"/>
  <c r="Q660" i="47"/>
  <c r="Q297" i="47"/>
  <c r="Q530" i="47"/>
  <c r="Q226" i="47"/>
  <c r="Q614" i="47"/>
  <c r="Q662" i="47"/>
  <c r="Q536" i="47"/>
  <c r="Q221" i="47"/>
  <c r="Q45" i="47"/>
  <c r="O19" i="47"/>
  <c r="Q748" i="47"/>
  <c r="Q280" i="47"/>
  <c r="Q300" i="47"/>
  <c r="Q83" i="47"/>
  <c r="H880" i="47"/>
  <c r="M880" i="47"/>
  <c r="E880" i="47"/>
  <c r="G880" i="47"/>
  <c r="N880" i="47"/>
  <c r="L880" i="47"/>
  <c r="K880" i="47"/>
  <c r="J880" i="47"/>
  <c r="K448" i="47"/>
  <c r="H440" i="47"/>
  <c r="J365" i="47"/>
  <c r="I243" i="47"/>
  <c r="H131" i="47"/>
  <c r="L74" i="47"/>
  <c r="K149" i="47"/>
  <c r="Q879" i="47"/>
  <c r="H90" i="47"/>
  <c r="N428" i="47"/>
  <c r="N125" i="47"/>
  <c r="N530" i="47"/>
  <c r="E869" i="47"/>
  <c r="K799" i="47"/>
  <c r="M394" i="47"/>
  <c r="G377" i="47"/>
  <c r="H262" i="47"/>
  <c r="L805" i="47"/>
  <c r="J295" i="47"/>
  <c r="J405" i="47"/>
  <c r="H377" i="47"/>
  <c r="I118" i="47"/>
  <c r="G82" i="47"/>
  <c r="H710" i="47"/>
  <c r="G69" i="47"/>
  <c r="H867" i="47"/>
  <c r="H851" i="47"/>
  <c r="M538" i="47"/>
  <c r="I254" i="47"/>
  <c r="K113" i="47"/>
  <c r="I332" i="47"/>
  <c r="K107" i="47"/>
  <c r="Q392" i="47"/>
  <c r="H698" i="47"/>
  <c r="G417" i="47"/>
  <c r="N318" i="47"/>
  <c r="K264" i="47"/>
  <c r="Q75" i="47"/>
  <c r="G160" i="47"/>
  <c r="N463" i="47"/>
  <c r="L799" i="47"/>
  <c r="I690" i="47"/>
  <c r="M794" i="47"/>
  <c r="J690" i="47"/>
  <c r="M631" i="47"/>
  <c r="K513" i="47"/>
  <c r="I422" i="47"/>
  <c r="M438" i="47"/>
  <c r="H286" i="47"/>
  <c r="G195" i="47"/>
  <c r="J128" i="47"/>
  <c r="N114" i="47"/>
  <c r="L164" i="47"/>
  <c r="G569" i="47"/>
  <c r="N368" i="47"/>
  <c r="H69" i="47"/>
  <c r="K315" i="47"/>
  <c r="L129" i="47"/>
  <c r="H122" i="47"/>
  <c r="E809" i="47"/>
  <c r="N234" i="47"/>
  <c r="L220" i="47"/>
  <c r="N487" i="47"/>
  <c r="N872" i="47"/>
  <c r="J758" i="47"/>
  <c r="J287" i="47"/>
  <c r="L113" i="47"/>
  <c r="G97" i="47"/>
  <c r="L154" i="47"/>
  <c r="I562" i="47"/>
  <c r="Q876" i="47"/>
  <c r="J814" i="47"/>
  <c r="G867" i="47"/>
  <c r="G732" i="47"/>
  <c r="H550" i="47"/>
  <c r="G559" i="47"/>
  <c r="J420" i="47"/>
  <c r="L387" i="47"/>
  <c r="I295" i="47"/>
  <c r="H110" i="47"/>
  <c r="E160" i="47"/>
  <c r="M536" i="47"/>
  <c r="L828" i="47"/>
  <c r="I420" i="47"/>
  <c r="I879" i="47"/>
  <c r="J879" i="47"/>
  <c r="L879" i="47"/>
  <c r="H879" i="47"/>
  <c r="G879" i="47"/>
  <c r="E879" i="47"/>
  <c r="N879" i="47"/>
  <c r="M879" i="47"/>
  <c r="I878" i="47"/>
  <c r="H878" i="47"/>
  <c r="M878" i="47"/>
  <c r="K878" i="47"/>
  <c r="G878" i="47"/>
  <c r="J878" i="47"/>
  <c r="N878" i="47"/>
  <c r="E878" i="47"/>
  <c r="O571" i="47"/>
  <c r="O674" i="47"/>
  <c r="Q598" i="47"/>
  <c r="Q169" i="47"/>
  <c r="Q161" i="47"/>
  <c r="Q844" i="47"/>
  <c r="Q101" i="47"/>
  <c r="Q841" i="47"/>
  <c r="Q21" i="47"/>
  <c r="Q337" i="47"/>
  <c r="Q761" i="47"/>
  <c r="N877" i="47"/>
  <c r="H877" i="47"/>
  <c r="J877" i="47"/>
  <c r="I876" i="47"/>
  <c r="G876" i="47"/>
  <c r="H876" i="47"/>
  <c r="E876" i="47"/>
  <c r="K876" i="47"/>
  <c r="J876" i="47"/>
  <c r="M876" i="47"/>
  <c r="N876" i="47"/>
  <c r="L876" i="47"/>
  <c r="Q606" i="47"/>
  <c r="Q678" i="47"/>
  <c r="Q528" i="47"/>
  <c r="Q849" i="47"/>
  <c r="Q789" i="47"/>
  <c r="Q184" i="47"/>
  <c r="Q679" i="47"/>
  <c r="Q285" i="47"/>
  <c r="Q11" i="47"/>
  <c r="Q213" i="47"/>
  <c r="Q293" i="47"/>
  <c r="Q869" i="47"/>
  <c r="Q871" i="47"/>
  <c r="K875" i="47"/>
  <c r="H875" i="47"/>
  <c r="J875" i="47"/>
  <c r="L875" i="47"/>
  <c r="M875" i="47"/>
  <c r="G875" i="47"/>
  <c r="E875" i="47"/>
  <c r="N875" i="47"/>
  <c r="K867" i="47"/>
  <c r="M867" i="47"/>
  <c r="N867" i="47"/>
  <c r="J867" i="47"/>
  <c r="I867" i="47"/>
  <c r="Q867" i="47"/>
  <c r="K823" i="47"/>
  <c r="M733" i="47"/>
  <c r="M352" i="47"/>
  <c r="H111" i="47"/>
  <c r="L247" i="47"/>
  <c r="N733" i="47"/>
  <c r="I551" i="47"/>
  <c r="H393" i="47"/>
  <c r="Q117" i="47"/>
  <c r="J784" i="47"/>
  <c r="K772" i="47"/>
  <c r="I795" i="47"/>
  <c r="H280" i="47"/>
  <c r="G710" i="47"/>
  <c r="G619" i="47"/>
  <c r="N837" i="47"/>
  <c r="H399" i="47"/>
  <c r="K801" i="47"/>
  <c r="J852" i="47"/>
  <c r="L801" i="47"/>
  <c r="J834" i="47"/>
  <c r="K759" i="47"/>
  <c r="J651" i="47"/>
  <c r="H530" i="47"/>
  <c r="K239" i="47"/>
  <c r="M146" i="47"/>
  <c r="H264" i="47"/>
  <c r="J848" i="47"/>
  <c r="I848" i="47"/>
  <c r="J686" i="47"/>
  <c r="I696" i="47"/>
  <c r="G776" i="47"/>
  <c r="I852" i="47"/>
  <c r="L635" i="47"/>
  <c r="J696" i="47"/>
  <c r="G865" i="47"/>
  <c r="M871" i="47"/>
  <c r="K871" i="47"/>
  <c r="J767" i="47"/>
  <c r="M714" i="47"/>
  <c r="Q872" i="47"/>
  <c r="Q451" i="47"/>
  <c r="Q182" i="47"/>
  <c r="J874" i="47"/>
  <c r="G874" i="47"/>
  <c r="M874" i="47"/>
  <c r="L874" i="47"/>
  <c r="K874" i="47"/>
  <c r="I874" i="47"/>
  <c r="N874" i="47"/>
  <c r="H874" i="47"/>
  <c r="Q341" i="47"/>
  <c r="Q118" i="47"/>
  <c r="Q511" i="47"/>
  <c r="Q35" i="47"/>
  <c r="O669" i="47"/>
  <c r="Q764" i="47"/>
  <c r="Q33" i="47"/>
  <c r="Q563" i="47"/>
  <c r="Q458" i="47"/>
  <c r="Q864" i="47"/>
  <c r="Q845" i="47"/>
  <c r="Q54" i="47"/>
  <c r="I873" i="47"/>
  <c r="H873" i="47"/>
  <c r="E873" i="47"/>
  <c r="N873" i="47"/>
  <c r="L873" i="47"/>
  <c r="K873" i="47"/>
  <c r="J873" i="47"/>
  <c r="M873" i="47"/>
  <c r="G873" i="47"/>
  <c r="Q714" i="47"/>
  <c r="Q284" i="47"/>
  <c r="Q708" i="47"/>
  <c r="Q548" i="47"/>
  <c r="Q53" i="47"/>
  <c r="Q549" i="47"/>
  <c r="N871" i="47"/>
  <c r="J871" i="47"/>
  <c r="H871" i="47"/>
  <c r="L871" i="47"/>
  <c r="G871" i="47"/>
  <c r="E871" i="47"/>
  <c r="Q252" i="47"/>
  <c r="Q164" i="47"/>
  <c r="Q27" i="47"/>
  <c r="Q208" i="47"/>
  <c r="Q321" i="47"/>
  <c r="Q863" i="47"/>
  <c r="Q740" i="47"/>
  <c r="Q209" i="47"/>
  <c r="Q870" i="47"/>
  <c r="Q115" i="47"/>
  <c r="Q256" i="47"/>
  <c r="Q576" i="47"/>
  <c r="M231" i="47"/>
  <c r="H507" i="47"/>
  <c r="N377" i="47"/>
  <c r="E58" i="47"/>
  <c r="N758" i="47"/>
  <c r="G65" i="47"/>
  <c r="L739" i="47"/>
  <c r="G547" i="47"/>
  <c r="I466" i="47"/>
  <c r="M379" i="47"/>
  <c r="H214" i="47"/>
  <c r="K59" i="47"/>
  <c r="N110" i="47"/>
  <c r="N626" i="47"/>
  <c r="I265" i="47"/>
  <c r="G129" i="47"/>
  <c r="M268" i="47"/>
  <c r="I94" i="47"/>
  <c r="J28" i="47"/>
  <c r="G48" i="47"/>
  <c r="K154" i="47"/>
  <c r="G750" i="47"/>
  <c r="H448" i="47"/>
  <c r="L346" i="47"/>
  <c r="G74" i="47"/>
  <c r="K601" i="47"/>
  <c r="I98" i="47"/>
  <c r="N702" i="47"/>
  <c r="H271" i="47"/>
  <c r="G273" i="47"/>
  <c r="I56" i="47"/>
  <c r="Q26" i="47"/>
  <c r="K736" i="47"/>
  <c r="J748" i="47"/>
  <c r="M610" i="47"/>
  <c r="K694" i="47"/>
  <c r="H273" i="47"/>
  <c r="I64" i="47"/>
  <c r="G812" i="47"/>
  <c r="I621" i="47"/>
  <c r="I273" i="47"/>
  <c r="L125" i="47"/>
  <c r="N94" i="47"/>
  <c r="M125" i="47"/>
  <c r="M690" i="47"/>
  <c r="I748" i="47"/>
  <c r="H733" i="47"/>
  <c r="Q421" i="47"/>
  <c r="K151" i="47"/>
  <c r="I125" i="47"/>
  <c r="H313" i="47"/>
  <c r="G297" i="47"/>
  <c r="L39" i="47"/>
  <c r="L487" i="47"/>
  <c r="L555" i="47"/>
  <c r="G420" i="47"/>
  <c r="J286" i="47"/>
  <c r="I74" i="47"/>
  <c r="G68" i="47"/>
  <c r="L797" i="47"/>
  <c r="J64" i="47"/>
  <c r="M759" i="47"/>
  <c r="N115" i="47"/>
  <c r="L775" i="47"/>
  <c r="N484" i="47"/>
  <c r="G44" i="47"/>
  <c r="H78" i="47"/>
  <c r="G870" i="47"/>
  <c r="H870" i="47"/>
  <c r="I870" i="47"/>
  <c r="J870" i="47"/>
  <c r="N870" i="47"/>
  <c r="K870" i="47"/>
  <c r="L870" i="47"/>
  <c r="M870" i="47"/>
  <c r="Q317" i="47"/>
  <c r="Q31" i="47"/>
  <c r="Q197" i="47"/>
  <c r="Q189" i="47"/>
  <c r="Q202" i="47"/>
  <c r="Q377" i="47"/>
  <c r="Q301" i="47"/>
  <c r="Q178" i="47"/>
  <c r="Q350" i="47"/>
  <c r="O51" i="47"/>
  <c r="Q359" i="47"/>
  <c r="Q170" i="47"/>
  <c r="Q277" i="47"/>
  <c r="Q264" i="47"/>
  <c r="O72" i="47"/>
  <c r="I869" i="47"/>
  <c r="G869" i="47"/>
  <c r="N869" i="47"/>
  <c r="M869" i="47"/>
  <c r="L869" i="47"/>
  <c r="J869" i="47"/>
  <c r="K869" i="47"/>
  <c r="Q110" i="47"/>
  <c r="Q131" i="47"/>
  <c r="Q74" i="47"/>
  <c r="Q40" i="47"/>
  <c r="Q126" i="47"/>
  <c r="H856" i="47"/>
  <c r="I739" i="47"/>
  <c r="L702" i="47"/>
  <c r="J681" i="47"/>
  <c r="H538" i="47"/>
  <c r="Q89" i="47"/>
  <c r="H86" i="47"/>
  <c r="J84" i="47"/>
  <c r="I28" i="47"/>
  <c r="H48" i="47"/>
  <c r="I567" i="47"/>
  <c r="E530" i="47"/>
  <c r="M530" i="47"/>
  <c r="N198" i="47"/>
  <c r="L848" i="47"/>
  <c r="M786" i="47"/>
  <c r="I542" i="47"/>
  <c r="H420" i="47"/>
  <c r="K734" i="47"/>
  <c r="J833" i="47"/>
  <c r="H33" i="47"/>
  <c r="K475" i="47"/>
  <c r="I363" i="47"/>
  <c r="K411" i="47"/>
  <c r="J451" i="47"/>
  <c r="N244" i="47"/>
  <c r="Q418" i="47"/>
  <c r="N389" i="47"/>
  <c r="H130" i="47"/>
  <c r="I52" i="47"/>
  <c r="G585" i="47"/>
  <c r="K334" i="47"/>
  <c r="H101" i="47"/>
  <c r="G332" i="47"/>
  <c r="G264" i="47"/>
  <c r="K529" i="47"/>
  <c r="H426" i="47"/>
  <c r="M396" i="47"/>
  <c r="H775" i="47"/>
  <c r="J772" i="47"/>
  <c r="I803" i="47"/>
  <c r="J691" i="47"/>
  <c r="L580" i="47"/>
  <c r="G508" i="47"/>
  <c r="K427" i="47"/>
  <c r="G644" i="47"/>
  <c r="G32" i="47"/>
  <c r="I168" i="47"/>
  <c r="N124" i="47"/>
  <c r="L814" i="47"/>
  <c r="Q80" i="47"/>
  <c r="G271" i="47"/>
  <c r="N249" i="47"/>
  <c r="E50" i="47"/>
  <c r="J56" i="47"/>
  <c r="I84" i="47"/>
  <c r="M196" i="47"/>
  <c r="N317" i="47"/>
  <c r="K33" i="47"/>
  <c r="Q416" i="47"/>
  <c r="Q865" i="47"/>
  <c r="K55" i="47"/>
  <c r="K580" i="47"/>
  <c r="G844" i="47"/>
  <c r="M771" i="47"/>
  <c r="K768" i="47"/>
  <c r="N725" i="47"/>
  <c r="I386" i="47"/>
  <c r="L287" i="47"/>
  <c r="K163" i="47"/>
  <c r="H32" i="47"/>
  <c r="M485" i="47"/>
  <c r="G799" i="47"/>
  <c r="N831" i="47"/>
  <c r="N405" i="47"/>
  <c r="M408" i="47"/>
  <c r="J52" i="47"/>
  <c r="H44" i="47"/>
  <c r="K247" i="47"/>
  <c r="I69" i="47"/>
  <c r="J587" i="47"/>
  <c r="Q48" i="47"/>
  <c r="M664" i="47"/>
  <c r="L673" i="47"/>
  <c r="Q240" i="47"/>
  <c r="L411" i="47"/>
  <c r="Q333" i="47"/>
  <c r="Q799" i="47"/>
  <c r="H82" i="47"/>
  <c r="G120" i="47"/>
  <c r="Q85" i="47"/>
  <c r="J739" i="47"/>
  <c r="H731" i="47"/>
  <c r="N123" i="47"/>
  <c r="J13" i="47"/>
  <c r="J134" i="47"/>
  <c r="Q61" i="47"/>
  <c r="L692" i="47"/>
  <c r="H750" i="47"/>
  <c r="G723" i="47"/>
  <c r="G397" i="47"/>
  <c r="N336" i="47"/>
  <c r="J662" i="47"/>
  <c r="G24" i="47"/>
  <c r="G863" i="47"/>
  <c r="G536" i="47"/>
  <c r="J647" i="47"/>
  <c r="N610" i="47"/>
  <c r="G530" i="47"/>
  <c r="Q59" i="47"/>
  <c r="Q327" i="47"/>
  <c r="K554" i="47"/>
  <c r="J430" i="47"/>
  <c r="G78" i="47"/>
  <c r="J69" i="47"/>
  <c r="Q651" i="47"/>
  <c r="Q128" i="47"/>
  <c r="G864" i="47"/>
  <c r="Q157" i="47"/>
  <c r="Q868" i="47"/>
  <c r="Q471" i="47"/>
  <c r="Q557" i="47"/>
  <c r="Q467" i="47"/>
  <c r="Q644" i="47"/>
  <c r="Q656" i="47"/>
  <c r="Q438" i="47"/>
  <c r="O240" i="47"/>
  <c r="Q396" i="47"/>
  <c r="Q447" i="47"/>
  <c r="Q244" i="47"/>
  <c r="Q265" i="47"/>
  <c r="Q234" i="47"/>
  <c r="O799" i="47"/>
  <c r="Q57" i="47"/>
  <c r="O333" i="47"/>
  <c r="Q604" i="47"/>
  <c r="Q642" i="47"/>
  <c r="O117" i="47"/>
  <c r="Q862" i="47"/>
  <c r="Q835" i="47"/>
  <c r="L868" i="47"/>
  <c r="I868" i="47"/>
  <c r="M868" i="47"/>
  <c r="K868" i="47"/>
  <c r="N868" i="47"/>
  <c r="H868" i="47"/>
  <c r="J868" i="47"/>
  <c r="G868" i="47"/>
  <c r="H476" i="47"/>
  <c r="K387" i="47"/>
  <c r="E387" i="47"/>
  <c r="J205" i="47"/>
  <c r="G664" i="47"/>
  <c r="G699" i="47"/>
  <c r="J844" i="47"/>
  <c r="J747" i="47"/>
  <c r="L562" i="47"/>
  <c r="L550" i="47"/>
  <c r="K470" i="47"/>
  <c r="I361" i="47"/>
  <c r="G165" i="47"/>
  <c r="J210" i="47"/>
  <c r="Q177" i="47"/>
  <c r="J575" i="47"/>
  <c r="N538" i="47"/>
  <c r="J840" i="47"/>
  <c r="M736" i="47"/>
  <c r="M750" i="47"/>
  <c r="H691" i="47"/>
  <c r="G255" i="47"/>
  <c r="L274" i="47"/>
  <c r="N642" i="47"/>
  <c r="L462" i="47"/>
  <c r="K238" i="47"/>
  <c r="G729" i="47"/>
  <c r="N502" i="47"/>
  <c r="E502" i="47"/>
  <c r="I397" i="47"/>
  <c r="H270" i="47"/>
  <c r="I759" i="47"/>
  <c r="M723" i="47"/>
  <c r="L335" i="47"/>
  <c r="K692" i="47"/>
  <c r="I414" i="47"/>
  <c r="N334" i="47"/>
  <c r="K29" i="47"/>
  <c r="J801" i="47"/>
  <c r="H585" i="47"/>
  <c r="Q339" i="47"/>
  <c r="G66" i="47"/>
  <c r="Q7" i="47"/>
  <c r="H729" i="47"/>
  <c r="K543" i="47"/>
  <c r="M484" i="47"/>
  <c r="H514" i="47"/>
  <c r="J384" i="47"/>
  <c r="J385" i="47"/>
  <c r="H358" i="47"/>
  <c r="G35" i="47"/>
  <c r="J617" i="47"/>
  <c r="K384" i="47"/>
  <c r="N395" i="47"/>
  <c r="I387" i="47"/>
  <c r="H181" i="47"/>
  <c r="H137" i="47"/>
  <c r="G790" i="47"/>
  <c r="M533" i="47"/>
  <c r="H546" i="47"/>
  <c r="N420" i="47"/>
  <c r="E346" i="47"/>
  <c r="M302" i="47"/>
  <c r="I109" i="47"/>
  <c r="M295" i="47"/>
  <c r="Q340" i="47"/>
  <c r="N686" i="47"/>
  <c r="H649" i="47"/>
  <c r="N592" i="47"/>
  <c r="N459" i="47"/>
  <c r="N352" i="47"/>
  <c r="E421" i="47"/>
  <c r="I116" i="47"/>
  <c r="M291" i="47"/>
  <c r="L159" i="47"/>
  <c r="J310" i="47"/>
  <c r="I863" i="47"/>
  <c r="N866" i="47"/>
  <c r="J787" i="47"/>
  <c r="K352" i="47"/>
  <c r="J387" i="47"/>
  <c r="K356" i="47"/>
  <c r="H81" i="47"/>
  <c r="G673" i="47"/>
  <c r="H171" i="47"/>
  <c r="G125" i="47"/>
  <c r="M53" i="47"/>
  <c r="K53" i="47"/>
  <c r="K631" i="47"/>
  <c r="N863" i="47"/>
  <c r="K515" i="47"/>
  <c r="I409" i="47"/>
  <c r="I346" i="47"/>
  <c r="Q185" i="47"/>
  <c r="J109" i="47"/>
  <c r="J153" i="47"/>
  <c r="H748" i="47"/>
  <c r="L97" i="47"/>
  <c r="L680" i="47"/>
  <c r="K261" i="47"/>
  <c r="L863" i="47"/>
  <c r="M483" i="47"/>
  <c r="G326" i="47"/>
  <c r="K863" i="47"/>
  <c r="Q866" i="47"/>
  <c r="G613" i="47"/>
  <c r="N406" i="47"/>
  <c r="L177" i="47"/>
  <c r="Q827" i="47"/>
  <c r="N785" i="47"/>
  <c r="J673" i="47"/>
  <c r="I448" i="47"/>
  <c r="G554" i="47"/>
  <c r="G535" i="47"/>
  <c r="Q597" i="47"/>
  <c r="I416" i="47"/>
  <c r="L817" i="47"/>
  <c r="G703" i="47"/>
  <c r="M832" i="47"/>
  <c r="I776" i="47"/>
  <c r="Q635" i="47"/>
  <c r="G502" i="47"/>
  <c r="K461" i="47"/>
  <c r="L423" i="47"/>
  <c r="J448" i="47"/>
  <c r="G374" i="47"/>
  <c r="H406" i="47"/>
  <c r="J89" i="47"/>
  <c r="J173" i="47"/>
  <c r="Q66" i="47"/>
  <c r="K68" i="47"/>
  <c r="N310" i="47"/>
  <c r="Q860" i="47"/>
  <c r="K466" i="47"/>
  <c r="K286" i="47"/>
  <c r="Q415" i="47"/>
  <c r="E776" i="47"/>
  <c r="M749" i="47"/>
  <c r="L676" i="47"/>
  <c r="I470" i="47"/>
  <c r="K403" i="47"/>
  <c r="K302" i="47"/>
  <c r="E302" i="47"/>
  <c r="K271" i="47"/>
  <c r="K105" i="47"/>
  <c r="N230" i="47"/>
  <c r="E660" i="47"/>
  <c r="Q695" i="47"/>
  <c r="L762" i="47"/>
  <c r="J715" i="47"/>
  <c r="G586" i="47"/>
  <c r="M470" i="47"/>
  <c r="H501" i="47"/>
  <c r="K486" i="47"/>
  <c r="L271" i="47"/>
  <c r="L111" i="47"/>
  <c r="J759" i="47"/>
  <c r="G748" i="47"/>
  <c r="I196" i="47"/>
  <c r="J776" i="47"/>
  <c r="K771" i="47"/>
  <c r="G779" i="47"/>
  <c r="N723" i="47"/>
  <c r="G642" i="47"/>
  <c r="H545" i="47"/>
  <c r="G455" i="47"/>
  <c r="J391" i="47"/>
  <c r="G95" i="47"/>
  <c r="M136" i="47"/>
  <c r="E707" i="47"/>
  <c r="M434" i="47"/>
  <c r="H865" i="47"/>
  <c r="I513" i="47"/>
  <c r="H371" i="47"/>
  <c r="H29" i="47"/>
  <c r="Q81" i="47"/>
  <c r="N622" i="47"/>
  <c r="Q780" i="47"/>
  <c r="N698" i="47"/>
  <c r="I526" i="47"/>
  <c r="M432" i="47"/>
  <c r="H249" i="47"/>
  <c r="L136" i="47"/>
  <c r="I502" i="47"/>
  <c r="K346" i="47"/>
  <c r="J211" i="47"/>
  <c r="K159" i="47"/>
  <c r="M507" i="47"/>
  <c r="K595" i="47"/>
  <c r="E742" i="47"/>
  <c r="E865" i="47"/>
  <c r="Q427" i="47"/>
  <c r="H866" i="47"/>
  <c r="G866" i="47"/>
  <c r="K866" i="47"/>
  <c r="I866" i="47"/>
  <c r="E866" i="47"/>
  <c r="L866" i="47"/>
  <c r="M866" i="47"/>
  <c r="Q771" i="47"/>
  <c r="O146" i="47"/>
  <c r="Q14" i="47"/>
  <c r="Q477" i="47"/>
  <c r="Q777" i="47"/>
  <c r="Q861" i="47"/>
  <c r="Q236" i="47"/>
  <c r="Q699" i="47"/>
  <c r="Q6" i="47"/>
  <c r="Q752" i="47"/>
  <c r="Q43" i="47"/>
  <c r="N865" i="47"/>
  <c r="M865" i="47"/>
  <c r="L865" i="47"/>
  <c r="K865" i="47"/>
  <c r="J865" i="47"/>
  <c r="Q602" i="47"/>
  <c r="O130" i="47"/>
  <c r="Q338" i="47"/>
  <c r="Q176" i="47"/>
  <c r="Q389" i="47"/>
  <c r="Q634" i="47"/>
  <c r="Q198" i="47"/>
  <c r="Q829" i="47"/>
  <c r="Q318" i="47"/>
  <c r="Q698" i="47"/>
  <c r="Q616" i="47"/>
  <c r="Q356" i="47"/>
  <c r="Q552" i="47"/>
  <c r="Q192" i="47"/>
  <c r="Q544" i="47"/>
  <c r="O81" i="47"/>
  <c r="O408" i="47"/>
  <c r="Q281" i="47"/>
  <c r="Q316" i="47"/>
  <c r="Q194" i="47"/>
  <c r="Q450" i="47"/>
  <c r="Q210" i="47"/>
  <c r="Q97" i="47"/>
  <c r="Q290" i="47"/>
  <c r="E864" i="47"/>
  <c r="K864" i="47"/>
  <c r="J864" i="47"/>
  <c r="I864" i="47"/>
  <c r="H864" i="47"/>
  <c r="L864" i="47"/>
  <c r="Q34" i="47"/>
  <c r="Q122" i="47"/>
  <c r="Q144" i="47"/>
  <c r="Q68" i="47"/>
  <c r="Q172" i="47"/>
  <c r="Q412" i="47"/>
  <c r="Q769" i="47"/>
  <c r="O738" i="47"/>
  <c r="Q632" i="47"/>
  <c r="Q757" i="47"/>
  <c r="Q286" i="47"/>
  <c r="Q320" i="47"/>
  <c r="O327" i="47"/>
  <c r="O7" i="47"/>
  <c r="Q567" i="47"/>
  <c r="Q230" i="47"/>
  <c r="Q650" i="47"/>
  <c r="O824" i="47"/>
  <c r="Q702" i="47"/>
  <c r="Q148" i="47"/>
  <c r="Q261" i="47"/>
  <c r="Q87" i="47"/>
  <c r="Q104" i="47"/>
  <c r="Q206" i="47"/>
  <c r="Q611" i="47"/>
  <c r="Q558" i="47"/>
  <c r="J863" i="47"/>
  <c r="M863" i="47"/>
  <c r="H863" i="47"/>
  <c r="E863" i="47"/>
  <c r="Q268" i="47"/>
  <c r="Q517" i="47"/>
  <c r="Q485" i="47"/>
  <c r="Q620" i="47"/>
  <c r="Q583" i="47"/>
  <c r="Q10" i="47"/>
  <c r="Q313" i="47"/>
  <c r="Q276" i="47"/>
  <c r="Q204" i="47"/>
  <c r="Q846" i="47"/>
  <c r="Q648" i="47"/>
  <c r="Q228" i="47"/>
  <c r="Q589" i="47"/>
  <c r="Q414" i="47"/>
  <c r="Q795" i="47"/>
  <c r="Q717" i="47"/>
  <c r="Q360" i="47"/>
  <c r="Q512" i="47"/>
  <c r="Q312" i="47"/>
  <c r="Q154" i="47"/>
  <c r="Q156" i="47"/>
  <c r="Q538" i="47"/>
  <c r="Q759" i="47"/>
  <c r="Q254" i="47"/>
  <c r="Q222" i="47"/>
  <c r="Q778" i="47"/>
  <c r="O727" i="47"/>
  <c r="Q858" i="47"/>
  <c r="Q621" i="47"/>
  <c r="Q17" i="47"/>
  <c r="Q201" i="47"/>
  <c r="G862" i="47"/>
  <c r="N862" i="47"/>
  <c r="J862" i="47"/>
  <c r="I862" i="47"/>
  <c r="E862" i="47"/>
  <c r="L862" i="47"/>
  <c r="K862" i="47"/>
  <c r="H862" i="47"/>
  <c r="M862" i="47"/>
  <c r="I581" i="47"/>
  <c r="J546" i="47"/>
  <c r="M440" i="47"/>
  <c r="H351" i="47"/>
  <c r="K731" i="47"/>
  <c r="Q676" i="47"/>
  <c r="Q125" i="47"/>
  <c r="K512" i="47"/>
  <c r="I114" i="47"/>
  <c r="K813" i="47"/>
  <c r="L530" i="47"/>
  <c r="N226" i="47"/>
  <c r="G543" i="47"/>
  <c r="Q137" i="47"/>
  <c r="J147" i="47"/>
  <c r="H205" i="47"/>
  <c r="M392" i="47"/>
  <c r="J164" i="47"/>
  <c r="I720" i="47"/>
  <c r="I685" i="47"/>
  <c r="M647" i="47"/>
  <c r="G510" i="47"/>
  <c r="M184" i="47"/>
  <c r="G168" i="47"/>
  <c r="K210" i="47"/>
  <c r="H28" i="47"/>
  <c r="H810" i="47"/>
  <c r="M795" i="47"/>
  <c r="E730" i="47"/>
  <c r="L731" i="47"/>
  <c r="I538" i="47"/>
  <c r="L584" i="47"/>
  <c r="L508" i="47"/>
  <c r="E195" i="47"/>
  <c r="I227" i="47"/>
  <c r="L92" i="47"/>
  <c r="Q127" i="47"/>
  <c r="H149" i="47"/>
  <c r="K650" i="47"/>
  <c r="L649" i="47"/>
  <c r="N564" i="47"/>
  <c r="I498" i="47"/>
  <c r="L105" i="47"/>
  <c r="J561" i="47"/>
  <c r="H536" i="47"/>
  <c r="G412" i="47"/>
  <c r="Q362" i="47"/>
  <c r="J426" i="47"/>
  <c r="N683" i="47"/>
  <c r="L498" i="47"/>
  <c r="L488" i="47"/>
  <c r="M404" i="47"/>
  <c r="J262" i="47"/>
  <c r="L132" i="47"/>
  <c r="K9" i="47"/>
  <c r="Q424" i="47"/>
  <c r="Q109" i="47"/>
  <c r="E26" i="47"/>
  <c r="Q70" i="47"/>
  <c r="H115" i="47"/>
  <c r="G775" i="47"/>
  <c r="L690" i="47"/>
  <c r="L686" i="47"/>
  <c r="I609" i="47"/>
  <c r="G526" i="47"/>
  <c r="J415" i="47"/>
  <c r="H397" i="47"/>
  <c r="G356" i="47"/>
  <c r="N307" i="47"/>
  <c r="M112" i="47"/>
  <c r="M123" i="47"/>
  <c r="H309" i="47"/>
  <c r="Q295" i="47"/>
  <c r="E526" i="47"/>
  <c r="K491" i="47"/>
  <c r="J358" i="47"/>
  <c r="N299" i="47"/>
  <c r="E311" i="47"/>
  <c r="M271" i="47"/>
  <c r="H231" i="47"/>
  <c r="L270" i="47"/>
  <c r="N211" i="47"/>
  <c r="Q187" i="47"/>
  <c r="H113" i="47"/>
  <c r="N647" i="47"/>
  <c r="G240" i="47"/>
  <c r="K132" i="47"/>
  <c r="L13" i="47"/>
  <c r="M45" i="47"/>
  <c r="K147" i="47"/>
  <c r="Q134" i="47"/>
  <c r="K783" i="47"/>
  <c r="I844" i="47"/>
  <c r="N694" i="47"/>
  <c r="H754" i="47"/>
  <c r="G676" i="47"/>
  <c r="I633" i="47"/>
  <c r="G551" i="47"/>
  <c r="N521" i="47"/>
  <c r="J526" i="47"/>
  <c r="H523" i="47"/>
  <c r="I423" i="47"/>
  <c r="N478" i="47"/>
  <c r="I327" i="47"/>
  <c r="M358" i="47"/>
  <c r="L378" i="47"/>
  <c r="K311" i="47"/>
  <c r="G211" i="47"/>
  <c r="N116" i="47"/>
  <c r="M2" i="47"/>
  <c r="H61" i="47"/>
  <c r="I142" i="47"/>
  <c r="G829" i="47"/>
  <c r="H644" i="47"/>
  <c r="M591" i="47"/>
  <c r="M74" i="47"/>
  <c r="N314" i="47"/>
  <c r="H474" i="47"/>
  <c r="Q787" i="47"/>
  <c r="G832" i="47"/>
  <c r="K796" i="47"/>
  <c r="L715" i="47"/>
  <c r="J754" i="47"/>
  <c r="I676" i="47"/>
  <c r="I642" i="47"/>
  <c r="N704" i="47"/>
  <c r="H586" i="47"/>
  <c r="M641" i="47"/>
  <c r="H521" i="47"/>
  <c r="N526" i="47"/>
  <c r="H470" i="47"/>
  <c r="J469" i="47"/>
  <c r="G445" i="47"/>
  <c r="M371" i="47"/>
  <c r="H66" i="47"/>
  <c r="M779" i="47"/>
  <c r="M734" i="47"/>
  <c r="N290" i="47"/>
  <c r="Q263" i="47"/>
  <c r="G117" i="47"/>
  <c r="L236" i="47"/>
  <c r="H159" i="47"/>
  <c r="I205" i="47"/>
  <c r="Q513" i="47"/>
  <c r="Q601" i="47"/>
  <c r="K400" i="47"/>
  <c r="I445" i="47"/>
  <c r="Q533" i="47"/>
  <c r="E816" i="47"/>
  <c r="M853" i="47"/>
  <c r="I736" i="47"/>
  <c r="K677" i="47"/>
  <c r="H526" i="47"/>
  <c r="M476" i="47"/>
  <c r="E461" i="47"/>
  <c r="H446" i="47"/>
  <c r="L358" i="47"/>
  <c r="G378" i="47"/>
  <c r="G254" i="47"/>
  <c r="Q657" i="47"/>
  <c r="E538" i="47"/>
  <c r="H155" i="47"/>
  <c r="K118" i="47"/>
  <c r="K584" i="47"/>
  <c r="J783" i="47"/>
  <c r="L766" i="47"/>
  <c r="J766" i="47"/>
  <c r="Q831" i="47"/>
  <c r="H737" i="47"/>
  <c r="L677" i="47"/>
  <c r="J649" i="47"/>
  <c r="N545" i="47"/>
  <c r="G515" i="47"/>
  <c r="H473" i="47"/>
  <c r="K471" i="47"/>
  <c r="K502" i="47"/>
  <c r="H508" i="47"/>
  <c r="E523" i="47"/>
  <c r="H455" i="47"/>
  <c r="Q380" i="47"/>
  <c r="I380" i="47"/>
  <c r="I262" i="47"/>
  <c r="N207" i="47"/>
  <c r="H125" i="47"/>
  <c r="H129" i="47"/>
  <c r="G92" i="47"/>
  <c r="G527" i="47"/>
  <c r="L25" i="47"/>
  <c r="Q100" i="47"/>
  <c r="G113" i="47"/>
  <c r="G833" i="47"/>
  <c r="N289" i="47"/>
  <c r="N98" i="47"/>
  <c r="L190" i="47"/>
  <c r="I193" i="47"/>
  <c r="N156" i="47"/>
  <c r="G261" i="47"/>
  <c r="K474" i="47"/>
  <c r="N265" i="47"/>
  <c r="N659" i="47"/>
  <c r="M603" i="47"/>
  <c r="G452" i="47"/>
  <c r="I398" i="47"/>
  <c r="G371" i="47"/>
  <c r="I286" i="47"/>
  <c r="N510" i="47"/>
  <c r="L210" i="47"/>
  <c r="Q763" i="47"/>
  <c r="H117" i="47"/>
  <c r="I772" i="47"/>
  <c r="Q212" i="47"/>
  <c r="Q47" i="47"/>
  <c r="O66" i="47"/>
  <c r="Q5" i="47"/>
  <c r="Q588" i="47"/>
  <c r="Q193" i="47"/>
  <c r="Q15" i="47"/>
  <c r="Q30" i="47"/>
  <c r="N861" i="47"/>
  <c r="E861" i="47"/>
  <c r="J861" i="47"/>
  <c r="I861" i="47"/>
  <c r="M861" i="47"/>
  <c r="L861" i="47"/>
  <c r="K861" i="47"/>
  <c r="H861" i="47"/>
  <c r="G861" i="47"/>
  <c r="Q668" i="47"/>
  <c r="Q310" i="47"/>
  <c r="Q736" i="47"/>
  <c r="Q505" i="47"/>
  <c r="O533" i="47"/>
  <c r="Q596" i="47"/>
  <c r="Q58" i="47"/>
  <c r="Q233" i="47"/>
  <c r="Q160" i="47"/>
  <c r="Q50" i="47"/>
  <c r="Q630" i="47"/>
  <c r="Q446" i="47"/>
  <c r="Q665" i="47"/>
  <c r="O537" i="47"/>
  <c r="K860" i="47"/>
  <c r="J860" i="47"/>
  <c r="L860" i="47"/>
  <c r="M860" i="47"/>
  <c r="N860" i="47"/>
  <c r="E860" i="47"/>
  <c r="G860" i="47"/>
  <c r="H860" i="47"/>
  <c r="Q65" i="47"/>
  <c r="Q124" i="47"/>
  <c r="Q493" i="47"/>
  <c r="Q463" i="47"/>
  <c r="Q743" i="47"/>
  <c r="Q609" i="47"/>
  <c r="G633" i="47"/>
  <c r="J579" i="47"/>
  <c r="J554" i="47"/>
  <c r="L469" i="47"/>
  <c r="M420" i="47"/>
  <c r="L368" i="47"/>
  <c r="H383" i="47"/>
  <c r="H364" i="47"/>
  <c r="K307" i="47"/>
  <c r="J231" i="47"/>
  <c r="L241" i="47"/>
  <c r="M42" i="47"/>
  <c r="Q653" i="47"/>
  <c r="H419" i="47"/>
  <c r="M677" i="47"/>
  <c r="N859" i="47"/>
  <c r="J828" i="47"/>
  <c r="H823" i="47"/>
  <c r="K815" i="47"/>
  <c r="M645" i="47"/>
  <c r="M646" i="47"/>
  <c r="M579" i="47"/>
  <c r="L554" i="47"/>
  <c r="I462" i="47"/>
  <c r="K493" i="47"/>
  <c r="Q508" i="47"/>
  <c r="M521" i="47"/>
  <c r="N469" i="47"/>
  <c r="J399" i="47"/>
  <c r="Q303" i="47"/>
  <c r="N605" i="47"/>
  <c r="I734" i="47"/>
  <c r="Q487" i="47"/>
  <c r="H301" i="47"/>
  <c r="J313" i="47"/>
  <c r="I484" i="47"/>
  <c r="M778" i="47"/>
  <c r="N749" i="47"/>
  <c r="E784" i="47"/>
  <c r="M776" i="47"/>
  <c r="L758" i="47"/>
  <c r="J702" i="47"/>
  <c r="N667" i="47"/>
  <c r="L681" i="47"/>
  <c r="K709" i="47"/>
  <c r="N641" i="47"/>
  <c r="L609" i="47"/>
  <c r="E645" i="47"/>
  <c r="G607" i="47"/>
  <c r="Q637" i="47"/>
  <c r="M562" i="47"/>
  <c r="G603" i="47"/>
  <c r="Q554" i="47"/>
  <c r="Q490" i="47"/>
  <c r="L526" i="47"/>
  <c r="M496" i="47"/>
  <c r="E521" i="47"/>
  <c r="L592" i="47"/>
  <c r="H451" i="47"/>
  <c r="L416" i="47"/>
  <c r="N416" i="47"/>
  <c r="I368" i="47"/>
  <c r="G299" i="47"/>
  <c r="N361" i="47"/>
  <c r="K335" i="47"/>
  <c r="E187" i="47"/>
  <c r="E211" i="47"/>
  <c r="M92" i="47"/>
  <c r="E22" i="47"/>
  <c r="E2" i="47"/>
  <c r="Q655" i="47"/>
  <c r="H785" i="47"/>
  <c r="M628" i="47"/>
  <c r="N444" i="47"/>
  <c r="N557" i="47"/>
  <c r="E510" i="47"/>
  <c r="K200" i="47"/>
  <c r="G252" i="47"/>
  <c r="N45" i="47"/>
  <c r="G256" i="47"/>
  <c r="J45" i="47"/>
  <c r="G425" i="47"/>
  <c r="L834" i="47"/>
  <c r="N467" i="47"/>
  <c r="I509" i="47"/>
  <c r="N663" i="47"/>
  <c r="I603" i="47"/>
  <c r="Q547" i="47"/>
  <c r="L496" i="47"/>
  <c r="M475" i="47"/>
  <c r="G477" i="47"/>
  <c r="K469" i="47"/>
  <c r="H437" i="47"/>
  <c r="N386" i="47"/>
  <c r="K421" i="47"/>
  <c r="E298" i="47"/>
  <c r="M364" i="47"/>
  <c r="G199" i="47"/>
  <c r="L185" i="47"/>
  <c r="L131" i="47"/>
  <c r="K846" i="47"/>
  <c r="N715" i="47"/>
  <c r="N806" i="47"/>
  <c r="J820" i="47"/>
  <c r="I766" i="47"/>
  <c r="J796" i="47"/>
  <c r="H776" i="47"/>
  <c r="L694" i="47"/>
  <c r="K803" i="47"/>
  <c r="H609" i="47"/>
  <c r="J603" i="47"/>
  <c r="H554" i="47"/>
  <c r="K416" i="47"/>
  <c r="M416" i="47"/>
  <c r="G363" i="47"/>
  <c r="M387" i="47"/>
  <c r="E386" i="47"/>
  <c r="Q349" i="47"/>
  <c r="H747" i="47"/>
  <c r="E785" i="47"/>
  <c r="H21" i="47"/>
  <c r="Q834" i="47"/>
  <c r="Q518" i="47"/>
  <c r="E830" i="47"/>
  <c r="E633" i="47"/>
  <c r="H169" i="47"/>
  <c r="G235" i="47"/>
  <c r="M692" i="47"/>
  <c r="J785" i="47"/>
  <c r="L603" i="47"/>
  <c r="G521" i="47"/>
  <c r="L495" i="47"/>
  <c r="K542" i="47"/>
  <c r="I407" i="47"/>
  <c r="N437" i="47"/>
  <c r="H185" i="47"/>
  <c r="G239" i="47"/>
  <c r="K185" i="47"/>
  <c r="H606" i="47"/>
  <c r="J538" i="47"/>
  <c r="H208" i="47"/>
  <c r="N332" i="47"/>
  <c r="N74" i="47"/>
  <c r="H9" i="47"/>
  <c r="Q600" i="47"/>
  <c r="E485" i="47"/>
  <c r="L94" i="47"/>
  <c r="H94" i="47"/>
  <c r="K241" i="47"/>
  <c r="K682" i="47"/>
  <c r="Q409" i="47"/>
  <c r="M332" i="47"/>
  <c r="L5" i="47"/>
  <c r="H142" i="47"/>
  <c r="E240" i="47"/>
  <c r="E467" i="47"/>
  <c r="J474" i="47"/>
  <c r="E474" i="47"/>
  <c r="G835" i="47"/>
  <c r="M806" i="47"/>
  <c r="N783" i="47"/>
  <c r="K521" i="47"/>
  <c r="M495" i="47"/>
  <c r="G495" i="47"/>
  <c r="J542" i="47"/>
  <c r="H348" i="47"/>
  <c r="G376" i="47"/>
  <c r="H421" i="47"/>
  <c r="H336" i="47"/>
  <c r="L283" i="47"/>
  <c r="I231" i="47"/>
  <c r="M6" i="47"/>
  <c r="E77" i="47"/>
  <c r="G638" i="47"/>
  <c r="H49" i="47"/>
  <c r="Q786" i="47"/>
  <c r="N617" i="47"/>
  <c r="H566" i="47"/>
  <c r="I493" i="47"/>
  <c r="Q542" i="47"/>
  <c r="E418" i="47"/>
  <c r="G402" i="47"/>
  <c r="J355" i="47"/>
  <c r="J283" i="47"/>
  <c r="M183" i="47"/>
  <c r="M50" i="47"/>
  <c r="K729" i="47"/>
  <c r="N430" i="47"/>
  <c r="Q384" i="47"/>
  <c r="J631" i="47"/>
  <c r="M730" i="47"/>
  <c r="J683" i="47"/>
  <c r="G594" i="47"/>
  <c r="J521" i="47"/>
  <c r="J566" i="47"/>
  <c r="J397" i="47"/>
  <c r="L239" i="47"/>
  <c r="M241" i="47"/>
  <c r="G203" i="47"/>
  <c r="G77" i="47"/>
  <c r="I506" i="47"/>
  <c r="Q625" i="47"/>
  <c r="Q423" i="47"/>
  <c r="I122" i="47"/>
  <c r="I159" i="47"/>
  <c r="E74" i="47"/>
  <c r="J9" i="47"/>
  <c r="J74" i="47"/>
  <c r="J484" i="47"/>
  <c r="J635" i="47"/>
  <c r="E823" i="47"/>
  <c r="L786" i="47"/>
  <c r="J843" i="47"/>
  <c r="H766" i="47"/>
  <c r="G767" i="47"/>
  <c r="J731" i="47"/>
  <c r="L729" i="47"/>
  <c r="I658" i="47"/>
  <c r="E693" i="47"/>
  <c r="G667" i="47"/>
  <c r="G687" i="47"/>
  <c r="J537" i="47"/>
  <c r="H572" i="47"/>
  <c r="L521" i="47"/>
  <c r="L432" i="47"/>
  <c r="G443" i="47"/>
  <c r="H368" i="47"/>
  <c r="K376" i="47"/>
  <c r="Q361" i="47"/>
  <c r="N387" i="47"/>
  <c r="I389" i="47"/>
  <c r="K231" i="47"/>
  <c r="K279" i="47"/>
  <c r="N241" i="47"/>
  <c r="Q647" i="47"/>
  <c r="E136" i="47"/>
  <c r="J159" i="47"/>
  <c r="K74" i="47"/>
  <c r="L806" i="47"/>
  <c r="I783" i="47"/>
  <c r="M755" i="47"/>
  <c r="E667" i="47"/>
  <c r="G584" i="47"/>
  <c r="H534" i="47"/>
  <c r="M480" i="47"/>
  <c r="G406" i="47"/>
  <c r="N298" i="47"/>
  <c r="N199" i="47"/>
  <c r="J227" i="47"/>
  <c r="E227" i="47"/>
  <c r="K73" i="47"/>
  <c r="Q623" i="47"/>
  <c r="H466" i="47"/>
  <c r="M856" i="47"/>
  <c r="K690" i="47"/>
  <c r="H848" i="47"/>
  <c r="H148" i="47"/>
  <c r="Q413" i="47"/>
  <c r="K45" i="47"/>
  <c r="G707" i="47"/>
  <c r="N558" i="47"/>
  <c r="G848" i="47"/>
  <c r="M762" i="47"/>
  <c r="K617" i="47"/>
  <c r="J607" i="47"/>
  <c r="K666" i="47"/>
  <c r="E554" i="47"/>
  <c r="K508" i="47"/>
  <c r="N495" i="47"/>
  <c r="E508" i="47"/>
  <c r="G481" i="47"/>
  <c r="H469" i="47"/>
  <c r="L433" i="47"/>
  <c r="I376" i="47"/>
  <c r="H376" i="47"/>
  <c r="E406" i="47"/>
  <c r="I319" i="47"/>
  <c r="G355" i="47"/>
  <c r="K227" i="47"/>
  <c r="L116" i="47"/>
  <c r="L114" i="47"/>
  <c r="J137" i="47"/>
  <c r="J510" i="47"/>
  <c r="L377" i="47"/>
  <c r="E301" i="47"/>
  <c r="L699" i="47"/>
  <c r="E133" i="47"/>
  <c r="I101" i="47"/>
  <c r="M247" i="47"/>
  <c r="J368" i="47"/>
  <c r="L199" i="47"/>
  <c r="G241" i="47"/>
  <c r="M274" i="47"/>
  <c r="M519" i="47"/>
  <c r="M809" i="47"/>
  <c r="Q454" i="47"/>
  <c r="Q639" i="47"/>
  <c r="N801" i="47"/>
  <c r="E164" i="47"/>
  <c r="Q22" i="47"/>
  <c r="Q78" i="47"/>
  <c r="Q437" i="47"/>
  <c r="Q241" i="47"/>
  <c r="Q664" i="47"/>
  <c r="Q248" i="47"/>
  <c r="Q594" i="47"/>
  <c r="Q457" i="47"/>
  <c r="Q585" i="47"/>
  <c r="Q167" i="47"/>
  <c r="I859" i="47"/>
  <c r="G859" i="47"/>
  <c r="H859" i="47"/>
  <c r="J859" i="47"/>
  <c r="K859" i="47"/>
  <c r="L859" i="47"/>
  <c r="M859" i="47"/>
  <c r="Q711" i="47"/>
  <c r="Q833" i="47"/>
  <c r="O827" i="47"/>
  <c r="Q825" i="47"/>
  <c r="Q652" i="47"/>
  <c r="Q731" i="47"/>
  <c r="Q475" i="47"/>
  <c r="Q257" i="47"/>
  <c r="Q18" i="47"/>
  <c r="Q322" i="47"/>
  <c r="Q770" i="47"/>
  <c r="Q224" i="47"/>
  <c r="Q792" i="47"/>
  <c r="J737" i="47"/>
  <c r="H705" i="47"/>
  <c r="I615" i="47"/>
  <c r="N838" i="47"/>
  <c r="Q818" i="47"/>
  <c r="G787" i="47"/>
  <c r="I804" i="47"/>
  <c r="Q807" i="47"/>
  <c r="K737" i="47"/>
  <c r="H671" i="47"/>
  <c r="M705" i="47"/>
  <c r="M695" i="47"/>
  <c r="N615" i="47"/>
  <c r="H531" i="47"/>
  <c r="I570" i="47"/>
  <c r="L578" i="47"/>
  <c r="G509" i="47"/>
  <c r="L438" i="47"/>
  <c r="N371" i="47"/>
  <c r="N388" i="47"/>
  <c r="G311" i="47"/>
  <c r="M330" i="47"/>
  <c r="J187" i="47"/>
  <c r="N93" i="47"/>
  <c r="M34" i="47"/>
  <c r="J93" i="47"/>
  <c r="E614" i="47"/>
  <c r="E506" i="47"/>
  <c r="L652" i="47"/>
  <c r="M308" i="47"/>
  <c r="J320" i="47"/>
  <c r="G136" i="47"/>
  <c r="G71" i="47"/>
  <c r="J306" i="47"/>
  <c r="K318" i="47"/>
  <c r="L318" i="47"/>
  <c r="G532" i="47"/>
  <c r="K532" i="47"/>
  <c r="J532" i="47"/>
  <c r="N565" i="47"/>
  <c r="K565" i="47"/>
  <c r="N689" i="47"/>
  <c r="G615" i="47"/>
  <c r="G570" i="47"/>
  <c r="Q491" i="47"/>
  <c r="H183" i="47"/>
  <c r="M282" i="47"/>
  <c r="L195" i="47"/>
  <c r="E112" i="47"/>
  <c r="K852" i="47"/>
  <c r="M626" i="47"/>
  <c r="L252" i="47"/>
  <c r="N320" i="47"/>
  <c r="H13" i="47"/>
  <c r="M147" i="47"/>
  <c r="E327" i="47"/>
  <c r="M458" i="47"/>
  <c r="K458" i="47"/>
  <c r="E458" i="47"/>
  <c r="N292" i="47"/>
  <c r="J375" i="47"/>
  <c r="H345" i="47"/>
  <c r="Q682" i="47"/>
  <c r="I828" i="47"/>
  <c r="N828" i="47"/>
  <c r="I362" i="47"/>
  <c r="M303" i="47"/>
  <c r="H820" i="47"/>
  <c r="K80" i="47"/>
  <c r="I80" i="47"/>
  <c r="E80" i="47"/>
  <c r="K473" i="47"/>
  <c r="E834" i="47"/>
  <c r="M292" i="47"/>
  <c r="K848" i="47"/>
  <c r="J619" i="47"/>
  <c r="H619" i="47"/>
  <c r="M649" i="47"/>
  <c r="K138" i="47"/>
  <c r="L127" i="47"/>
  <c r="I821" i="47"/>
  <c r="K647" i="47"/>
  <c r="E626" i="47"/>
  <c r="K214" i="47"/>
  <c r="H74" i="47"/>
  <c r="K13" i="47"/>
  <c r="E168" i="47"/>
  <c r="E528" i="47"/>
  <c r="N205" i="47"/>
  <c r="J196" i="47"/>
  <c r="L473" i="47"/>
  <c r="J240" i="47"/>
  <c r="K240" i="47"/>
  <c r="G309" i="47"/>
  <c r="J309" i="47"/>
  <c r="J261" i="47"/>
  <c r="N804" i="47"/>
  <c r="E768" i="47"/>
  <c r="N695" i="47"/>
  <c r="N768" i="47"/>
  <c r="L705" i="47"/>
  <c r="G695" i="47"/>
  <c r="I650" i="47"/>
  <c r="N607" i="47"/>
  <c r="I541" i="47"/>
  <c r="L493" i="47"/>
  <c r="H431" i="47"/>
  <c r="J798" i="47"/>
  <c r="H799" i="47"/>
  <c r="J762" i="47"/>
  <c r="K751" i="47"/>
  <c r="J676" i="47"/>
  <c r="N646" i="47"/>
  <c r="M666" i="47"/>
  <c r="G562" i="47"/>
  <c r="G566" i="47"/>
  <c r="J502" i="47"/>
  <c r="H493" i="47"/>
  <c r="M502" i="47"/>
  <c r="I508" i="47"/>
  <c r="G542" i="47"/>
  <c r="H498" i="47"/>
  <c r="L371" i="47"/>
  <c r="M388" i="47"/>
  <c r="G391" i="47"/>
  <c r="I402" i="47"/>
  <c r="N383" i="47"/>
  <c r="L345" i="47"/>
  <c r="M283" i="47"/>
  <c r="K187" i="47"/>
  <c r="E183" i="47"/>
  <c r="I215" i="47"/>
  <c r="N191" i="47"/>
  <c r="G141" i="47"/>
  <c r="H605" i="47"/>
  <c r="L365" i="47"/>
  <c r="G163" i="47"/>
  <c r="Q334" i="47"/>
  <c r="N218" i="47"/>
  <c r="G809" i="47"/>
  <c r="J473" i="47"/>
  <c r="K424" i="47"/>
  <c r="N424" i="47"/>
  <c r="M424" i="47"/>
  <c r="I428" i="47"/>
  <c r="H561" i="47"/>
  <c r="K785" i="47"/>
  <c r="G444" i="47"/>
  <c r="I212" i="47"/>
  <c r="I201" i="47"/>
  <c r="N293" i="47"/>
  <c r="I820" i="47"/>
  <c r="L820" i="47"/>
  <c r="N809" i="47"/>
  <c r="K809" i="47"/>
  <c r="J809" i="47"/>
  <c r="I166" i="47"/>
  <c r="E166" i="47"/>
  <c r="I834" i="47"/>
  <c r="K528" i="47"/>
  <c r="I357" i="47"/>
  <c r="L237" i="47"/>
  <c r="K237" i="47"/>
  <c r="N245" i="47"/>
  <c r="M195" i="47"/>
  <c r="H138" i="47"/>
  <c r="G63" i="47"/>
  <c r="L810" i="47"/>
  <c r="G605" i="47"/>
  <c r="L833" i="47"/>
  <c r="H200" i="47"/>
  <c r="E313" i="47"/>
  <c r="L228" i="47"/>
  <c r="K228" i="47"/>
  <c r="J166" i="47"/>
  <c r="H615" i="47"/>
  <c r="M491" i="47"/>
  <c r="L491" i="47"/>
  <c r="L542" i="47"/>
  <c r="G489" i="47"/>
  <c r="E452" i="47"/>
  <c r="N384" i="47"/>
  <c r="M390" i="47"/>
  <c r="I283" i="47"/>
  <c r="G846" i="47"/>
  <c r="H821" i="47"/>
  <c r="Q812" i="47"/>
  <c r="N117" i="47"/>
  <c r="M353" i="47"/>
  <c r="M426" i="47"/>
  <c r="I426" i="47"/>
  <c r="G426" i="47"/>
  <c r="K615" i="47"/>
  <c r="M855" i="47"/>
  <c r="L815" i="47"/>
  <c r="I830" i="47"/>
  <c r="G762" i="47"/>
  <c r="L791" i="47"/>
  <c r="Q753" i="47"/>
  <c r="E684" i="47"/>
  <c r="I689" i="47"/>
  <c r="H678" i="47"/>
  <c r="N613" i="47"/>
  <c r="J613" i="47"/>
  <c r="L639" i="47"/>
  <c r="E619" i="47"/>
  <c r="J541" i="47"/>
  <c r="J447" i="47"/>
  <c r="M566" i="47"/>
  <c r="I461" i="47"/>
  <c r="E470" i="47"/>
  <c r="N470" i="47"/>
  <c r="K525" i="47"/>
  <c r="N438" i="47"/>
  <c r="H489" i="47"/>
  <c r="J440" i="47"/>
  <c r="G388" i="47"/>
  <c r="J302" i="47"/>
  <c r="G364" i="47"/>
  <c r="G350" i="47"/>
  <c r="E307" i="47"/>
  <c r="I183" i="47"/>
  <c r="H215" i="47"/>
  <c r="N203" i="47"/>
  <c r="N169" i="47"/>
  <c r="N235" i="47"/>
  <c r="H109" i="47"/>
  <c r="M93" i="47"/>
  <c r="K833" i="47"/>
  <c r="G813" i="47"/>
  <c r="E833" i="47"/>
  <c r="I829" i="47"/>
  <c r="L785" i="47"/>
  <c r="N585" i="47"/>
  <c r="H317" i="47"/>
  <c r="N96" i="47"/>
  <c r="G173" i="47"/>
  <c r="H256" i="47"/>
  <c r="M658" i="47"/>
  <c r="N658" i="47"/>
  <c r="I121" i="47"/>
  <c r="G121" i="47"/>
  <c r="Q828" i="47"/>
  <c r="H570" i="47"/>
  <c r="Q796" i="47"/>
  <c r="J525" i="47"/>
  <c r="K455" i="47"/>
  <c r="J489" i="47"/>
  <c r="G398" i="47"/>
  <c r="M360" i="47"/>
  <c r="H303" i="47"/>
  <c r="I833" i="47"/>
  <c r="N506" i="47"/>
  <c r="M365" i="47"/>
  <c r="M96" i="47"/>
  <c r="N194" i="47"/>
  <c r="E75" i="47"/>
  <c r="I256" i="47"/>
  <c r="G28" i="47"/>
  <c r="G133" i="47"/>
  <c r="I133" i="47"/>
  <c r="J72" i="47"/>
  <c r="N72" i="47"/>
  <c r="E72" i="47"/>
  <c r="L166" i="47"/>
  <c r="K568" i="47"/>
  <c r="E705" i="47"/>
  <c r="E607" i="47"/>
  <c r="L541" i="47"/>
  <c r="J819" i="47"/>
  <c r="E815" i="47"/>
  <c r="J832" i="47"/>
  <c r="E796" i="47"/>
  <c r="I791" i="47"/>
  <c r="I730" i="47"/>
  <c r="I724" i="47"/>
  <c r="I749" i="47"/>
  <c r="H700" i="47"/>
  <c r="I640" i="47"/>
  <c r="N609" i="47"/>
  <c r="J609" i="47"/>
  <c r="I649" i="47"/>
  <c r="L607" i="47"/>
  <c r="M621" i="47"/>
  <c r="M541" i="47"/>
  <c r="K435" i="47"/>
  <c r="G447" i="47"/>
  <c r="H495" i="47"/>
  <c r="E542" i="47"/>
  <c r="L523" i="47"/>
  <c r="M498" i="47"/>
  <c r="L446" i="47"/>
  <c r="K489" i="47"/>
  <c r="M376" i="47"/>
  <c r="N357" i="47"/>
  <c r="K391" i="47"/>
  <c r="J398" i="47"/>
  <c r="I383" i="47"/>
  <c r="E364" i="47"/>
  <c r="H329" i="47"/>
  <c r="I185" i="47"/>
  <c r="N215" i="47"/>
  <c r="E239" i="47"/>
  <c r="L223" i="47"/>
  <c r="K169" i="47"/>
  <c r="J141" i="47"/>
  <c r="K77" i="47"/>
  <c r="J77" i="47"/>
  <c r="N63" i="47"/>
  <c r="G109" i="47"/>
  <c r="M66" i="47"/>
  <c r="E167" i="47"/>
  <c r="N821" i="47"/>
  <c r="M833" i="47"/>
  <c r="I785" i="47"/>
  <c r="E365" i="47"/>
  <c r="G680" i="47"/>
  <c r="Q294" i="47"/>
  <c r="I272" i="47"/>
  <c r="N301" i="47"/>
  <c r="M57" i="47"/>
  <c r="L234" i="47"/>
  <c r="Q149" i="47"/>
  <c r="E428" i="47"/>
  <c r="E117" i="47"/>
  <c r="H72" i="47"/>
  <c r="G140" i="47"/>
  <c r="H140" i="47"/>
  <c r="H772" i="47"/>
  <c r="K613" i="47"/>
  <c r="H726" i="47"/>
  <c r="J755" i="47"/>
  <c r="K619" i="47"/>
  <c r="N815" i="47"/>
  <c r="M815" i="47"/>
  <c r="K838" i="47"/>
  <c r="N832" i="47"/>
  <c r="G766" i="47"/>
  <c r="H822" i="47"/>
  <c r="H784" i="47"/>
  <c r="G768" i="47"/>
  <c r="I755" i="47"/>
  <c r="E720" i="47"/>
  <c r="N713" i="47"/>
  <c r="I737" i="47"/>
  <c r="K754" i="47"/>
  <c r="Q701" i="47"/>
  <c r="G706" i="47"/>
  <c r="M617" i="47"/>
  <c r="M607" i="47"/>
  <c r="N541" i="47"/>
  <c r="E497" i="47"/>
  <c r="H541" i="47"/>
  <c r="Q550" i="47"/>
  <c r="E501" i="47"/>
  <c r="K479" i="47"/>
  <c r="Q521" i="47"/>
  <c r="N498" i="47"/>
  <c r="J433" i="47"/>
  <c r="I438" i="47"/>
  <c r="K398" i="47"/>
  <c r="E378" i="47"/>
  <c r="K364" i="47"/>
  <c r="H239" i="47"/>
  <c r="L187" i="47"/>
  <c r="L169" i="47"/>
  <c r="H255" i="47"/>
  <c r="M38" i="47"/>
  <c r="M167" i="47"/>
  <c r="H833" i="47"/>
  <c r="L586" i="47"/>
  <c r="N833" i="47"/>
  <c r="M821" i="47"/>
  <c r="M785" i="47"/>
  <c r="E606" i="47"/>
  <c r="I596" i="47"/>
  <c r="H652" i="47"/>
  <c r="E238" i="47"/>
  <c r="I365" i="47"/>
  <c r="K680" i="47"/>
  <c r="K320" i="47"/>
  <c r="I147" i="47"/>
  <c r="J149" i="47"/>
  <c r="M845" i="47"/>
  <c r="J845" i="47"/>
  <c r="I117" i="47"/>
  <c r="Q730" i="47"/>
  <c r="L140" i="47"/>
  <c r="N121" i="47"/>
  <c r="J791" i="47"/>
  <c r="E832" i="47"/>
  <c r="K808" i="47"/>
  <c r="M766" i="47"/>
  <c r="K784" i="47"/>
  <c r="I768" i="47"/>
  <c r="I559" i="47"/>
  <c r="J531" i="47"/>
  <c r="J508" i="47"/>
  <c r="E578" i="47"/>
  <c r="G490" i="47"/>
  <c r="K459" i="47"/>
  <c r="N398" i="47"/>
  <c r="L398" i="47"/>
  <c r="L386" i="47"/>
  <c r="J380" i="47"/>
  <c r="J376" i="47"/>
  <c r="H357" i="47"/>
  <c r="N364" i="47"/>
  <c r="M345" i="47"/>
  <c r="G342" i="47"/>
  <c r="I239" i="47"/>
  <c r="E169" i="47"/>
  <c r="K255" i="47"/>
  <c r="N131" i="47"/>
  <c r="M54" i="47"/>
  <c r="E34" i="47"/>
  <c r="H444" i="47"/>
  <c r="K510" i="47"/>
  <c r="N553" i="47"/>
  <c r="I652" i="47"/>
  <c r="M320" i="47"/>
  <c r="N472" i="47"/>
  <c r="L202" i="47"/>
  <c r="G75" i="47"/>
  <c r="G80" i="47"/>
  <c r="J80" i="47"/>
  <c r="I815" i="47"/>
  <c r="H787" i="47"/>
  <c r="L768" i="47"/>
  <c r="E657" i="47"/>
  <c r="J615" i="47"/>
  <c r="L625" i="47"/>
  <c r="M508" i="47"/>
  <c r="I471" i="47"/>
  <c r="N455" i="47"/>
  <c r="N376" i="47"/>
  <c r="G282" i="47"/>
  <c r="M255" i="47"/>
  <c r="G116" i="47"/>
  <c r="M652" i="47"/>
  <c r="J248" i="47"/>
  <c r="E248" i="47"/>
  <c r="L475" i="47"/>
  <c r="E475" i="47"/>
  <c r="M82" i="47"/>
  <c r="E82" i="47"/>
  <c r="L353" i="47"/>
  <c r="K126" i="47"/>
  <c r="M154" i="47"/>
  <c r="E121" i="47"/>
  <c r="M768" i="47"/>
  <c r="Q645" i="47"/>
  <c r="M615" i="47"/>
  <c r="M570" i="47"/>
  <c r="J470" i="47"/>
  <c r="L494" i="47"/>
  <c r="G446" i="47"/>
  <c r="K438" i="47"/>
  <c r="M386" i="47"/>
  <c r="N282" i="47"/>
  <c r="L99" i="47"/>
  <c r="M14" i="47"/>
  <c r="N14" i="47"/>
  <c r="J539" i="47"/>
  <c r="L528" i="47"/>
  <c r="H858" i="47"/>
  <c r="G858" i="47"/>
  <c r="E858" i="47"/>
  <c r="N858" i="47"/>
  <c r="L858" i="47"/>
  <c r="J858" i="47"/>
  <c r="K858" i="47"/>
  <c r="I858" i="47"/>
  <c r="M858" i="47"/>
  <c r="Q553" i="47"/>
  <c r="Q88" i="47"/>
  <c r="Q749" i="47"/>
  <c r="Q369" i="47"/>
  <c r="Q781" i="47"/>
  <c r="Q227" i="47"/>
  <c r="Q776" i="47"/>
  <c r="Q466" i="47"/>
  <c r="Q543" i="47"/>
  <c r="Q839" i="47"/>
  <c r="Q203" i="47"/>
  <c r="Q619" i="47"/>
  <c r="Q737" i="47"/>
  <c r="Q561" i="47"/>
  <c r="Q275" i="47"/>
  <c r="Q147" i="47"/>
  <c r="Q388" i="47"/>
  <c r="Q803" i="47"/>
  <c r="Q453" i="47"/>
  <c r="Q720" i="47"/>
  <c r="Q573" i="47"/>
  <c r="Q579" i="47"/>
  <c r="Q464" i="47"/>
  <c r="Q299" i="47"/>
  <c r="Q500" i="47"/>
  <c r="Q744" i="47"/>
  <c r="Q666" i="47"/>
  <c r="Q371" i="47"/>
  <c r="Q842" i="47"/>
  <c r="Q673" i="47"/>
  <c r="Q775" i="47"/>
  <c r="Q710" i="47"/>
  <c r="Q378" i="47"/>
  <c r="Q262" i="47"/>
  <c r="Q348" i="47"/>
  <c r="Q624" i="47"/>
  <c r="Q121" i="47"/>
  <c r="Q186" i="47"/>
  <c r="Q843" i="47"/>
  <c r="Q523" i="47"/>
  <c r="Q469" i="47"/>
  <c r="Q289" i="47"/>
  <c r="Q741" i="47"/>
  <c r="Q383" i="47"/>
  <c r="Q258" i="47"/>
  <c r="Q703" i="47"/>
  <c r="Q590" i="47"/>
  <c r="Q326" i="47"/>
  <c r="Q336" i="47"/>
  <c r="Q283" i="47"/>
  <c r="Q25" i="47"/>
  <c r="Q142" i="47"/>
  <c r="Q577" i="47"/>
  <c r="Q503" i="47"/>
  <c r="Q473" i="47"/>
  <c r="Q476" i="47"/>
  <c r="Q574" i="47"/>
  <c r="Q489" i="47"/>
  <c r="Q510" i="47"/>
  <c r="Q813" i="47"/>
  <c r="H830" i="47"/>
  <c r="H808" i="47"/>
  <c r="L760" i="47"/>
  <c r="M838" i="47"/>
  <c r="N787" i="47"/>
  <c r="I808" i="47"/>
  <c r="K794" i="47"/>
  <c r="M782" i="47"/>
  <c r="N784" i="47"/>
  <c r="N776" i="47"/>
  <c r="K778" i="47"/>
  <c r="E760" i="47"/>
  <c r="N720" i="47"/>
  <c r="I754" i="47"/>
  <c r="L683" i="47"/>
  <c r="M657" i="47"/>
  <c r="H689" i="47"/>
  <c r="E706" i="47"/>
  <c r="N651" i="47"/>
  <c r="G709" i="47"/>
  <c r="H625" i="47"/>
  <c r="J597" i="47"/>
  <c r="H613" i="47"/>
  <c r="G617" i="47"/>
  <c r="L641" i="47"/>
  <c r="N621" i="47"/>
  <c r="L599" i="47"/>
  <c r="I637" i="47"/>
  <c r="M490" i="47"/>
  <c r="G462" i="47"/>
  <c r="E566" i="47"/>
  <c r="M526" i="47"/>
  <c r="I522" i="47"/>
  <c r="K496" i="47"/>
  <c r="L449" i="47"/>
  <c r="J498" i="47"/>
  <c r="O443" i="47"/>
  <c r="Q443" i="47"/>
  <c r="E478" i="47"/>
  <c r="J390" i="47"/>
  <c r="J357" i="47"/>
  <c r="N378" i="47"/>
  <c r="N421" i="47"/>
  <c r="J421" i="47"/>
  <c r="I378" i="47"/>
  <c r="G383" i="47"/>
  <c r="K366" i="47"/>
  <c r="H325" i="47"/>
  <c r="N325" i="47"/>
  <c r="Q366" i="47"/>
  <c r="M213" i="47"/>
  <c r="Q180" i="47"/>
  <c r="E251" i="47"/>
  <c r="H179" i="47"/>
  <c r="M179" i="47"/>
  <c r="K191" i="47"/>
  <c r="L179" i="47"/>
  <c r="I95" i="47"/>
  <c r="H104" i="47"/>
  <c r="M104" i="47"/>
  <c r="L104" i="47"/>
  <c r="J104" i="47"/>
  <c r="E104" i="47"/>
  <c r="N104" i="47"/>
  <c r="I104" i="47"/>
  <c r="G104" i="47"/>
  <c r="N279" i="47"/>
  <c r="I279" i="47"/>
  <c r="E279" i="47"/>
  <c r="E83" i="47"/>
  <c r="H83" i="47"/>
  <c r="G83" i="47"/>
  <c r="N30" i="47"/>
  <c r="E30" i="47"/>
  <c r="E851" i="47"/>
  <c r="G830" i="47"/>
  <c r="K802" i="47"/>
  <c r="I787" i="47"/>
  <c r="Q760" i="47"/>
  <c r="G763" i="47"/>
  <c r="L751" i="47"/>
  <c r="I745" i="47"/>
  <c r="H718" i="47"/>
  <c r="K705" i="47"/>
  <c r="J689" i="47"/>
  <c r="N691" i="47"/>
  <c r="G646" i="47"/>
  <c r="E641" i="47"/>
  <c r="L666" i="47"/>
  <c r="L621" i="47"/>
  <c r="N581" i="47"/>
  <c r="G637" i="47"/>
  <c r="K519" i="47"/>
  <c r="N570" i="47"/>
  <c r="G483" i="47"/>
  <c r="I483" i="47"/>
  <c r="G494" i="47"/>
  <c r="E494" i="47"/>
  <c r="M466" i="47"/>
  <c r="N468" i="47"/>
  <c r="J468" i="47"/>
  <c r="J445" i="47"/>
  <c r="H445" i="47"/>
  <c r="I375" i="47"/>
  <c r="M375" i="47"/>
  <c r="J373" i="47"/>
  <c r="N329" i="47"/>
  <c r="O175" i="47"/>
  <c r="Q175" i="47"/>
  <c r="G279" i="47"/>
  <c r="I135" i="47"/>
  <c r="E135" i="47"/>
  <c r="M135" i="47"/>
  <c r="H135" i="47"/>
  <c r="N135" i="47"/>
  <c r="E273" i="47"/>
  <c r="N273" i="47"/>
  <c r="M273" i="47"/>
  <c r="J273" i="47"/>
  <c r="I460" i="47"/>
  <c r="M460" i="47"/>
  <c r="O410" i="47"/>
  <c r="Q410" i="47"/>
  <c r="L373" i="47"/>
  <c r="M373" i="47"/>
  <c r="M361" i="47"/>
  <c r="E175" i="47"/>
  <c r="N145" i="47"/>
  <c r="I145" i="47"/>
  <c r="E143" i="47"/>
  <c r="H143" i="47"/>
  <c r="L143" i="47"/>
  <c r="E46" i="47"/>
  <c r="N46" i="47"/>
  <c r="N10" i="47"/>
  <c r="M10" i="47"/>
  <c r="H706" i="47"/>
  <c r="I836" i="47"/>
  <c r="G802" i="47"/>
  <c r="E786" i="47"/>
  <c r="L796" i="47"/>
  <c r="N788" i="47"/>
  <c r="H745" i="47"/>
  <c r="H720" i="47"/>
  <c r="K688" i="47"/>
  <c r="I688" i="47"/>
  <c r="I706" i="47"/>
  <c r="N637" i="47"/>
  <c r="K514" i="47"/>
  <c r="E514" i="47"/>
  <c r="G587" i="47"/>
  <c r="Q449" i="47"/>
  <c r="E460" i="47"/>
  <c r="M445" i="47"/>
  <c r="N323" i="47"/>
  <c r="H323" i="47"/>
  <c r="G329" i="47"/>
  <c r="N242" i="47"/>
  <c r="K242" i="47"/>
  <c r="M175" i="47"/>
  <c r="O250" i="47"/>
  <c r="Q250" i="47"/>
  <c r="I83" i="47"/>
  <c r="G20" i="47"/>
  <c r="L20" i="47"/>
  <c r="K20" i="47"/>
  <c r="H20" i="47"/>
  <c r="M20" i="47"/>
  <c r="N20" i="47"/>
  <c r="J20" i="47"/>
  <c r="E20" i="47"/>
  <c r="J745" i="47"/>
  <c r="N852" i="47"/>
  <c r="H852" i="47"/>
  <c r="K843" i="47"/>
  <c r="L836" i="47"/>
  <c r="G818" i="47"/>
  <c r="I751" i="47"/>
  <c r="O696" i="47"/>
  <c r="Q696" i="47"/>
  <c r="Q667" i="47"/>
  <c r="N688" i="47"/>
  <c r="I705" i="47"/>
  <c r="E725" i="47"/>
  <c r="J706" i="47"/>
  <c r="M687" i="47"/>
  <c r="E621" i="47"/>
  <c r="L573" i="47"/>
  <c r="N554" i="47"/>
  <c r="Q492" i="47"/>
  <c r="K522" i="47"/>
  <c r="L566" i="47"/>
  <c r="H578" i="47"/>
  <c r="I490" i="47"/>
  <c r="H587" i="47"/>
  <c r="M542" i="47"/>
  <c r="H460" i="47"/>
  <c r="E445" i="47"/>
  <c r="J409" i="47"/>
  <c r="O374" i="47"/>
  <c r="Q374" i="47"/>
  <c r="H380" i="47"/>
  <c r="N380" i="47"/>
  <c r="G410" i="47"/>
  <c r="L406" i="47"/>
  <c r="I406" i="47"/>
  <c r="H311" i="47"/>
  <c r="J366" i="47"/>
  <c r="Q355" i="47"/>
  <c r="J329" i="47"/>
  <c r="J83" i="47"/>
  <c r="M46" i="47"/>
  <c r="M30" i="47"/>
  <c r="N765" i="47"/>
  <c r="L765" i="47"/>
  <c r="I765" i="47"/>
  <c r="K765" i="47"/>
  <c r="M765" i="47"/>
  <c r="L296" i="47"/>
  <c r="K296" i="47"/>
  <c r="I296" i="47"/>
  <c r="G296" i="47"/>
  <c r="N296" i="47"/>
  <c r="E296" i="47"/>
  <c r="M296" i="47"/>
  <c r="M70" i="47"/>
  <c r="E70" i="47"/>
  <c r="J70" i="47"/>
  <c r="H70" i="47"/>
  <c r="N70" i="47"/>
  <c r="K70" i="47"/>
  <c r="L70" i="47"/>
  <c r="I70" i="47"/>
  <c r="G70" i="47"/>
  <c r="N778" i="47"/>
  <c r="H637" i="47"/>
  <c r="G853" i="47"/>
  <c r="J851" i="47"/>
  <c r="N823" i="47"/>
  <c r="N851" i="47"/>
  <c r="L812" i="47"/>
  <c r="J802" i="47"/>
  <c r="J786" i="47"/>
  <c r="M843" i="47"/>
  <c r="E836" i="47"/>
  <c r="M802" i="47"/>
  <c r="K786" i="47"/>
  <c r="H790" i="47"/>
  <c r="J818" i="47"/>
  <c r="G791" i="47"/>
  <c r="I782" i="47"/>
  <c r="M751" i="47"/>
  <c r="H723" i="47"/>
  <c r="L693" i="47"/>
  <c r="L706" i="47"/>
  <c r="J641" i="47"/>
  <c r="H641" i="47"/>
  <c r="G597" i="47"/>
  <c r="L615" i="47"/>
  <c r="N569" i="47"/>
  <c r="K539" i="47"/>
  <c r="G539" i="47"/>
  <c r="Q570" i="47"/>
  <c r="L637" i="47"/>
  <c r="J570" i="47"/>
  <c r="E570" i="47"/>
  <c r="J453" i="47"/>
  <c r="O507" i="47"/>
  <c r="Q507" i="47"/>
  <c r="J578" i="47"/>
  <c r="H502" i="47"/>
  <c r="H461" i="47"/>
  <c r="G514" i="47"/>
  <c r="M587" i="47"/>
  <c r="G470" i="47"/>
  <c r="N542" i="47"/>
  <c r="J460" i="47"/>
  <c r="G408" i="47"/>
  <c r="J374" i="47"/>
  <c r="I421" i="47"/>
  <c r="H410" i="47"/>
  <c r="K378" i="47"/>
  <c r="Q323" i="47"/>
  <c r="M237" i="47"/>
  <c r="K329" i="47"/>
  <c r="Q191" i="47"/>
  <c r="Q246" i="47"/>
  <c r="G246" i="47"/>
  <c r="M211" i="47"/>
  <c r="L211" i="47"/>
  <c r="E102" i="47"/>
  <c r="G89" i="47"/>
  <c r="E10" i="47"/>
  <c r="E87" i="47"/>
  <c r="N87" i="47"/>
  <c r="I733" i="47"/>
  <c r="I790" i="47"/>
  <c r="H788" i="47"/>
  <c r="L818" i="47"/>
  <c r="Q726" i="47"/>
  <c r="H688" i="47"/>
  <c r="J725" i="47"/>
  <c r="N706" i="47"/>
  <c r="K646" i="47"/>
  <c r="H611" i="47"/>
  <c r="O633" i="47"/>
  <c r="Q633" i="47"/>
  <c r="I629" i="47"/>
  <c r="K569" i="47"/>
  <c r="M637" i="47"/>
  <c r="K570" i="47"/>
  <c r="Q569" i="47"/>
  <c r="M494" i="47"/>
  <c r="G474" i="47"/>
  <c r="M474" i="47"/>
  <c r="I566" i="47"/>
  <c r="J496" i="47"/>
  <c r="I514" i="47"/>
  <c r="K460" i="47"/>
  <c r="G459" i="47"/>
  <c r="H459" i="47"/>
  <c r="I440" i="47"/>
  <c r="K440" i="47"/>
  <c r="G404" i="47"/>
  <c r="K374" i="47"/>
  <c r="N394" i="47"/>
  <c r="L394" i="47"/>
  <c r="E381" i="47"/>
  <c r="J381" i="47"/>
  <c r="G381" i="47"/>
  <c r="L381" i="47"/>
  <c r="E373" i="47"/>
  <c r="J388" i="47"/>
  <c r="K267" i="47"/>
  <c r="G267" i="47"/>
  <c r="O319" i="47"/>
  <c r="Q319" i="47"/>
  <c r="H259" i="47"/>
  <c r="K259" i="47"/>
  <c r="I259" i="47"/>
  <c r="G345" i="47"/>
  <c r="E355" i="47"/>
  <c r="M355" i="47"/>
  <c r="L329" i="47"/>
  <c r="H246" i="47"/>
  <c r="N246" i="47"/>
  <c r="M246" i="47"/>
  <c r="I27" i="47"/>
  <c r="L27" i="47"/>
  <c r="K27" i="47"/>
  <c r="N27" i="47"/>
  <c r="M27" i="47"/>
  <c r="J27" i="47"/>
  <c r="G27" i="47"/>
  <c r="E687" i="47"/>
  <c r="K599" i="47"/>
  <c r="I529" i="47"/>
  <c r="G529" i="47"/>
  <c r="H441" i="47"/>
  <c r="J514" i="47"/>
  <c r="O480" i="47"/>
  <c r="Q480" i="47"/>
  <c r="N460" i="47"/>
  <c r="J434" i="47"/>
  <c r="M372" i="47"/>
  <c r="I372" i="47"/>
  <c r="L145" i="47"/>
  <c r="G784" i="47"/>
  <c r="M720" i="47"/>
  <c r="L720" i="47"/>
  <c r="M706" i="47"/>
  <c r="K834" i="47"/>
  <c r="H806" i="47"/>
  <c r="G823" i="47"/>
  <c r="E798" i="47"/>
  <c r="L844" i="47"/>
  <c r="J790" i="47"/>
  <c r="E762" i="47"/>
  <c r="K764" i="47"/>
  <c r="L784" i="47"/>
  <c r="Q732" i="47"/>
  <c r="L737" i="47"/>
  <c r="M754" i="47"/>
  <c r="M674" i="47"/>
  <c r="N709" i="47"/>
  <c r="G601" i="47"/>
  <c r="M601" i="47"/>
  <c r="K609" i="47"/>
  <c r="I641" i="47"/>
  <c r="H600" i="47"/>
  <c r="H646" i="47"/>
  <c r="H633" i="47"/>
  <c r="G696" i="47"/>
  <c r="N649" i="47"/>
  <c r="N599" i="47"/>
  <c r="I579" i="47"/>
  <c r="L537" i="47"/>
  <c r="E637" i="47"/>
  <c r="O529" i="47"/>
  <c r="Q529" i="47"/>
  <c r="K541" i="47"/>
  <c r="N527" i="47"/>
  <c r="L527" i="47"/>
  <c r="I554" i="47"/>
  <c r="H464" i="47"/>
  <c r="K480" i="47"/>
  <c r="N491" i="47"/>
  <c r="N496" i="47"/>
  <c r="M578" i="47"/>
  <c r="J495" i="47"/>
  <c r="Q494" i="47"/>
  <c r="L514" i="47"/>
  <c r="N464" i="47"/>
  <c r="I495" i="47"/>
  <c r="H542" i="47"/>
  <c r="E496" i="47"/>
  <c r="G469" i="47"/>
  <c r="O460" i="47"/>
  <c r="Q460" i="47"/>
  <c r="E455" i="47"/>
  <c r="L445" i="47"/>
  <c r="H432" i="47"/>
  <c r="G432" i="47"/>
  <c r="G440" i="47"/>
  <c r="Q391" i="47"/>
  <c r="M369" i="47"/>
  <c r="E376" i="47"/>
  <c r="J386" i="47"/>
  <c r="M384" i="47"/>
  <c r="I371" i="47"/>
  <c r="K371" i="47"/>
  <c r="I399" i="47"/>
  <c r="G399" i="47"/>
  <c r="L399" i="47"/>
  <c r="J406" i="47"/>
  <c r="N319" i="47"/>
  <c r="I311" i="47"/>
  <c r="J345" i="47"/>
  <c r="H342" i="47"/>
  <c r="E246" i="47"/>
  <c r="H797" i="47"/>
  <c r="J797" i="47"/>
  <c r="M797" i="47"/>
  <c r="E797" i="47"/>
  <c r="G852" i="47"/>
  <c r="O715" i="47"/>
  <c r="Q715" i="47"/>
  <c r="N754" i="47"/>
  <c r="H713" i="47"/>
  <c r="H676" i="47"/>
  <c r="I725" i="47"/>
  <c r="L667" i="47"/>
  <c r="I709" i="47"/>
  <c r="Q654" i="47"/>
  <c r="E613" i="47"/>
  <c r="I619" i="47"/>
  <c r="H696" i="47"/>
  <c r="N619" i="47"/>
  <c r="Q599" i="47"/>
  <c r="J637" i="47"/>
  <c r="K535" i="47"/>
  <c r="I535" i="47"/>
  <c r="E575" i="47"/>
  <c r="G471" i="47"/>
  <c r="N578" i="47"/>
  <c r="J494" i="47"/>
  <c r="E491" i="47"/>
  <c r="E587" i="47"/>
  <c r="K495" i="47"/>
  <c r="L460" i="47"/>
  <c r="E407" i="47"/>
  <c r="N488" i="47"/>
  <c r="G488" i="47"/>
  <c r="K394" i="47"/>
  <c r="G375" i="47"/>
  <c r="K243" i="47"/>
  <c r="E329" i="47"/>
  <c r="K251" i="47"/>
  <c r="J297" i="47"/>
  <c r="M297" i="47"/>
  <c r="E297" i="47"/>
  <c r="H297" i="47"/>
  <c r="I297" i="47"/>
  <c r="K297" i="47"/>
  <c r="J175" i="47"/>
  <c r="G175" i="47"/>
  <c r="L790" i="47"/>
  <c r="M839" i="47"/>
  <c r="I823" i="47"/>
  <c r="N798" i="47"/>
  <c r="L787" i="47"/>
  <c r="K790" i="47"/>
  <c r="L794" i="47"/>
  <c r="K767" i="47"/>
  <c r="J782" i="47"/>
  <c r="H855" i="47"/>
  <c r="N839" i="47"/>
  <c r="E756" i="47"/>
  <c r="J823" i="47"/>
  <c r="M790" i="47"/>
  <c r="N791" i="47"/>
  <c r="K804" i="47"/>
  <c r="L782" i="47"/>
  <c r="Q784" i="47"/>
  <c r="K776" i="47"/>
  <c r="M731" i="47"/>
  <c r="G720" i="47"/>
  <c r="G755" i="47"/>
  <c r="J749" i="47"/>
  <c r="M693" i="47"/>
  <c r="N681" i="47"/>
  <c r="K725" i="47"/>
  <c r="J709" i="47"/>
  <c r="K597" i="47"/>
  <c r="I597" i="47"/>
  <c r="H597" i="47"/>
  <c r="M625" i="47"/>
  <c r="E597" i="47"/>
  <c r="L646" i="47"/>
  <c r="M609" i="47"/>
  <c r="K621" i="47"/>
  <c r="K500" i="47"/>
  <c r="Q516" i="47"/>
  <c r="L501" i="47"/>
  <c r="K526" i="47"/>
  <c r="H494" i="47"/>
  <c r="H490" i="47"/>
  <c r="M448" i="47"/>
  <c r="K432" i="47"/>
  <c r="H488" i="47"/>
  <c r="H398" i="47"/>
  <c r="N365" i="47"/>
  <c r="I401" i="47"/>
  <c r="K401" i="47"/>
  <c r="K360" i="47"/>
  <c r="H391" i="47"/>
  <c r="J378" i="47"/>
  <c r="L364" i="47"/>
  <c r="I364" i="47"/>
  <c r="J259" i="47"/>
  <c r="M311" i="47"/>
  <c r="H175" i="47"/>
  <c r="I235" i="47"/>
  <c r="O231" i="47"/>
  <c r="Q231" i="47"/>
  <c r="K246" i="47"/>
  <c r="E60" i="47"/>
  <c r="I60" i="47"/>
  <c r="G60" i="47"/>
  <c r="N18" i="47"/>
  <c r="E18" i="47"/>
  <c r="K577" i="47"/>
  <c r="L577" i="47"/>
  <c r="I577" i="47"/>
  <c r="E577" i="47"/>
  <c r="G577" i="47"/>
  <c r="Q527" i="47"/>
  <c r="E855" i="47"/>
  <c r="O515" i="47"/>
  <c r="Q515" i="47"/>
  <c r="M500" i="47"/>
  <c r="J480" i="47"/>
  <c r="G522" i="47"/>
  <c r="K494" i="47"/>
  <c r="J490" i="47"/>
  <c r="I488" i="47"/>
  <c r="G403" i="47"/>
  <c r="E403" i="47"/>
  <c r="E385" i="47"/>
  <c r="E394" i="47"/>
  <c r="N337" i="47"/>
  <c r="H337" i="47"/>
  <c r="H381" i="47"/>
  <c r="L360" i="47"/>
  <c r="G395" i="47"/>
  <c r="E382" i="47"/>
  <c r="G382" i="47"/>
  <c r="H388" i="47"/>
  <c r="K357" i="47"/>
  <c r="E357" i="47"/>
  <c r="N311" i="47"/>
  <c r="H207" i="47"/>
  <c r="L207" i="47"/>
  <c r="H191" i="47"/>
  <c r="L191" i="47"/>
  <c r="M191" i="47"/>
  <c r="E191" i="47"/>
  <c r="H95" i="47"/>
  <c r="E260" i="47"/>
  <c r="M260" i="47"/>
  <c r="L260" i="47"/>
  <c r="N260" i="47"/>
  <c r="K260" i="47"/>
  <c r="G778" i="47"/>
  <c r="N816" i="47"/>
  <c r="N855" i="47"/>
  <c r="K839" i="47"/>
  <c r="K798" i="47"/>
  <c r="N790" i="47"/>
  <c r="M787" i="47"/>
  <c r="G794" i="47"/>
  <c r="E782" i="47"/>
  <c r="O746" i="47"/>
  <c r="Q746" i="47"/>
  <c r="I710" i="47"/>
  <c r="J713" i="47"/>
  <c r="M713" i="47"/>
  <c r="K706" i="47"/>
  <c r="M709" i="47"/>
  <c r="Q607" i="47"/>
  <c r="E625" i="47"/>
  <c r="E609" i="47"/>
  <c r="G621" i="47"/>
  <c r="N575" i="47"/>
  <c r="H562" i="47"/>
  <c r="J562" i="47"/>
  <c r="G473" i="47"/>
  <c r="I494" i="47"/>
  <c r="N522" i="47"/>
  <c r="G503" i="47"/>
  <c r="N494" i="47"/>
  <c r="L490" i="47"/>
  <c r="K446" i="47"/>
  <c r="Q445" i="47"/>
  <c r="K477" i="47"/>
  <c r="H375" i="47"/>
  <c r="K381" i="47"/>
  <c r="L294" i="47"/>
  <c r="M294" i="47"/>
  <c r="K331" i="47"/>
  <c r="M331" i="47"/>
  <c r="N251" i="47"/>
  <c r="L251" i="47"/>
  <c r="O207" i="47"/>
  <c r="Q207" i="47"/>
  <c r="I131" i="47"/>
  <c r="E131" i="47"/>
  <c r="J131" i="47"/>
  <c r="M131" i="47"/>
  <c r="G131" i="47"/>
  <c r="K131" i="47"/>
  <c r="M143" i="47"/>
  <c r="O39" i="47"/>
  <c r="Q39" i="47"/>
  <c r="E790" i="47"/>
  <c r="K855" i="47"/>
  <c r="Q832" i="47"/>
  <c r="G782" i="47"/>
  <c r="M792" i="47"/>
  <c r="L713" i="47"/>
  <c r="K720" i="47"/>
  <c r="Q755" i="47"/>
  <c r="M667" i="47"/>
  <c r="J667" i="47"/>
  <c r="L701" i="47"/>
  <c r="G625" i="47"/>
  <c r="H621" i="47"/>
  <c r="M554" i="47"/>
  <c r="M493" i="47"/>
  <c r="J493" i="47"/>
  <c r="K566" i="47"/>
  <c r="K490" i="47"/>
  <c r="L482" i="47"/>
  <c r="G555" i="47"/>
  <c r="K504" i="47"/>
  <c r="G498" i="47"/>
  <c r="M469" i="47"/>
  <c r="M446" i="47"/>
  <c r="K396" i="47"/>
  <c r="I396" i="47"/>
  <c r="K488" i="47"/>
  <c r="M381" i="47"/>
  <c r="E360" i="47"/>
  <c r="N381" i="47"/>
  <c r="I388" i="47"/>
  <c r="J383" i="47"/>
  <c r="E383" i="47"/>
  <c r="J335" i="47"/>
  <c r="G335" i="47"/>
  <c r="E278" i="47"/>
  <c r="L278" i="47"/>
  <c r="M278" i="47"/>
  <c r="E219" i="47"/>
  <c r="G179" i="47"/>
  <c r="I179" i="47"/>
  <c r="I207" i="47"/>
  <c r="E255" i="47"/>
  <c r="N255" i="47"/>
  <c r="I191" i="47"/>
  <c r="K3" i="47"/>
  <c r="L3" i="47"/>
  <c r="J3" i="47"/>
  <c r="H3" i="47"/>
  <c r="E3" i="47"/>
  <c r="N3" i="47"/>
  <c r="M3" i="47"/>
  <c r="O435" i="47"/>
  <c r="Q435" i="47"/>
  <c r="L851" i="47"/>
  <c r="I810" i="47"/>
  <c r="G810" i="47"/>
  <c r="N782" i="47"/>
  <c r="I802" i="47"/>
  <c r="H782" i="47"/>
  <c r="L709" i="47"/>
  <c r="K641" i="47"/>
  <c r="J621" i="47"/>
  <c r="G531" i="47"/>
  <c r="Q555" i="47"/>
  <c r="N489" i="47"/>
  <c r="L489" i="47"/>
  <c r="E417" i="47"/>
  <c r="I417" i="47"/>
  <c r="O422" i="47"/>
  <c r="Q422" i="47"/>
  <c r="G380" i="47"/>
  <c r="H360" i="47"/>
  <c r="I381" i="47"/>
  <c r="I392" i="47"/>
  <c r="G358" i="47"/>
  <c r="K383" i="47"/>
  <c r="J382" i="47"/>
  <c r="E388" i="47"/>
  <c r="M366" i="47"/>
  <c r="K221" i="47"/>
  <c r="L221" i="47"/>
  <c r="M221" i="47"/>
  <c r="E259" i="47"/>
  <c r="L266" i="47"/>
  <c r="J275" i="47"/>
  <c r="E275" i="47"/>
  <c r="K275" i="47"/>
  <c r="K207" i="47"/>
  <c r="Q613" i="47"/>
  <c r="N781" i="47"/>
  <c r="L781" i="47"/>
  <c r="G177" i="47"/>
  <c r="M177" i="47"/>
  <c r="N177" i="47"/>
  <c r="E813" i="47"/>
  <c r="N624" i="47"/>
  <c r="M624" i="47"/>
  <c r="L624" i="47"/>
  <c r="N813" i="47"/>
  <c r="H829" i="47"/>
  <c r="M655" i="47"/>
  <c r="G655" i="47"/>
  <c r="E412" i="47"/>
  <c r="L412" i="47"/>
  <c r="K412" i="47"/>
  <c r="I412" i="47"/>
  <c r="M412" i="47"/>
  <c r="J412" i="47"/>
  <c r="H412" i="47"/>
  <c r="H415" i="47"/>
  <c r="K415" i="47"/>
  <c r="K305" i="47"/>
  <c r="I305" i="47"/>
  <c r="E305" i="47"/>
  <c r="N201" i="47"/>
  <c r="J201" i="47"/>
  <c r="H201" i="47"/>
  <c r="L238" i="47"/>
  <c r="L200" i="47"/>
  <c r="E59" i="47"/>
  <c r="H59" i="47"/>
  <c r="J7" i="47"/>
  <c r="K368" i="47"/>
  <c r="I307" i="47"/>
  <c r="G187" i="47"/>
  <c r="K181" i="47"/>
  <c r="I187" i="47"/>
  <c r="I20" i="47"/>
  <c r="G99" i="47"/>
  <c r="M73" i="47"/>
  <c r="J624" i="47"/>
  <c r="N655" i="47"/>
  <c r="H331" i="47"/>
  <c r="L647" i="47"/>
  <c r="H673" i="47"/>
  <c r="I317" i="47"/>
  <c r="N305" i="47"/>
  <c r="E201" i="47"/>
  <c r="K100" i="47"/>
  <c r="G100" i="47"/>
  <c r="N212" i="47"/>
  <c r="N25" i="47"/>
  <c r="K25" i="47"/>
  <c r="H25" i="47"/>
  <c r="G155" i="47"/>
  <c r="H211" i="47"/>
  <c r="L759" i="47"/>
  <c r="L789" i="47"/>
  <c r="K789" i="47"/>
  <c r="L829" i="47"/>
  <c r="I614" i="47"/>
  <c r="N614" i="47"/>
  <c r="M614" i="47"/>
  <c r="L614" i="47"/>
  <c r="L821" i="47"/>
  <c r="M585" i="47"/>
  <c r="J652" i="47"/>
  <c r="N652" i="47"/>
  <c r="I673" i="47"/>
  <c r="M287" i="47"/>
  <c r="M212" i="47"/>
  <c r="Q680" i="47"/>
  <c r="K301" i="47"/>
  <c r="K472" i="47"/>
  <c r="G306" i="47"/>
  <c r="E110" i="47"/>
  <c r="G147" i="47"/>
  <c r="I155" i="47"/>
  <c r="I189" i="47"/>
  <c r="N445" i="47"/>
  <c r="G389" i="47"/>
  <c r="H387" i="47"/>
  <c r="Q364" i="47"/>
  <c r="I355" i="47"/>
  <c r="M307" i="47"/>
  <c r="L203" i="47"/>
  <c r="N99" i="47"/>
  <c r="H141" i="47"/>
  <c r="M99" i="47"/>
  <c r="I846" i="47"/>
  <c r="L846" i="47"/>
  <c r="E846" i="47"/>
  <c r="K624" i="47"/>
  <c r="E427" i="47"/>
  <c r="I427" i="47"/>
  <c r="G821" i="47"/>
  <c r="H326" i="47"/>
  <c r="J326" i="47"/>
  <c r="L506" i="47"/>
  <c r="G506" i="47"/>
  <c r="H263" i="47"/>
  <c r="N297" i="47"/>
  <c r="J163" i="47"/>
  <c r="I163" i="47"/>
  <c r="H296" i="47"/>
  <c r="M182" i="47"/>
  <c r="N182" i="47"/>
  <c r="K182" i="47"/>
  <c r="G90" i="47"/>
  <c r="J90" i="47"/>
  <c r="Q291" i="47"/>
  <c r="K57" i="47"/>
  <c r="M88" i="47"/>
  <c r="H88" i="47"/>
  <c r="N136" i="47"/>
  <c r="H147" i="47"/>
  <c r="L155" i="47"/>
  <c r="L163" i="47"/>
  <c r="L57" i="47"/>
  <c r="J57" i="47"/>
  <c r="E256" i="47"/>
  <c r="J616" i="47"/>
  <c r="K616" i="47"/>
  <c r="G616" i="47"/>
  <c r="N616" i="47"/>
  <c r="J620" i="47"/>
  <c r="M620" i="47"/>
  <c r="H193" i="47"/>
  <c r="L147" i="47"/>
  <c r="N155" i="47"/>
  <c r="J256" i="47"/>
  <c r="N708" i="47"/>
  <c r="K708" i="47"/>
  <c r="G263" i="47"/>
  <c r="L263" i="47"/>
  <c r="K104" i="47"/>
  <c r="J216" i="47"/>
  <c r="N148" i="47"/>
  <c r="H212" i="47"/>
  <c r="N21" i="47"/>
  <c r="K21" i="47"/>
  <c r="Q155" i="47"/>
  <c r="J586" i="47"/>
  <c r="E616" i="47"/>
  <c r="E620" i="47"/>
  <c r="L510" i="47"/>
  <c r="I510" i="47"/>
  <c r="M673" i="47"/>
  <c r="M218" i="47"/>
  <c r="J218" i="47"/>
  <c r="M243" i="47"/>
  <c r="N243" i="47"/>
  <c r="J263" i="47"/>
  <c r="H680" i="47"/>
  <c r="G340" i="47"/>
  <c r="G247" i="47"/>
  <c r="G159" i="47"/>
  <c r="E194" i="47"/>
  <c r="N193" i="47"/>
  <c r="I149" i="47"/>
  <c r="N24" i="47"/>
  <c r="H57" i="47"/>
  <c r="J813" i="47"/>
  <c r="M829" i="47"/>
  <c r="K586" i="47"/>
  <c r="I616" i="47"/>
  <c r="E708" i="47"/>
  <c r="Q826" i="47"/>
  <c r="N620" i="47"/>
  <c r="E192" i="47"/>
  <c r="G192" i="47"/>
  <c r="M263" i="47"/>
  <c r="M680" i="47"/>
  <c r="G262" i="47"/>
  <c r="M148" i="47"/>
  <c r="I148" i="47"/>
  <c r="G148" i="47"/>
  <c r="K148" i="47"/>
  <c r="J148" i="47"/>
  <c r="K212" i="47"/>
  <c r="K125" i="47"/>
  <c r="J194" i="47"/>
  <c r="J168" i="47"/>
  <c r="N37" i="47"/>
  <c r="L37" i="47"/>
  <c r="J37" i="47"/>
  <c r="H37" i="47"/>
  <c r="G39" i="47"/>
  <c r="K256" i="47"/>
  <c r="L53" i="47"/>
  <c r="M662" i="47"/>
  <c r="N662" i="47"/>
  <c r="G400" i="47"/>
  <c r="H400" i="47"/>
  <c r="I400" i="47"/>
  <c r="G691" i="47"/>
  <c r="I691" i="47"/>
  <c r="E691" i="47"/>
  <c r="H436" i="47"/>
  <c r="J436" i="47"/>
  <c r="I436" i="47"/>
  <c r="I404" i="47"/>
  <c r="H404" i="47"/>
  <c r="M214" i="47"/>
  <c r="E214" i="47"/>
  <c r="E188" i="47"/>
  <c r="H188" i="47"/>
  <c r="N680" i="47"/>
  <c r="N340" i="47"/>
  <c r="J209" i="47"/>
  <c r="I209" i="47"/>
  <c r="G209" i="47"/>
  <c r="K194" i="47"/>
  <c r="E193" i="47"/>
  <c r="G105" i="47"/>
  <c r="N29" i="47"/>
  <c r="M168" i="47"/>
  <c r="L256" i="47"/>
  <c r="H75" i="47"/>
  <c r="Q686" i="47"/>
  <c r="Q586" i="47"/>
  <c r="I853" i="47"/>
  <c r="H853" i="47"/>
  <c r="M691" i="47"/>
  <c r="N456" i="47"/>
  <c r="I456" i="47"/>
  <c r="H456" i="47"/>
  <c r="G456" i="47"/>
  <c r="E456" i="47"/>
  <c r="M456" i="47"/>
  <c r="K456" i="47"/>
  <c r="Q593" i="47"/>
  <c r="K295" i="47"/>
  <c r="N673" i="47"/>
  <c r="N238" i="47"/>
  <c r="E680" i="47"/>
  <c r="K252" i="47"/>
  <c r="M252" i="47"/>
  <c r="M230" i="47"/>
  <c r="K230" i="47"/>
  <c r="J230" i="47"/>
  <c r="E230" i="47"/>
  <c r="E122" i="47"/>
  <c r="E184" i="47"/>
  <c r="E234" i="47"/>
  <c r="E125" i="47"/>
  <c r="G4" i="47"/>
  <c r="L4" i="47"/>
  <c r="H105" i="47"/>
  <c r="E149" i="47"/>
  <c r="J5" i="47"/>
  <c r="K37" i="47"/>
  <c r="M256" i="47"/>
  <c r="H199" i="47"/>
  <c r="I274" i="47"/>
  <c r="K157" i="47"/>
  <c r="K821" i="47"/>
  <c r="J821" i="47"/>
  <c r="G731" i="47"/>
  <c r="J723" i="47"/>
  <c r="J829" i="47"/>
  <c r="N829" i="47"/>
  <c r="H454" i="47"/>
  <c r="K454" i="47"/>
  <c r="M454" i="47"/>
  <c r="J454" i="47"/>
  <c r="M450" i="47"/>
  <c r="K620" i="47"/>
  <c r="M553" i="47"/>
  <c r="E673" i="47"/>
  <c r="Q238" i="47"/>
  <c r="I680" i="47"/>
  <c r="H252" i="47"/>
  <c r="G317" i="47"/>
  <c r="L226" i="47"/>
  <c r="K226" i="47"/>
  <c r="J317" i="47"/>
  <c r="L230" i="47"/>
  <c r="J184" i="47"/>
  <c r="G149" i="47"/>
  <c r="N9" i="47"/>
  <c r="J75" i="47"/>
  <c r="G7" i="47"/>
  <c r="N256" i="47"/>
  <c r="K686" i="47"/>
  <c r="M686" i="47"/>
  <c r="L620" i="47"/>
  <c r="L262" i="47"/>
  <c r="K262" i="47"/>
  <c r="K317" i="47"/>
  <c r="J192" i="47"/>
  <c r="H177" i="47"/>
  <c r="E199" i="47"/>
  <c r="N183" i="47"/>
  <c r="K203" i="47"/>
  <c r="G114" i="47"/>
  <c r="E54" i="47"/>
  <c r="H662" i="47"/>
  <c r="L616" i="47"/>
  <c r="I813" i="47"/>
  <c r="E726" i="47"/>
  <c r="H767" i="47"/>
  <c r="G606" i="47"/>
  <c r="N450" i="47"/>
  <c r="M436" i="47"/>
  <c r="H647" i="47"/>
  <c r="I620" i="47"/>
  <c r="K673" i="47"/>
  <c r="Q162" i="47"/>
  <c r="N414" i="47"/>
  <c r="I103" i="47"/>
  <c r="N103" i="47"/>
  <c r="K103" i="47"/>
  <c r="G103" i="47"/>
  <c r="J260" i="47"/>
  <c r="E317" i="47"/>
  <c r="J301" i="47"/>
  <c r="N209" i="47"/>
  <c r="G128" i="47"/>
  <c r="L306" i="47"/>
  <c r="L216" i="47"/>
  <c r="M188" i="47"/>
  <c r="L21" i="47"/>
  <c r="I184" i="47"/>
  <c r="J21" i="47"/>
  <c r="L103" i="47"/>
  <c r="E202" i="47"/>
  <c r="H5" i="47"/>
  <c r="E210" i="47"/>
  <c r="L431" i="47"/>
  <c r="H386" i="47"/>
  <c r="L421" i="47"/>
  <c r="N366" i="47"/>
  <c r="G307" i="47"/>
  <c r="H114" i="47"/>
  <c r="H60" i="47"/>
  <c r="L9" i="18"/>
  <c r="E849" i="47"/>
  <c r="M849" i="47"/>
  <c r="J849" i="47"/>
  <c r="I849" i="47"/>
  <c r="H849" i="47"/>
  <c r="N849" i="47"/>
  <c r="L849" i="47"/>
  <c r="G849" i="47"/>
  <c r="Q816" i="47"/>
  <c r="M708" i="47"/>
  <c r="L813" i="47"/>
  <c r="E829" i="47"/>
  <c r="I561" i="47"/>
  <c r="L606" i="47"/>
  <c r="G647" i="47"/>
  <c r="I647" i="47"/>
  <c r="G436" i="47"/>
  <c r="I359" i="47"/>
  <c r="L359" i="47"/>
  <c r="K359" i="47"/>
  <c r="E652" i="47"/>
  <c r="E306" i="47"/>
  <c r="Q243" i="47"/>
  <c r="H305" i="47"/>
  <c r="L472" i="47"/>
  <c r="E209" i="47"/>
  <c r="N306" i="47"/>
  <c r="G301" i="47"/>
  <c r="N214" i="47"/>
  <c r="K234" i="47"/>
  <c r="M37" i="47"/>
  <c r="G158" i="47"/>
  <c r="J158" i="47"/>
  <c r="K5" i="47"/>
  <c r="J202" i="47"/>
  <c r="J53" i="47"/>
  <c r="L148" i="47"/>
  <c r="I79" i="47"/>
  <c r="H813" i="47"/>
  <c r="H669" i="47"/>
  <c r="L669" i="47"/>
  <c r="K669" i="47"/>
  <c r="I669" i="47"/>
  <c r="J605" i="47"/>
  <c r="I605" i="47"/>
  <c r="J669" i="47"/>
  <c r="K829" i="47"/>
  <c r="E624" i="47"/>
  <c r="M813" i="47"/>
  <c r="J606" i="47"/>
  <c r="N436" i="47"/>
  <c r="K527" i="47"/>
  <c r="J527" i="47"/>
  <c r="I527" i="47"/>
  <c r="E466" i="47"/>
  <c r="G652" i="47"/>
  <c r="H340" i="47"/>
  <c r="H163" i="47"/>
  <c r="G305" i="47"/>
  <c r="H209" i="47"/>
  <c r="N97" i="47"/>
  <c r="M97" i="47"/>
  <c r="K97" i="47"/>
  <c r="H189" i="47"/>
  <c r="N189" i="47"/>
  <c r="J189" i="47"/>
  <c r="M472" i="47"/>
  <c r="L212" i="47"/>
  <c r="M158" i="47"/>
  <c r="J155" i="47"/>
  <c r="N158" i="47"/>
  <c r="K155" i="47"/>
  <c r="H53" i="47"/>
  <c r="Q575" i="47"/>
  <c r="Q69" i="47"/>
  <c r="Q116" i="47"/>
  <c r="Q159" i="47"/>
  <c r="N857" i="47"/>
  <c r="M857" i="47"/>
  <c r="L857" i="47"/>
  <c r="K857" i="47"/>
  <c r="J857" i="47"/>
  <c r="H857" i="47"/>
  <c r="E857" i="47"/>
  <c r="I857" i="47"/>
  <c r="G857" i="47"/>
  <c r="O547" i="47"/>
  <c r="Q459" i="47"/>
  <c r="N856" i="47"/>
  <c r="L856" i="47"/>
  <c r="K856" i="47"/>
  <c r="O735" i="47"/>
  <c r="Q307" i="47"/>
  <c r="Q663" i="47"/>
  <c r="Q504" i="47"/>
  <c r="Q572" i="47"/>
  <c r="O385" i="47"/>
  <c r="O380" i="47"/>
  <c r="Q514" i="47"/>
  <c r="Q455" i="47"/>
  <c r="Q448" i="47"/>
  <c r="Q706" i="47"/>
  <c r="Q562" i="47"/>
  <c r="O398" i="47"/>
  <c r="Q406" i="47"/>
  <c r="Q687" i="47"/>
  <c r="O521" i="47"/>
  <c r="Q249" i="47"/>
  <c r="Q754" i="47"/>
  <c r="Q564" i="47"/>
  <c r="Q123" i="47"/>
  <c r="Q840" i="47"/>
  <c r="Q808" i="47"/>
  <c r="O695" i="47"/>
  <c r="Q311" i="47"/>
  <c r="Q432" i="47"/>
  <c r="Q259" i="47"/>
  <c r="Q223" i="47"/>
  <c r="Q566" i="47"/>
  <c r="Q526" i="47"/>
  <c r="Q63" i="47"/>
  <c r="Q112" i="47"/>
  <c r="Q595" i="47"/>
  <c r="Q603" i="47"/>
  <c r="Q855" i="47"/>
  <c r="Q363" i="47"/>
  <c r="Q368" i="47"/>
  <c r="O851" i="47"/>
  <c r="Q745" i="47"/>
  <c r="Q525" i="47"/>
  <c r="Q387" i="47"/>
  <c r="Q245" i="47"/>
  <c r="Q496" i="47"/>
  <c r="Q725" i="47"/>
  <c r="O791" i="47"/>
  <c r="Q345" i="47"/>
  <c r="Q279" i="47"/>
  <c r="Q705" i="47"/>
  <c r="Q700" i="47"/>
  <c r="Q382" i="47"/>
  <c r="O239" i="47"/>
  <c r="Q649" i="47"/>
  <c r="O550" i="47"/>
  <c r="Q659" i="47"/>
  <c r="Q478" i="47"/>
  <c r="Q351" i="47"/>
  <c r="Q689" i="47"/>
  <c r="Q468" i="47"/>
  <c r="Q822" i="47"/>
  <c r="Q685" i="47"/>
  <c r="Q452" i="47"/>
  <c r="O325" i="47"/>
  <c r="Q331" i="47"/>
  <c r="O701" i="47"/>
  <c r="Q671" i="47"/>
  <c r="Q646" i="47"/>
  <c r="O494" i="47"/>
  <c r="Q488" i="47"/>
  <c r="O370" i="47"/>
  <c r="Q105" i="47"/>
  <c r="Q150" i="47"/>
  <c r="Q93" i="47"/>
  <c r="Q739" i="47"/>
  <c r="Q551" i="47"/>
  <c r="Q581" i="47"/>
  <c r="O386" i="47"/>
  <c r="Q329" i="47"/>
  <c r="Q211" i="47"/>
  <c r="Q73" i="47"/>
  <c r="Q713" i="47"/>
  <c r="O491" i="47"/>
  <c r="Q402" i="47"/>
  <c r="Q165" i="47"/>
  <c r="Q578" i="47"/>
  <c r="O692" i="47"/>
  <c r="Q690" i="47"/>
  <c r="Q498" i="47"/>
  <c r="O440" i="47"/>
  <c r="Q372" i="47"/>
  <c r="Q394" i="47"/>
  <c r="O215" i="47"/>
  <c r="Q282" i="47"/>
  <c r="O173" i="47"/>
  <c r="Q139" i="47"/>
  <c r="O502" i="47"/>
  <c r="Q670" i="47"/>
  <c r="O421" i="47"/>
  <c r="Q605" i="47"/>
  <c r="Q587" i="47"/>
  <c r="Q271" i="47"/>
  <c r="Q60" i="47"/>
  <c r="Q77" i="47"/>
  <c r="Q768" i="47"/>
  <c r="Q751" i="47"/>
  <c r="Q681" i="47"/>
  <c r="Q704" i="47"/>
  <c r="Q627" i="47"/>
  <c r="O617" i="47"/>
  <c r="O479" i="47"/>
  <c r="Q330" i="47"/>
  <c r="Q199" i="47"/>
  <c r="Q315" i="47"/>
  <c r="O539" i="47"/>
  <c r="Q847" i="47"/>
  <c r="Q802" i="47"/>
  <c r="Q772" i="47"/>
  <c r="Q302" i="47"/>
  <c r="Q274" i="47"/>
  <c r="Q135" i="47"/>
  <c r="Q836" i="47"/>
  <c r="Q804" i="47"/>
  <c r="Q782" i="47"/>
  <c r="Q721" i="47"/>
  <c r="Q709" i="47"/>
  <c r="Q546" i="47"/>
  <c r="O568" i="47"/>
  <c r="Q163" i="47"/>
  <c r="Q64" i="47"/>
  <c r="Q545" i="47"/>
  <c r="Q495" i="47"/>
  <c r="Q56" i="47"/>
  <c r="Q535" i="47"/>
  <c r="Q375" i="47"/>
  <c r="Q129" i="47"/>
  <c r="Q107" i="47"/>
  <c r="N106" i="47"/>
  <c r="K106" i="47"/>
  <c r="Q106" i="47"/>
  <c r="M780" i="47"/>
  <c r="J780" i="47"/>
  <c r="M763" i="47"/>
  <c r="K511" i="47"/>
  <c r="N511" i="47"/>
  <c r="J511" i="47"/>
  <c r="I511" i="47"/>
  <c r="H511" i="47"/>
  <c r="G511" i="47"/>
  <c r="E511" i="47"/>
  <c r="M517" i="47"/>
  <c r="K517" i="47"/>
  <c r="I517" i="47"/>
  <c r="H517" i="47"/>
  <c r="G517" i="47"/>
  <c r="L517" i="47"/>
  <c r="N517" i="47"/>
  <c r="N827" i="47"/>
  <c r="E827" i="47"/>
  <c r="H827" i="47"/>
  <c r="G827" i="47"/>
  <c r="K827" i="47"/>
  <c r="Q691" i="47"/>
  <c r="O691" i="47"/>
  <c r="G670" i="47"/>
  <c r="M670" i="47"/>
  <c r="J670" i="47"/>
  <c r="H670" i="47"/>
  <c r="K661" i="47"/>
  <c r="J661" i="47"/>
  <c r="E661" i="47"/>
  <c r="N661" i="47"/>
  <c r="L661" i="47"/>
  <c r="M661" i="47"/>
  <c r="E717" i="47"/>
  <c r="O580" i="47"/>
  <c r="Q580" i="47"/>
  <c r="E774" i="47"/>
  <c r="L774" i="47"/>
  <c r="I774" i="47"/>
  <c r="N774" i="47"/>
  <c r="K774" i="47"/>
  <c r="H774" i="47"/>
  <c r="G774" i="47"/>
  <c r="N719" i="47"/>
  <c r="M719" i="47"/>
  <c r="J719" i="47"/>
  <c r="H719" i="47"/>
  <c r="G719" i="47"/>
  <c r="E719" i="47"/>
  <c r="Q830" i="47"/>
  <c r="N808" i="47"/>
  <c r="E792" i="47"/>
  <c r="L763" i="47"/>
  <c r="E753" i="47"/>
  <c r="J753" i="47"/>
  <c r="I753" i="47"/>
  <c r="N746" i="47"/>
  <c r="G746" i="47"/>
  <c r="E746" i="47"/>
  <c r="H763" i="47"/>
  <c r="N743" i="47"/>
  <c r="L743" i="47"/>
  <c r="G712" i="47"/>
  <c r="I712" i="47"/>
  <c r="L728" i="47"/>
  <c r="J728" i="47"/>
  <c r="E728" i="47"/>
  <c r="N728" i="47"/>
  <c r="M728" i="47"/>
  <c r="L803" i="47"/>
  <c r="Q820" i="47"/>
  <c r="J684" i="47"/>
  <c r="M681" i="47"/>
  <c r="I670" i="47"/>
  <c r="I695" i="47"/>
  <c r="G717" i="47"/>
  <c r="E681" i="47"/>
  <c r="O645" i="47"/>
  <c r="K687" i="47"/>
  <c r="N666" i="47"/>
  <c r="G654" i="47"/>
  <c r="K654" i="47"/>
  <c r="N654" i="47"/>
  <c r="J654" i="47"/>
  <c r="E590" i="47"/>
  <c r="J590" i="47"/>
  <c r="L590" i="47"/>
  <c r="H590" i="47"/>
  <c r="L511" i="47"/>
  <c r="K724" i="47"/>
  <c r="G724" i="47"/>
  <c r="M812" i="47"/>
  <c r="J812" i="47"/>
  <c r="I812" i="47"/>
  <c r="M836" i="47"/>
  <c r="I786" i="47"/>
  <c r="H786" i="47"/>
  <c r="N786" i="47"/>
  <c r="G786" i="47"/>
  <c r="G851" i="47"/>
  <c r="I855" i="47"/>
  <c r="I827" i="47"/>
  <c r="H839" i="47"/>
  <c r="G839" i="47"/>
  <c r="G847" i="47"/>
  <c r="E839" i="47"/>
  <c r="I806" i="47"/>
  <c r="N836" i="47"/>
  <c r="M830" i="47"/>
  <c r="J806" i="47"/>
  <c r="G836" i="47"/>
  <c r="H794" i="47"/>
  <c r="E727" i="47"/>
  <c r="L780" i="47"/>
  <c r="K792" i="47"/>
  <c r="Q707" i="47"/>
  <c r="O707" i="47"/>
  <c r="N730" i="47"/>
  <c r="L730" i="47"/>
  <c r="J730" i="47"/>
  <c r="H730" i="47"/>
  <c r="G730" i="47"/>
  <c r="K746" i="47"/>
  <c r="G753" i="47"/>
  <c r="J763" i="47"/>
  <c r="G743" i="47"/>
  <c r="L745" i="47"/>
  <c r="N727" i="47"/>
  <c r="J732" i="47"/>
  <c r="J724" i="47"/>
  <c r="E755" i="47"/>
  <c r="N803" i="47"/>
  <c r="M737" i="47"/>
  <c r="G754" i="47"/>
  <c r="E754" i="47"/>
  <c r="G721" i="47"/>
  <c r="K721" i="47"/>
  <c r="L684" i="47"/>
  <c r="K670" i="47"/>
  <c r="L717" i="47"/>
  <c r="H681" i="47"/>
  <c r="H717" i="47"/>
  <c r="G681" i="47"/>
  <c r="N670" i="47"/>
  <c r="K681" i="47"/>
  <c r="J611" i="47"/>
  <c r="M582" i="47"/>
  <c r="L582" i="47"/>
  <c r="H582" i="47"/>
  <c r="N582" i="47"/>
  <c r="K582" i="47"/>
  <c r="J582" i="47"/>
  <c r="I582" i="47"/>
  <c r="G582" i="47"/>
  <c r="E582" i="47"/>
  <c r="J646" i="47"/>
  <c r="I617" i="47"/>
  <c r="L687" i="47"/>
  <c r="O641" i="47"/>
  <c r="H607" i="47"/>
  <c r="I607" i="47"/>
  <c r="I599" i="47"/>
  <c r="H599" i="47"/>
  <c r="J599" i="47"/>
  <c r="M575" i="47"/>
  <c r="N457" i="47"/>
  <c r="I457" i="47"/>
  <c r="H457" i="47"/>
  <c r="G457" i="47"/>
  <c r="E457" i="47"/>
  <c r="L457" i="47"/>
  <c r="J457" i="47"/>
  <c r="K457" i="47"/>
  <c r="M457" i="47"/>
  <c r="K822" i="47"/>
  <c r="J822" i="47"/>
  <c r="N738" i="47"/>
  <c r="K738" i="47"/>
  <c r="G738" i="47"/>
  <c r="G855" i="47"/>
  <c r="E843" i="47"/>
  <c r="K824" i="47"/>
  <c r="I851" i="47"/>
  <c r="J855" i="47"/>
  <c r="J827" i="47"/>
  <c r="J830" i="47"/>
  <c r="H847" i="47"/>
  <c r="I839" i="47"/>
  <c r="N830" i="47"/>
  <c r="L802" i="47"/>
  <c r="N766" i="47"/>
  <c r="K766" i="47"/>
  <c r="M796" i="47"/>
  <c r="I796" i="47"/>
  <c r="H796" i="47"/>
  <c r="G796" i="47"/>
  <c r="H831" i="47"/>
  <c r="I822" i="47"/>
  <c r="E818" i="47"/>
  <c r="G788" i="47"/>
  <c r="K722" i="47"/>
  <c r="I722" i="47"/>
  <c r="H722" i="47"/>
  <c r="N722" i="47"/>
  <c r="M722" i="47"/>
  <c r="L722" i="47"/>
  <c r="G722" i="47"/>
  <c r="J722" i="47"/>
  <c r="E722" i="47"/>
  <c r="L738" i="47"/>
  <c r="N792" i="47"/>
  <c r="H783" i="47"/>
  <c r="I760" i="47"/>
  <c r="J760" i="47"/>
  <c r="L746" i="47"/>
  <c r="O753" i="47"/>
  <c r="K763" i="47"/>
  <c r="J751" i="47"/>
  <c r="G751" i="47"/>
  <c r="H743" i="47"/>
  <c r="M745" i="47"/>
  <c r="M712" i="47"/>
  <c r="H732" i="47"/>
  <c r="L724" i="47"/>
  <c r="Q729" i="47"/>
  <c r="H679" i="47"/>
  <c r="N737" i="47"/>
  <c r="L721" i="47"/>
  <c r="I701" i="47"/>
  <c r="H632" i="47"/>
  <c r="L670" i="47"/>
  <c r="K693" i="47"/>
  <c r="H693" i="47"/>
  <c r="G693" i="47"/>
  <c r="L650" i="47"/>
  <c r="E650" i="47"/>
  <c r="N650" i="47"/>
  <c r="M650" i="47"/>
  <c r="G650" i="47"/>
  <c r="J717" i="47"/>
  <c r="N588" i="47"/>
  <c r="L588" i="47"/>
  <c r="K588" i="47"/>
  <c r="I588" i="47"/>
  <c r="E588" i="47"/>
  <c r="N576" i="47"/>
  <c r="I576" i="47"/>
  <c r="M576" i="47"/>
  <c r="L576" i="47"/>
  <c r="K576" i="47"/>
  <c r="J576" i="47"/>
  <c r="G576" i="47"/>
  <c r="E576" i="47"/>
  <c r="L645" i="47"/>
  <c r="K645" i="47"/>
  <c r="I645" i="47"/>
  <c r="E646" i="47"/>
  <c r="N629" i="47"/>
  <c r="J629" i="47"/>
  <c r="H629" i="47"/>
  <c r="G629" i="47"/>
  <c r="E629" i="47"/>
  <c r="E654" i="47"/>
  <c r="Q815" i="47"/>
  <c r="H818" i="47"/>
  <c r="K807" i="47"/>
  <c r="E807" i="47"/>
  <c r="K719" i="47"/>
  <c r="L764" i="47"/>
  <c r="J764" i="47"/>
  <c r="M738" i="47"/>
  <c r="G780" i="47"/>
  <c r="N763" i="47"/>
  <c r="E763" i="47"/>
  <c r="M746" i="47"/>
  <c r="M743" i="47"/>
  <c r="N745" i="47"/>
  <c r="I732" i="47"/>
  <c r="N724" i="47"/>
  <c r="N721" i="47"/>
  <c r="H674" i="47"/>
  <c r="O684" i="47"/>
  <c r="L704" i="47"/>
  <c r="K678" i="47"/>
  <c r="I678" i="47"/>
  <c r="L678" i="47"/>
  <c r="K717" i="47"/>
  <c r="H687" i="47"/>
  <c r="H654" i="47"/>
  <c r="I590" i="47"/>
  <c r="G590" i="47"/>
  <c r="J517" i="47"/>
  <c r="M574" i="47"/>
  <c r="E574" i="47"/>
  <c r="J574" i="47"/>
  <c r="G574" i="47"/>
  <c r="K574" i="47"/>
  <c r="L574" i="47"/>
  <c r="O531" i="47"/>
  <c r="Q531" i="47"/>
  <c r="H835" i="47"/>
  <c r="E835" i="47"/>
  <c r="N835" i="47"/>
  <c r="L835" i="47"/>
  <c r="L847" i="47"/>
  <c r="E847" i="47"/>
  <c r="I800" i="47"/>
  <c r="M800" i="47"/>
  <c r="L800" i="47"/>
  <c r="H800" i="47"/>
  <c r="G800" i="47"/>
  <c r="J800" i="47"/>
  <c r="H738" i="47"/>
  <c r="H780" i="47"/>
  <c r="Q800" i="47"/>
  <c r="H778" i="47"/>
  <c r="H712" i="47"/>
  <c r="N697" i="47"/>
  <c r="K697" i="47"/>
  <c r="H697" i="47"/>
  <c r="G697" i="47"/>
  <c r="E697" i="47"/>
  <c r="M697" i="47"/>
  <c r="L697" i="47"/>
  <c r="I697" i="47"/>
  <c r="H724" i="47"/>
  <c r="N679" i="47"/>
  <c r="M679" i="47"/>
  <c r="L679" i="47"/>
  <c r="K679" i="47"/>
  <c r="I679" i="47"/>
  <c r="G679" i="47"/>
  <c r="M803" i="47"/>
  <c r="E712" i="47"/>
  <c r="H684" i="47"/>
  <c r="M684" i="47"/>
  <c r="K684" i="47"/>
  <c r="I684" i="47"/>
  <c r="I663" i="47"/>
  <c r="H663" i="47"/>
  <c r="L663" i="47"/>
  <c r="K663" i="47"/>
  <c r="J663" i="47"/>
  <c r="E663" i="47"/>
  <c r="G701" i="47"/>
  <c r="E678" i="47"/>
  <c r="M663" i="47"/>
  <c r="K611" i="47"/>
  <c r="G611" i="47"/>
  <c r="G645" i="47"/>
  <c r="J687" i="47"/>
  <c r="M597" i="47"/>
  <c r="N597" i="47"/>
  <c r="I646" i="47"/>
  <c r="Q675" i="47"/>
  <c r="M654" i="47"/>
  <c r="K573" i="47"/>
  <c r="K590" i="47"/>
  <c r="L569" i="47"/>
  <c r="H569" i="47"/>
  <c r="I569" i="47"/>
  <c r="E569" i="47"/>
  <c r="J569" i="47"/>
  <c r="N645" i="47"/>
  <c r="H574" i="47"/>
  <c r="Q509" i="47"/>
  <c r="K851" i="47"/>
  <c r="L855" i="47"/>
  <c r="L823" i="47"/>
  <c r="E800" i="47"/>
  <c r="H843" i="47"/>
  <c r="I838" i="47"/>
  <c r="G806" i="47"/>
  <c r="E806" i="47"/>
  <c r="M804" i="47"/>
  <c r="I831" i="47"/>
  <c r="E822" i="47"/>
  <c r="M818" i="47"/>
  <c r="I716" i="47"/>
  <c r="J716" i="47"/>
  <c r="G716" i="47"/>
  <c r="E716" i="47"/>
  <c r="N716" i="47"/>
  <c r="M716" i="47"/>
  <c r="K716" i="47"/>
  <c r="I835" i="47"/>
  <c r="M851" i="47"/>
  <c r="H812" i="47"/>
  <c r="I847" i="47"/>
  <c r="K800" i="47"/>
  <c r="K812" i="47"/>
  <c r="L843" i="47"/>
  <c r="K836" i="47"/>
  <c r="H836" i="47"/>
  <c r="I798" i="47"/>
  <c r="H798" i="47"/>
  <c r="G798" i="47"/>
  <c r="L798" i="47"/>
  <c r="J808" i="47"/>
  <c r="G808" i="47"/>
  <c r="N796" i="47"/>
  <c r="I794" i="47"/>
  <c r="J831" i="47"/>
  <c r="G822" i="47"/>
  <c r="I762" i="47"/>
  <c r="H762" i="47"/>
  <c r="N762" i="47"/>
  <c r="N818" i="47"/>
  <c r="J794" i="47"/>
  <c r="L807" i="47"/>
  <c r="G764" i="47"/>
  <c r="I784" i="47"/>
  <c r="M784" i="47"/>
  <c r="I738" i="47"/>
  <c r="I780" i="47"/>
  <c r="I792" i="47"/>
  <c r="L776" i="47"/>
  <c r="G760" i="47"/>
  <c r="L783" i="47"/>
  <c r="H746" i="47"/>
  <c r="H753" i="47"/>
  <c r="N751" i="47"/>
  <c r="K713" i="47"/>
  <c r="G713" i="47"/>
  <c r="O723" i="47"/>
  <c r="G728" i="47"/>
  <c r="G737" i="47"/>
  <c r="K712" i="47"/>
  <c r="G749" i="47"/>
  <c r="M678" i="47"/>
  <c r="I693" i="47"/>
  <c r="G705" i="47"/>
  <c r="G663" i="47"/>
  <c r="J693" i="47"/>
  <c r="H725" i="47"/>
  <c r="K701" i="47"/>
  <c r="G678" i="47"/>
  <c r="L640" i="47"/>
  <c r="K640" i="47"/>
  <c r="G640" i="47"/>
  <c r="E640" i="47"/>
  <c r="N640" i="47"/>
  <c r="M640" i="47"/>
  <c r="I717" i="47"/>
  <c r="E600" i="47"/>
  <c r="N600" i="47"/>
  <c r="M600" i="47"/>
  <c r="L600" i="47"/>
  <c r="K600" i="47"/>
  <c r="J600" i="47"/>
  <c r="G600" i="47"/>
  <c r="K627" i="47"/>
  <c r="E639" i="47"/>
  <c r="H645" i="47"/>
  <c r="I613" i="47"/>
  <c r="L613" i="47"/>
  <c r="E611" i="47"/>
  <c r="G649" i="47"/>
  <c r="G599" i="47"/>
  <c r="M590" i="47"/>
  <c r="N562" i="47"/>
  <c r="K562" i="47"/>
  <c r="E562" i="47"/>
  <c r="I574" i="47"/>
  <c r="H581" i="47"/>
  <c r="L581" i="47"/>
  <c r="G581" i="47"/>
  <c r="E581" i="47"/>
  <c r="J581" i="47"/>
  <c r="K581" i="47"/>
  <c r="Q522" i="47"/>
  <c r="L819" i="47"/>
  <c r="J847" i="47"/>
  <c r="N800" i="47"/>
  <c r="M808" i="47"/>
  <c r="K818" i="47"/>
  <c r="K831" i="47"/>
  <c r="M807" i="47"/>
  <c r="J788" i="47"/>
  <c r="L788" i="47"/>
  <c r="H764" i="47"/>
  <c r="J738" i="47"/>
  <c r="E780" i="47"/>
  <c r="J792" i="47"/>
  <c r="I746" i="47"/>
  <c r="L753" i="47"/>
  <c r="I743" i="47"/>
  <c r="I728" i="47"/>
  <c r="H672" i="47"/>
  <c r="G672" i="47"/>
  <c r="E672" i="47"/>
  <c r="N672" i="47"/>
  <c r="M672" i="47"/>
  <c r="L672" i="47"/>
  <c r="K672" i="47"/>
  <c r="J672" i="47"/>
  <c r="I672" i="47"/>
  <c r="M718" i="47"/>
  <c r="K718" i="47"/>
  <c r="I718" i="47"/>
  <c r="E803" i="47"/>
  <c r="L719" i="47"/>
  <c r="E700" i="47"/>
  <c r="J700" i="47"/>
  <c r="I700" i="47"/>
  <c r="G700" i="47"/>
  <c r="L700" i="47"/>
  <c r="G661" i="47"/>
  <c r="Q582" i="47"/>
  <c r="O582" i="47"/>
  <c r="L611" i="47"/>
  <c r="Q559" i="47"/>
  <c r="O559" i="47"/>
  <c r="N590" i="47"/>
  <c r="K643" i="47"/>
  <c r="J643" i="47"/>
  <c r="H643" i="47"/>
  <c r="N643" i="47"/>
  <c r="G643" i="47"/>
  <c r="M511" i="47"/>
  <c r="I564" i="47"/>
  <c r="H564" i="47"/>
  <c r="K564" i="47"/>
  <c r="M564" i="47"/>
  <c r="E564" i="47"/>
  <c r="J564" i="47"/>
  <c r="M492" i="47"/>
  <c r="G492" i="47"/>
  <c r="J492" i="47"/>
  <c r="H492" i="47"/>
  <c r="I492" i="47"/>
  <c r="L492" i="47"/>
  <c r="E492" i="47"/>
  <c r="J835" i="47"/>
  <c r="N843" i="47"/>
  <c r="N824" i="47"/>
  <c r="K835" i="47"/>
  <c r="K847" i="47"/>
  <c r="N812" i="47"/>
  <c r="H838" i="47"/>
  <c r="M788" i="47"/>
  <c r="M822" i="47"/>
  <c r="Q747" i="47"/>
  <c r="G804" i="47"/>
  <c r="N807" i="47"/>
  <c r="E788" i="47"/>
  <c r="I764" i="47"/>
  <c r="K780" i="47"/>
  <c r="E778" i="47"/>
  <c r="M760" i="47"/>
  <c r="J746" i="47"/>
  <c r="M753" i="47"/>
  <c r="J743" i="47"/>
  <c r="K728" i="47"/>
  <c r="N712" i="47"/>
  <c r="H803" i="47"/>
  <c r="M700" i="47"/>
  <c r="M675" i="47"/>
  <c r="K675" i="47"/>
  <c r="I675" i="47"/>
  <c r="G675" i="47"/>
  <c r="L725" i="47"/>
  <c r="N678" i="47"/>
  <c r="N636" i="47"/>
  <c r="M636" i="47"/>
  <c r="L636" i="47"/>
  <c r="K636" i="47"/>
  <c r="G636" i="47"/>
  <c r="E636" i="47"/>
  <c r="J636" i="47"/>
  <c r="H704" i="47"/>
  <c r="G593" i="47"/>
  <c r="N593" i="47"/>
  <c r="K593" i="47"/>
  <c r="M593" i="47"/>
  <c r="I593" i="47"/>
  <c r="H593" i="47"/>
  <c r="M611" i="47"/>
  <c r="I654" i="47"/>
  <c r="K649" i="47"/>
  <c r="M599" i="47"/>
  <c r="N579" i="47"/>
  <c r="H579" i="47"/>
  <c r="G579" i="47"/>
  <c r="E579" i="47"/>
  <c r="L579" i="47"/>
  <c r="L643" i="47"/>
  <c r="G843" i="47"/>
  <c r="Q811" i="47"/>
  <c r="M847" i="47"/>
  <c r="G838" i="47"/>
  <c r="J838" i="47"/>
  <c r="L808" i="47"/>
  <c r="O779" i="47"/>
  <c r="E808" i="47"/>
  <c r="E831" i="47"/>
  <c r="N822" i="47"/>
  <c r="H804" i="47"/>
  <c r="N794" i="47"/>
  <c r="E794" i="47"/>
  <c r="K788" i="47"/>
  <c r="E764" i="47"/>
  <c r="N780" i="47"/>
  <c r="J778" i="47"/>
  <c r="Q783" i="47"/>
  <c r="N753" i="47"/>
  <c r="K743" i="47"/>
  <c r="O728" i="47"/>
  <c r="L718" i="47"/>
  <c r="J803" i="47"/>
  <c r="J712" i="47"/>
  <c r="G671" i="47"/>
  <c r="M671" i="47"/>
  <c r="L671" i="47"/>
  <c r="K671" i="47"/>
  <c r="J671" i="47"/>
  <c r="I636" i="47"/>
  <c r="K676" i="47"/>
  <c r="N676" i="47"/>
  <c r="M676" i="47"/>
  <c r="N657" i="47"/>
  <c r="J657" i="47"/>
  <c r="I657" i="47"/>
  <c r="H657" i="47"/>
  <c r="G657" i="47"/>
  <c r="I671" i="47"/>
  <c r="I681" i="47"/>
  <c r="M725" i="47"/>
  <c r="E704" i="47"/>
  <c r="K657" i="47"/>
  <c r="I704" i="47"/>
  <c r="H639" i="47"/>
  <c r="K639" i="47"/>
  <c r="J639" i="47"/>
  <c r="I639" i="47"/>
  <c r="G639" i="47"/>
  <c r="N639" i="47"/>
  <c r="H576" i="47"/>
  <c r="I627" i="47"/>
  <c r="I687" i="47"/>
  <c r="N611" i="47"/>
  <c r="I666" i="47"/>
  <c r="J666" i="47"/>
  <c r="M643" i="47"/>
  <c r="Q591" i="47"/>
  <c r="E745" i="47"/>
  <c r="G718" i="47"/>
  <c r="E679" i="47"/>
  <c r="N718" i="47"/>
  <c r="N674" i="47"/>
  <c r="K674" i="47"/>
  <c r="J674" i="47"/>
  <c r="I674" i="47"/>
  <c r="G674" i="47"/>
  <c r="E674" i="47"/>
  <c r="E721" i="47"/>
  <c r="H701" i="47"/>
  <c r="E701" i="47"/>
  <c r="N701" i="47"/>
  <c r="G632" i="47"/>
  <c r="E632" i="47"/>
  <c r="N632" i="47"/>
  <c r="M632" i="47"/>
  <c r="L632" i="47"/>
  <c r="K632" i="47"/>
  <c r="J704" i="47"/>
  <c r="G627" i="47"/>
  <c r="N627" i="47"/>
  <c r="M588" i="47"/>
  <c r="L627" i="47"/>
  <c r="J593" i="47"/>
  <c r="H575" i="47"/>
  <c r="I575" i="47"/>
  <c r="L575" i="47"/>
  <c r="G575" i="47"/>
  <c r="K575" i="47"/>
  <c r="G564" i="47"/>
  <c r="Q484" i="47"/>
  <c r="O484" i="47"/>
  <c r="L735" i="47"/>
  <c r="J735" i="47"/>
  <c r="I735" i="47"/>
  <c r="H735" i="47"/>
  <c r="M735" i="47"/>
  <c r="K735" i="47"/>
  <c r="G735" i="47"/>
  <c r="E735" i="47"/>
  <c r="M824" i="47"/>
  <c r="L824" i="47"/>
  <c r="I824" i="47"/>
  <c r="H824" i="47"/>
  <c r="G824" i="47"/>
  <c r="J824" i="47"/>
  <c r="G819" i="47"/>
  <c r="H819" i="47"/>
  <c r="E819" i="47"/>
  <c r="N819" i="47"/>
  <c r="K819" i="47"/>
  <c r="L770" i="47"/>
  <c r="J770" i="47"/>
  <c r="G770" i="47"/>
  <c r="E770" i="47"/>
  <c r="N770" i="47"/>
  <c r="K770" i="47"/>
  <c r="I770" i="47"/>
  <c r="H770" i="47"/>
  <c r="G831" i="47"/>
  <c r="I727" i="47"/>
  <c r="H727" i="47"/>
  <c r="M727" i="47"/>
  <c r="G727" i="47"/>
  <c r="I816" i="47"/>
  <c r="H816" i="47"/>
  <c r="J816" i="47"/>
  <c r="G816" i="47"/>
  <c r="M816" i="47"/>
  <c r="L816" i="47"/>
  <c r="E812" i="47"/>
  <c r="M823" i="47"/>
  <c r="L838" i="47"/>
  <c r="L832" i="47"/>
  <c r="K832" i="47"/>
  <c r="I832" i="47"/>
  <c r="N802" i="47"/>
  <c r="H802" i="47"/>
  <c r="L831" i="47"/>
  <c r="H807" i="47"/>
  <c r="J804" i="47"/>
  <c r="G807" i="47"/>
  <c r="N764" i="47"/>
  <c r="I719" i="47"/>
  <c r="I778" i="47"/>
  <c r="L727" i="47"/>
  <c r="G792" i="47"/>
  <c r="L778" i="47"/>
  <c r="K760" i="47"/>
  <c r="E783" i="47"/>
  <c r="J727" i="47"/>
  <c r="K755" i="47"/>
  <c r="G803" i="47"/>
  <c r="K749" i="47"/>
  <c r="E671" i="47"/>
  <c r="E670" i="47"/>
  <c r="H721" i="47"/>
  <c r="M688" i="47"/>
  <c r="L688" i="47"/>
  <c r="I632" i="47"/>
  <c r="J675" i="47"/>
  <c r="N705" i="47"/>
  <c r="L695" i="47"/>
  <c r="J701" i="47"/>
  <c r="Q766" i="47"/>
  <c r="G704" i="47"/>
  <c r="K704" i="47"/>
  <c r="Q688" i="47"/>
  <c r="K623" i="47"/>
  <c r="I623" i="47"/>
  <c r="H623" i="47"/>
  <c r="J623" i="47"/>
  <c r="E623" i="47"/>
  <c r="M623" i="47"/>
  <c r="E593" i="47"/>
  <c r="L623" i="47"/>
  <c r="J633" i="47"/>
  <c r="N633" i="47"/>
  <c r="K633" i="47"/>
  <c r="L633" i="47"/>
  <c r="H627" i="47"/>
  <c r="N687" i="47"/>
  <c r="M627" i="47"/>
  <c r="L593" i="47"/>
  <c r="E666" i="47"/>
  <c r="L619" i="47"/>
  <c r="M569" i="47"/>
  <c r="K516" i="47"/>
  <c r="J516" i="47"/>
  <c r="I516" i="47"/>
  <c r="M516" i="47"/>
  <c r="L516" i="47"/>
  <c r="N516" i="47"/>
  <c r="G516" i="47"/>
  <c r="H516" i="47"/>
  <c r="Q814" i="47"/>
  <c r="J774" i="47"/>
  <c r="K830" i="47"/>
  <c r="L827" i="47"/>
  <c r="I819" i="47"/>
  <c r="K756" i="47"/>
  <c r="H756" i="47"/>
  <c r="M756" i="47"/>
  <c r="L756" i="47"/>
  <c r="J756" i="47"/>
  <c r="I756" i="47"/>
  <c r="G756" i="47"/>
  <c r="L839" i="47"/>
  <c r="H815" i="47"/>
  <c r="G815" i="47"/>
  <c r="H832" i="47"/>
  <c r="K787" i="47"/>
  <c r="E787" i="47"/>
  <c r="M831" i="47"/>
  <c r="J807" i="47"/>
  <c r="H716" i="47"/>
  <c r="L792" i="47"/>
  <c r="H768" i="47"/>
  <c r="J768" i="47"/>
  <c r="N760" i="47"/>
  <c r="O750" i="47"/>
  <c r="E743" i="47"/>
  <c r="H728" i="47"/>
  <c r="N755" i="47"/>
  <c r="Q733" i="47"/>
  <c r="I713" i="47"/>
  <c r="N700" i="47"/>
  <c r="I721" i="47"/>
  <c r="G688" i="47"/>
  <c r="L675" i="47"/>
  <c r="H650" i="47"/>
  <c r="K667" i="47"/>
  <c r="M717" i="47"/>
  <c r="E695" i="47"/>
  <c r="H709" i="47"/>
  <c r="J645" i="47"/>
  <c r="N623" i="47"/>
  <c r="H588" i="47"/>
  <c r="Q629" i="47"/>
  <c r="H617" i="47"/>
  <c r="L654" i="47"/>
  <c r="M619" i="47"/>
  <c r="L629" i="47"/>
  <c r="J534" i="47"/>
  <c r="G534" i="47"/>
  <c r="N534" i="47"/>
  <c r="M534" i="47"/>
  <c r="L534" i="47"/>
  <c r="K534" i="47"/>
  <c r="I534" i="47"/>
  <c r="I643" i="47"/>
  <c r="L564" i="47"/>
  <c r="M827" i="47"/>
  <c r="H792" i="47"/>
  <c r="Q742" i="47"/>
  <c r="L732" i="47"/>
  <c r="K732" i="47"/>
  <c r="E732" i="47"/>
  <c r="M732" i="47"/>
  <c r="N732" i="47"/>
  <c r="Q767" i="47"/>
  <c r="H755" i="47"/>
  <c r="L712" i="47"/>
  <c r="H749" i="47"/>
  <c r="J721" i="47"/>
  <c r="N675" i="47"/>
  <c r="H667" i="47"/>
  <c r="H695" i="47"/>
  <c r="O631" i="47"/>
  <c r="Q631" i="47"/>
  <c r="J627" i="47"/>
  <c r="J640" i="47"/>
  <c r="E617" i="47"/>
  <c r="G666" i="47"/>
  <c r="M629" i="47"/>
  <c r="G588" i="47"/>
  <c r="N573" i="47"/>
  <c r="G573" i="47"/>
  <c r="E573" i="47"/>
  <c r="I573" i="47"/>
  <c r="M573" i="47"/>
  <c r="H573" i="47"/>
  <c r="J573" i="47"/>
  <c r="L518" i="47"/>
  <c r="K518" i="47"/>
  <c r="J518" i="47"/>
  <c r="I518" i="47"/>
  <c r="G518" i="47"/>
  <c r="E518" i="47"/>
  <c r="M518" i="47"/>
  <c r="N518" i="47"/>
  <c r="H518" i="47"/>
  <c r="K572" i="47"/>
  <c r="E572" i="47"/>
  <c r="G572" i="47"/>
  <c r="N572" i="47"/>
  <c r="L572" i="47"/>
  <c r="M572" i="47"/>
  <c r="I572" i="47"/>
  <c r="J572" i="47"/>
  <c r="N492" i="47"/>
  <c r="M774" i="47"/>
  <c r="L822" i="47"/>
  <c r="H791" i="47"/>
  <c r="E791" i="47"/>
  <c r="E804" i="47"/>
  <c r="M791" i="47"/>
  <c r="E738" i="47"/>
  <c r="G783" i="47"/>
  <c r="H751" i="47"/>
  <c r="G745" i="47"/>
  <c r="M724" i="47"/>
  <c r="E718" i="47"/>
  <c r="L755" i="47"/>
  <c r="L749" i="47"/>
  <c r="L754" i="47"/>
  <c r="G684" i="47"/>
  <c r="J688" i="47"/>
  <c r="H661" i="47"/>
  <c r="H675" i="47"/>
  <c r="G725" i="47"/>
  <c r="N671" i="47"/>
  <c r="J695" i="47"/>
  <c r="L617" i="47"/>
  <c r="M594" i="47"/>
  <c r="L594" i="47"/>
  <c r="K594" i="47"/>
  <c r="I594" i="47"/>
  <c r="H594" i="47"/>
  <c r="N594" i="47"/>
  <c r="J594" i="47"/>
  <c r="E594" i="47"/>
  <c r="J625" i="47"/>
  <c r="N625" i="47"/>
  <c r="K625" i="47"/>
  <c r="J588" i="47"/>
  <c r="H666" i="47"/>
  <c r="E517" i="47"/>
  <c r="N568" i="47"/>
  <c r="M568" i="47"/>
  <c r="L568" i="47"/>
  <c r="H568" i="47"/>
  <c r="J568" i="47"/>
  <c r="G568" i="47"/>
  <c r="E568" i="47"/>
  <c r="Q643" i="47"/>
  <c r="I500" i="47"/>
  <c r="M501" i="47"/>
  <c r="J522" i="47"/>
  <c r="M555" i="47"/>
  <c r="K478" i="47"/>
  <c r="I459" i="47"/>
  <c r="N439" i="47"/>
  <c r="Q482" i="47"/>
  <c r="E343" i="47"/>
  <c r="J343" i="47"/>
  <c r="I343" i="47"/>
  <c r="N343" i="47"/>
  <c r="K343" i="47"/>
  <c r="H343" i="47"/>
  <c r="G343" i="47"/>
  <c r="J369" i="47"/>
  <c r="E352" i="47"/>
  <c r="I352" i="47"/>
  <c r="G352" i="47"/>
  <c r="K410" i="47"/>
  <c r="J266" i="47"/>
  <c r="G266" i="47"/>
  <c r="E266" i="47"/>
  <c r="G366" i="47"/>
  <c r="J303" i="47"/>
  <c r="O298" i="47"/>
  <c r="N233" i="47"/>
  <c r="J233" i="47"/>
  <c r="I233" i="47"/>
  <c r="H233" i="47"/>
  <c r="G233" i="47"/>
  <c r="I330" i="47"/>
  <c r="N303" i="47"/>
  <c r="L342" i="47"/>
  <c r="K323" i="47"/>
  <c r="K351" i="47"/>
  <c r="E242" i="47"/>
  <c r="J242" i="47"/>
  <c r="G242" i="47"/>
  <c r="M219" i="47"/>
  <c r="M245" i="47"/>
  <c r="N266" i="47"/>
  <c r="G161" i="47"/>
  <c r="N161" i="47"/>
  <c r="K161" i="47"/>
  <c r="J161" i="47"/>
  <c r="L183" i="47"/>
  <c r="B14" i="18"/>
  <c r="F11" i="18"/>
  <c r="G5" i="18"/>
  <c r="B11" i="18"/>
  <c r="F5" i="18"/>
  <c r="G6" i="18"/>
  <c r="F6" i="18"/>
  <c r="G12" i="18"/>
  <c r="G7" i="18"/>
  <c r="F12" i="18"/>
  <c r="F7" i="18"/>
  <c r="B12" i="18"/>
  <c r="G8" i="18"/>
  <c r="F8" i="18"/>
  <c r="G9" i="18"/>
  <c r="G13" i="18"/>
  <c r="F9" i="18"/>
  <c r="F13" i="18"/>
  <c r="G10" i="18"/>
  <c r="B13" i="18"/>
  <c r="F10" i="18"/>
  <c r="O4" i="47"/>
  <c r="G11" i="18"/>
  <c r="N157" i="47"/>
  <c r="M102" i="47"/>
  <c r="M95" i="47"/>
  <c r="N129" i="47"/>
  <c r="K150" i="47"/>
  <c r="G102" i="47"/>
  <c r="K83" i="47"/>
  <c r="M689" i="47"/>
  <c r="K689" i="47"/>
  <c r="G689" i="47"/>
  <c r="E689" i="47"/>
  <c r="N537" i="47"/>
  <c r="K537" i="47"/>
  <c r="I537" i="47"/>
  <c r="H537" i="47"/>
  <c r="G537" i="47"/>
  <c r="E537" i="47"/>
  <c r="O584" i="47"/>
  <c r="H603" i="47"/>
  <c r="L461" i="47"/>
  <c r="G578" i="47"/>
  <c r="L522" i="47"/>
  <c r="G479" i="47"/>
  <c r="N555" i="47"/>
  <c r="N525" i="47"/>
  <c r="I523" i="47"/>
  <c r="G504" i="47"/>
  <c r="M449" i="47"/>
  <c r="E498" i="47"/>
  <c r="E469" i="47"/>
  <c r="G460" i="47"/>
  <c r="J446" i="47"/>
  <c r="E489" i="47"/>
  <c r="M478" i="47"/>
  <c r="H417" i="47"/>
  <c r="M417" i="47"/>
  <c r="L417" i="47"/>
  <c r="J417" i="47"/>
  <c r="L459" i="47"/>
  <c r="L418" i="47"/>
  <c r="H418" i="47"/>
  <c r="Q332" i="47"/>
  <c r="O332" i="47"/>
  <c r="H390" i="47"/>
  <c r="G362" i="47"/>
  <c r="G385" i="47"/>
  <c r="Q373" i="47"/>
  <c r="G386" i="47"/>
  <c r="O376" i="47"/>
  <c r="L348" i="47"/>
  <c r="N369" i="47"/>
  <c r="E358" i="47"/>
  <c r="N358" i="47"/>
  <c r="I358" i="47"/>
  <c r="K405" i="47"/>
  <c r="M406" i="47"/>
  <c r="M380" i="47"/>
  <c r="K373" i="47"/>
  <c r="K330" i="47"/>
  <c r="H366" i="47"/>
  <c r="G325" i="47"/>
  <c r="G302" i="47"/>
  <c r="J229" i="47"/>
  <c r="N229" i="47"/>
  <c r="I229" i="47"/>
  <c r="H229" i="47"/>
  <c r="G229" i="47"/>
  <c r="J330" i="47"/>
  <c r="E299" i="47"/>
  <c r="J315" i="47"/>
  <c r="J342" i="47"/>
  <c r="M229" i="47"/>
  <c r="L323" i="47"/>
  <c r="J311" i="47"/>
  <c r="M351" i="47"/>
  <c r="H299" i="47"/>
  <c r="G278" i="47"/>
  <c r="K235" i="47"/>
  <c r="J282" i="47"/>
  <c r="L275" i="47"/>
  <c r="I199" i="47"/>
  <c r="J215" i="47"/>
  <c r="G215" i="47"/>
  <c r="J203" i="47"/>
  <c r="G274" i="47"/>
  <c r="N91" i="47"/>
  <c r="L91" i="47"/>
  <c r="K91" i="47"/>
  <c r="G91" i="47"/>
  <c r="Q96" i="47"/>
  <c r="O96" i="47"/>
  <c r="M145" i="47"/>
  <c r="Q219" i="47"/>
  <c r="L157" i="47"/>
  <c r="N112" i="47"/>
  <c r="Q95" i="47"/>
  <c r="I91" i="47"/>
  <c r="L58" i="47"/>
  <c r="J58" i="47"/>
  <c r="I58" i="47"/>
  <c r="H58" i="47"/>
  <c r="G58" i="47"/>
  <c r="K58" i="47"/>
  <c r="L42" i="47"/>
  <c r="J42" i="47"/>
  <c r="I42" i="47"/>
  <c r="K42" i="47"/>
  <c r="H42" i="47"/>
  <c r="G42" i="47"/>
  <c r="L26" i="47"/>
  <c r="J26" i="47"/>
  <c r="I26" i="47"/>
  <c r="K26" i="47"/>
  <c r="H26" i="47"/>
  <c r="G26" i="47"/>
  <c r="L10" i="47"/>
  <c r="J10" i="47"/>
  <c r="I10" i="47"/>
  <c r="K10" i="47"/>
  <c r="H10" i="47"/>
  <c r="G10" i="47"/>
  <c r="M83" i="47"/>
  <c r="H150" i="47"/>
  <c r="Q143" i="47"/>
  <c r="I578" i="47"/>
  <c r="M522" i="47"/>
  <c r="J462" i="47"/>
  <c r="H462" i="47"/>
  <c r="E462" i="47"/>
  <c r="M462" i="47"/>
  <c r="K462" i="47"/>
  <c r="E490" i="47"/>
  <c r="N462" i="47"/>
  <c r="K523" i="47"/>
  <c r="E413" i="47"/>
  <c r="M413" i="47"/>
  <c r="I413" i="47"/>
  <c r="H413" i="47"/>
  <c r="K437" i="47"/>
  <c r="J437" i="47"/>
  <c r="I437" i="47"/>
  <c r="G437" i="47"/>
  <c r="M437" i="47"/>
  <c r="M459" i="47"/>
  <c r="N417" i="47"/>
  <c r="H439" i="47"/>
  <c r="K417" i="47"/>
  <c r="M403" i="47"/>
  <c r="L403" i="47"/>
  <c r="J403" i="47"/>
  <c r="I403" i="47"/>
  <c r="H403" i="47"/>
  <c r="N379" i="47"/>
  <c r="H385" i="47"/>
  <c r="M398" i="47"/>
  <c r="E398" i="47"/>
  <c r="I410" i="47"/>
  <c r="M405" i="47"/>
  <c r="K399" i="47"/>
  <c r="G357" i="47"/>
  <c r="L357" i="47"/>
  <c r="K348" i="47"/>
  <c r="N373" i="47"/>
  <c r="I325" i="47"/>
  <c r="I366" i="47"/>
  <c r="J225" i="47"/>
  <c r="N225" i="47"/>
  <c r="I225" i="47"/>
  <c r="H225" i="47"/>
  <c r="G225" i="47"/>
  <c r="I299" i="47"/>
  <c r="Q401" i="47"/>
  <c r="L229" i="47"/>
  <c r="M323" i="47"/>
  <c r="N351" i="47"/>
  <c r="G283" i="47"/>
  <c r="J278" i="47"/>
  <c r="O251" i="47"/>
  <c r="H242" i="47"/>
  <c r="N239" i="47"/>
  <c r="J239" i="47"/>
  <c r="O171" i="47"/>
  <c r="Q171" i="47"/>
  <c r="K282" i="47"/>
  <c r="M275" i="47"/>
  <c r="K199" i="47"/>
  <c r="L246" i="47"/>
  <c r="J246" i="47"/>
  <c r="L255" i="47"/>
  <c r="I255" i="47"/>
  <c r="H279" i="47"/>
  <c r="E233" i="47"/>
  <c r="J274" i="47"/>
  <c r="E203" i="47"/>
  <c r="E139" i="47"/>
  <c r="M139" i="47"/>
  <c r="Q32" i="47"/>
  <c r="M157" i="47"/>
  <c r="L79" i="47"/>
  <c r="L112" i="47"/>
  <c r="J91" i="47"/>
  <c r="J112" i="47"/>
  <c r="H79" i="47"/>
  <c r="N137" i="47"/>
  <c r="M137" i="47"/>
  <c r="K137" i="47"/>
  <c r="G137" i="47"/>
  <c r="G112" i="47"/>
  <c r="L89" i="47"/>
  <c r="K63" i="47"/>
  <c r="J63" i="47"/>
  <c r="I63" i="47"/>
  <c r="H63" i="47"/>
  <c r="M63" i="47"/>
  <c r="E73" i="47"/>
  <c r="N42" i="47"/>
  <c r="Q474" i="47"/>
  <c r="G394" i="47"/>
  <c r="M383" i="47"/>
  <c r="K386" i="47"/>
  <c r="N391" i="47"/>
  <c r="M346" i="47"/>
  <c r="J346" i="47"/>
  <c r="H346" i="47"/>
  <c r="G346" i="47"/>
  <c r="N399" i="47"/>
  <c r="G387" i="47"/>
  <c r="M378" i="47"/>
  <c r="H378" i="47"/>
  <c r="I349" i="47"/>
  <c r="L298" i="47"/>
  <c r="K298" i="47"/>
  <c r="J298" i="47"/>
  <c r="G298" i="47"/>
  <c r="H266" i="47"/>
  <c r="J221" i="47"/>
  <c r="N221" i="47"/>
  <c r="I221" i="47"/>
  <c r="H221" i="47"/>
  <c r="G221" i="47"/>
  <c r="K299" i="47"/>
  <c r="N259" i="47"/>
  <c r="M259" i="47"/>
  <c r="L259" i="47"/>
  <c r="G259" i="47"/>
  <c r="Q342" i="47"/>
  <c r="H355" i="47"/>
  <c r="H283" i="47"/>
  <c r="K278" i="47"/>
  <c r="I242" i="47"/>
  <c r="G185" i="47"/>
  <c r="L282" i="47"/>
  <c r="M199" i="47"/>
  <c r="E215" i="47"/>
  <c r="J241" i="47"/>
  <c r="I241" i="47"/>
  <c r="H241" i="47"/>
  <c r="J279" i="47"/>
  <c r="K274" i="47"/>
  <c r="H195" i="47"/>
  <c r="I203" i="47"/>
  <c r="H139" i="47"/>
  <c r="I89" i="47"/>
  <c r="J135" i="47"/>
  <c r="I77" i="47"/>
  <c r="H85" i="47"/>
  <c r="N139" i="47"/>
  <c r="H127" i="47"/>
  <c r="E127" i="47"/>
  <c r="M127" i="47"/>
  <c r="K127" i="47"/>
  <c r="K129" i="47"/>
  <c r="E157" i="47"/>
  <c r="G93" i="47"/>
  <c r="K141" i="47"/>
  <c r="N102" i="47"/>
  <c r="H77" i="47"/>
  <c r="K116" i="47"/>
  <c r="J116" i="47"/>
  <c r="H116" i="47"/>
  <c r="E116" i="47"/>
  <c r="K145" i="47"/>
  <c r="L137" i="47"/>
  <c r="I61" i="47"/>
  <c r="Q255" i="47"/>
  <c r="O99" i="47"/>
  <c r="H73" i="47"/>
  <c r="E533" i="47"/>
  <c r="N533" i="47"/>
  <c r="K533" i="47"/>
  <c r="I533" i="47"/>
  <c r="H533" i="47"/>
  <c r="G533" i="47"/>
  <c r="N603" i="47"/>
  <c r="N479" i="47"/>
  <c r="M479" i="47"/>
  <c r="E482" i="47"/>
  <c r="K481" i="47"/>
  <c r="J481" i="47"/>
  <c r="H481" i="47"/>
  <c r="E481" i="47"/>
  <c r="N481" i="47"/>
  <c r="M481" i="47"/>
  <c r="L481" i="47"/>
  <c r="N461" i="47"/>
  <c r="G461" i="47"/>
  <c r="L525" i="47"/>
  <c r="M523" i="47"/>
  <c r="H449" i="47"/>
  <c r="G449" i="47"/>
  <c r="E449" i="47"/>
  <c r="G407" i="47"/>
  <c r="L440" i="47"/>
  <c r="E440" i="47"/>
  <c r="Q379" i="47"/>
  <c r="L385" i="47"/>
  <c r="I385" i="47"/>
  <c r="E337" i="47"/>
  <c r="K337" i="47"/>
  <c r="J337" i="47"/>
  <c r="L337" i="47"/>
  <c r="I337" i="47"/>
  <c r="G337" i="47"/>
  <c r="I394" i="47"/>
  <c r="K385" i="47"/>
  <c r="L343" i="47"/>
  <c r="L352" i="47"/>
  <c r="J319" i="47"/>
  <c r="G319" i="47"/>
  <c r="J349" i="47"/>
  <c r="M325" i="47"/>
  <c r="L325" i="47"/>
  <c r="K325" i="47"/>
  <c r="J325" i="47"/>
  <c r="K294" i="47"/>
  <c r="J294" i="47"/>
  <c r="G294" i="47"/>
  <c r="E294" i="47"/>
  <c r="I266" i="47"/>
  <c r="N217" i="47"/>
  <c r="J217" i="47"/>
  <c r="I217" i="47"/>
  <c r="H217" i="47"/>
  <c r="G217" i="47"/>
  <c r="N342" i="47"/>
  <c r="K342" i="47"/>
  <c r="E342" i="47"/>
  <c r="M225" i="47"/>
  <c r="L319" i="47"/>
  <c r="M299" i="47"/>
  <c r="E351" i="47"/>
  <c r="K250" i="47"/>
  <c r="J250" i="47"/>
  <c r="G250" i="47"/>
  <c r="Q287" i="47"/>
  <c r="I66" i="47"/>
  <c r="N66" i="47"/>
  <c r="L66" i="47"/>
  <c r="J66" i="47"/>
  <c r="E66" i="47"/>
  <c r="M129" i="47"/>
  <c r="M91" i="47"/>
  <c r="N141" i="47"/>
  <c r="H89" i="47"/>
  <c r="Q195" i="47"/>
  <c r="L108" i="47"/>
  <c r="J108" i="47"/>
  <c r="I108" i="47"/>
  <c r="H108" i="47"/>
  <c r="G108" i="47"/>
  <c r="E108" i="47"/>
  <c r="M108" i="47"/>
  <c r="Q153" i="47"/>
  <c r="H91" i="47"/>
  <c r="M116" i="47"/>
  <c r="N77" i="47"/>
  <c r="I167" i="47"/>
  <c r="N86" i="47"/>
  <c r="M86" i="47"/>
  <c r="L86" i="47"/>
  <c r="K86" i="47"/>
  <c r="J86" i="47"/>
  <c r="I86" i="47"/>
  <c r="G86" i="47"/>
  <c r="E86" i="47"/>
  <c r="K60" i="47"/>
  <c r="I165" i="47"/>
  <c r="L77" i="47"/>
  <c r="AB13" i="18"/>
  <c r="AB10" i="18"/>
  <c r="B19" i="18"/>
  <c r="AB5" i="18"/>
  <c r="AB16" i="18"/>
  <c r="AB11" i="18"/>
  <c r="AB6" i="18"/>
  <c r="AB14" i="18"/>
  <c r="AB7" i="18"/>
  <c r="AB8" i="18"/>
  <c r="B20" i="18"/>
  <c r="B18" i="18"/>
  <c r="AB12" i="18"/>
  <c r="AB9" i="18"/>
  <c r="AB15" i="18"/>
  <c r="Q519" i="47"/>
  <c r="L480" i="47"/>
  <c r="G480" i="47"/>
  <c r="E480" i="47"/>
  <c r="N480" i="47"/>
  <c r="O483" i="47"/>
  <c r="I555" i="47"/>
  <c r="M525" i="47"/>
  <c r="N523" i="47"/>
  <c r="I433" i="47"/>
  <c r="Q429" i="47"/>
  <c r="L443" i="47"/>
  <c r="I489" i="47"/>
  <c r="L478" i="47"/>
  <c r="K409" i="47"/>
  <c r="H452" i="47"/>
  <c r="J413" i="47"/>
  <c r="G413" i="47"/>
  <c r="G348" i="47"/>
  <c r="J394" i="47"/>
  <c r="N385" i="47"/>
  <c r="H352" i="47"/>
  <c r="Q399" i="47"/>
  <c r="L349" i="47"/>
  <c r="M266" i="47"/>
  <c r="G213" i="47"/>
  <c r="N213" i="47"/>
  <c r="J213" i="47"/>
  <c r="I213" i="47"/>
  <c r="H213" i="47"/>
  <c r="L225" i="47"/>
  <c r="K217" i="47"/>
  <c r="K355" i="47"/>
  <c r="K283" i="47"/>
  <c r="N278" i="47"/>
  <c r="G251" i="47"/>
  <c r="J251" i="47"/>
  <c r="I251" i="47"/>
  <c r="H251" i="47"/>
  <c r="G169" i="47"/>
  <c r="I169" i="47"/>
  <c r="H161" i="47"/>
  <c r="E221" i="47"/>
  <c r="H187" i="47"/>
  <c r="N187" i="47"/>
  <c r="K215" i="47"/>
  <c r="L279" i="47"/>
  <c r="O179" i="47"/>
  <c r="N274" i="47"/>
  <c r="L161" i="47"/>
  <c r="O185" i="47"/>
  <c r="M203" i="47"/>
  <c r="J165" i="47"/>
  <c r="G135" i="47"/>
  <c r="M79" i="47"/>
  <c r="L54" i="47"/>
  <c r="J54" i="47"/>
  <c r="I54" i="47"/>
  <c r="H54" i="47"/>
  <c r="G54" i="47"/>
  <c r="K54" i="47"/>
  <c r="L38" i="47"/>
  <c r="J38" i="47"/>
  <c r="I38" i="47"/>
  <c r="K38" i="47"/>
  <c r="H38" i="47"/>
  <c r="G38" i="47"/>
  <c r="L22" i="47"/>
  <c r="J22" i="47"/>
  <c r="I22" i="47"/>
  <c r="K22" i="47"/>
  <c r="H22" i="47"/>
  <c r="G22" i="47"/>
  <c r="L6" i="47"/>
  <c r="J6" i="47"/>
  <c r="I6" i="47"/>
  <c r="K6" i="47"/>
  <c r="H6" i="47"/>
  <c r="G6" i="47"/>
  <c r="J167" i="47"/>
  <c r="I143" i="47"/>
  <c r="M109" i="47"/>
  <c r="N127" i="47"/>
  <c r="Q151" i="47"/>
  <c r="G73" i="47"/>
  <c r="L479" i="47"/>
  <c r="O516" i="47"/>
  <c r="J504" i="47"/>
  <c r="E479" i="47"/>
  <c r="M443" i="47"/>
  <c r="L439" i="47"/>
  <c r="M433" i="47"/>
  <c r="J449" i="47"/>
  <c r="I449" i="47"/>
  <c r="G433" i="47"/>
  <c r="K379" i="47"/>
  <c r="J379" i="47"/>
  <c r="I379" i="47"/>
  <c r="H379" i="47"/>
  <c r="E379" i="47"/>
  <c r="Q456" i="47"/>
  <c r="H367" i="47"/>
  <c r="M367" i="47"/>
  <c r="L367" i="47"/>
  <c r="K367" i="47"/>
  <c r="J367" i="47"/>
  <c r="N302" i="47"/>
  <c r="L250" i="47"/>
  <c r="M215" i="47"/>
  <c r="M250" i="47"/>
  <c r="J255" i="47"/>
  <c r="M279" i="47"/>
  <c r="E223" i="47"/>
  <c r="M161" i="47"/>
  <c r="E129" i="47"/>
  <c r="K165" i="47"/>
  <c r="I129" i="47"/>
  <c r="O79" i="47"/>
  <c r="Q24" i="47"/>
  <c r="Q141" i="47"/>
  <c r="L60" i="47"/>
  <c r="K112" i="47"/>
  <c r="N89" i="47"/>
  <c r="I112" i="47"/>
  <c r="J143" i="47"/>
  <c r="N108" i="47"/>
  <c r="M114" i="47"/>
  <c r="K114" i="47"/>
  <c r="J114" i="47"/>
  <c r="E114" i="47"/>
  <c r="J95" i="47"/>
  <c r="Q114" i="47"/>
  <c r="I73" i="47"/>
  <c r="N26" i="47"/>
  <c r="N433" i="47"/>
  <c r="J418" i="47"/>
  <c r="I418" i="47"/>
  <c r="G418" i="47"/>
  <c r="N443" i="47"/>
  <c r="K418" i="47"/>
  <c r="E468" i="47"/>
  <c r="M407" i="47"/>
  <c r="L407" i="47"/>
  <c r="J407" i="47"/>
  <c r="H407" i="47"/>
  <c r="M418" i="47"/>
  <c r="E409" i="47"/>
  <c r="L409" i="47"/>
  <c r="N348" i="47"/>
  <c r="J348" i="47"/>
  <c r="I348" i="47"/>
  <c r="N402" i="47"/>
  <c r="M402" i="47"/>
  <c r="L402" i="47"/>
  <c r="H402" i="47"/>
  <c r="N382" i="47"/>
  <c r="M382" i="47"/>
  <c r="L382" i="47"/>
  <c r="I382" i="47"/>
  <c r="H382" i="47"/>
  <c r="M337" i="47"/>
  <c r="E315" i="47"/>
  <c r="E245" i="47"/>
  <c r="N294" i="47"/>
  <c r="N250" i="47"/>
  <c r="I223" i="47"/>
  <c r="E229" i="47"/>
  <c r="N138" i="47"/>
  <c r="M138" i="47"/>
  <c r="L138" i="47"/>
  <c r="J138" i="47"/>
  <c r="I138" i="47"/>
  <c r="G138" i="47"/>
  <c r="M85" i="47"/>
  <c r="L85" i="47"/>
  <c r="G85" i="47"/>
  <c r="L165" i="47"/>
  <c r="N85" i="47"/>
  <c r="I141" i="47"/>
  <c r="L87" i="47"/>
  <c r="K87" i="47"/>
  <c r="J87" i="47"/>
  <c r="I87" i="47"/>
  <c r="H87" i="47"/>
  <c r="G87" i="47"/>
  <c r="L83" i="47"/>
  <c r="J145" i="47"/>
  <c r="Q113" i="47"/>
  <c r="O113" i="47"/>
  <c r="Q111" i="47"/>
  <c r="J73" i="47"/>
  <c r="N497" i="47"/>
  <c r="M497" i="47"/>
  <c r="K497" i="47"/>
  <c r="J497" i="47"/>
  <c r="I497" i="47"/>
  <c r="H497" i="47"/>
  <c r="G497" i="47"/>
  <c r="E603" i="47"/>
  <c r="M465" i="47"/>
  <c r="L465" i="47"/>
  <c r="K465" i="47"/>
  <c r="I465" i="47"/>
  <c r="H465" i="47"/>
  <c r="G465" i="47"/>
  <c r="J465" i="47"/>
  <c r="H522" i="47"/>
  <c r="I504" i="47"/>
  <c r="I453" i="47"/>
  <c r="E453" i="47"/>
  <c r="N453" i="47"/>
  <c r="M453" i="47"/>
  <c r="L453" i="47"/>
  <c r="K453" i="47"/>
  <c r="G453" i="47"/>
  <c r="H504" i="47"/>
  <c r="L587" i="47"/>
  <c r="E555" i="47"/>
  <c r="H479" i="47"/>
  <c r="H496" i="47"/>
  <c r="J443" i="47"/>
  <c r="Q433" i="47"/>
  <c r="K468" i="47"/>
  <c r="G468" i="47"/>
  <c r="K439" i="47"/>
  <c r="J459" i="47"/>
  <c r="N407" i="47"/>
  <c r="I367" i="47"/>
  <c r="G379" i="47"/>
  <c r="K380" i="47"/>
  <c r="G401" i="47"/>
  <c r="E391" i="47"/>
  <c r="J371" i="47"/>
  <c r="E371" i="47"/>
  <c r="E410" i="47"/>
  <c r="E399" i="47"/>
  <c r="O428" i="47"/>
  <c r="K319" i="47"/>
  <c r="H294" i="47"/>
  <c r="H315" i="47"/>
  <c r="Q352" i="47"/>
  <c r="I342" i="47"/>
  <c r="J323" i="47"/>
  <c r="G323" i="47"/>
  <c r="L351" i="47"/>
  <c r="I315" i="47"/>
  <c r="N355" i="47"/>
  <c r="L299" i="47"/>
  <c r="I161" i="47"/>
  <c r="H282" i="47"/>
  <c r="I275" i="47"/>
  <c r="K183" i="47"/>
  <c r="G183" i="47"/>
  <c r="L227" i="47"/>
  <c r="H227" i="47"/>
  <c r="G227" i="47"/>
  <c r="K223" i="47"/>
  <c r="Q183" i="47"/>
  <c r="E138" i="47"/>
  <c r="M165" i="47"/>
  <c r="O91" i="47"/>
  <c r="L141" i="47"/>
  <c r="L135" i="47"/>
  <c r="K85" i="47"/>
  <c r="J79" i="47"/>
  <c r="L150" i="47"/>
  <c r="J150" i="47"/>
  <c r="G150" i="47"/>
  <c r="E150" i="47"/>
  <c r="L2" i="47"/>
  <c r="J2" i="47"/>
  <c r="I2" i="47"/>
  <c r="K2" i="47"/>
  <c r="H2" i="47"/>
  <c r="G2" i="47"/>
  <c r="N109" i="47"/>
  <c r="J129" i="47"/>
  <c r="H102" i="47"/>
  <c r="I139" i="47"/>
  <c r="Q119" i="47"/>
  <c r="L464" i="47"/>
  <c r="K464" i="47"/>
  <c r="J464" i="47"/>
  <c r="I464" i="47"/>
  <c r="J479" i="47"/>
  <c r="Q439" i="47"/>
  <c r="H468" i="47"/>
  <c r="L413" i="47"/>
  <c r="N452" i="47"/>
  <c r="I452" i="47"/>
  <c r="K407" i="47"/>
  <c r="Q365" i="47"/>
  <c r="O365" i="47"/>
  <c r="J344" i="47"/>
  <c r="I344" i="47"/>
  <c r="G344" i="47"/>
  <c r="K344" i="47"/>
  <c r="H344" i="47"/>
  <c r="E344" i="47"/>
  <c r="N344" i="47"/>
  <c r="M344" i="47"/>
  <c r="I369" i="47"/>
  <c r="L380" i="47"/>
  <c r="H401" i="47"/>
  <c r="I391" i="47"/>
  <c r="M343" i="47"/>
  <c r="L375" i="47"/>
  <c r="Q411" i="47"/>
  <c r="L366" i="47"/>
  <c r="M319" i="47"/>
  <c r="I294" i="47"/>
  <c r="M217" i="47"/>
  <c r="K345" i="47"/>
  <c r="I345" i="47"/>
  <c r="E345" i="47"/>
  <c r="J351" i="47"/>
  <c r="K233" i="47"/>
  <c r="H278" i="47"/>
  <c r="N195" i="47"/>
  <c r="J195" i="47"/>
  <c r="G245" i="47"/>
  <c r="M239" i="47"/>
  <c r="E213" i="47"/>
  <c r="L175" i="47"/>
  <c r="I175" i="47"/>
  <c r="I282" i="47"/>
  <c r="N275" i="47"/>
  <c r="E207" i="47"/>
  <c r="H274" i="47"/>
  <c r="M223" i="47"/>
  <c r="J169" i="47"/>
  <c r="H165" i="47"/>
  <c r="E165" i="47"/>
  <c r="H112" i="47"/>
  <c r="M141" i="47"/>
  <c r="I85" i="47"/>
  <c r="L50" i="47"/>
  <c r="J50" i="47"/>
  <c r="I50" i="47"/>
  <c r="H50" i="47"/>
  <c r="K50" i="47"/>
  <c r="G50" i="47"/>
  <c r="L34" i="47"/>
  <c r="J34" i="47"/>
  <c r="I34" i="47"/>
  <c r="G34" i="47"/>
  <c r="K34" i="47"/>
  <c r="H34" i="47"/>
  <c r="L18" i="47"/>
  <c r="J18" i="47"/>
  <c r="I18" i="47"/>
  <c r="G18" i="47"/>
  <c r="K18" i="47"/>
  <c r="H18" i="47"/>
  <c r="Q235" i="47"/>
  <c r="M60" i="47"/>
  <c r="G143" i="47"/>
  <c r="E91" i="47"/>
  <c r="L73" i="47"/>
  <c r="N6" i="47"/>
  <c r="N500" i="47"/>
  <c r="L500" i="47"/>
  <c r="H500" i="47"/>
  <c r="G500" i="47"/>
  <c r="E500" i="47"/>
  <c r="H482" i="47"/>
  <c r="G482" i="47"/>
  <c r="M482" i="47"/>
  <c r="K482" i="47"/>
  <c r="J482" i="47"/>
  <c r="I482" i="47"/>
  <c r="L504" i="47"/>
  <c r="Q472" i="47"/>
  <c r="O472" i="47"/>
  <c r="I447" i="47"/>
  <c r="N447" i="47"/>
  <c r="M447" i="47"/>
  <c r="L447" i="47"/>
  <c r="K447" i="47"/>
  <c r="E447" i="47"/>
  <c r="E439" i="47"/>
  <c r="H433" i="47"/>
  <c r="J401" i="47"/>
  <c r="H362" i="47"/>
  <c r="N362" i="47"/>
  <c r="M362" i="47"/>
  <c r="L362" i="47"/>
  <c r="K362" i="47"/>
  <c r="J362" i="47"/>
  <c r="N349" i="47"/>
  <c r="K349" i="47"/>
  <c r="G349" i="47"/>
  <c r="N330" i="47"/>
  <c r="L315" i="47"/>
  <c r="G315" i="47"/>
  <c r="M315" i="47"/>
  <c r="L330" i="47"/>
  <c r="H245" i="47"/>
  <c r="E217" i="47"/>
  <c r="Q103" i="47"/>
  <c r="Q67" i="47"/>
  <c r="O67" i="47"/>
  <c r="N146" i="47"/>
  <c r="L146" i="47"/>
  <c r="K146" i="47"/>
  <c r="N79" i="47"/>
  <c r="L102" i="47"/>
  <c r="M106" i="47"/>
  <c r="L106" i="47"/>
  <c r="J106" i="47"/>
  <c r="E106" i="47"/>
  <c r="O145" i="47"/>
  <c r="J102" i="47"/>
  <c r="H106" i="47"/>
  <c r="M150" i="47"/>
  <c r="J127" i="47"/>
  <c r="G79" i="47"/>
  <c r="N58" i="47"/>
  <c r="N370" i="47"/>
  <c r="M370" i="47"/>
  <c r="K370" i="47"/>
  <c r="I370" i="47"/>
  <c r="H370" i="47"/>
  <c r="G370" i="47"/>
  <c r="E370" i="47"/>
  <c r="H302" i="47"/>
  <c r="Q390" i="47"/>
  <c r="N315" i="47"/>
  <c r="J245" i="47"/>
  <c r="I245" i="47"/>
  <c r="J219" i="47"/>
  <c r="H219" i="47"/>
  <c r="G219" i="47"/>
  <c r="K245" i="47"/>
  <c r="J146" i="47"/>
  <c r="E146" i="47"/>
  <c r="G106" i="47"/>
  <c r="Q120" i="47"/>
  <c r="Q247" i="47"/>
  <c r="N83" i="47"/>
  <c r="I102" i="47"/>
  <c r="N150" i="47"/>
  <c r="K109" i="47"/>
  <c r="K89" i="47"/>
  <c r="Q84" i="47"/>
  <c r="Q615" i="47"/>
  <c r="L533" i="47"/>
  <c r="G541" i="47"/>
  <c r="M461" i="47"/>
  <c r="J461" i="47"/>
  <c r="M504" i="47"/>
  <c r="H480" i="47"/>
  <c r="G493" i="47"/>
  <c r="M471" i="47"/>
  <c r="L471" i="47"/>
  <c r="E471" i="47"/>
  <c r="N471" i="47"/>
  <c r="E441" i="47"/>
  <c r="N441" i="47"/>
  <c r="M441" i="47"/>
  <c r="L441" i="47"/>
  <c r="K441" i="47"/>
  <c r="I441" i="47"/>
  <c r="G441" i="47"/>
  <c r="I496" i="47"/>
  <c r="H471" i="47"/>
  <c r="I587" i="47"/>
  <c r="H555" i="47"/>
  <c r="M464" i="47"/>
  <c r="E525" i="47"/>
  <c r="N504" i="47"/>
  <c r="M431" i="47"/>
  <c r="J431" i="47"/>
  <c r="E431" i="47"/>
  <c r="E443" i="47"/>
  <c r="H443" i="47"/>
  <c r="G478" i="47"/>
  <c r="L468" i="47"/>
  <c r="N440" i="47"/>
  <c r="E488" i="47"/>
  <c r="M488" i="47"/>
  <c r="J438" i="47"/>
  <c r="H438" i="47"/>
  <c r="G438" i="47"/>
  <c r="H409" i="47"/>
  <c r="G431" i="47"/>
  <c r="K413" i="47"/>
  <c r="J452" i="47"/>
  <c r="J432" i="47"/>
  <c r="E432" i="47"/>
  <c r="K443" i="47"/>
  <c r="L369" i="47"/>
  <c r="E390" i="47"/>
  <c r="G390" i="47"/>
  <c r="M401" i="47"/>
  <c r="E368" i="47"/>
  <c r="M368" i="47"/>
  <c r="L405" i="47"/>
  <c r="I405" i="47"/>
  <c r="E405" i="47"/>
  <c r="J402" i="47"/>
  <c r="K382" i="47"/>
  <c r="J410" i="47"/>
  <c r="N390" i="47"/>
  <c r="K375" i="47"/>
  <c r="E349" i="47"/>
  <c r="L303" i="47"/>
  <c r="G303" i="47"/>
  <c r="I302" i="47"/>
  <c r="E283" i="47"/>
  <c r="Q267" i="47"/>
  <c r="M242" i="47"/>
  <c r="I195" i="47"/>
  <c r="L235" i="47"/>
  <c r="J235" i="47"/>
  <c r="G231" i="47"/>
  <c r="N231" i="47"/>
  <c r="L231" i="47"/>
  <c r="G207" i="47"/>
  <c r="N179" i="47"/>
  <c r="J179" i="47"/>
  <c r="M207" i="47"/>
  <c r="M185" i="47"/>
  <c r="H223" i="47"/>
  <c r="K175" i="47"/>
  <c r="E145" i="47"/>
  <c r="B17" i="18"/>
  <c r="O20" i="47"/>
  <c r="B16" i="18"/>
  <c r="G146" i="47"/>
  <c r="N143" i="47"/>
  <c r="K143" i="47"/>
  <c r="E63" i="47"/>
  <c r="L167" i="47"/>
  <c r="E465" i="47"/>
  <c r="G501" i="47"/>
  <c r="Q441" i="47"/>
  <c r="O441" i="47"/>
  <c r="E493" i="47"/>
  <c r="K587" i="47"/>
  <c r="J555" i="47"/>
  <c r="Q461" i="47"/>
  <c r="G525" i="47"/>
  <c r="N446" i="47"/>
  <c r="I446" i="47"/>
  <c r="M439" i="47"/>
  <c r="H478" i="47"/>
  <c r="M468" i="47"/>
  <c r="K423" i="47"/>
  <c r="E423" i="47"/>
  <c r="G439" i="47"/>
  <c r="E459" i="47"/>
  <c r="K433" i="47"/>
  <c r="K452" i="47"/>
  <c r="K338" i="47"/>
  <c r="J338" i="47"/>
  <c r="H338" i="47"/>
  <c r="G338" i="47"/>
  <c r="N338" i="47"/>
  <c r="M338" i="47"/>
  <c r="L338" i="47"/>
  <c r="I338" i="47"/>
  <c r="E338" i="47"/>
  <c r="E401" i="47"/>
  <c r="K369" i="47"/>
  <c r="E348" i="47"/>
  <c r="N401" i="47"/>
  <c r="N367" i="47"/>
  <c r="M395" i="47"/>
  <c r="L395" i="47"/>
  <c r="K395" i="47"/>
  <c r="J395" i="47"/>
  <c r="I395" i="47"/>
  <c r="H395" i="47"/>
  <c r="K402" i="47"/>
  <c r="L379" i="47"/>
  <c r="L410" i="47"/>
  <c r="H349" i="47"/>
  <c r="E330" i="47"/>
  <c r="E303" i="47"/>
  <c r="H319" i="47"/>
  <c r="G275" i="47"/>
  <c r="E185" i="47"/>
  <c r="M227" i="47"/>
  <c r="E250" i="47"/>
  <c r="G223" i="47"/>
  <c r="J191" i="47"/>
  <c r="G191" i="47"/>
  <c r="K211" i="47"/>
  <c r="E61" i="47"/>
  <c r="G145" i="47"/>
  <c r="Q52" i="47"/>
  <c r="G157" i="47"/>
  <c r="H146" i="47"/>
  <c r="K79" i="47"/>
  <c r="K99" i="47"/>
  <c r="J99" i="47"/>
  <c r="H99" i="47"/>
  <c r="E99" i="47"/>
  <c r="H167" i="47"/>
  <c r="L139" i="47"/>
  <c r="M81" i="47"/>
  <c r="L81" i="47"/>
  <c r="K81" i="47"/>
  <c r="J81" i="47"/>
  <c r="I81" i="47"/>
  <c r="G81" i="47"/>
  <c r="E81" i="47"/>
  <c r="L46" i="47"/>
  <c r="J46" i="47"/>
  <c r="I46" i="47"/>
  <c r="K46" i="47"/>
  <c r="H46" i="47"/>
  <c r="G46" i="47"/>
  <c r="L30" i="47"/>
  <c r="J30" i="47"/>
  <c r="I30" i="47"/>
  <c r="K30" i="47"/>
  <c r="H30" i="47"/>
  <c r="G30" i="47"/>
  <c r="L14" i="47"/>
  <c r="J14" i="47"/>
  <c r="I14" i="47"/>
  <c r="K14" i="47"/>
  <c r="H14" i="47"/>
  <c r="G14" i="47"/>
  <c r="G167" i="47"/>
  <c r="L95" i="47"/>
  <c r="N167" i="47"/>
  <c r="J139" i="47"/>
  <c r="K95" i="47"/>
  <c r="J60" i="47"/>
  <c r="N38" i="47"/>
  <c r="AB17" i="18"/>
  <c r="G641" i="47"/>
  <c r="I531" i="47"/>
  <c r="N531" i="47"/>
  <c r="M531" i="47"/>
  <c r="L531" i="47"/>
  <c r="K531" i="47"/>
  <c r="G464" i="47"/>
  <c r="I480" i="47"/>
  <c r="I491" i="47"/>
  <c r="G491" i="47"/>
  <c r="G435" i="47"/>
  <c r="E435" i="47"/>
  <c r="N435" i="47"/>
  <c r="M435" i="47"/>
  <c r="L435" i="47"/>
  <c r="J435" i="47"/>
  <c r="N514" i="47"/>
  <c r="M514" i="47"/>
  <c r="N587" i="47"/>
  <c r="K555" i="47"/>
  <c r="H525" i="47"/>
  <c r="H491" i="47"/>
  <c r="M423" i="47"/>
  <c r="N409" i="47"/>
  <c r="L455" i="47"/>
  <c r="I455" i="47"/>
  <c r="M455" i="47"/>
  <c r="N431" i="47"/>
  <c r="I478" i="47"/>
  <c r="E438" i="47"/>
  <c r="J423" i="47"/>
  <c r="I432" i="47"/>
  <c r="L452" i="47"/>
  <c r="I439" i="47"/>
  <c r="N403" i="47"/>
  <c r="N374" i="47"/>
  <c r="M374" i="47"/>
  <c r="L374" i="47"/>
  <c r="I374" i="47"/>
  <c r="H374" i="47"/>
  <c r="E374" i="47"/>
  <c r="M391" i="47"/>
  <c r="G368" i="47"/>
  <c r="L344" i="47"/>
  <c r="K390" i="47"/>
  <c r="N375" i="47"/>
  <c r="J360" i="47"/>
  <c r="I360" i="47"/>
  <c r="N360" i="47"/>
  <c r="M421" i="47"/>
  <c r="G369" i="47"/>
  <c r="E395" i="47"/>
  <c r="J370" i="47"/>
  <c r="G405" i="47"/>
  <c r="M410" i="47"/>
  <c r="K388" i="47"/>
  <c r="G373" i="47"/>
  <c r="K406" i="47"/>
  <c r="I298" i="47"/>
  <c r="G330" i="47"/>
  <c r="I303" i="47"/>
  <c r="N335" i="47"/>
  <c r="M335" i="47"/>
  <c r="H335" i="47"/>
  <c r="E335" i="47"/>
  <c r="M233" i="47"/>
  <c r="N345" i="47"/>
  <c r="I329" i="47"/>
  <c r="L213" i="47"/>
  <c r="E323" i="47"/>
  <c r="L307" i="47"/>
  <c r="J307" i="47"/>
  <c r="H307" i="47"/>
  <c r="M329" i="47"/>
  <c r="G351" i="47"/>
  <c r="O303" i="47"/>
  <c r="H235" i="47"/>
  <c r="O242" i="47"/>
  <c r="I219" i="47"/>
  <c r="E235" i="47"/>
  <c r="E231" i="47"/>
  <c r="E179" i="47"/>
  <c r="H275" i="47"/>
  <c r="N219" i="47"/>
  <c r="K195" i="47"/>
  <c r="N185" i="47"/>
  <c r="H145" i="47"/>
  <c r="E109" i="47"/>
  <c r="I157" i="47"/>
  <c r="I146" i="47"/>
  <c r="N95" i="47"/>
  <c r="E137" i="47"/>
  <c r="I127" i="47"/>
  <c r="E85" i="47"/>
  <c r="N165" i="47"/>
  <c r="B10" i="18"/>
  <c r="I501" i="47"/>
  <c r="N501" i="47"/>
  <c r="K501" i="47"/>
  <c r="J501" i="47"/>
  <c r="O470" i="47"/>
  <c r="Q470" i="47"/>
  <c r="G523" i="47"/>
  <c r="K449" i="47"/>
  <c r="I443" i="47"/>
  <c r="E446" i="47"/>
  <c r="H435" i="47"/>
  <c r="M452" i="47"/>
  <c r="L437" i="47"/>
  <c r="H423" i="47"/>
  <c r="I431" i="47"/>
  <c r="G409" i="47"/>
  <c r="N423" i="47"/>
  <c r="I390" i="47"/>
  <c r="I384" i="47"/>
  <c r="H384" i="47"/>
  <c r="G384" i="47"/>
  <c r="E384" i="47"/>
  <c r="G360" i="47"/>
  <c r="H394" i="47"/>
  <c r="G367" i="47"/>
  <c r="Q343" i="47"/>
  <c r="O343" i="47"/>
  <c r="M399" i="47"/>
  <c r="H369" i="47"/>
  <c r="H405" i="47"/>
  <c r="M385" i="47"/>
  <c r="H373" i="47"/>
  <c r="E325" i="47"/>
  <c r="M298" i="47"/>
  <c r="N237" i="47"/>
  <c r="J237" i="47"/>
  <c r="I237" i="47"/>
  <c r="H237" i="47"/>
  <c r="G237" i="47"/>
  <c r="H330" i="47"/>
  <c r="L233" i="47"/>
  <c r="I323" i="47"/>
  <c r="K225" i="47"/>
  <c r="I351" i="47"/>
  <c r="K219" i="47"/>
  <c r="L245" i="47"/>
  <c r="J223" i="47"/>
  <c r="H250" i="47"/>
  <c r="N61" i="47"/>
  <c r="L61" i="47"/>
  <c r="J61" i="47"/>
  <c r="G61" i="47"/>
  <c r="H157" i="47"/>
  <c r="Q44" i="47"/>
  <c r="L93" i="47"/>
  <c r="K93" i="47"/>
  <c r="I93" i="47"/>
  <c r="E93" i="47"/>
  <c r="N60" i="47"/>
  <c r="K139" i="47"/>
  <c r="M89" i="47"/>
  <c r="N92" i="47"/>
  <c r="K92" i="47"/>
  <c r="J92" i="47"/>
  <c r="I92" i="47"/>
  <c r="H92" i="47"/>
  <c r="N22" i="47"/>
  <c r="M61" i="47"/>
  <c r="O20" i="18" l="1"/>
  <c r="P21" i="18"/>
  <c r="O21" i="18"/>
  <c r="O22" i="18"/>
  <c r="P22" i="18"/>
  <c r="O23" i="18"/>
  <c r="P23" i="18"/>
  <c r="P20" i="18"/>
  <c r="P24" i="18"/>
  <c r="O24" i="18"/>
  <c r="O5" i="18"/>
  <c r="B15" i="18"/>
  <c r="S9" i="18"/>
  <c r="T15" i="18"/>
  <c r="S11" i="18"/>
  <c r="T6" i="18"/>
  <c r="T9" i="18"/>
  <c r="T14" i="18"/>
  <c r="S17" i="18"/>
  <c r="T11" i="18"/>
  <c r="S12" i="18"/>
  <c r="S16" i="18"/>
  <c r="T17" i="18"/>
  <c r="S5" i="18"/>
  <c r="S19" i="18"/>
  <c r="O7" i="18"/>
  <c r="P8" i="18"/>
  <c r="P19" i="18"/>
  <c r="P12" i="18"/>
  <c r="O8" i="18"/>
  <c r="O19" i="18"/>
  <c r="P17" i="18"/>
  <c r="O12" i="18"/>
  <c r="P9" i="18"/>
  <c r="O17" i="18"/>
  <c r="O9" i="18"/>
  <c r="P15" i="18"/>
  <c r="O15" i="18"/>
  <c r="P13" i="18"/>
  <c r="O13" i="18"/>
  <c r="P10" i="18"/>
  <c r="O10" i="18"/>
  <c r="P18" i="18"/>
  <c r="O18" i="18"/>
  <c r="P5" i="18"/>
  <c r="P16" i="18"/>
  <c r="O16" i="18"/>
  <c r="P11" i="18"/>
  <c r="P6" i="18"/>
  <c r="P14" i="18"/>
  <c r="O11" i="18"/>
  <c r="O6" i="18"/>
  <c r="O14" i="18"/>
  <c r="P7" i="18"/>
  <c r="T16" i="18"/>
  <c r="S8" i="18"/>
  <c r="T5" i="18"/>
  <c r="T12" i="18"/>
  <c r="S18" i="18"/>
  <c r="T19" i="18"/>
  <c r="T18" i="18"/>
  <c r="S10" i="18"/>
  <c r="T8" i="18"/>
  <c r="T10" i="18"/>
  <c r="S7" i="18"/>
  <c r="S13" i="18"/>
  <c r="T7" i="18"/>
  <c r="T13" i="18"/>
  <c r="S14" i="18"/>
  <c r="S15" i="18"/>
  <c r="S6" i="18"/>
</calcChain>
</file>

<file path=xl/sharedStrings.xml><?xml version="1.0" encoding="utf-8"?>
<sst xmlns="http://schemas.openxmlformats.org/spreadsheetml/2006/main" count="25673" uniqueCount="9494">
  <si>
    <t>Event</t>
  </si>
  <si>
    <t>Game</t>
  </si>
  <si>
    <t>Tier</t>
  </si>
  <si>
    <t>Where</t>
  </si>
  <si>
    <t>Requirement</t>
  </si>
  <si>
    <t>Trigger</t>
  </si>
  <si>
    <t>Rarity</t>
  </si>
  <si>
    <t>Image</t>
  </si>
  <si>
    <t>Prompt</t>
  </si>
  <si>
    <t>Goal Met</t>
  </si>
  <si>
    <t>Goal Missed</t>
  </si>
  <si>
    <t>Chance Won</t>
  </si>
  <si>
    <t>Chance Lost</t>
  </si>
  <si>
    <t>Choice 1</t>
  </si>
  <si>
    <t>Repeat 1</t>
  </si>
  <si>
    <t>Result 1</t>
  </si>
  <si>
    <t>Effect 1</t>
  </si>
  <si>
    <t>Choice 2</t>
  </si>
  <si>
    <t>Repeat 2</t>
  </si>
  <si>
    <t>Result 2</t>
  </si>
  <si>
    <t>Effect 2</t>
  </si>
  <si>
    <t>Choice 3</t>
  </si>
  <si>
    <t>Repeat 3</t>
  </si>
  <si>
    <t>Result 3</t>
  </si>
  <si>
    <t>Effect 3</t>
  </si>
  <si>
    <t>Choice 4</t>
  </si>
  <si>
    <t>Repeat 4</t>
  </si>
  <si>
    <t>Result 4</t>
  </si>
  <si>
    <t>Effect 4</t>
  </si>
  <si>
    <t>Choice 5</t>
  </si>
  <si>
    <t>Repeat 5</t>
  </si>
  <si>
    <t>Result 5</t>
  </si>
  <si>
    <t>Effect 5</t>
  </si>
  <si>
    <t>Choice 6</t>
  </si>
  <si>
    <t>Repeat 6</t>
  </si>
  <si>
    <t>Result 6</t>
  </si>
  <si>
    <t>Effect 6</t>
  </si>
  <si>
    <t>Abyssal Baths</t>
  </si>
  <si>
    <t>Slay the Spire 2</t>
  </si>
  <si>
    <t>All</t>
  </si>
  <si>
    <t>After</t>
  </si>
  <si>
    <t>Common</t>
  </si>
  <si>
    <t>AbyssalBaths</t>
  </si>
  <si>
    <t>You discover a secluded chamber. Steam rises from bubbling pools of hot liquid that shifts colors with hypnotic rhythm. Barnacled growths hang from the ceiling, dripping viscous fluid that hisses and writhes when it touches the surface. The air feels heavy, laden with salt and something unmistakably organic. As you approach the edge of the largest pool, the liquid ripples. The waters bubble more intensely as if anticipating your entry.</t>
  </si>
  <si>
    <t>Immerse</t>
  </si>
  <si>
    <t>Stay</t>
  </si>
  <si>
    <t>The liquid burns against your skin, simultaneously freezing and scalding. Beneath the surface, something brushes against your legs—tendrils? Currents with purpose? But when the pain subsides, you feel... denser somehow. More substantial.</t>
  </si>
  <si>
    <t>gain_max_hp 1; lose_hp 2</t>
  </si>
  <si>
    <t>Linger</t>
  </si>
  <si>
    <t>Again</t>
  </si>
  <si>
    <t>The temperature keeps rising! How long can you endure before the steam cooks you from within? || It keeps getting hotter! The pool's bubbling sounds like laughter. IT'S SO HOT! || You wonder if this is what it's like to live in the Village of Demons? You have bathed so long you have lost track of time and your mind... It's nice in here. Really fantastic. || If you bathe any longer you will die.</t>
  </si>
  <si>
    <t>needs Immerse &gt; 0; gain_max_hp 1; lose_hp {3+X}</t>
  </si>
  <si>
    <t>Abstain</t>
  </si>
  <si>
    <t>You decline the temptation of the waters, instead gathering crystalline salts that have formed along the edges. As you apply them to your skin, the pools churn and froth agitatedly.</t>
  </si>
  <si>
    <t>needs Immerse = 0; gain_hp 3</t>
  </si>
  <si>
    <t>Exit Baths</t>
  </si>
  <si>
    <t>The heat finally gets to you, and you hop out of the bath.</t>
  </si>
  <si>
    <t>needs Immerse &gt; 0; nothing</t>
  </si>
  <si>
    <t>Battleworn Dummy</t>
  </si>
  <si>
    <t>BattlewornDummy</t>
  </si>
  <si>
    <t>As you approach, it begins to rumble and fizzle and lights up brilliantly! "BZZZT! TIME TO TRAIN!!! YOU HAVE 3 TURNS TO DEFEAT ME! CHOOSE A SETTING OR FACE LETHAL HUMILIATION."</t>
  </si>
  <si>
    <t>"YOU PASS THE TRAINING! YOU ARE NOW EQUIPPED TO DEFEND THIS FACTORY AGAINST INTRUDERS!! BE SURE TO HYDRATE AFTER TRAINING SESSIONS!"</t>
  </si>
  <si>
    <t>"YOU ARE WEAK!! HUMILIATION HAS BEEN ADMINISTERED!" The dummy is silent for a moment and— "Choose a lower setting next time."</t>
  </si>
  <si>
    <t>Setting 1</t>
  </si>
  <si>
    <t>add_goal "beat a game in 5 attempts or fewer" for 3 games -&gt; gain_potion 1</t>
  </si>
  <si>
    <t>Setting 2</t>
  </si>
  <si>
    <t>add_goal "beat a game in 3 attempts or fewer" for 3 games -&gt; gain_chest small 1</t>
  </si>
  <si>
    <t>Setting 3</t>
  </si>
  <si>
    <t>add_goal "beat a game in 1 attempt" for 3 games -&gt; gain_chest large 1</t>
  </si>
  <si>
    <t>Unrest Site</t>
  </si>
  <si>
    <t>hp &lt;= 70%</t>
  </si>
  <si>
    <t>UnrestSite</t>
  </si>
  <si>
    <t>You find a secluded Rest Site and start a fire to get some rest. Once the fire is started, it begins to swell, reaching not upwards but sideways towards a grove of oil-seeping trees.</t>
  </si>
  <si>
    <t>Rest Anyways</t>
  </si>
  <si>
    <t>All this adventuring has left you exhausted, and despite the oddities, you decide to sleep. You toss and turn as the fire roars and crackles through the night. The disgusting trees give off a wretched scent from their pitch-black sap.</t>
  </si>
  <si>
    <t>heal_full; add_curse poor_sleep</t>
  </si>
  <si>
    <t>Kill the Trees</t>
  </si>
  <si>
    <t>These trees are clearly malicious so you decide to get rid of them. Days later, you're covered in ash and oily goop. A massive flock of little byrd spirits rise from the slain trees and drop a small box at your feet. "Thank you for freeing us from those trees... cheep cheep!"</t>
  </si>
  <si>
    <t>lose_max_hp 2; gain_chest small 1</t>
  </si>
  <si>
    <t>Punch Off</t>
  </si>
  <si>
    <t>games &gt;= 6</t>
  </si>
  <si>
    <t>PunchOff</t>
  </si>
  <si>
    <t>Two Punch Constructs are duking it out and you see some treasure in between them... Should you try to nab it?</t>
  </si>
  <si>
    <t>Nab</t>
  </si>
  <si>
    <t>You successfully nab the relic! ...or so you thought. A right-hook clocks you in the face.</t>
  </si>
  <si>
    <t>add_curse injury; gain_chest small 1</t>
  </si>
  <si>
    <t>I Can Take Them</t>
  </si>
  <si>
    <t>The Constructs turn to you menacingly!</t>
  </si>
  <si>
    <t>spawn_enemy tag=robot 1; play_game tag=mecha -&gt; gain_loot 1; gain_chest small 2</t>
  </si>
  <si>
    <t>Scrap Ooze</t>
  </si>
  <si>
    <t>Slay the Spire</t>
  </si>
  <si>
    <t>ScrapOoze</t>
  </si>
  <si>
    <t>As you walk into the room you hear a gurgling and the grinding of metals. Before you is a slime-like creature that ate too much scrap for its own good. From the center of the creature you see glints of strange light, perhaps something magical? It looks like you can get some treasure if you just reach inside its... opening. However, the acid and sharp objects may hurt.</t>
  </si>
  <si>
    <t>Success! After rummaging through the metal and burning acid, you finally grab hold of a relic and yank it out. You pull your way out of the ooze damaged but rewarded.</t>
  </si>
  <si>
    <t>Ouch! All you find is corroded metal and a bit of burning pain. However, you're still convinced there's a relic...</t>
  </si>
  <si>
    <t>Reach Inside</t>
  </si>
  <si>
    <t>lose_hp 1; chance 25% -&gt; gain_chest small 1</t>
  </si>
  <si>
    <t>Deeper</t>
  </si>
  <si>
    <t>needs Reach Inside &gt; 0; lose_hp {2+X}; chance {35+10*X}% -&gt; gain_chest small 1</t>
  </si>
  <si>
    <t>Leave</t>
  </si>
  <si>
    <t>You decide to leave the area. The slime pays no attention, content with its meal.</t>
  </si>
  <si>
    <t>nothing</t>
  </si>
  <si>
    <t>Jungle Maze Adventure</t>
  </si>
  <si>
    <t>JungleMazeAdventure</t>
  </si>
  <si>
    <t>In a clearing, you run into a Ragtag Group of Adventurers looking down and gesturing at a gigantic maze. They offer to join forces with you in an Epic Quest to loot the riches of this maze. As an experienced adventurer yourself, it's clear this maze is filled with deadly traps and guardians. It would be easier if you work together, but then you would have to split the loot.</t>
  </si>
  <si>
    <t>Solo Quest</t>
  </si>
  <si>
    <t>Feeling misanthropic, you wordlessly walk past their now-frowning faces. One of them even shakes their fist at you. The maze is not welcoming. You fall into a spike trap, you are struck by a massive log with spikes, and feisty creatures with spiky clubs fight you along the entire journey. You are sick of spikes, and consider teamwork for the next adventure.</t>
  </si>
  <si>
    <t>gain_gold 3; lose_hp 2</t>
  </si>
  <si>
    <t>Join Forces</t>
  </si>
  <si>
    <t>Everyone's face immediately lights up, including your own! One of the adventurers turns out to be a bard! You merrily waltz into the maze as Aquid the squid wizard effortlessly disarms traps, while you and the Grathorian fighter take out the spiky club-wielding guards with ease. This was the most joyous adventure of your life and you've made some truly Great Memories.</t>
  </si>
  <si>
    <t>gain_gold 1</t>
  </si>
  <si>
    <t>Morphic Grove</t>
  </si>
  <si>
    <t>gold &gt;=3</t>
  </si>
  <si>
    <t>MorphicGrove</t>
  </si>
  <si>
    <t>You enter a grove of crystalline trees, and they begin to quiver excitedly! A chorus of hellos and welcomes bombard you as a group of Morphics burst forth from trees. One of the Morphics is fidgeting in the corner, clearly not as sociable as the others. Approach the group or the loner?</t>
  </si>
  <si>
    <t>Group</t>
  </si>
  <si>
    <t>You greet the chittering Morphics and they embrace you into their crystally arms. They share their combined knowledge and inject you with Morphic Magic, changing your nature... Such lovely creatures, these Morphics. One of them stole your gold.</t>
  </si>
  <si>
    <t>gain_stat transmute 2; lose_gold all</t>
  </si>
  <si>
    <t>Loner</t>
  </si>
  <si>
    <t>You reach out a hand to the lone Morphic, sympathizing with its nature. It gifts you a tiny crystal fruit, and you consume it, as is custom. The fruit clarifies your mind and purpose. You give thanks, then make your way onwards.</t>
  </si>
  <si>
    <t>gain_max_hp 1</t>
  </si>
  <si>
    <t>Whispering Hollow</t>
  </si>
  <si>
    <t>gold &gt;=1</t>
  </si>
  <si>
    <t>WhisperingHollow</t>
  </si>
  <si>
    <t>Making your way through a hollow of dead trees you happen upon a single bone-white tree. Clay baubles hang off its branches, which curve inward like protective ribs. Such a creepy tree. It whispers. ...make exchange.....</t>
  </si>
  <si>
    <t>Exchange Gold</t>
  </si>
  <si>
    <t>You scatter some gold at the base of the tree and two of the clay vessels drop to the floor soundlessly. They break open, and contain perfectly intact potions within. You nab the potions and flee.</t>
  </si>
  <si>
    <t>lose_gold 1; gain_loot 2</t>
  </si>
  <si>
    <t>Hug the Tree</t>
  </si>
  <si>
    <t>The whispering compels you to give it gold but you resist and give the tree a big hug instead! It thrashes about, scratching you with its branches, but eventually calms down. The tree-hugging experience transforms you. ...make hug.....?</t>
  </si>
  <si>
    <t>lose_hp 1; gain_stat transmute 1</t>
  </si>
  <si>
    <t>Golden Idol</t>
  </si>
  <si>
    <t>GoldenIdol</t>
  </si>
  <si>
    <t>You come across an inconspicuous pedestal with a shining gold idol sitting peacefully atop. It looks incredibly valuable. You sure don't see any traps nearby.</t>
  </si>
  <si>
    <t>Take</t>
  </si>
  <si>
    <t>As you grab the Idol and stow it away, a giant boulder smashes through the ceiling into the ground next to you. You realize that the floor is slanted downwards as the boulder starts to roll towards you.</t>
  </si>
  <si>
    <t>gain_item golden_idol</t>
  </si>
  <si>
    <t>If there was ever an obvious trap, this would be it. You decide not to interfere with objects placed upon pedestals.</t>
  </si>
  <si>
    <t>needs Take = 0; nothing</t>
  </si>
  <si>
    <t>Outrun</t>
  </si>
  <si>
    <t>RUUUUUUUUUUN! You barely leap into a side passageway as the boulder rushes by. Unfortunately it feels like you sprained something however.</t>
  </si>
  <si>
    <t>needs Take &gt; 0; lose_hp {max(1,round(0.25*MAX_HP))}</t>
  </si>
  <si>
    <t>Smash</t>
  </si>
  <si>
    <t>You throw yourself at the boulder with everything you have. When the dust clears, you can make a safe way out.</t>
  </si>
  <si>
    <t>needs Take &gt; 0; add_curse injury</t>
  </si>
  <si>
    <t>Hide</t>
  </si>
  <si>
    <t>SQUISH! The boulder flattens you a little as it passes by, but otherwise you can get out of here.</t>
  </si>
  <si>
    <t>needs Take &gt; 0; lose_max_hp {max(1,round(0.08*MAX_HP))}</t>
  </si>
  <si>
    <t>Relic Trader</t>
  </si>
  <si>
    <t>relics &gt;= 5</t>
  </si>
  <si>
    <t>RelicTrader</t>
  </si>
  <si>
    <t>You turn a corner and suddenly, a shadowy figure is just standing there. He pivots to face you. “Welcome! What're ya trading?” The figure inquires as he flares open his cloak to reveal a slew of suspicious wares.</t>
  </si>
  <si>
    <t>Take the Top One</t>
  </si>
  <si>
    <t>“Hehehe Heh... Thank you!”</t>
  </si>
  <si>
    <t>trade_relic 1</t>
  </si>
  <si>
    <t>Take the Middle One</t>
  </si>
  <si>
    <t>trade_relic 2</t>
  </si>
  <si>
    <t>Take the Bottom One</t>
  </si>
  <si>
    <t>trade_relic 3</t>
  </si>
  <si>
    <t>Arcade Room</t>
  </si>
  <si>
    <t>The Binding of Isaac</t>
  </si>
  <si>
    <t>gold&gt;=1</t>
  </si>
  <si>
    <t>ArcadeRoom</t>
  </si>
  <si>
    <t>Enter</t>
  </si>
  <si>
    <t>lose_gold 1; spawn_object tag=arcade 2-3</t>
  </si>
  <si>
    <t>Name</t>
  </si>
  <si>
    <t>Year</t>
  </si>
  <si>
    <t>Type</t>
  </si>
  <si>
    <t>Connected?</t>
  </si>
  <si>
    <t>Influencer?</t>
  </si>
  <si>
    <t>Tags</t>
  </si>
  <si>
    <t>File</t>
  </si>
  <si>
    <t>Owned</t>
  </si>
  <si>
    <t>File Location</t>
  </si>
  <si>
    <t>Steam Page</t>
  </si>
  <si>
    <t>[Redacted]</t>
  </si>
  <si>
    <t>Action</t>
  </si>
  <si>
    <t>redacted</t>
  </si>
  <si>
    <t>100 Rogues</t>
  </si>
  <si>
    <t>Traditional</t>
  </si>
  <si>
    <t>100-rogues</t>
  </si>
  <si>
    <t>2 Fights in 2 Tight Spaces</t>
  </si>
  <si>
    <t>Deckbuilder</t>
  </si>
  <si>
    <t>2-fights-in-2-tight-spaces</t>
  </si>
  <si>
    <t>https://store.steampowered.com/app/3734890/2_Fights_in_2_Tight_Spaces/</t>
  </si>
  <si>
    <t>20 Minutes Till Dawn</t>
  </si>
  <si>
    <t>20-minutes-till-dawn</t>
  </si>
  <si>
    <t>Yes</t>
  </si>
  <si>
    <t>C:\Users\Owner\Documents\Roguelike Roguelike\Roguelikes\20 Minutes Till Dawn.url</t>
  </si>
  <si>
    <t>https://store.steampowered.com/app/1966900/20_Minutes_Till_Dawn/</t>
  </si>
  <si>
    <t>20XX</t>
  </si>
  <si>
    <t>20xx</t>
  </si>
  <si>
    <t>C:\Users\Owner\Documents\Roguelike Roguelike\Roguelikes\20XX.url</t>
  </si>
  <si>
    <t>https://store.steampowered.com/app/322110/20XX/</t>
  </si>
  <si>
    <t>30XX</t>
  </si>
  <si>
    <t>30xx</t>
  </si>
  <si>
    <t>C:\Users\Owner\Documents\Roguelike Roguelike\Roguelikes\30XX.url</t>
  </si>
  <si>
    <t>https://store.steampowered.com/app/1029210/30XX/</t>
  </si>
  <si>
    <t>33 Immortals</t>
  </si>
  <si>
    <t>hell</t>
  </si>
  <si>
    <t>33-immortals</t>
  </si>
  <si>
    <t>https://store.steampowered.com/app/958520/33_Immortals/</t>
  </si>
  <si>
    <t>868-Back</t>
  </si>
  <si>
    <t>868-back</t>
  </si>
  <si>
    <t>https://store.steampowered.com/app/3304110/868BACK/</t>
  </si>
  <si>
    <t>868-Hack</t>
  </si>
  <si>
    <t>868-hack</t>
  </si>
  <si>
    <t>C:\Users\Owner\Documents\Roguelike Roguelike\Roguelikes\868-HACK.url</t>
  </si>
  <si>
    <t>https://store.steampowered.com/app/274700/868HACK/</t>
  </si>
  <si>
    <t>9 Kings</t>
  </si>
  <si>
    <t>9-kings</t>
  </si>
  <si>
    <t>C:\Users\Owner\Documents\Roguelike Roguelike\Roguelikes\9 Kings.url</t>
  </si>
  <si>
    <t>https://store.steampowered.com/app/2784470/9_Kings/</t>
  </si>
  <si>
    <t>99 Levels to Hell</t>
  </si>
  <si>
    <t>99-levels-to-hell</t>
  </si>
  <si>
    <t>A la Card</t>
  </si>
  <si>
    <t>a-la-card</t>
  </si>
  <si>
    <t>A Robot Named Fight!</t>
  </si>
  <si>
    <t>a-robot-named-fight</t>
  </si>
  <si>
    <t>C:\Users\Owner\Documents\Roguelike Roguelike\Roguelikes\A Robot Named Fight.url</t>
  </si>
  <si>
    <t>https://store.steampowered.com/app/603530/A_Robot_Named_Fight/</t>
  </si>
  <si>
    <t>Abandon Ship</t>
  </si>
  <si>
    <t>Strategy</t>
  </si>
  <si>
    <t>abandon-ship</t>
  </si>
  <si>
    <t>C:\Users\Owner\Documents\Roguelike Roguelike\Roguelikes\Abandon Ship.url</t>
  </si>
  <si>
    <t>https://store.steampowered.com/app/551860/Abandon_Ship/</t>
  </si>
  <si>
    <t>Abandoned Archive</t>
  </si>
  <si>
    <t>abandoned-archive</t>
  </si>
  <si>
    <t>Absolum</t>
  </si>
  <si>
    <t>beat 'em up</t>
  </si>
  <si>
    <t>absolum</t>
  </si>
  <si>
    <t>C:\Users\Owner\Documents\Roguelike Roguelike\Roguelikes\Absolum.url</t>
  </si>
  <si>
    <t>https://store.steampowered.com/app/1904480/Absolum/</t>
  </si>
  <si>
    <t>Aces &amp; Adventures</t>
  </si>
  <si>
    <t>aces-adventures</t>
  </si>
  <si>
    <t>C:\Users\Owner\Documents\Roguelike Roguelike\Roguelikes\Aces and Adventures.url</t>
  </si>
  <si>
    <t>https://store.steampowered.com/app/1815570/Aces__Adventures/</t>
  </si>
  <si>
    <t>Across the Obelisk</t>
  </si>
  <si>
    <t>across-the-obelisk</t>
  </si>
  <si>
    <t>C:\Users\Owner\Documents\Roguelike Roguelike\Roguelikes\Across the Obelisk.url</t>
  </si>
  <si>
    <t>https://store.steampowered.com/app/1385380/Across_the_Obelisk/</t>
  </si>
  <si>
    <t>Aethermancer</t>
  </si>
  <si>
    <t>aethermancer</t>
  </si>
  <si>
    <t>C:\Users\Owner\Documents\Roguelike Roguelike\Roguelikes\Aethermancer.url</t>
  </si>
  <si>
    <t>https://store.steampowered.com/app/2288470/Aethermancer/</t>
  </si>
  <si>
    <t>AK-xolotl</t>
  </si>
  <si>
    <t>ak-xolotl</t>
  </si>
  <si>
    <t>C:\Users\Owner\Documents\Roguelike Roguelike\Roguelikes\AK-xolotl Together.url</t>
  </si>
  <si>
    <t>https://store.steampowered.com/app/1479140/AKxolotl_Together/</t>
  </si>
  <si>
    <t>Alina of the Arena</t>
  </si>
  <si>
    <t>alina-of-the-arena</t>
  </si>
  <si>
    <t>C:\Users\Owner\Documents\Roguelike Roguelike\Roguelikes\Alina of the Arena.url</t>
  </si>
  <si>
    <t>https://store.steampowered.com/app/1668690/Alina_of_the_Arena/</t>
  </si>
  <si>
    <t>An Amazing Wizard</t>
  </si>
  <si>
    <t>an-amazing-wizard</t>
  </si>
  <si>
    <t>https://store.steampowered.com/app/1372660/An_Amazing_Wizard/</t>
  </si>
  <si>
    <t>Ancient Domains of Mystery</t>
  </si>
  <si>
    <t>ancient-domains-of-mystery</t>
  </si>
  <si>
    <t>C:\Users\Owner\Documents\Roguelike Roguelike\Roguelikes\ADOM (Ancient Domains Of Mystery).url</t>
  </si>
  <si>
    <t>https://store.steampowered.com/app/333300/ADOM_Ancient_Domains_Of_Mystery/</t>
  </si>
  <si>
    <t>Angband</t>
  </si>
  <si>
    <t>angband</t>
  </si>
  <si>
    <t>C:\Users\Owner\Documents\Roguelike Roguelike\Roguelikes\angband.lnk</t>
  </si>
  <si>
    <t>Another Farm Roguelike</t>
  </si>
  <si>
    <t>food</t>
  </si>
  <si>
    <t>another-farm-roguelike</t>
  </si>
  <si>
    <t>C:\Users\Owner\Documents\Roguelike Roguelike\Roguelikes\Another Farm Roguelike.url</t>
  </si>
  <si>
    <t>https://store.steampowered.com/app/2116850/Another_Farm_Roguelike/</t>
  </si>
  <si>
    <t>Another Farm Roguelike: Rebirth</t>
  </si>
  <si>
    <t>another-farm-roguelike-rebirth</t>
  </si>
  <si>
    <t>Aotenjo: Infinite Hands</t>
  </si>
  <si>
    <t>mahjong</t>
  </si>
  <si>
    <t>aotenjo-infinite-hands</t>
  </si>
  <si>
    <t>Approaching Infinity</t>
  </si>
  <si>
    <t>space</t>
  </si>
  <si>
    <t>approaching-infinity</t>
  </si>
  <si>
    <t>Arc Seed</t>
  </si>
  <si>
    <t>mecha</t>
  </si>
  <si>
    <t>arc-seed</t>
  </si>
  <si>
    <t>C:\Users\Owner\Documents\Roguelike Roguelike\Roguelikes\ARC SEED.url</t>
  </si>
  <si>
    <t>https://store.steampowered.com/app/2332970/ARC_SEED/</t>
  </si>
  <si>
    <t>Arcane Trigger</t>
  </si>
  <si>
    <t>arcane-trigger</t>
  </si>
  <si>
    <t>Arcanium: Rise of Akhan</t>
  </si>
  <si>
    <t>arcanium-rise-of-akhan</t>
  </si>
  <si>
    <t>C:\Users\Owner\Documents\Roguelike Roguelike\Roguelikes\Arcanium.url</t>
  </si>
  <si>
    <t>https://store.steampowered.com/app/1056840/Arcanium_Rise_of_Akhan/</t>
  </si>
  <si>
    <t>Archon Soul</t>
  </si>
  <si>
    <t>archon-soul</t>
  </si>
  <si>
    <t>https://store.steampowered.com/app/4252700/Archon_Soul/</t>
  </si>
  <si>
    <t>Archons</t>
  </si>
  <si>
    <t>archons</t>
  </si>
  <si>
    <t>C:\Users\Owner\Documents\Roguelike Roguelike\Roguelikes\Archons.url</t>
  </si>
  <si>
    <t>https://store.steampowered.com/app/2779570/Archons/</t>
  </si>
  <si>
    <t>Arms of God</t>
  </si>
  <si>
    <t>arms-of-god</t>
  </si>
  <si>
    <t>https://store.steampowered.com/app/3100310/Arms_of_God/</t>
  </si>
  <si>
    <t>Army of Ruin</t>
  </si>
  <si>
    <t>army-of-ruin</t>
  </si>
  <si>
    <t>Arrogue</t>
  </si>
  <si>
    <t>arrogue</t>
  </si>
  <si>
    <t>As We Descend</t>
  </si>
  <si>
    <t>as-we-descend</t>
  </si>
  <si>
    <t>Asgard's Fall: Viking Survivors</t>
  </si>
  <si>
    <t>viking</t>
  </si>
  <si>
    <t>asgards-fall-viking-survivors</t>
  </si>
  <si>
    <t>C:\Users\Owner\Documents\Roguelike Roguelike\Roguelikes\Asgard's Fall — Viking Survivors.url</t>
  </si>
  <si>
    <t>https://store.steampowered.com/app/2780710/Asgards_Fall__Viking_Survivors/</t>
  </si>
  <si>
    <t>Asterogues</t>
  </si>
  <si>
    <t>asterogues</t>
  </si>
  <si>
    <t>Astral Ascent</t>
  </si>
  <si>
    <t>astral-ascent</t>
  </si>
  <si>
    <t>C:\Users\Owner\Documents\Roguelike Roguelike\Roguelikes\Astral Ascent.url</t>
  </si>
  <si>
    <t>https://store.steampowered.com/app/1280930/Astral_Ascent/</t>
  </si>
  <si>
    <t>Astrea: Six-Sided Oracles</t>
  </si>
  <si>
    <t>dice</t>
  </si>
  <si>
    <t>astrea-six-sided-oracles</t>
  </si>
  <si>
    <t>C:\Users\Owner\Documents\Roguelike Roguelike\Roguelikes\Astrea Six-Sided Oracles.url</t>
  </si>
  <si>
    <t>https://store.steampowered.com/app/1755830/Astrea_SixSided_Oracles/</t>
  </si>
  <si>
    <t>Astro Prospector</t>
  </si>
  <si>
    <t>astro-prospector</t>
  </si>
  <si>
    <t>C:\Users\Owner\Documents\Roguelike Roguelike\Roguelikes\Astro Prospector.url</t>
  </si>
  <si>
    <t>https://store.steampowered.com/app/3503440/Astro_Prospector/</t>
  </si>
  <si>
    <t>Astronarch</t>
  </si>
  <si>
    <t>astronarch</t>
  </si>
  <si>
    <t>C:\Users\Owner\Documents\Roguelike Roguelike\Roguelikes\Astronarch.url</t>
  </si>
  <si>
    <t>https://store.steampowered.com/app/1234940/Astronarch/</t>
  </si>
  <si>
    <t>Atai no Gensoukyou</t>
  </si>
  <si>
    <t>touhou</t>
  </si>
  <si>
    <t>atai-no-gensoukyou</t>
  </si>
  <si>
    <t>Atomic Owl</t>
  </si>
  <si>
    <t>atomic-owl</t>
  </si>
  <si>
    <t>https://store.steampowered.com/app/2228490/Atomic_Owl/</t>
  </si>
  <si>
    <t>Atomicrops</t>
  </si>
  <si>
    <t>atomicrops</t>
  </si>
  <si>
    <t>C:\Users\Owner\Documents\Roguelike Roguelike\Roguelikes\Atomicrops.url</t>
  </si>
  <si>
    <t>https://store.steampowered.com/app/757320/Atomicrops/</t>
  </si>
  <si>
    <t>Auro: A Monster-Bumping Adventure</t>
  </si>
  <si>
    <t>auro-a-monster-bumping-adventure</t>
  </si>
  <si>
    <t>Auto Rogue</t>
  </si>
  <si>
    <t>auto-rogue</t>
  </si>
  <si>
    <t>Azure Dreams</t>
  </si>
  <si>
    <t>azure-dreams</t>
  </si>
  <si>
    <t>C:\Users\Owner\Documents\Roguelike Roguelike\Roguelikes\Azure Dreams.lnk</t>
  </si>
  <si>
    <t>Backpack Battles</t>
  </si>
  <si>
    <t>backpack-battles</t>
  </si>
  <si>
    <t>Backpack Hero</t>
  </si>
  <si>
    <t>backpack-hero</t>
  </si>
  <si>
    <t>C:\Users\Owner\Documents\Roguelike Roguelike\Roguelikes\Backpack Hero.url</t>
  </si>
  <si>
    <t>https://store.steampowered.com/app/1970580/Backpack_Hero/</t>
  </si>
  <si>
    <t>Bad North</t>
  </si>
  <si>
    <t>bad-north</t>
  </si>
  <si>
    <t>https://store.steampowered.com/app/688420/Bad_North_Jotunn_Edition/</t>
  </si>
  <si>
    <t>Balatro</t>
  </si>
  <si>
    <t>casino</t>
  </si>
  <si>
    <t>balatro</t>
  </si>
  <si>
    <t>C:\Users\Owner\Documents\Roguelike Roguelike\Roguelikes\Balatro.url</t>
  </si>
  <si>
    <t>https://store.steampowered.com/app/2379780/Balatro/</t>
  </si>
  <si>
    <t>Baldi's Basics Plus</t>
  </si>
  <si>
    <t>baldis-basics-plus</t>
  </si>
  <si>
    <t>Ball x Pit</t>
  </si>
  <si>
    <t>ball-x-pit</t>
  </si>
  <si>
    <t>C:\Users\Owner\Documents\Roguelike Roguelike\Roguelikes\BALL x PIT.url</t>
  </si>
  <si>
    <t>https://store.steampowered.com/app/2062430/BALL_x_PIT/</t>
  </si>
  <si>
    <t>Ballionaire</t>
  </si>
  <si>
    <t>ballionaire</t>
  </si>
  <si>
    <t>C:\Users\Owner\Documents\Roguelike Roguelike\Roguelikes\Ballionaire.url</t>
  </si>
  <si>
    <t>https://store.steampowered.com/app/2667120/Ballionaire/</t>
  </si>
  <si>
    <t>Banners of Ruin</t>
  </si>
  <si>
    <t>banners-of-ruin</t>
  </si>
  <si>
    <t>C:\Users\Owner\Documents\Roguelike Roguelike\Roguelikes\Banners of Ruin.url</t>
  </si>
  <si>
    <t>https://store.steampowered.com/app/1075740/Banners_of_Ruin/</t>
  </si>
  <si>
    <t>Barda</t>
  </si>
  <si>
    <t>barda</t>
  </si>
  <si>
    <t>https://store.steampowered.com/app/3664320/BARDA_Backpack_Roguelike/</t>
  </si>
  <si>
    <t>Barony</t>
  </si>
  <si>
    <t>barony</t>
  </si>
  <si>
    <t>C:\Users\Owner\Documents\Roguelike Roguelike\Roguelikes\Barony.url</t>
  </si>
  <si>
    <t>https://store.steampowered.com/app/371970/Barony/</t>
  </si>
  <si>
    <t>Baroque</t>
  </si>
  <si>
    <t>baroque</t>
  </si>
  <si>
    <t>Baroque (2007)</t>
  </si>
  <si>
    <t>baroque-2007</t>
  </si>
  <si>
    <t>Battle Brothers</t>
  </si>
  <si>
    <t>battle-brothers</t>
  </si>
  <si>
    <t>C:\Users\Owner\Documents\Roguelike Roguelike\Roguelikes\BattleBrothers.lnk</t>
  </si>
  <si>
    <t>https://store.steampowered.com/app/365360/Battle_Brothers/</t>
  </si>
  <si>
    <t>Battle Shapers</t>
  </si>
  <si>
    <t>battle-shapers</t>
  </si>
  <si>
    <t>C:\Users\Owner\Documents\Roguelike Roguelike\Roguelikes\Battle Shapers.url</t>
  </si>
  <si>
    <t>https://store.steampowered.com/app/1421290/Battle_Shapers/</t>
  </si>
  <si>
    <t>BAZR</t>
  </si>
  <si>
    <t>bazr</t>
  </si>
  <si>
    <t>C:\Users\Owner\Documents\Roguelike Roguelike\Roguelikes\BAZR.lnk</t>
  </si>
  <si>
    <t>Be My Horde</t>
  </si>
  <si>
    <t>be-my-horde</t>
  </si>
  <si>
    <t>C:\Users\Owner\Documents\Roguelike Roguelike\Roguelikes\Be My Horde.url</t>
  </si>
  <si>
    <t>https://store.steampowered.com/app/2499520/Be_My_Horde/</t>
  </si>
  <si>
    <t>Beat Blast</t>
  </si>
  <si>
    <t>rhythm</t>
  </si>
  <si>
    <t>beat-blast</t>
  </si>
  <si>
    <t>C:\Users\Owner\Documents\Roguelike Roguelike\Roguelikes\Beat Blast.url</t>
  </si>
  <si>
    <t>https://store.steampowered.com/app/1072640/Beat_Blast/</t>
  </si>
  <si>
    <t>Bella Wants Blood</t>
  </si>
  <si>
    <t>tower defense</t>
  </si>
  <si>
    <t>bella-wants-blood</t>
  </si>
  <si>
    <t>C:\Users\Owner\Documents\Roguelike Roguelike\Roguelikes\Bella Wants Blood.url</t>
  </si>
  <si>
    <t>https://store.steampowered.com/app/3007660/Bella_Wants_Blood/</t>
  </si>
  <si>
    <t>Beneath Apple Manor</t>
  </si>
  <si>
    <t>beneath-apple-manor</t>
  </si>
  <si>
    <t>C:\Users\Owner\Documents\Roguelike Roguelike\Roguelikes\Beneath Apple Manor.lnk</t>
  </si>
  <si>
    <t>Beneath Oresa</t>
  </si>
  <si>
    <t>beneath-oresa</t>
  </si>
  <si>
    <t>C:\Users\Owner\Documents\Roguelike Roguelike\Roguelikes\Beneath Oresa.url</t>
  </si>
  <si>
    <t>https://store.steampowered.com/app/1803400/Beneath_Oresa/</t>
  </si>
  <si>
    <t>Beyond the Long Night</t>
  </si>
  <si>
    <t>beyond-the-long-night</t>
  </si>
  <si>
    <t>C:\Users\Owner\Documents\Roguelike Roguelike\Roguelikes\Beyond the Long Night.url</t>
  </si>
  <si>
    <t>https://store.steampowered.com/app/1730080/Beyond_the_Long_Night/</t>
  </si>
  <si>
    <t>Beyond Words</t>
  </si>
  <si>
    <t>beyond-words</t>
  </si>
  <si>
    <t>Bingle Bingle</t>
  </si>
  <si>
    <t>bingle-bingle</t>
  </si>
  <si>
    <t>C:\Users\Owner\Documents\Roguelike Roguelike\Roguelikes\Bingle Bingle.url</t>
  </si>
  <si>
    <t>https://store.steampowered.com/app/2789810/Bingle_Bingle/</t>
  </si>
  <si>
    <t>Bioprototype</t>
  </si>
  <si>
    <t>bioprototype</t>
  </si>
  <si>
    <t>https://store.steampowered.com/app/3689520/Bioprototype/</t>
  </si>
  <si>
    <t>Black Jacket</t>
  </si>
  <si>
    <t>black-jacket</t>
  </si>
  <si>
    <t>https://store.steampowered.com/app/3100370/Black_Jacket/</t>
  </si>
  <si>
    <t>Blazing Beaks</t>
  </si>
  <si>
    <t>blazing-beaks</t>
  </si>
  <si>
    <t>C:\Users\Owner\Documents\Roguelike Roguelike\Roguelikes\Blazing Beaks.url</t>
  </si>
  <si>
    <t>https://store.steampowered.com/app/585710/Blazing_Beaks/</t>
  </si>
  <si>
    <t>Bleak Sword</t>
  </si>
  <si>
    <t>bleak-sword</t>
  </si>
  <si>
    <t>C:\Users\Owner\Documents\Roguelike Roguelike\Roguelikes\Bleak Sword DX.url</t>
  </si>
  <si>
    <t>https://store.steampowered.com/app/2193050/Bleak_Sword_DX/</t>
  </si>
  <si>
    <t>Block Tower TD</t>
  </si>
  <si>
    <t>block-tower-td</t>
  </si>
  <si>
    <t>C:\Users\Owner\Documents\Roguelike Roguelike\Roguelikes\Block Tower TD.url</t>
  </si>
  <si>
    <t>https://store.steampowered.com/app/2427570/Block_Tower_TD/</t>
  </si>
  <si>
    <t>Block Tower TD 2</t>
  </si>
  <si>
    <t>block-tower-td-2</t>
  </si>
  <si>
    <t>C:\Users\Owner\Documents\Roguelike Roguelike\Roguelikes\Block Tower TD 2.url</t>
  </si>
  <si>
    <t>https://store.steampowered.com/app/2837350/Block_Tower_TD_2/</t>
  </si>
  <si>
    <t>BloodDome99</t>
  </si>
  <si>
    <t>blooddome99</t>
  </si>
  <si>
    <t>Bloodshed</t>
  </si>
  <si>
    <t>bloodshed</t>
  </si>
  <si>
    <t>C:\Users\Owner\Documents\Roguelike Roguelike\Roguelikes\Bloodshed.url</t>
  </si>
  <si>
    <t>https://store.steampowered.com/app/2747550/Bloodshed/</t>
  </si>
  <si>
    <t>Bloons TD 6: Rogue Legends</t>
  </si>
  <si>
    <t>bloons-td-6-rogue-legends</t>
  </si>
  <si>
    <t>Blue Prince</t>
  </si>
  <si>
    <t>blue-prince</t>
  </si>
  <si>
    <t>Boneraiser Minions</t>
  </si>
  <si>
    <t>undead</t>
  </si>
  <si>
    <t>boneraiser-minions</t>
  </si>
  <si>
    <t>C:\Users\Owner\Documents\Roguelike Roguelike\Roguelikes\Boneraiser Minions.url</t>
  </si>
  <si>
    <t>https://store.steampowered.com/app/1944570/Boneraiser_Minions/</t>
  </si>
  <si>
    <t>Book of Demons</t>
  </si>
  <si>
    <t>book-of-demons</t>
  </si>
  <si>
    <t>Bounty of One</t>
  </si>
  <si>
    <t>western</t>
  </si>
  <si>
    <t>bounty-of-one</t>
  </si>
  <si>
    <t>C:\Users\Owner\Documents\Roguelike Roguelike\Roguelikes\Bounty of One.url</t>
  </si>
  <si>
    <t>https://store.steampowered.com/app/1968730/Bounty_of_One/</t>
  </si>
  <si>
    <t>Boyfriend Dungeon</t>
  </si>
  <si>
    <t>boyfriend-dungeon</t>
  </si>
  <si>
    <t>C:\Users\Owner\Documents\Roguelike Roguelike\Roguelikes\Boyfriend Dungeon.url</t>
  </si>
  <si>
    <t>https://store.steampowered.com/app/674930/Boyfriend_Dungeon/</t>
  </si>
  <si>
    <t>BPM: Bullets Per Minute</t>
  </si>
  <si>
    <t>bpm-bullets-per-minute</t>
  </si>
  <si>
    <t>C:\Users\Owner\Documents\Roguelike Roguelike\Roguelikes\BPM BULLETS PER MINUTE.url</t>
  </si>
  <si>
    <t>https://store.steampowered.com/app/1286350/BPM_BULLETS_PER_MINUTE/</t>
  </si>
  <si>
    <t>Brawl Tactics: Origins</t>
  </si>
  <si>
    <t>brawl-tactics-origins</t>
  </si>
  <si>
    <t>https://store.steampowered.com/app/2451820/Brawl_Tactics_Origins/</t>
  </si>
  <si>
    <t>Breach Wanderers</t>
  </si>
  <si>
    <t>breach-wanderers</t>
  </si>
  <si>
    <t>C:\Users\Owner\Documents\Roguelike Roguelike\Roguelikes\Breach Wanderers.url</t>
  </si>
  <si>
    <t>https://store.steampowered.com/app/1394130/Breach_Wanderers/</t>
  </si>
  <si>
    <t>Breachway</t>
  </si>
  <si>
    <t>breachway</t>
  </si>
  <si>
    <t>C:\Users\Owner\Documents\Roguelike Roguelike\Roguelikes\Breachway.url</t>
  </si>
  <si>
    <t>https://store.steampowered.com/app/2118810/Breachway/</t>
  </si>
  <si>
    <t>Brew</t>
  </si>
  <si>
    <t>brew</t>
  </si>
  <si>
    <t>Brogue</t>
  </si>
  <si>
    <t>brogue</t>
  </si>
  <si>
    <t>C:\Users\Owner\Documents\Roguelike Roguelike\Roguelikes\brogue.lnk</t>
  </si>
  <si>
    <t>BroomSweeper</t>
  </si>
  <si>
    <t>broomsweeper</t>
  </si>
  <si>
    <t>C:\Users\Owner\Documents\Roguelike Roguelike\Roguelikes\BroomSweeper.url</t>
  </si>
  <si>
    <t>https://store.steampowered.com/app/3473250/BroomSweeper/</t>
  </si>
  <si>
    <t>Brotato</t>
  </si>
  <si>
    <t>brotato</t>
  </si>
  <si>
    <t>C:\Users\Owner\Documents\Roguelike Roguelike\Roguelikes\Brotato.url</t>
  </si>
  <si>
    <t>https://store.steampowered.com/app/1942280/Brotato/</t>
  </si>
  <si>
    <t>Brutal Orchestra</t>
  </si>
  <si>
    <t>brutal-orchestra</t>
  </si>
  <si>
    <t>C:\Users\Owner\Documents\Roguelike Roguelike\Roguelikes\Brutal Orchestra.url</t>
  </si>
  <si>
    <t>https://store.steampowered.com/app/1734320/Brutal_Orchestra/</t>
  </si>
  <si>
    <t>Buckshot Roulette</t>
  </si>
  <si>
    <t>horror</t>
  </si>
  <si>
    <t>buckshot-roulette</t>
  </si>
  <si>
    <t>C:\Users\Owner\Documents\Roguelike Roguelike\Roguelikes\Buckshot Roulette.url</t>
  </si>
  <si>
    <t>https://store.steampowered.com/app/2835570/Buckshot_Roulette/</t>
  </si>
  <si>
    <t>Candies 'n Curses</t>
  </si>
  <si>
    <t>candies-n-curses</t>
  </si>
  <si>
    <t>C:\Users\Owner\Documents\Roguelike Roguelike\Roguelikes\Candies 'n Curses.lnk</t>
  </si>
  <si>
    <t>Captain Forever Remix</t>
  </si>
  <si>
    <t>captain-forever-remix</t>
  </si>
  <si>
    <t>C:\Users\Owner\Documents\Roguelike Roguelike\Roguelikes\Captain Forever Remix.url</t>
  </si>
  <si>
    <t>https://store.steampowered.com/app/298560/Captain_Forever_Remix/</t>
  </si>
  <si>
    <t>Cardinal Quest</t>
  </si>
  <si>
    <t>cardinal-quest</t>
  </si>
  <si>
    <t>Cardinal Quest 2</t>
  </si>
  <si>
    <t>cardinal-quest-2</t>
  </si>
  <si>
    <t>https://store.steampowered.com/app/378030/Cardinal_Quest_2/</t>
  </si>
  <si>
    <t>Castle of the Winds</t>
  </si>
  <si>
    <t>castle-of-the-winds</t>
  </si>
  <si>
    <t>C:\Users\Owner\Documents\Roguelike Roguelike\Roguelikes\Castle of the Winds.url</t>
  </si>
  <si>
    <t>CastlevaniaRL</t>
  </si>
  <si>
    <t>castlevaniarl</t>
  </si>
  <si>
    <t>C:\Users\Owner\Documents\Roguelike Roguelike\Roguelikes\CastlevaniaRL.lnk</t>
  </si>
  <si>
    <t>Cat God Ranch</t>
  </si>
  <si>
    <t>cats</t>
  </si>
  <si>
    <t>cat-god-ranch</t>
  </si>
  <si>
    <t>Cataclysm</t>
  </si>
  <si>
    <t>cataclysm</t>
  </si>
  <si>
    <t>C:\Users\Owner\Documents\Roguelike Roguelike\Roguelikes\cataclysm.lnk</t>
  </si>
  <si>
    <t>Cataclysm: Bright Nights</t>
  </si>
  <si>
    <t>cataclysm-bright-nights</t>
  </si>
  <si>
    <t>Cataclysm: Dark Days Ahead</t>
  </si>
  <si>
    <t>cataclysm-dark-days-ahead</t>
  </si>
  <si>
    <t>Cataclysm: The Last Generation</t>
  </si>
  <si>
    <t>cataclysm-the-last-generation</t>
  </si>
  <si>
    <t>Catacomb Kids</t>
  </si>
  <si>
    <t>catacomb-kids</t>
  </si>
  <si>
    <t>https://store.steampowered.com/app/315840/Catacomb_Kids/</t>
  </si>
  <si>
    <t>Cats &amp; Dice</t>
  </si>
  <si>
    <t>cats-dice</t>
  </si>
  <si>
    <t>https://store.steampowered.com/app/3128280/Cats__Dice/</t>
  </si>
  <si>
    <t>Cave Noire</t>
  </si>
  <si>
    <t>cave-noire</t>
  </si>
  <si>
    <t>C:\Users\Owner\Documents\Roguelike Roguelike\Roguelikes\Cave Noire.lnk</t>
  </si>
  <si>
    <t>Caveblazers</t>
  </si>
  <si>
    <t>caveblazers</t>
  </si>
  <si>
    <t>C:\Users\Owner\Documents\Roguelike Roguelike\Roguelikes\Caveblazers.url</t>
  </si>
  <si>
    <t>https://store.steampowered.com/app/452060/Caveblazers/</t>
  </si>
  <si>
    <t>Caves of Qud</t>
  </si>
  <si>
    <t>caves-of-qud</t>
  </si>
  <si>
    <t>C:\Users\Owner\Documents\Roguelike Roguelike\Roguelikes\Caves of Qud.url</t>
  </si>
  <si>
    <t>https://store.steampowered.com/app/333640/Caves_of_Qud/</t>
  </si>
  <si>
    <t>Cavity Busters</t>
  </si>
  <si>
    <t>cavity-busters</t>
  </si>
  <si>
    <t>C:\Users\Owner\Documents\Roguelike Roguelike\Roguelikes\Cavity Busters.url</t>
  </si>
  <si>
    <t>https://store.steampowered.com/app/1084220/Cavity_Busters/</t>
  </si>
  <si>
    <t>Cell Command</t>
  </si>
  <si>
    <t>cell-command</t>
  </si>
  <si>
    <t>Centipede Gun</t>
  </si>
  <si>
    <t>centipede-gun</t>
  </si>
  <si>
    <t>C:\Users\Owner\Documents\Roguelike Roguelike\Roguelikes\Centipede Gun.url</t>
  </si>
  <si>
    <t>https://store.steampowered.com/app/2308000/Centipede_Gun/</t>
  </si>
  <si>
    <t>Chaos Zero Nightmare</t>
  </si>
  <si>
    <t>gacha</t>
  </si>
  <si>
    <t>chaos-zero-nightmare</t>
  </si>
  <si>
    <t>C:\Users\Owner\Documents\Roguelike Roguelike\Roguelikes\Chaos Zero Nightmare.url</t>
  </si>
  <si>
    <t>Chess Survivors</t>
  </si>
  <si>
    <t>chess-survivors</t>
  </si>
  <si>
    <t>https://store.steampowered.com/app/2065000/Chess_Survivors/</t>
  </si>
  <si>
    <t>Children of Morta</t>
  </si>
  <si>
    <t>children-of-morta</t>
  </si>
  <si>
    <t>C:\Users\Owner\Documents\Roguelike Roguelike\Roguelikes\Children of Morta.url</t>
  </si>
  <si>
    <t>https://store.steampowered.com/app/330020/Children_of_Morta/</t>
  </si>
  <si>
    <t>Chocobo's Dungeon 2</t>
  </si>
  <si>
    <t>chocobos-dungeon-2</t>
  </si>
  <si>
    <t>C:\Users\Owner\Documents\Roguelike Roguelike\Roguelikes\Chocobo's Dungeon 2.lnk</t>
  </si>
  <si>
    <t>Chocobo's Mysterious Dungeon</t>
  </si>
  <si>
    <t>chocobos-mysterious-dungeon</t>
  </si>
  <si>
    <t>C:\Users\Owner\Documents\Roguelike Roguelike\Roguelikes\Chocobos Mystery Dungeon.lnk</t>
  </si>
  <si>
    <t>Chocobo's Mystery Dungeon Every Buddy!</t>
  </si>
  <si>
    <t>chocobos-mystery-dungeon-every-buddy</t>
  </si>
  <si>
    <t>Choo Choo Survivor</t>
  </si>
  <si>
    <t>train</t>
  </si>
  <si>
    <t>choo-choo-survivor</t>
  </si>
  <si>
    <t>C:\Users\Owner\Documents\Roguelike Roguelike\Roguelikes\Choo Choo Survivor.url</t>
  </si>
  <si>
    <t>https://store.steampowered.com/app/2336200/Choo_Choo_Survivor/</t>
  </si>
  <si>
    <t>Choo Choo Survivor 2</t>
  </si>
  <si>
    <t>choo-choo-survivor-2</t>
  </si>
  <si>
    <t>C:\Users\Owner\Documents\Roguelike Roguelike\Roguelikes\Choo Choo Survivor 2.url</t>
  </si>
  <si>
    <t>https://store.steampowered.com/app/3494210/Choo_Choo_Survivor_2/</t>
  </si>
  <si>
    <t>Chosen Garden</t>
  </si>
  <si>
    <t>chosen-garden</t>
  </si>
  <si>
    <t>https://store.steampowered.com/app/3923750/Chosen_Garden/</t>
  </si>
  <si>
    <t>Chrono Ark</t>
  </si>
  <si>
    <t>chrono-ark</t>
  </si>
  <si>
    <t>C:\Users\Owner\Documents\Roguelike Roguelike\Roguelikes\Chrono Ark.url</t>
  </si>
  <si>
    <t>https://store.steampowered.com/app/1188930/Chrono_Ark/</t>
  </si>
  <si>
    <t>Cinderia</t>
  </si>
  <si>
    <t>cinderia</t>
  </si>
  <si>
    <t>CleanFall</t>
  </si>
  <si>
    <t>cleanfall</t>
  </si>
  <si>
    <t>CloverPit</t>
  </si>
  <si>
    <t>cloverpit</t>
  </si>
  <si>
    <t>C:\Users\Owner\Documents\Roguelike Roguelike\Roguelikes\CloverPit.url</t>
  </si>
  <si>
    <t>https://store.steampowered.com/app/3314790/CloverPit/</t>
  </si>
  <si>
    <t>Cluckmech Oasis</t>
  </si>
  <si>
    <t>cluckmech-oasis</t>
  </si>
  <si>
    <t>https://store.steampowered.com/app/2453360/Cluckmech_Oasis/</t>
  </si>
  <si>
    <t>Clutchtime: Basketball Deckbuilder</t>
  </si>
  <si>
    <t>sports</t>
  </si>
  <si>
    <t>clutchtime-basketball-deckbuilder</t>
  </si>
  <si>
    <t>Coal LLC</t>
  </si>
  <si>
    <t>mining</t>
  </si>
  <si>
    <t>coal-llc</t>
  </si>
  <si>
    <t>Cobalt Core</t>
  </si>
  <si>
    <t>cobalt-core</t>
  </si>
  <si>
    <t>C:\Users\Owner\Documents\Roguelike Roguelike\Roguelikes\Cobalt Core.url</t>
  </si>
  <si>
    <t>https://store.steampowered.com/app/2179850/Cobalt_Core/</t>
  </si>
  <si>
    <t>Cogmind</t>
  </si>
  <si>
    <t>cogmind</t>
  </si>
  <si>
    <t>Coin Crypt</t>
  </si>
  <si>
    <t>coin-crypt</t>
  </si>
  <si>
    <t>C:\Users\Owner\Documents\Roguelike Roguelike\Roguelikes\Coin Crypt.url</t>
  </si>
  <si>
    <t>https://store.steampowered.com/app/264690/Coin_Crypt/</t>
  </si>
  <si>
    <t>Colt Canyon</t>
  </si>
  <si>
    <t>colt-canyon</t>
  </si>
  <si>
    <t>C:\Users\Owner\Documents\Roguelike Roguelike\Roguelikes\Colt Canyon.url</t>
  </si>
  <si>
    <t>https://store.steampowered.com/app/940710/Colt_Canyon/</t>
  </si>
  <si>
    <t>Commander Quest</t>
  </si>
  <si>
    <t>commander-quest</t>
  </si>
  <si>
    <t>Conan Chop Chop</t>
  </si>
  <si>
    <t>conan-chop-chop</t>
  </si>
  <si>
    <t>C:\Users\Owner\Documents\Roguelike Roguelike\Roguelikes\Conan Chop Chop.url</t>
  </si>
  <si>
    <t>https://store.steampowered.com/app/1061880/Conan_Chop_Chop/</t>
  </si>
  <si>
    <t>Convoy</t>
  </si>
  <si>
    <t>convoy</t>
  </si>
  <si>
    <t>C:\Users\Owner\Documents\Roguelike Roguelike\Roguelikes\Convoy.url</t>
  </si>
  <si>
    <t>https://store.steampowered.com/app/318230/Convoy/</t>
  </si>
  <si>
    <t>Core Defense</t>
  </si>
  <si>
    <t>core-defense</t>
  </si>
  <si>
    <t>C:\Users\Owner\Documents\Roguelike Roguelike\Roguelikes\Core Defense.url</t>
  </si>
  <si>
    <t>https://store.steampowered.com/app/1203360/Core_Defense/</t>
  </si>
  <si>
    <t>Corpse Keeper</t>
  </si>
  <si>
    <t>corpse-keeper</t>
  </si>
  <si>
    <t>C:\Users\Owner\Documents\Roguelike Roguelike\Roguelikes\Corpse Keeper.url</t>
  </si>
  <si>
    <t>https://store.steampowered.com/app/1601740/Corpse_Keeper/</t>
  </si>
  <si>
    <t>Crab Champions</t>
  </si>
  <si>
    <t>maritime</t>
  </si>
  <si>
    <t>crab-champions</t>
  </si>
  <si>
    <t>C:\Users\Owner\Documents\Roguelike Roguelike\Roguelikes\Crab Champions.url</t>
  </si>
  <si>
    <t>https://store.steampowered.com/app/774801/Crab_Champions/</t>
  </si>
  <si>
    <t>Crablike</t>
  </si>
  <si>
    <t>crablike</t>
  </si>
  <si>
    <t>C:\Users\Owner\Documents\Roguelike Roguelike\Roguelikes\Crablike.lnk</t>
  </si>
  <si>
    <t>Crafty Survivors</t>
  </si>
  <si>
    <t>crafty-survivors</t>
  </si>
  <si>
    <t>C:\Users\Owner\Documents\Roguelike Roguelike\Roguelikes\Crafty Survivors.url</t>
  </si>
  <si>
    <t>https://store.steampowered.com/app/2137760/Crafty_Survivors/</t>
  </si>
  <si>
    <t>Crawl</t>
  </si>
  <si>
    <t>crawl</t>
  </si>
  <si>
    <t>C:\Users\Owner\Documents\Roguelike Roguelike\Roguelikes\Crawl.url</t>
  </si>
  <si>
    <t>https://store.steampowered.com/app/293780/Crawl/</t>
  </si>
  <si>
    <t>Crop Rotation</t>
  </si>
  <si>
    <t>crop-rotation</t>
  </si>
  <si>
    <t>C:\Users\Owner\Documents\Roguelike Roguelike\Roguelikes\Crop Rotation.url</t>
  </si>
  <si>
    <t>https://store.steampowered.com/app/2348090/Crop_Rotation/</t>
  </si>
  <si>
    <t>Cropdeck</t>
  </si>
  <si>
    <t>cropdeck</t>
  </si>
  <si>
    <t>Cross Blitz</t>
  </si>
  <si>
    <t>cross-blitz</t>
  </si>
  <si>
    <t>C:\Users\Owner\Documents\Roguelike Roguelike\Roguelikes\Cross Blitz.url</t>
  </si>
  <si>
    <t>https://store.steampowered.com/app/1619520/Cross_Blitz/</t>
  </si>
  <si>
    <t>Crown Trick</t>
  </si>
  <si>
    <t>crown-trick</t>
  </si>
  <si>
    <t>C:\Users\Owner\Documents\Roguelike Roguelike\Roguelikes\Crown Trick.url</t>
  </si>
  <si>
    <t>https://store.steampowered.com/app/1000010/Crown_Trick/</t>
  </si>
  <si>
    <t>Crush the Industry</t>
  </si>
  <si>
    <t>crush-the-industry</t>
  </si>
  <si>
    <t>C:\Users\Owner\Documents\Roguelike Roguelike\Roguelikes\Crush the Industry.url</t>
  </si>
  <si>
    <t>https://store.steampowered.com/app/1098610/Crush_the_Industry/</t>
  </si>
  <si>
    <t>Crying Suns</t>
  </si>
  <si>
    <t>crying-suns</t>
  </si>
  <si>
    <t>C:\Users\Owner\Documents\Roguelike Roguelike\Roguelikes\Crying Suns.url</t>
  </si>
  <si>
    <t>https://store.steampowered.com/app/873940/Crying_Suns/</t>
  </si>
  <si>
    <t>Crypt of the NecroDancer</t>
  </si>
  <si>
    <t>crypt-of-the-necrodancer</t>
  </si>
  <si>
    <t>C:\Users\Owner\Documents\Roguelike Roguelike\Roguelikes\Crypt of the NecroDancer.url</t>
  </si>
  <si>
    <t>https://store.steampowered.com/app/247080/Crypt_of_the_NecroDancer/</t>
  </si>
  <si>
    <t>Cryptark</t>
  </si>
  <si>
    <t>mecha, space</t>
  </si>
  <si>
    <t>cryptark</t>
  </si>
  <si>
    <t>C:\Users\Owner\Documents\Roguelike Roguelike\Roguelikes\CRYPTARK.url</t>
  </si>
  <si>
    <t>https://store.steampowered.com/app/344740/CRYPTARK/</t>
  </si>
  <si>
    <t>Cthangband</t>
  </si>
  <si>
    <t>cthangband</t>
  </si>
  <si>
    <t>C:\Users\Owner\Documents\Roguelike Roguelike\Roguelikes\Cthangband.lnk</t>
  </si>
  <si>
    <t>Cube Chaos</t>
  </si>
  <si>
    <t>cube-chaos</t>
  </si>
  <si>
    <t>Cubic Cosmos</t>
  </si>
  <si>
    <t>cubic-cosmos</t>
  </si>
  <si>
    <t>https://store.steampowered.com/app/3332600/Cubic_Cosmos/</t>
  </si>
  <si>
    <t>Cult of PiN</t>
  </si>
  <si>
    <t>cult-of-pin</t>
  </si>
  <si>
    <t>https://store.steampowered.com/app/3144340/Cult_of_PiN/</t>
  </si>
  <si>
    <t>Cult of the Lamb</t>
  </si>
  <si>
    <t>cult-of-the-lamb</t>
  </si>
  <si>
    <t>C:\Users\Owner\Documents\Roguelike Roguelike\Roguelikes\Cult of the Lamb.url</t>
  </si>
  <si>
    <t>https://store.steampowered.com/app/1313140/Cult_of_the_Lamb/</t>
  </si>
  <si>
    <t>Cultist Simulator</t>
  </si>
  <si>
    <t>cultist-simulator</t>
  </si>
  <si>
    <t>C:\Users\Owner\Documents\Roguelike Roguelike\Roguelikes\Cultist Simulator.url</t>
  </si>
  <si>
    <t>https://store.steampowered.com/app/718670/Cultist_Simulator/</t>
  </si>
  <si>
    <t>Cupiclaw</t>
  </si>
  <si>
    <t>cupiclaw</t>
  </si>
  <si>
    <t>https://store.steampowered.com/app/2967670/Cupiclaw/</t>
  </si>
  <si>
    <t>Curious Expedition</t>
  </si>
  <si>
    <t>curious-expedition</t>
  </si>
  <si>
    <t>C:\Users\Owner\Documents\Roguelike Roguelike\Roguelikes\Curious Expedition.url</t>
  </si>
  <si>
    <t>https://store.steampowered.com/app/358130/Curious_Expedition/</t>
  </si>
  <si>
    <t>Curious Expedition 2</t>
  </si>
  <si>
    <t>curious-expedition-2</t>
  </si>
  <si>
    <t>Curse of the Dead Gods</t>
  </si>
  <si>
    <t>curse-of-the-dead-gods</t>
  </si>
  <si>
    <t>C:\Users\Owner\Documents\Roguelike Roguelike\Roguelikes\Curse of the Dead Gods.url</t>
  </si>
  <si>
    <t>https://store.steampowered.com/app/1123770/Curse_of_the_Dead_Gods/</t>
  </si>
  <si>
    <t>Cursed Words</t>
  </si>
  <si>
    <t>words</t>
  </si>
  <si>
    <t>cursed-words</t>
  </si>
  <si>
    <t>Cursorblade</t>
  </si>
  <si>
    <t>cursorblade</t>
  </si>
  <si>
    <t>C:\Users\Owner\Documents\Roguelike Roguelike\Roguelikes\Cursorblade.url</t>
  </si>
  <si>
    <t>https://store.steampowered.com/app/2449040/Cursorblade/</t>
  </si>
  <si>
    <t>Dark Devotion</t>
  </si>
  <si>
    <t>dark-devotion</t>
  </si>
  <si>
    <t>C:\Users\Owner\Documents\Roguelike Roguelike\Roguelikes\Dark Devotion.url</t>
  </si>
  <si>
    <t>https://store.steampowered.com/app/718590/Dark_Devotion/</t>
  </si>
  <si>
    <t>Dark Light: Survivor</t>
  </si>
  <si>
    <t>dark-light-survivor</t>
  </si>
  <si>
    <t>https://store.steampowered.com/app/3088070/Dark_Light_Survivor/</t>
  </si>
  <si>
    <t>Darkblade Ascent</t>
  </si>
  <si>
    <t>darkblade-ascent</t>
  </si>
  <si>
    <t>Darkest Dungeon</t>
  </si>
  <si>
    <t>darkest-dungeon</t>
  </si>
  <si>
    <t>C:\Users\Owner\Documents\Roguelike Roguelike\Roguelikes\Darkest Dungeon®.url</t>
  </si>
  <si>
    <t>https://store.steampowered.com/app/262060/Darkest_Dungeon/</t>
  </si>
  <si>
    <t>Darkest Dungeon 2</t>
  </si>
  <si>
    <t>darkest-dungeon-2</t>
  </si>
  <si>
    <t>C:\Users\Owner\Documents\Roguelike Roguelike\Roguelikes\Darkest Dungeon® II.url</t>
  </si>
  <si>
    <t>https://store.steampowered.com/app/1940340/Darkest_Dungeon_II/</t>
  </si>
  <si>
    <t>Dave the Diver</t>
  </si>
  <si>
    <t>maritime, food</t>
  </si>
  <si>
    <t>dave-the-diver</t>
  </si>
  <si>
    <t>C:\Users\Owner\Documents\Roguelike Roguelike\Roguelikes\DAVE THE DIVER.url</t>
  </si>
  <si>
    <t>https://store.steampowered.com/app/1868140/DAVE_THE_DIVER/</t>
  </si>
  <si>
    <t>Dead Cells</t>
  </si>
  <si>
    <t>dead-cells</t>
  </si>
  <si>
    <t>C:\Users\Owner\Documents\Roguelike Roguelike\Roguelikes\Dead Cells.url</t>
  </si>
  <si>
    <t>https://store.steampowered.com/app/588650/Dead_Cells/</t>
  </si>
  <si>
    <t>Dead Estate</t>
  </si>
  <si>
    <t>dead-estate</t>
  </si>
  <si>
    <t>C:\Users\Owner\Documents\Roguelike Roguelike\Roguelikes\Dead Estate.url</t>
  </si>
  <si>
    <t>https://store.steampowered.com/app/1484720/Dead_Estate/</t>
  </si>
  <si>
    <t>Dead Finger Dice</t>
  </si>
  <si>
    <t>dead-finger-dice</t>
  </si>
  <si>
    <t>C:\Users\Owner\Documents\Roguelike Roguelike\Roguelikes\Dead Finger Dice.url</t>
  </si>
  <si>
    <t>https://store.steampowered.com/app/3512300/Dead_Finger_Dice/</t>
  </si>
  <si>
    <t>Dead Weight</t>
  </si>
  <si>
    <t>dead-weight</t>
  </si>
  <si>
    <t>https://store.steampowered.com/app/2646720/Dead_Weight/</t>
  </si>
  <si>
    <t>Deadzone: Rogue</t>
  </si>
  <si>
    <t>deadzone-rogue</t>
  </si>
  <si>
    <t>Death by Scrolling</t>
  </si>
  <si>
    <t>death-by-scrolling</t>
  </si>
  <si>
    <t>Death Must Die</t>
  </si>
  <si>
    <t>death-must-die</t>
  </si>
  <si>
    <t>C:\Users\Owner\Documents\Roguelike Roguelike\Roguelikes\Death Must Die.url</t>
  </si>
  <si>
    <t>https://store.steampowered.com/app/2334730/Death_Must_Die/</t>
  </si>
  <si>
    <t>Death Road to Canada</t>
  </si>
  <si>
    <t>death-road-to-canada</t>
  </si>
  <si>
    <t>C:\Users\Owner\Documents\Roguelike Roguelike\Roguelikes\Death Road to Canada.url</t>
  </si>
  <si>
    <t>https://store.steampowered.com/app/252610/Death_Road_to_Canada/</t>
  </si>
  <si>
    <t>Death Roads: Tournament</t>
  </si>
  <si>
    <t>racing</t>
  </si>
  <si>
    <t>death-roads-tournament</t>
  </si>
  <si>
    <t>C:\Users\Owner\Documents\Roguelike Roguelike\Roguelikes\Death Roads Tournament.url</t>
  </si>
  <si>
    <t>https://store.steampowered.com/app/1619570/Death_Roads_Tournament/</t>
  </si>
  <si>
    <t>Death Skid Marks</t>
  </si>
  <si>
    <t>death-skid-marks</t>
  </si>
  <si>
    <t>C:\Users\Owner\Documents\Roguelike Roguelike\Roguelikes\Death Skid Marks.url</t>
  </si>
  <si>
    <t>https://store.steampowered.com/app/326150/Death_Skid_Marks/</t>
  </si>
  <si>
    <t>Deck of Ashes</t>
  </si>
  <si>
    <t>deck-of-ashes</t>
  </si>
  <si>
    <t>C:\Users\Owner\Documents\Roguelike Roguelike\Roguelikes\Deck of Ashes.url</t>
  </si>
  <si>
    <t>https://store.steampowered.com/app/1016730/Deck_of_Ashes/</t>
  </si>
  <si>
    <t>Deck of Haunts</t>
  </si>
  <si>
    <t>deck-of-haunts</t>
  </si>
  <si>
    <t>C:\Users\Owner\Documents\Roguelike Roguelike\Roguelikes\Deck of Haunts.url</t>
  </si>
  <si>
    <t>https://store.steampowered.com/app/3179730/Deck_of_Haunts/</t>
  </si>
  <si>
    <t>Decktamer</t>
  </si>
  <si>
    <t>decktamer</t>
  </si>
  <si>
    <t>C:\Users\Owner\Documents\Roguelike Roguelike\Roguelikes\Decktamer.url</t>
  </si>
  <si>
    <t>https://store.steampowered.com/app/2870340/Decktamer/</t>
  </si>
  <si>
    <t>Deep Dungeons of Doom</t>
  </si>
  <si>
    <t>deep-dungeons-of-doom</t>
  </si>
  <si>
    <t>C:\Users\Owner\Documents\Roguelike Roguelike\Roguelikes\Deep Dungeons of Doom.url</t>
  </si>
  <si>
    <t>https://store.steampowered.com/app/325090/Deep_Dungeons_of_Doom/</t>
  </si>
  <si>
    <t>Deep Rock Galactic: Survivor</t>
  </si>
  <si>
    <t>deep-rock-galactic-survivor</t>
  </si>
  <si>
    <t>Deep Sky Derelicts</t>
  </si>
  <si>
    <t>deep-sky-derelicts</t>
  </si>
  <si>
    <t>Deepest Chamber: Resurrection</t>
  </si>
  <si>
    <t>deepest-chamber-resurrection</t>
  </si>
  <si>
    <t>C:\Users\Owner\Documents\Roguelike Roguelike\Roguelikes\Deepest Chamber Resurrection.url</t>
  </si>
  <si>
    <t>https://store.steampowered.com/app/1552080/Deepest_Chamber_Resurrection/</t>
  </si>
  <si>
    <t>Delver</t>
  </si>
  <si>
    <t>delver</t>
  </si>
  <si>
    <t>Demon Lord: Just a Block</t>
  </si>
  <si>
    <t>antagonist</t>
  </si>
  <si>
    <t>demon-lord-just-a-block</t>
  </si>
  <si>
    <t>C:\Users\Owner\Documents\Roguelike Roguelike\Roguelikes\Demon Lord Just a Block.url</t>
  </si>
  <si>
    <t>https://store.steampowered.com/app/3720420/Demon_Lord_Just_a_Block/</t>
  </si>
  <si>
    <t>DemonCrawl</t>
  </si>
  <si>
    <t>demoncrawl</t>
  </si>
  <si>
    <t>Demonic Mahjong</t>
  </si>
  <si>
    <t>demonic-mahjong</t>
  </si>
  <si>
    <t>C:\Users\Owner\Documents\Roguelike Roguelike\Roguelikes\Demonic Mahjong.url</t>
  </si>
  <si>
    <t>https://store.steampowered.com/app/3444020/Demonic_Mahjong/</t>
  </si>
  <si>
    <t>Demonlore</t>
  </si>
  <si>
    <t>demonlore</t>
  </si>
  <si>
    <t>C:\Users\Owner\Documents\Roguelike Roguelike\Roguelikes\Demonlore.url</t>
  </si>
  <si>
    <t>https://store.steampowered.com/app/1588340/Demonlore/</t>
  </si>
  <si>
    <t>Desktop Dungeons</t>
  </si>
  <si>
    <t>desktop-dungeons</t>
  </si>
  <si>
    <t>Desktop Survivors 98</t>
  </si>
  <si>
    <t>desktop-survivors-98</t>
  </si>
  <si>
    <t>C:\Users\Owner\Documents\Roguelike Roguelike\Roguelikes\Desktop Survivors 98.url</t>
  </si>
  <si>
    <t>https://store.steampowered.com/app/3339780/Desktop_Survivors_98/</t>
  </si>
  <si>
    <t>despots-game-dystopian-battle-simulator</t>
  </si>
  <si>
    <t>C:\Users\Owner\Documents\Roguelike Roguelike\Roguelikes\Despot's Game Dystopian Battle Simulator.url</t>
  </si>
  <si>
    <t>https://store.steampowered.com/app/1227280/Despots_Game_Dystopian_Battle_Simulator/</t>
  </si>
  <si>
    <t>Devil Slayer: Raksasi</t>
  </si>
  <si>
    <t>devil-slayer-raksasi</t>
  </si>
  <si>
    <t>Diablo</t>
  </si>
  <si>
    <t>diablo</t>
  </si>
  <si>
    <t>C:\Users\Owner\Documents\Roguelike Roguelike\Roguelikes\Diablo.lnk</t>
  </si>
  <si>
    <t>Dice &amp; Fold</t>
  </si>
  <si>
    <t>dice-fold</t>
  </si>
  <si>
    <t>C:\Users\Owner\Documents\Roguelike Roguelike\Roguelikes\Dice &amp; Fold.url</t>
  </si>
  <si>
    <t>https://store.steampowered.com/app/2693930/Dice__Fold/</t>
  </si>
  <si>
    <t>Dice A Million</t>
  </si>
  <si>
    <t>dice-a-million</t>
  </si>
  <si>
    <t>Dice Legends</t>
  </si>
  <si>
    <t>dice-legends</t>
  </si>
  <si>
    <t>https://store.steampowered.com/app/3112170/Dice_Legends</t>
  </si>
  <si>
    <t>Dice With Death</t>
  </si>
  <si>
    <t>dice-with-death</t>
  </si>
  <si>
    <t>C:\Users\Owner\Documents\Roguelike Roguelike\Roguelikes\Dice With Death.url</t>
  </si>
  <si>
    <t>https://store.steampowered.com/app/3435260/Dice_With_Death/</t>
  </si>
  <si>
    <t>Dicealot</t>
  </si>
  <si>
    <t>dicealot</t>
  </si>
  <si>
    <t>Dicefolk</t>
  </si>
  <si>
    <t>dicefolk</t>
  </si>
  <si>
    <t>C:\Users\Owner\Documents\Roguelike Roguelike\Roguelikes\Dicefolk.url</t>
  </si>
  <si>
    <t>https://store.steampowered.com/app/1996430/Dicefolk/</t>
  </si>
  <si>
    <t>Diceomancer</t>
  </si>
  <si>
    <t>diceomancer</t>
  </si>
  <si>
    <t>C:\Users\Owner\Documents\Roguelike Roguelike\Roguelikes\DICEOMANCER.url</t>
  </si>
  <si>
    <t>https://store.steampowered.com/app/2501600/DICEOMANCER/</t>
  </si>
  <si>
    <t>Dicey Dungeons</t>
  </si>
  <si>
    <t>dicey-dungeons</t>
  </si>
  <si>
    <t>C:\Users\Owner\Documents\Roguelike Roguelike\Roguelikes\Dicey Dungeons.url</t>
  </si>
  <si>
    <t>https://store.steampowered.com/app/861540/Dicey_Dungeons/</t>
  </si>
  <si>
    <t>Die For The Lich</t>
  </si>
  <si>
    <t>die-for-the-lich</t>
  </si>
  <si>
    <t>Die in the Dungeon</t>
  </si>
  <si>
    <t>die-in-the-dungeon</t>
  </si>
  <si>
    <t>C:\Users\Owner\Documents\Roguelike Roguelike\Roguelikes\Die in the Dungeon.url</t>
  </si>
  <si>
    <t>https://store.steampowered.com/app/2026820/Die_in_the_Dungeon/</t>
  </si>
  <si>
    <t>DIG: Deep In Galaxies</t>
  </si>
  <si>
    <t>dig-deep-in-galaxies</t>
  </si>
  <si>
    <t>C:\Users\Owner\Documents\Roguelike Roguelike\Roguelikes\DIG - Deep In Galaxies.url</t>
  </si>
  <si>
    <t>https://store.steampowered.com/app/1442840/DIG__Deep_In_Galaxies/</t>
  </si>
  <si>
    <t>Dimensionals</t>
  </si>
  <si>
    <t>dimensionals</t>
  </si>
  <si>
    <t>Disfigure</t>
  </si>
  <si>
    <t>disfigure</t>
  </si>
  <si>
    <t>C:\Users\Owner\Documents\Roguelike Roguelike\Roguelikes\Disfigure.url</t>
  </si>
  <si>
    <t>https://store.steampowered.com/app/2083160/Disfigure/</t>
  </si>
  <si>
    <t>Dive or Die: Children of Rain</t>
  </si>
  <si>
    <t>dive-or-die-children-of-rain</t>
  </si>
  <si>
    <t>https://store.steampowered.com/app/3590290/DIVE_or_DIE__Children_of_Rain/</t>
  </si>
  <si>
    <t>Dog and Goblin</t>
  </si>
  <si>
    <t>dog-and-goblin</t>
  </si>
  <si>
    <t>Dog Witch</t>
  </si>
  <si>
    <t>dog-witch</t>
  </si>
  <si>
    <t>Dogpile</t>
  </si>
  <si>
    <t>dogpile</t>
  </si>
  <si>
    <t>C:\Users\Owner\Documents\Roguelike Roguelike\Roguelikes\Dogpile.url</t>
  </si>
  <si>
    <t>https://store.steampowered.com/app/3839300/Dogpile/</t>
  </si>
  <si>
    <t>Dome Keeper</t>
  </si>
  <si>
    <t>space, mining</t>
  </si>
  <si>
    <t>dome-keeper</t>
  </si>
  <si>
    <t>C:\Users\Owner\Documents\Roguelike Roguelike\Roguelikes\Dome Keeper.url</t>
  </si>
  <si>
    <t>https://store.steampowered.com/app/1637320/Dome_Keeper/</t>
  </si>
  <si>
    <t>Don't Let It Starve</t>
  </si>
  <si>
    <t>don’t-let-it-starve</t>
  </si>
  <si>
    <t>https://store.steampowered.com/app/3930510/Dont_Let_It_Starve/</t>
  </si>
  <si>
    <t>Don't Lose Aggro</t>
  </si>
  <si>
    <t>dont-lose-aggro</t>
  </si>
  <si>
    <t>Don't Starve</t>
  </si>
  <si>
    <t>dont-starve</t>
  </si>
  <si>
    <t>C:\Users\Owner\Documents\Roguelike Roguelike\Roguelikes\Don't Starve.url</t>
  </si>
  <si>
    <t>https://store.steampowered.com/app/219740/Dont_Starve/</t>
  </si>
  <si>
    <t>Don't Starve Together</t>
  </si>
  <si>
    <t>dont-starve-together</t>
  </si>
  <si>
    <t>C:\Users\Owner\Documents\Roguelike Roguelike\Roguelikes\Don't Starve Together.url</t>
  </si>
  <si>
    <t>https://store.steampowered.com/app/322330/Dont_Starve_Together/</t>
  </si>
  <si>
    <t>DoomRL</t>
  </si>
  <si>
    <t>doomrl</t>
  </si>
  <si>
    <t>Dota Auto Chess</t>
  </si>
  <si>
    <t>dota-auto-chess</t>
  </si>
  <si>
    <t>Double Dragon Gaiden: Rise Of The Dragons</t>
  </si>
  <si>
    <t>double-dragon-gaiden-rise-of-the-dragons</t>
  </si>
  <si>
    <t>C:\Users\Owner\Documents\Roguelike Roguelike\Roguelikes\Double Dragon Gaiden Rise of the Dragons.url</t>
  </si>
  <si>
    <t>https://store.steampowered.com/app/1967260/Double_Dragon_Gaiden_Rise_Of_The_Dragons/</t>
  </si>
  <si>
    <t>Downwell</t>
  </si>
  <si>
    <t>downwell</t>
  </si>
  <si>
    <t>C:\Users\Owner\Documents\Roguelike Roguelike\Roguelikes\Downwell.url</t>
  </si>
  <si>
    <t>https://store.steampowered.com/app/360740/Downwell/</t>
  </si>
  <si>
    <t>Dragon Crystal</t>
  </si>
  <si>
    <t>dragon-crystal</t>
  </si>
  <si>
    <t>C:\Users\Owner\Documents\Roguelike Roguelike\Roguelikes\Dragon Crystal.lnk</t>
  </si>
  <si>
    <t>Dragon Quest: Young Yangus and the Mystery Dungeon</t>
  </si>
  <si>
    <t>dragon-quest-young-yangus-and-the-mystery-dungeon</t>
  </si>
  <si>
    <t>C:\Users\Owner\Documents\Roguelike Roguelike\Roguelikes\Dragon Quest Young Yangus and the Mystery Dungeon.lnk</t>
  </si>
  <si>
    <t>Dragonslayer</t>
  </si>
  <si>
    <t>dragonslayer</t>
  </si>
  <si>
    <t>Drapline</t>
  </si>
  <si>
    <t>drapline</t>
  </si>
  <si>
    <t>C:\Users\Owner\Documents\Roguelike Roguelike\Roguelikes\DRAPLINE.url</t>
  </si>
  <si>
    <t>https://store.steampowered.com/app/3103780/DRAPLINE/</t>
  </si>
  <si>
    <t>Dream Quest</t>
  </si>
  <si>
    <t>dream-quest</t>
  </si>
  <si>
    <t>Dreamscaper</t>
  </si>
  <si>
    <t>dreamscaper</t>
  </si>
  <si>
    <t>C:\Users\Owner\Documents\Roguelike Roguelike\Roguelikes\Dreamscaper.url</t>
  </si>
  <si>
    <t>https://store.steampowered.com/app/1040420/Dreamscaper/</t>
  </si>
  <si>
    <t>Drill Core</t>
  </si>
  <si>
    <t>drill-core</t>
  </si>
  <si>
    <t>Drop Duchy</t>
  </si>
  <si>
    <t>drop-duchy</t>
  </si>
  <si>
    <t>C:\Users\Owner\Documents\Roguelike Roguelike\Roguelikes\Drop Duchy.url</t>
  </si>
  <si>
    <t>https://store.steampowered.com/app/2525310/Drop_Duchy/</t>
  </si>
  <si>
    <t>Drop Pockets</t>
  </si>
  <si>
    <t>drop-pockets</t>
  </si>
  <si>
    <t>Dungeon Clawler</t>
  </si>
  <si>
    <t>dungeon-clawler</t>
  </si>
  <si>
    <t>C:\Users\Owner\Documents\Roguelike Roguelike\Roguelikes\Dungeon Clawler.url</t>
  </si>
  <si>
    <t>https://store.steampowered.com/app/2356780/Dungeon_Clawler/</t>
  </si>
  <si>
    <t>Dungeon Crawl Stone Soup</t>
  </si>
  <si>
    <t>dungeon-crawl-stone-soup</t>
  </si>
  <si>
    <t>C:\Users\Owner\Documents\Roguelike Roguelike\Roguelikes\Dungeon Crawl - tiles.lnk</t>
  </si>
  <si>
    <t>Dungeon Deathball</t>
  </si>
  <si>
    <t>dungeon-deathball</t>
  </si>
  <si>
    <t>C:\Users\Owner\Documents\Roguelike Roguelike\Roguelikes\Dungeon Deathball.url</t>
  </si>
  <si>
    <t>https://store.steampowered.com/app/861330/Dungeon_Deathball/</t>
  </si>
  <si>
    <t>Dungeon Drafters</t>
  </si>
  <si>
    <t>dungeon-drafters</t>
  </si>
  <si>
    <t>C:\Users\Owner\Documents\Roguelike Roguelike\Roguelikes\Dungeon Drafters.url</t>
  </si>
  <si>
    <t>https://store.steampowered.com/app/1824580/Dungeon_Drafters/</t>
  </si>
  <si>
    <t>Dungeon Hack</t>
  </si>
  <si>
    <t>dungeon-hack</t>
  </si>
  <si>
    <t>Dungeon of Windaria</t>
  </si>
  <si>
    <t>dungeon-of-windaria</t>
  </si>
  <si>
    <t>C:\Users\Owner\Documents\Roguelike Roguelike\Roguelikes\Dungeon of Windaria.lnk</t>
  </si>
  <si>
    <t>Dungeon Rushers</t>
  </si>
  <si>
    <t>dungeon-rushers</t>
  </si>
  <si>
    <t>C:\Users\Owner\Documents\Roguelike Roguelike\Roguelikes\Dungeon Rushers.url</t>
  </si>
  <si>
    <t>https://store.steampowered.com/app/429620/Dungeon_Rushers/</t>
  </si>
  <si>
    <t>Dungeonmans</t>
  </si>
  <si>
    <t>dungeonmans</t>
  </si>
  <si>
    <t>C:\Users\Owner\Documents\Roguelike Roguelike\Roguelikes\Dungeonmans.url</t>
  </si>
  <si>
    <t>https://store.steampowered.com/app/288120/Dungeonmans/</t>
  </si>
  <si>
    <t>Dungeons &amp; Degenerate Gamblers</t>
  </si>
  <si>
    <t>dungeons-degenerate-gamblers</t>
  </si>
  <si>
    <t>C:\Users\Owner\Documents\Roguelike Roguelike\Roguelikes\Dungeons &amp; Degenerate Gamblers.url</t>
  </si>
  <si>
    <t>https://store.steampowered.com/app/2400510/Dungeons__Degenerate_Gamblers/</t>
  </si>
  <si>
    <t>Dungeons of Blood and Dream</t>
  </si>
  <si>
    <t>dungeons-of-blood-and-dream</t>
  </si>
  <si>
    <t>Dungeons of Dredmor</t>
  </si>
  <si>
    <t>dungeons-of-dredmor</t>
  </si>
  <si>
    <t>C:\Users\Owner\Documents\Roguelike Roguelike\Roguelikes\Dungeons of Dredmor.url</t>
  </si>
  <si>
    <t>https://store.steampowered.com/app/98800/Dungeons_of_Dredmor/</t>
  </si>
  <si>
    <t>Dungreed</t>
  </si>
  <si>
    <t>dungreed</t>
  </si>
  <si>
    <t>C:\Users\Owner\Documents\Roguelike Roguelike\Roguelikes\Dungreed.url</t>
  </si>
  <si>
    <t>https://store.steampowered.com/app/753420/Dungreed/</t>
  </si>
  <si>
    <t>Dunjungle</t>
  </si>
  <si>
    <t>dunjungle</t>
  </si>
  <si>
    <t>Dwarf Fortress</t>
  </si>
  <si>
    <t>dwarf-fortress</t>
  </si>
  <si>
    <t>C:\Users\Owner\Documents\Roguelike Roguelike\Roguelikes\Dwarf Fortress.url</t>
  </si>
  <si>
    <t>https://store.steampowered.com/app/975370/Dwarf_Fortress/</t>
  </si>
  <si>
    <t>Dwarves: Glory, Death and Loot</t>
  </si>
  <si>
    <t>dwarves-glory-death-and-loot</t>
  </si>
  <si>
    <t>Elden Ring Nightreign</t>
  </si>
  <si>
    <t>elden-ring-nightreign</t>
  </si>
  <si>
    <t>C:\Users\Owner\Documents\Roguelike Roguelike\Roguelikes\ELDEN RING NIGHTREIGN.url</t>
  </si>
  <si>
    <t>https://store.steampowered.com/app/2622380/ELDEN_RING_NIGHTREIGN/</t>
  </si>
  <si>
    <t>Eldritch</t>
  </si>
  <si>
    <t>eldritch</t>
  </si>
  <si>
    <t>https://store.steampowered.com/app/252630/Eldritch/</t>
  </si>
  <si>
    <t>Elemental Survivors</t>
  </si>
  <si>
    <t>elemental-survivors</t>
  </si>
  <si>
    <t>C:\Users\Owner\Documents\Roguelike Roguelike\Roguelikes\Elemental Survivors.url</t>
  </si>
  <si>
    <t>https://store.steampowered.com/app/2217740/Kitty_Survivors_Rogues_of_Catmere/</t>
  </si>
  <si>
    <t>Elewar: Fused Survivors</t>
  </si>
  <si>
    <t>elewar-fused-survivors</t>
  </si>
  <si>
    <t>C:\Users\Owner\Documents\Roguelike Roguelike\Roguelikes\Elewar Fused Survivors.url</t>
  </si>
  <si>
    <t>https://store.steampowered.com/app/2489560/Elewar_Fused_Survivors/</t>
  </si>
  <si>
    <t>Elin</t>
  </si>
  <si>
    <t>elin</t>
  </si>
  <si>
    <t>Elona</t>
  </si>
  <si>
    <t>elona</t>
  </si>
  <si>
    <t>Ember Knights</t>
  </si>
  <si>
    <t>knights</t>
  </si>
  <si>
    <t>ember-knights</t>
  </si>
  <si>
    <t>C:\Users\Owner\Documents\Roguelike Roguelike\Roguelikes\Ember Knights.url</t>
  </si>
  <si>
    <t>https://store.steampowered.com/app/1135230/Ember_Knights/</t>
  </si>
  <si>
    <t>Emberward</t>
  </si>
  <si>
    <t>emberward</t>
  </si>
  <si>
    <t>C:\Users\Owner\Documents\Roguelike Roguelike\Roguelikes\Emberward.url</t>
  </si>
  <si>
    <t>https://store.steampowered.com/app/2459550/Emberward/</t>
  </si>
  <si>
    <t>Endgame of Devil</t>
  </si>
  <si>
    <t>endgame-of-devil</t>
  </si>
  <si>
    <t>C:\Users\Owner\Documents\Roguelike Roguelike\Roguelikes\Endgame of Devil.url</t>
  </si>
  <si>
    <t>https://store.steampowered.com/app/2343600/Endgame_of_Devil/</t>
  </si>
  <si>
    <t>Endless Alice</t>
  </si>
  <si>
    <t>endless-alice</t>
  </si>
  <si>
    <t>C:\Users\Owner\Documents\Roguelike Roguelike\Roguelikes\Endless Alice.url</t>
  </si>
  <si>
    <t>https://store.steampowered.com/app/1425000/Endless_Alice/</t>
  </si>
  <si>
    <t>Enter the Gungeon</t>
  </si>
  <si>
    <t>enter-the-gungeon</t>
  </si>
  <si>
    <t>C:\Users\Owner\Documents\Roguelike Roguelike\Roguelikes\Enter the Gungeon.url</t>
  </si>
  <si>
    <t>https://store.steampowered.com/app/311690/Enter_the_Gungeon/</t>
  </si>
  <si>
    <t>Escape The Mad Empire</t>
  </si>
  <si>
    <t>escape-the-mad-empire</t>
  </si>
  <si>
    <t>Eternal Quest</t>
  </si>
  <si>
    <t>eternal-quest</t>
  </si>
  <si>
    <t>C:\Users\Owner\Documents\Roguelike Roguelike\Roguelikes\Eternal Quest.lnk</t>
  </si>
  <si>
    <t>Etrian Mystery Dungeon</t>
  </si>
  <si>
    <t>etrian-mystery-dungeon</t>
  </si>
  <si>
    <t>Etrian Mystery Dungeon 2</t>
  </si>
  <si>
    <t>etrian-mystery-dungeon-2</t>
  </si>
  <si>
    <t>Everything is Crab</t>
  </si>
  <si>
    <t>everything-is-crab</t>
  </si>
  <si>
    <t>C:\Users\Owner\Documents\Roguelike Roguelike\Roguelikes\Everything is Crab.url</t>
  </si>
  <si>
    <t>https://store.steampowered.com/app/3526710/Everything_is_Crab_The_Animal_Evolution_Roguelite/</t>
  </si>
  <si>
    <t>Evolings</t>
  </si>
  <si>
    <t>evolings</t>
  </si>
  <si>
    <t>C:\Users\Owner\Documents\Roguelike Roguelike\Roguelikes\Evolings.url</t>
  </si>
  <si>
    <t>https://store.steampowered.com/app/2281820/Evolings/</t>
  </si>
  <si>
    <t>Exit the Gungeon</t>
  </si>
  <si>
    <t>exit-the-gungeon</t>
  </si>
  <si>
    <t>C:\Users\Owner\Documents\Roguelike Roguelike\Roguelikes\Exit the Gungeon.url</t>
  </si>
  <si>
    <t>https://store.steampowered.com/app/1209490/Exit_the_Gungeon/</t>
  </si>
  <si>
    <t>Facehand</t>
  </si>
  <si>
    <t>facehand</t>
  </si>
  <si>
    <t>C:\Users\Owner\Documents\Roguelike Roguelike\Roguelikes\Facehand.url</t>
  </si>
  <si>
    <t>https://store.steampowered.com/app/2605600/Facehand/</t>
  </si>
  <si>
    <t>Fairy Tail: Dungeons</t>
  </si>
  <si>
    <t>anime</t>
  </si>
  <si>
    <t>fairy-tail-dungeons</t>
  </si>
  <si>
    <t>C:\Users\Owner\Documents\Roguelike Roguelike\Roguelikes\FAIRY TAIL DUNGEONS.url</t>
  </si>
  <si>
    <t>https://store.steampowered.com/app/2305500/FAIRY_TAIL_DUNGEONS/</t>
  </si>
  <si>
    <t>Fatal Labyrinth</t>
  </si>
  <si>
    <t>fatal-labyrinth</t>
  </si>
  <si>
    <t>C:\Users\Owner\Documents\Roguelike Roguelike\Roguelikes\Fatal Labyrinth.lnk</t>
  </si>
  <si>
    <t>Fear &amp; Hunger</t>
  </si>
  <si>
    <t>fear-hunger</t>
  </si>
  <si>
    <t>Feed the Deep</t>
  </si>
  <si>
    <t>feed-the-deep</t>
  </si>
  <si>
    <t>C:\Users\Owner\Documents\Roguelike Roguelike\Roguelikes\Feed the Deep.url</t>
  </si>
  <si>
    <t>https://store.steampowered.com/app/2332260/Feed_the_Deep/</t>
  </si>
  <si>
    <t>Fights in Tight Spaces</t>
  </si>
  <si>
    <t>fights-in-tight-spaces</t>
  </si>
  <si>
    <t>C:\Users\Owner\Documents\Roguelike Roguelike\Roguelikes\Fights in Tight Spaces.url</t>
  </si>
  <si>
    <t>https://store.steampowered.com/app/1265820/Fights_in_Tight_Spaces/</t>
  </si>
  <si>
    <t>Final Fantasy Fables: Chocobo's Dungeon</t>
  </si>
  <si>
    <t>final-fantasy-fables-chocobos-dungeon</t>
  </si>
  <si>
    <t>C:\Users\Owner\Documents\Roguelike Roguelike\Roguelikes\Final Fantasy Fables Chocobo's Dungeon.lnk</t>
  </si>
  <si>
    <t>Fish Fear Me</t>
  </si>
  <si>
    <t>fish-fear-me</t>
  </si>
  <si>
    <t>C:\Users\Owner\Documents\Roguelike Roguelike\Roguelikes\FISH FEAR ME.url</t>
  </si>
  <si>
    <t>https://store.steampowered.com/app/3000120/FISH_FEAR_ME/</t>
  </si>
  <si>
    <t>FLERP</t>
  </si>
  <si>
    <t>flerp</t>
  </si>
  <si>
    <t>Flick Shot Rogues</t>
  </si>
  <si>
    <t>flick-shot-rogues</t>
  </si>
  <si>
    <t>Flinthook</t>
  </si>
  <si>
    <t>flinthook</t>
  </si>
  <si>
    <t>C:\Users\Owner\Documents\Roguelike Roguelike\Roguelikes\Flinthook.url</t>
  </si>
  <si>
    <t>https://store.steampowered.com/app/401710/Flinthook/</t>
  </si>
  <si>
    <t>Fogpiercer</t>
  </si>
  <si>
    <t>fogpiercer</t>
  </si>
  <si>
    <t>https://store.steampowered.com/app/3219010/Fogpiercer/</t>
  </si>
  <si>
    <t>Footgun: Underground</t>
  </si>
  <si>
    <t>footgun-underground</t>
  </si>
  <si>
    <t>C:\Users\Owner\Documents\Roguelike Roguelike\Roguelikes\Footgun Underground.url</t>
  </si>
  <si>
    <t>https://store.steampowered.com/app/2206240/Footgun_Underground/</t>
  </si>
  <si>
    <t>For the King</t>
  </si>
  <si>
    <t>for-the-king</t>
  </si>
  <si>
    <t>C:\Users\Owner\Documents\Roguelike Roguelike\Roguelikes\For The King.url</t>
  </si>
  <si>
    <t>https://store.steampowered.com/app/527230/For_The_King/</t>
  </si>
  <si>
    <t>For the King 2</t>
  </si>
  <si>
    <t>for-the-king-2</t>
  </si>
  <si>
    <t>C:\Users\Owner\Documents\Roguelike Roguelike\Roguelikes\For The King II.url</t>
  </si>
  <si>
    <t>https://store.steampowered.com/app/1676840/For_The_King_II/</t>
  </si>
  <si>
    <t>For The Warp</t>
  </si>
  <si>
    <t>for-the-warp</t>
  </si>
  <si>
    <t>C:\Users\Owner\Documents\Roguelike Roguelike\Roguelikes\For The Warp.url</t>
  </si>
  <si>
    <t>https://store.steampowered.com/app/1201830/For_The_Warp/</t>
  </si>
  <si>
    <t>Forestrike</t>
  </si>
  <si>
    <t>forestrike</t>
  </si>
  <si>
    <t>Forward: Escape the Fold</t>
  </si>
  <si>
    <t>forward-escape-the-fold</t>
  </si>
  <si>
    <t>C:\Users\Owner\Documents\Roguelike Roguelike\Roguelikes\Forward Escape the Fold - Ultimate Edition.url</t>
  </si>
  <si>
    <t>https://store.steampowered.com/app/1766390/FORWARD_Escape_the_Fold__Ultimate_Edition/</t>
  </si>
  <si>
    <t>Freaky Awesome</t>
  </si>
  <si>
    <t>freaky-awesome</t>
  </si>
  <si>
    <t>C:\Users\Owner\Documents\Roguelike Roguelike\Roguelikes\Freaky Awesome.url</t>
  </si>
  <si>
    <t>https://store.steampowered.com/app/622370/Freaky_Awesome/</t>
  </si>
  <si>
    <t>From The Top</t>
  </si>
  <si>
    <t>from-the-top</t>
  </si>
  <si>
    <t>C:\Users\Owner\Documents\Roguelike Roguelike\Roguelikes\From The Top.url</t>
  </si>
  <si>
    <t>https://store.steampowered.com/app/3585160/From_The_Top/</t>
  </si>
  <si>
    <t>Frozen Depths</t>
  </si>
  <si>
    <t>frozen-depths</t>
  </si>
  <si>
    <t>C:\Users\Owner\Documents\Roguelike Roguelike\Roguelikes\Frozen Depths.lnk</t>
  </si>
  <si>
    <t>FTL</t>
  </si>
  <si>
    <t>ftl</t>
  </si>
  <si>
    <t>C:\Users\Owner\Documents\Roguelike Roguelike\Roguelikes\FTL Faster Than Light.url</t>
  </si>
  <si>
    <t>https://store.steampowered.com/app/212680/FTL_Faster_Than_Light/</t>
  </si>
  <si>
    <t>Full Mojo Rampage</t>
  </si>
  <si>
    <t>full-mojo-rampage</t>
  </si>
  <si>
    <t>https://store.steampowered.com/app/225280/Full_Mojo_Rampage/</t>
  </si>
  <si>
    <t>Fury Unleashed</t>
  </si>
  <si>
    <t>fury-unleashed</t>
  </si>
  <si>
    <t>C:\Users\Owner\Documents\Roguelike Roguelike\Roguelikes\Fury Unleashed.url</t>
  </si>
  <si>
    <t>https://store.steampowered.com/app/465200/Fury_Unleashed/</t>
  </si>
  <si>
    <t>Fushigi no Gensoukyou</t>
  </si>
  <si>
    <t>fushigi-no-gensoukyou</t>
  </si>
  <si>
    <t>Fushigi no Gensoukyou 3</t>
  </si>
  <si>
    <t>fushigi-no-gensoukyou-3</t>
  </si>
  <si>
    <t>Galactic Glitch</t>
  </si>
  <si>
    <t>galactic-glitch</t>
  </si>
  <si>
    <t>C:\Users\Owner\Documents\Roguelike Roguelike\Roguelikes\Galactic Glitch.url</t>
  </si>
  <si>
    <t>https://store.steampowered.com/app/1536620/Galactic_Glitch/</t>
  </si>
  <si>
    <t>Gambonanza</t>
  </si>
  <si>
    <t>chess</t>
  </si>
  <si>
    <t>gambonanza</t>
  </si>
  <si>
    <t>Garden of Witches</t>
  </si>
  <si>
    <t>garden-of-witches</t>
  </si>
  <si>
    <t>Gatekeeper</t>
  </si>
  <si>
    <t>gatekeeper</t>
  </si>
  <si>
    <t>C:\Users\Owner\Documents\Roguelike Roguelike\Roguelikes\Gatekeeper.url</t>
  </si>
  <si>
    <t>GearHead</t>
  </si>
  <si>
    <t>gearhead</t>
  </si>
  <si>
    <t>C:\Users\Owner\Documents\Roguelike Roguelike\Roguelikes\gharena.lnk</t>
  </si>
  <si>
    <t>GearHead 2</t>
  </si>
  <si>
    <t>gearhead-2</t>
  </si>
  <si>
    <t>C:\Users\Owner\Documents\Roguelike Roguelike\Roguelikes\gearhead2.lnk</t>
  </si>
  <si>
    <t>GearHead Caramel</t>
  </si>
  <si>
    <t>gearhead-caramel</t>
  </si>
  <si>
    <t>https://store.steampowered.com/app/1565090/GearHead_Caramel/</t>
  </si>
  <si>
    <t>Genome Guardian</t>
  </si>
  <si>
    <t>genome-guardian</t>
  </si>
  <si>
    <t>C:\Users\Owner\Documents\Roguelike Roguelike\Roguelikes\Genome Guardian.url</t>
  </si>
  <si>
    <t>https://store.steampowered.com/app/2891310/Genome_Guardian/</t>
  </si>
  <si>
    <t>Genome Guardian 2</t>
  </si>
  <si>
    <t>genome-guardian-2</t>
  </si>
  <si>
    <t>https://store.steampowered.com/app/4130120/Genome_Guardian_2/</t>
  </si>
  <si>
    <t>Geometry Arena</t>
  </si>
  <si>
    <t>geometry-arena</t>
  </si>
  <si>
    <t>C:\Users\Owner\Documents\Roguelike Roguelike\Roguelikes\Geometry Arena.url</t>
  </si>
  <si>
    <t>https://store.steampowered.com/app/1255650/Geometry_Arena/</t>
  </si>
  <si>
    <t>Geometry Arena 2</t>
  </si>
  <si>
    <t>geometry-arena-2</t>
  </si>
  <si>
    <t>C:\Users\Owner\Documents\Roguelike Roguelike\Roguelikes\Geometry Arena 2.url</t>
  </si>
  <si>
    <t>https://store.steampowered.com/app/1667700/Geometry_Arena_2/</t>
  </si>
  <si>
    <t>Glyphica: Typing Survival</t>
  </si>
  <si>
    <t>glyphica-typing-survival</t>
  </si>
  <si>
    <t>GnollHack</t>
  </si>
  <si>
    <t>gnollhack</t>
  </si>
  <si>
    <t>C:\Users\Owner\Documents\Roguelike Roguelike\Roguelikes\GnollHack.url</t>
  </si>
  <si>
    <t>https://store.steampowered.com/app/3558190/GnollHack/</t>
  </si>
  <si>
    <t>Gnomes</t>
  </si>
  <si>
    <t>gnomes</t>
  </si>
  <si>
    <t>C:\Users\Owner\Documents\Roguelike Roguelike\Roguelikes\Gnomes.url</t>
  </si>
  <si>
    <t>https://store.steampowered.com/app/3133060/Gnomes/</t>
  </si>
  <si>
    <t>Go Mecha Ball</t>
  </si>
  <si>
    <t>go-mecha-ball</t>
  </si>
  <si>
    <t>C:\Users\Owner\Documents\Roguelike Roguelike\Roguelikes\Go Mecha Ball.url</t>
  </si>
  <si>
    <t>https://store.steampowered.com/app/2008510/Go_Mecha_Ball/</t>
  </si>
  <si>
    <t>Goblin Sushi</t>
  </si>
  <si>
    <t>goblin-sushi</t>
  </si>
  <si>
    <t>God of Weapons</t>
  </si>
  <si>
    <t>god-of-weapons</t>
  </si>
  <si>
    <t>C:\Users\Owner\Documents\Roguelike Roguelike\Roguelikes\God Of Weapons.url</t>
  </si>
  <si>
    <t>https://store.steampowered.com/app/2342950/God_Of_Weapons/</t>
  </si>
  <si>
    <t>Godbreakers</t>
  </si>
  <si>
    <t>godbreakers</t>
  </si>
  <si>
    <t>C:\Users\Owner\Documents\Roguelike Roguelike\Roguelikes\GODBREAKERS.url</t>
  </si>
  <si>
    <t>https://store.steampowered.com/app/2687400/GODBREAKERS/</t>
  </si>
  <si>
    <t>Going Under</t>
  </si>
  <si>
    <t>going-under</t>
  </si>
  <si>
    <t>C:\Users\Owner\Documents\Roguelike Roguelike\Roguelikes\Going Under.url</t>
  </si>
  <si>
    <t>https://store.steampowered.com/app/1154810/Going_Under/</t>
  </si>
  <si>
    <t>Golden Krone Hotel</t>
  </si>
  <si>
    <t>golden-krone-hotel</t>
  </si>
  <si>
    <t>C:\Users\Owner\Documents\Roguelike Roguelike\Roguelikes\Golden Krone Hotel.url</t>
  </si>
  <si>
    <t>https://store.steampowered.com/app/497800/Golden_Krone_Hotel/</t>
  </si>
  <si>
    <t>Golden Light</t>
  </si>
  <si>
    <t>golden-light</t>
  </si>
  <si>
    <t>C:\Users\Owner\Documents\Roguelike Roguelike\Roguelikes\Golden Light.url</t>
  </si>
  <si>
    <t>https://store.steampowered.com/app/1245430/Golden_Light/</t>
  </si>
  <si>
    <t>Golfie</t>
  </si>
  <si>
    <t>golfie</t>
  </si>
  <si>
    <t>C:\Users\Owner\Documents\Roguelike Roguelike\Roguelikes\Golfie.url</t>
  </si>
  <si>
    <t>https://store.steampowered.com/app/1579020/Golfie/</t>
  </si>
  <si>
    <t>GoNNER</t>
  </si>
  <si>
    <t>gonner</t>
  </si>
  <si>
    <t>C:\Users\Owner\Documents\Roguelike Roguelike\Roguelikes\GoNNER.url</t>
  </si>
  <si>
    <t>https://store.steampowered.com/app/437570/GoNNER/</t>
  </si>
  <si>
    <t>GONNER2</t>
  </si>
  <si>
    <t>gonner2</t>
  </si>
  <si>
    <t>C:\Users\Owner\Documents\Roguelike Roguelike\Roguelikes\GONNER2.url</t>
  </si>
  <si>
    <t>https://store.steampowered.com/app/1117670/GONNER2/</t>
  </si>
  <si>
    <t>Goobies</t>
  </si>
  <si>
    <t>goobies</t>
  </si>
  <si>
    <t>Gordian Quest</t>
  </si>
  <si>
    <t>gordian-quest</t>
  </si>
  <si>
    <t>C:\Users\Owner\Documents\Roguelike Roguelike\Roguelikes\Gordian Quest.url</t>
  </si>
  <si>
    <t>https://store.steampowered.com/app/981430/Gordian_Quest/</t>
  </si>
  <si>
    <t>Granvir</t>
  </si>
  <si>
    <t>granvir</t>
  </si>
  <si>
    <t>Greedland</t>
  </si>
  <si>
    <t>greedland</t>
  </si>
  <si>
    <t>C:\Users\Owner\Documents\Roguelike Roguelike\Roguelikes\Greedland.url</t>
  </si>
  <si>
    <t>https://store.steampowered.com/app/2218400/Greedland/</t>
  </si>
  <si>
    <t>Griftlands</t>
  </si>
  <si>
    <t>griftlands</t>
  </si>
  <si>
    <t>C:\Users\Owner\Documents\Roguelike Roguelike\Roguelikes\Griftlands.url</t>
  </si>
  <si>
    <t>https://store.steampowered.com/app/601840/Griftlands/</t>
  </si>
  <si>
    <t>Guidus</t>
  </si>
  <si>
    <t>guidus</t>
  </si>
  <si>
    <t>C:\Users\Owner\Documents\Roguelike Roguelike\Roguelikes\Guidus  Pixel Roguelike RPG.lnk</t>
  </si>
  <si>
    <t>Guidus Zero</t>
  </si>
  <si>
    <t>guidus-zero</t>
  </si>
  <si>
    <t>https://store.steampowered.com/app/3072640/Guidus_Zero/</t>
  </si>
  <si>
    <t>Guild of Dungeoneering</t>
  </si>
  <si>
    <t>guild-of-dungeoneering</t>
  </si>
  <si>
    <t>https://store.steampowered.com/app/317820/Guild_of_Dungeoneering_Ultimate_Edition/</t>
  </si>
  <si>
    <t>Gumballs &amp; Dungeons</t>
  </si>
  <si>
    <t>gumballs-dungeons</t>
  </si>
  <si>
    <t>C:\Users\Owner\Documents\Roguelike Roguelike\Roguelikes\Gumballs &amp; Dungeons.url</t>
  </si>
  <si>
    <t>https://store.steampowered.com/app/3112010/Gumballs__Dungeons/</t>
  </si>
  <si>
    <t>Gunfire Reborn</t>
  </si>
  <si>
    <t>gunfire-reborn</t>
  </si>
  <si>
    <t>C:\Users\Owner\Documents\Roguelike Roguelike\Roguelikes\Gunfire Reborn.url</t>
  </si>
  <si>
    <t>https://store.steampowered.com/app/1217060/Gunfire_Reborn/</t>
  </si>
  <si>
    <t>Gunlocked</t>
  </si>
  <si>
    <t>gunlocked</t>
  </si>
  <si>
    <t>C:\Users\Owner\Documents\Roguelike Roguelike\Roguelikes\Gunlocked.url</t>
  </si>
  <si>
    <t>https://store.steampowered.com/app/1512480/Gunlocked/</t>
  </si>
  <si>
    <t>Gunlocked 2</t>
  </si>
  <si>
    <t>gunlocked-2</t>
  </si>
  <si>
    <t>C:\Users\Owner\Documents\Roguelike Roguelike\Roguelikes\Gunlocked 2.url</t>
  </si>
  <si>
    <t>https://store.steampowered.com/app/3492830/Gunlocked_2/</t>
  </si>
  <si>
    <t>Hack</t>
  </si>
  <si>
    <t>hack</t>
  </si>
  <si>
    <t>C:\Users\Owner\Documents\Roguelike Roguelike\Roguelikes\Hack.lnk</t>
  </si>
  <si>
    <t>Hack'EM</t>
  </si>
  <si>
    <t>hackem</t>
  </si>
  <si>
    <t>C:\Users\Owner\Documents\Roguelike Roguelike\Roguelikes\HackEMW.lnk</t>
  </si>
  <si>
    <t>Hadean Tactics</t>
  </si>
  <si>
    <t>hadean-tactics</t>
  </si>
  <si>
    <t>C:\Users\Owner\Documents\Roguelike Roguelike\Roguelikes\Hadean Tactics.url</t>
  </si>
  <si>
    <t>https://store.steampowered.com/app/1260590/Hadean_Tactics/</t>
  </si>
  <si>
    <t>Hades</t>
  </si>
  <si>
    <t>hades</t>
  </si>
  <si>
    <t>C:\Users\Owner\Documents\Roguelike Roguelike\Roguelikes\Hades.url</t>
  </si>
  <si>
    <t>https://store.steampowered.com/app/1145360/Hades/</t>
  </si>
  <si>
    <t>Hades II</t>
  </si>
  <si>
    <t>hades-ii</t>
  </si>
  <si>
    <t>C:\Users\Owner\Documents\Roguelike Roguelike\Roguelikes\Hades II.url</t>
  </si>
  <si>
    <t>https://store.steampowered.com/app/1145350/Hades_II/</t>
  </si>
  <si>
    <t>Halls of Torment</t>
  </si>
  <si>
    <t>halls-of-torment</t>
  </si>
  <si>
    <t>C:\Users\Owner\Documents\Roguelike Roguelike\Roguelikes\Halls of Torment.url</t>
  </si>
  <si>
    <t>https://store.steampowered.com/app/2218750/Halls_of_Torment/</t>
  </si>
  <si>
    <t>Hand of Fate</t>
  </si>
  <si>
    <t>hand-of-fate</t>
  </si>
  <si>
    <t>C:\Users\Owner\Documents\Roguelike Roguelike\Roguelikes\Hand of Fate.url</t>
  </si>
  <si>
    <t>https://store.steampowered.com/app/266510/Hand_of_Fate/</t>
  </si>
  <si>
    <t>Hand of Fate 2</t>
  </si>
  <si>
    <t>hand-of-fate-2</t>
  </si>
  <si>
    <t>Hand of Fate: Hordes</t>
  </si>
  <si>
    <t>hand-of-fate-hordes</t>
  </si>
  <si>
    <t>https://store.steampowered.com/app/3075410/Hand_of_Fate_Hordes/</t>
  </si>
  <si>
    <t>Hangtime!</t>
  </si>
  <si>
    <t>hangtime</t>
  </si>
  <si>
    <t>Haque</t>
  </si>
  <si>
    <t>haque</t>
  </si>
  <si>
    <t>https://store.steampowered.com/app/662540/Haque/</t>
  </si>
  <si>
    <t>Has-Been Heroes</t>
  </si>
  <si>
    <t>has-been-heroes</t>
  </si>
  <si>
    <t>Haste</t>
  </si>
  <si>
    <t>haste</t>
  </si>
  <si>
    <t>C:\Users\Owner\Documents\Roguelike Roguelike\Roguelikes\Haste.url</t>
  </si>
  <si>
    <t>https://store.steampowered.com/app/1796470/Haste/</t>
  </si>
  <si>
    <t>Have a Nice Death</t>
  </si>
  <si>
    <t>have-a-nice-death</t>
  </si>
  <si>
    <t>C:\Users\Owner\Documents\Roguelike Roguelike\Roguelikes\Have a Nice Death.url</t>
  </si>
  <si>
    <t>https://store.steampowered.com/app/1740720/Have_a_Nice_Death/</t>
  </si>
  <si>
    <t>He is Coming</t>
  </si>
  <si>
    <t>he-is-coming</t>
  </si>
  <si>
    <t>C:\Users\Owner\Documents\Roguelike Roguelike\Roguelikes\He is Coming.url</t>
  </si>
  <si>
    <t>https://store.steampowered.com/app/2824490/He_is_Coming/</t>
  </si>
  <si>
    <t>Heading Out</t>
  </si>
  <si>
    <t>heading-out</t>
  </si>
  <si>
    <t>Heat Signature</t>
  </si>
  <si>
    <t>heat-signature</t>
  </si>
  <si>
    <t>C:\Users\Owner\Documents\Roguelike Roguelike\Roguelikes\Heat Signature.url</t>
  </si>
  <si>
    <t>https://store.steampowered.com/app/268130/Heat_Signature/</t>
  </si>
  <si>
    <t>Heavy Bullets</t>
  </si>
  <si>
    <t>heavy-bullets</t>
  </si>
  <si>
    <t>C:\Users\Owner\Documents\Roguelike Roguelike\Roguelikes\Heavy Bullets.url</t>
  </si>
  <si>
    <t>https://store.steampowered.com/app/297120/Heavy_Bullets/</t>
  </si>
  <si>
    <t>Hell Clock</t>
  </si>
  <si>
    <t>hell-clock</t>
  </si>
  <si>
    <t>C:\Users\Owner\Documents\Roguelike Roguelike\Roguelikes\Hell Clock.url</t>
  </si>
  <si>
    <t>https://store.steampowered.com/app/1782460/Hell_Clock/</t>
  </si>
  <si>
    <t>Hell Maiden</t>
  </si>
  <si>
    <t>hell-maiden</t>
  </si>
  <si>
    <t>https://store.steampowered.com/app/3372060/Hell_Maiden/</t>
  </si>
  <si>
    <t>Hellboy Web of Wyrd</t>
  </si>
  <si>
    <t>hellboy-web-of-wyrd</t>
  </si>
  <si>
    <t>Hellcard</t>
  </si>
  <si>
    <t>hellcard</t>
  </si>
  <si>
    <t>C:\Users\Owner\Documents\Roguelike Roguelike\Roguelikes\HELLCARD.url</t>
  </si>
  <si>
    <t>https://store.steampowered.com/app/1201540/HELLCARD/</t>
  </si>
  <si>
    <t>Helskate</t>
  </si>
  <si>
    <t>helskate</t>
  </si>
  <si>
    <t>C:\Users\Owner\Documents\Roguelike Roguelike\Roguelikes\Helskate.url</t>
  </si>
  <si>
    <t>https://store.steampowered.com/app/1295630/Helskate/</t>
  </si>
  <si>
    <t>Heretic's Fork</t>
  </si>
  <si>
    <t>heretics-fork</t>
  </si>
  <si>
    <t>C:\Users\Owner\Documents\Roguelike Roguelike\Roguelikes\Heretic's Fork.url</t>
  </si>
  <si>
    <t>https://store.steampowered.com/app/2181610/Heretics_Fork/</t>
  </si>
  <si>
    <t>Heroes of Hammerwatch</t>
  </si>
  <si>
    <t>heroes-of-hammerwatch</t>
  </si>
  <si>
    <t>C:\Users\Owner\Documents\Roguelike Roguelike\Roguelikes\Heroes of Hammerwatch.url</t>
  </si>
  <si>
    <t>https://store.steampowered.com/app/677120/Heroes_of_Hammerwatch/</t>
  </si>
  <si>
    <t>Heroes of Hammerwatch II</t>
  </si>
  <si>
    <t>heroes-of-hammerwatch-ii</t>
  </si>
  <si>
    <t>C:\Users\Owner\Documents\Roguelike Roguelike\Roguelikes\Heroes of Hammerwatch II.url</t>
  </si>
  <si>
    <t>https://store.steampowered.com/app/619820/Heroes_of_Hammerwatch_II/</t>
  </si>
  <si>
    <t>Hexagod</t>
  </si>
  <si>
    <t>hexagod</t>
  </si>
  <si>
    <t>https://store.steampowered.com/app/3059390/Hexagod/</t>
  </si>
  <si>
    <t>Hive Blight</t>
  </si>
  <si>
    <t>hive-blight</t>
  </si>
  <si>
    <t>HoloCure: Save the Fans!</t>
  </si>
  <si>
    <t>holocure-save-the-fans</t>
  </si>
  <si>
    <t>C:\Users\Owner\Documents\Roguelike Roguelike\Roguelikes\HoloCure - Save the Fans!.url</t>
  </si>
  <si>
    <t>https://store.steampowered.com/app/2420510/HoloCure__Save_the_Fans/</t>
  </si>
  <si>
    <t>HoloDungeon: Koyori vs HollowLive in Honsha Tower</t>
  </si>
  <si>
    <t>holodungeon-koyori-vs-hollowlive-in-honsha-tower</t>
  </si>
  <si>
    <t>https://store.steampowered.com/app/4215730/HoloDungeon_Koyori_vs_HollowLive_in_Honsha_Tower/</t>
  </si>
  <si>
    <t>Hoplite</t>
  </si>
  <si>
    <t>hoplite</t>
  </si>
  <si>
    <t>C:\Users\Owner\Documents\Roguelike Roguelike\Roguelikes\Hoplite.lnk</t>
  </si>
  <si>
    <t>House of Necrosis</t>
  </si>
  <si>
    <t>undead, horror</t>
  </si>
  <si>
    <t>house-of-necrosis</t>
  </si>
  <si>
    <t>How Many Dudes?</t>
  </si>
  <si>
    <t>how-many-dudes</t>
  </si>
  <si>
    <t>https://store.steampowered.com/app/3934270/How_Many_Dudes/</t>
  </si>
  <si>
    <t>Hungry Horrors</t>
  </si>
  <si>
    <t>hungry-horrors</t>
  </si>
  <si>
    <t>Hunter X Hunter: Nen X Survivor</t>
  </si>
  <si>
    <t>anime, gacha</t>
  </si>
  <si>
    <t>hunter-x-hunter-nen-x-survivor</t>
  </si>
  <si>
    <t>C:\Users\Owner\Documents\Roguelike Roguelike\Roguelikes\HUNTER×HUNTER NEN×SURVIVOR.lnk</t>
  </si>
  <si>
    <t>HyperRogue</t>
  </si>
  <si>
    <t>hyperrogue</t>
  </si>
  <si>
    <t>https://store.steampowered.com/app/342610/HyperRogue/</t>
  </si>
  <si>
    <t>I Am Legion: Stand Survivors</t>
  </si>
  <si>
    <t>i-am-legion-stand-survivors</t>
  </si>
  <si>
    <t>C:\Users\Owner\Documents\Roguelike Roguelike\Roguelikes\I Am Legion Stand Survivors.url</t>
  </si>
  <si>
    <t>https://store.steampowered.com/app/3109580/I_Am_Legion_Stand_Survivors/</t>
  </si>
  <si>
    <t>I Am Overburdened</t>
  </si>
  <si>
    <t>i-am-overburdened</t>
  </si>
  <si>
    <t>Icewall</t>
  </si>
  <si>
    <t>icewall</t>
  </si>
  <si>
    <t>C:\Users\Owner\Documents\Roguelike Roguelike\Roguelikes\ICEwall.url</t>
  </si>
  <si>
    <t>https://store.steampowered.com/app/1835970/ICEwall/</t>
  </si>
  <si>
    <t>Immortal Redneck</t>
  </si>
  <si>
    <t>immortal-redneck</t>
  </si>
  <si>
    <t>C:\Users\Owner\Documents\Roguelike Roguelike\Roguelikes\Immortal Redneck.url</t>
  </si>
  <si>
    <t>https://store.steampowered.com/app/595140/Immortal_Redneck/</t>
  </si>
  <si>
    <t>In Celebration of Violence</t>
  </si>
  <si>
    <t>in-celebration-of-violence</t>
  </si>
  <si>
    <t>https://store.steampowered.com/app/509570/In_Celebration_of_Violence/</t>
  </si>
  <si>
    <t>Incursion</t>
  </si>
  <si>
    <t>incursion</t>
  </si>
  <si>
    <t>C:\Users\Owner\Documents\Roguelike Roguelike\Roguelikes\Incursion.lnk</t>
  </si>
  <si>
    <t>Infinite Space III: Sea of Stars</t>
  </si>
  <si>
    <t>infinite-space-iii-sea-of-stars</t>
  </si>
  <si>
    <t>Infra Arcana</t>
  </si>
  <si>
    <t>infra-arcana</t>
  </si>
  <si>
    <t>C:\Users\Owner\Documents\Roguelike Roguelike\Roguelikes\Infra Arcana.lnk</t>
  </si>
  <si>
    <t>Inkbound</t>
  </si>
  <si>
    <t>inkbound</t>
  </si>
  <si>
    <t>C:\Users\Owner\Documents\Roguelike Roguelike\Roguelikes\Inkbound.url</t>
  </si>
  <si>
    <t>https://store.steampowered.com/app/1062810/Inkbound/</t>
  </si>
  <si>
    <t>Inkshade</t>
  </si>
  <si>
    <t>inkshade</t>
  </si>
  <si>
    <t>https://store.steampowered.com/app/3141310/Inkshade/</t>
  </si>
  <si>
    <t>Inscryption</t>
  </si>
  <si>
    <t>inscryption</t>
  </si>
  <si>
    <t>C:\Users\Owner\Documents\Roguelike Roguelike\Roguelikes\Inscryption.url</t>
  </si>
  <si>
    <t>https://store.steampowered.com/app/1092790/Inscryption/</t>
  </si>
  <si>
    <t>Insurmountable</t>
  </si>
  <si>
    <t>insurmountable</t>
  </si>
  <si>
    <t>C:\Users\Owner\Documents\Roguelike Roguelike\Roguelikes\Insurmountable.url</t>
  </si>
  <si>
    <t>https://store.steampowered.com/app/1385100/Insurmountable/</t>
  </si>
  <si>
    <t>Into the Breach</t>
  </si>
  <si>
    <t>into-the-breach</t>
  </si>
  <si>
    <t>C:\Users\Owner\Documents\Roguelike Roguelike\Roguelikes\Into the Breach.url</t>
  </si>
  <si>
    <t>https://store.steampowered.com/app/590380/Into_the_Breach/</t>
  </si>
  <si>
    <t>Into The Grid</t>
  </si>
  <si>
    <t>into-the-grid</t>
  </si>
  <si>
    <t>https://store.steampowered.com/app/2576200/Into_The_Grid/</t>
  </si>
  <si>
    <t>Iratus: Lord of the Dead</t>
  </si>
  <si>
    <t>iratus-lord-of-the-dead</t>
  </si>
  <si>
    <t>C:\Users\Owner\Documents\Roguelike Roguelike\Roguelikes\Iratus Lord of the Dead.url</t>
  </si>
  <si>
    <t>https://store.steampowered.com/app/807120/Iratus_Lord_of_the_Dead/</t>
  </si>
  <si>
    <t>Iter Vehemens Ad Necem</t>
  </si>
  <si>
    <t>iter-vehemens-ad-necem</t>
  </si>
  <si>
    <t>C:\Users\Owner\Documents\Roguelike Roguelike\Roguelikes\ivan.lnk</t>
  </si>
  <si>
    <t>Izuna 2: The Unemployed Ninja Returns</t>
  </si>
  <si>
    <t>izuna-2-the-unemployed-ninja-returns</t>
  </si>
  <si>
    <t>C:\Users\Owner\Documents\Roguelike Roguelike\Roguelikes\Izuna 2 The Unemployed Ninja Returns.lnk</t>
  </si>
  <si>
    <t>Izuna: Legend of the Unemployed Ninja</t>
  </si>
  <si>
    <t>izuna-legend-of-the-unemployed-ninja</t>
  </si>
  <si>
    <t>C:\Users\Owner\Documents\Roguelike Roguelike\Roguelikes\Izuna Legend of the Unemployed Ninja.lnk</t>
  </si>
  <si>
    <t>Jotunnslayer: Hordes of Hel</t>
  </si>
  <si>
    <t>jotunnslayer-hordes-of-hel</t>
  </si>
  <si>
    <t>Juicy Realm</t>
  </si>
  <si>
    <t>juicy-realm</t>
  </si>
  <si>
    <t>Jupiter Hell</t>
  </si>
  <si>
    <t>jupiter-hell</t>
  </si>
  <si>
    <t>C:\Users\Owner\Documents\Roguelike Roguelike\Roguelikes\Jupiter Hell.url</t>
  </si>
  <si>
    <t>https://store.steampowered.com/app/811320/Jupiter_Hell/</t>
  </si>
  <si>
    <t>Just King</t>
  </si>
  <si>
    <t>just-king</t>
  </si>
  <si>
    <t>C:\Users\Owner\Documents\Roguelike Roguelike\Roguelikes\Just King.url</t>
  </si>
  <si>
    <t>https://store.steampowered.com/app/1059980/Just_King/</t>
  </si>
  <si>
    <t>Kādomon: Hyper Auto Battlers</t>
  </si>
  <si>
    <t>kadomon-hyper-auto-battlers</t>
  </si>
  <si>
    <t>C:\Users\Owner\Documents\Roguelike Roguelike\Roguelikes\Kādomon Hyper Auto Battlers.url</t>
  </si>
  <si>
    <t>https://store.steampowered.com/app/2125540/Kdomon_Hyper_Auto_Battlers/</t>
  </si>
  <si>
    <t>Katanaut</t>
  </si>
  <si>
    <t>katanaut</t>
  </si>
  <si>
    <t>https://store.steampowered.com/app/3032830/Katanaut/</t>
  </si>
  <si>
    <t>KeeperRL</t>
  </si>
  <si>
    <t>keeperrl</t>
  </si>
  <si>
    <t>C:\Users\Owner\Documents\Roguelike Roguelike\Roguelikes\KeeperRL.url</t>
  </si>
  <si>
    <t>https://store.steampowered.com/app/329970/KeeperRL/</t>
  </si>
  <si>
    <t>Keeper's Toll</t>
  </si>
  <si>
    <t>keepers-toll</t>
  </si>
  <si>
    <t>C:\Users\Owner\Documents\Roguelike Roguelike\Roguelikes\Keeper's Toll.url</t>
  </si>
  <si>
    <t>https://store.steampowered.com/app/2002220/Keepers_Toll/</t>
  </si>
  <si>
    <t>Kill the Brickman</t>
  </si>
  <si>
    <t>kill-the-brickman</t>
  </si>
  <si>
    <t>Kill The Music</t>
  </si>
  <si>
    <t>kill-the-music</t>
  </si>
  <si>
    <t>C:\Users\Owner\Documents\Roguelike Roguelike\Roguelikes\Kill The Music.url</t>
  </si>
  <si>
    <t>https://store.steampowered.com/app/3093050/Kill_The_Music/</t>
  </si>
  <si>
    <t>Kingdom: New Lands</t>
  </si>
  <si>
    <t>kingdom-new-lands</t>
  </si>
  <si>
    <t>C:\Users\Owner\Documents\Roguelike Roguelike\Roguelikes\Kingdom New Lands.url</t>
  </si>
  <si>
    <t>https://store.steampowered.com/app/496300/Kingdom_New_Lands/</t>
  </si>
  <si>
    <t>Kitty Survivors: Rogues of Catmere</t>
  </si>
  <si>
    <t>kitty-survivors-rogues-of-catmere</t>
  </si>
  <si>
    <t>C:\Users\Owner\Documents\Roguelike Roguelike\Roguelikes\Kitty Survivors Rogues of Catmere.url</t>
  </si>
  <si>
    <t>Knightica</t>
  </si>
  <si>
    <t>knightica</t>
  </si>
  <si>
    <t>C:\Users\Owner\Documents\Roguelike Roguelike\Roguelikes\Knightica.url</t>
  </si>
  <si>
    <t>https://store.steampowered.com/app/3093400/Knightica/</t>
  </si>
  <si>
    <t>Knights in Tight Spaces</t>
  </si>
  <si>
    <t>knights-in-tight-spaces</t>
  </si>
  <si>
    <t>C:\Users\Owner\Documents\Roguelike Roguelike\Roguelikes\Knights in Tight Spaces.url</t>
  </si>
  <si>
    <t>https://store.steampowered.com/app/2315400/Knights_in_Tight_Spaces/</t>
  </si>
  <si>
    <t>Knock on the Coffin Lid</t>
  </si>
  <si>
    <t>knock-on-the-coffin-lid</t>
  </si>
  <si>
    <t>Labyrinth of Legendary Loot</t>
  </si>
  <si>
    <t>labyrinth-of-legendary-loot</t>
  </si>
  <si>
    <t>C:\Users\Owner\Documents\Roguelike Roguelike\Roguelikes\LabyrinthOfLegendaryLoot.lnk</t>
  </si>
  <si>
    <t>Lake of Creatures</t>
  </si>
  <si>
    <t>lake-of-creatures</t>
  </si>
  <si>
    <t>C:\Users\Owner\Documents\Roguelike Roguelike\Roguelikes\Lake of Creatures.url</t>
  </si>
  <si>
    <t>https://store.steampowered.com/app/1808320/Lake_of_Creatures/</t>
  </si>
  <si>
    <t>LambdaRogue: The Book of Stars</t>
  </si>
  <si>
    <t>lambdarogue-the-book-of-stars</t>
  </si>
  <si>
    <t>C:\Users\Owner\Documents\Roguelike Roguelike\Roguelikes\lambdarogue.lnk</t>
  </si>
  <si>
    <t>Larn</t>
  </si>
  <si>
    <t>larn</t>
  </si>
  <si>
    <t>C:\Users\Owner\Documents\Roguelike Roguelike\Roguelikes\Larn.url</t>
  </si>
  <si>
    <t>Legend of Keepers: Career of a Dungeon Manager</t>
  </si>
  <si>
    <t>legend-of-keepers-career-of-a-dungeon-manager</t>
  </si>
  <si>
    <t>C:\Users\Owner\Documents\Roguelike Roguelike\Roguelikes\Legend of Keepers.url</t>
  </si>
  <si>
    <t>https://store.steampowered.com/app/978520/Legend_of_Keepers_Career_of_a_Dungeon_Manager/</t>
  </si>
  <si>
    <t>Let Him Cook</t>
  </si>
  <si>
    <t>let-him-cook</t>
  </si>
  <si>
    <t>Lethal Dungeon</t>
  </si>
  <si>
    <t>lethal-dungeon</t>
  </si>
  <si>
    <t>Let's! Revolution!</t>
  </si>
  <si>
    <t>lets-revolution</t>
  </si>
  <si>
    <t>C:\Users\Owner\Documents\Roguelike Roguelike\Roguelikes\Let's! Revolution!.url</t>
  </si>
  <si>
    <t>https://store.steampowered.com/app/2111090/Lets_Revolution/</t>
  </si>
  <si>
    <t>Linley's Dungeon Crawl</t>
  </si>
  <si>
    <t>linleys-dungeon-crawl</t>
  </si>
  <si>
    <t>C:\Users\Owner\Documents\Roguelike Roguelike\Roguelikes\Linley's Dungeon Crawl.lnk</t>
  </si>
  <si>
    <t>Lone Ruin</t>
  </si>
  <si>
    <t>lone-ruin</t>
  </si>
  <si>
    <t>C:\Users\Owner\Documents\Roguelike Roguelike\Roguelikes\Lone Ruin.url</t>
  </si>
  <si>
    <t>https://store.steampowered.com/app/1452070/LONE_RUIN/</t>
  </si>
  <si>
    <t>LoneStar</t>
  </si>
  <si>
    <t>lonestar</t>
  </si>
  <si>
    <t>C:\Users\Owner\Documents\Roguelike Roguelike\Roguelikes\LONESTAR.url</t>
  </si>
  <si>
    <t>https://store.steampowered.com/app/2056210/LONESTAR/</t>
  </si>
  <si>
    <t>Loop Hero</t>
  </si>
  <si>
    <t>loop-hero</t>
  </si>
  <si>
    <t>C:\Users\Owner\Documents\Roguelike Roguelike\Roguelikes\Loop Hero.url</t>
  </si>
  <si>
    <t>https://store.steampowered.com/app/1282730/Loop_Hero/</t>
  </si>
  <si>
    <t>Loot Rascals</t>
  </si>
  <si>
    <t>loot-rascals</t>
  </si>
  <si>
    <t>Loot River</t>
  </si>
  <si>
    <t>loot-river</t>
  </si>
  <si>
    <t>C:\Users\Owner\Documents\Roguelike Roguelike\Roguelikes\Loot River.url</t>
  </si>
  <si>
    <t>https://store.steampowered.com/app/1494260/Loot_River/</t>
  </si>
  <si>
    <t>Lootplot</t>
  </si>
  <si>
    <t>lootplot</t>
  </si>
  <si>
    <t>Lort</t>
  </si>
  <si>
    <t>lort</t>
  </si>
  <si>
    <t>Lost Flame</t>
  </si>
  <si>
    <t>lost-flame</t>
  </si>
  <si>
    <t>Lost For Swords</t>
  </si>
  <si>
    <t>lost-for-swords</t>
  </si>
  <si>
    <t>https://store.steampowered.com/app/2638050/Lost_For_Swords/</t>
  </si>
  <si>
    <t>Lost In Fantaland</t>
  </si>
  <si>
    <t>lost-in-fantaland</t>
  </si>
  <si>
    <t>Lost in Random: The Eternal Die</t>
  </si>
  <si>
    <t>lost-in-random-the-eternal-die</t>
  </si>
  <si>
    <t>Lost Labyrinth</t>
  </si>
  <si>
    <t>lost-labyrinth</t>
  </si>
  <si>
    <t>Luck &amp; Loot</t>
  </si>
  <si>
    <t>luck-loot</t>
  </si>
  <si>
    <t>Luck be a Landlord</t>
  </si>
  <si>
    <t>luck-be-a-landlord</t>
  </si>
  <si>
    <t>C:\Users\Owner\Documents\Roguelike Roguelike\Roguelikes\Luck be a Landlord.url</t>
  </si>
  <si>
    <t>https://store.steampowered.com/app/1404850/Luck_be_a_Landlord/</t>
  </si>
  <si>
    <t>Lucky Hero</t>
  </si>
  <si>
    <t>lucky-hero</t>
  </si>
  <si>
    <t>C:\Users\Owner\Documents\Roguelike Roguelike\Roguelikes\Lucky Hero.url</t>
  </si>
  <si>
    <t>https://store.steampowered.com/app/2404510/Lucky_Hero/</t>
  </si>
  <si>
    <t>Lucky Shot</t>
  </si>
  <si>
    <t>lucky-shot</t>
  </si>
  <si>
    <t>https://store.steampowered.com/app/4092940/Lucky_Shot/</t>
  </si>
  <si>
    <t>Lunchbreak Tactics</t>
  </si>
  <si>
    <t>lunchbreak-tactics</t>
  </si>
  <si>
    <t>Mad King Redemption</t>
  </si>
  <si>
    <t>mad-king-redemption</t>
  </si>
  <si>
    <t>https://store.steampowered.com/app/2369580/Mad_King_Redemption/</t>
  </si>
  <si>
    <t>Magic Survival</t>
  </si>
  <si>
    <t>magic-survival</t>
  </si>
  <si>
    <t>Magicraft</t>
  </si>
  <si>
    <t>magicraft</t>
  </si>
  <si>
    <t>Maid Survivors: Little Angels</t>
  </si>
  <si>
    <t>maid-survivors-little-angels</t>
  </si>
  <si>
    <t>Mainframe Defenders</t>
  </si>
  <si>
    <t>mainframe-defenders</t>
  </si>
  <si>
    <t>C:\Users\Owner\Documents\Roguelike Roguelike\Roguelikes\Mainframe Defenders.url</t>
  </si>
  <si>
    <t>https://store.steampowered.com/app/1184810/Mainframe_Defenders/</t>
  </si>
  <si>
    <t>Mana Spark</t>
  </si>
  <si>
    <t>mana-spark</t>
  </si>
  <si>
    <t>C:\Users\Owner\Documents\Roguelike Roguelike\Roguelikes\Mana Spark.url</t>
  </si>
  <si>
    <t>https://store.steampowered.com/app/630720/Mana_Spark/</t>
  </si>
  <si>
    <t>Masks of the Void: Origins</t>
  </si>
  <si>
    <t>masks-of-the-void-origins</t>
  </si>
  <si>
    <t>C:\Users\Owner\Documents\Roguelike Roguelike\Roguelikes\Masks of the Void Origins.url</t>
  </si>
  <si>
    <t>https://store.steampowered.com/app/2542350/Masks_of_the_Void_Origins/</t>
  </si>
  <si>
    <t>Master of Piece</t>
  </si>
  <si>
    <t>master-of-piece</t>
  </si>
  <si>
    <t>https://store.steampowered.com/app/3009310/Master_of_Piece/</t>
  </si>
  <si>
    <t>Maze Mice</t>
  </si>
  <si>
    <t>maze-mice</t>
  </si>
  <si>
    <t>C:\Users\Owner\Documents\Roguelike Roguelike\Roguelikes\Maze Mice.url</t>
  </si>
  <si>
    <t>https://store.steampowered.com/app/3385370/Maze_Mice/</t>
  </si>
  <si>
    <t>Mechanibot</t>
  </si>
  <si>
    <t>mechanibot</t>
  </si>
  <si>
    <t>C:\Users\Owner\Documents\Roguelike Roguelike\Roguelikes\Mechanibot.url</t>
  </si>
  <si>
    <t>https://store.steampowered.com/app/1842510/Mechanibot/</t>
  </si>
  <si>
    <t>Megabonk</t>
  </si>
  <si>
    <t>megabonk</t>
  </si>
  <si>
    <t>C:\Users\Owner\Documents\Roguelike Roguelike\Roguelikes\Megabonk.url</t>
  </si>
  <si>
    <t>https://store.steampowered.com/app/3405340/Megabonk/</t>
  </si>
  <si>
    <t>Meme Mayhem</t>
  </si>
  <si>
    <t>meme-mayhem</t>
  </si>
  <si>
    <t>Menace from the Deep</t>
  </si>
  <si>
    <t>menace-from-the-deep</t>
  </si>
  <si>
    <t>C:\Users\Owner\Documents\Roguelike Roguelike\Roguelikes\Menace from the Deep.url</t>
  </si>
  <si>
    <t>https://store.steampowered.com/app/2644610/Menace_from_the_Deep/</t>
  </si>
  <si>
    <t>Menherarium</t>
  </si>
  <si>
    <t>menherarium</t>
  </si>
  <si>
    <t>Merge Maestro</t>
  </si>
  <si>
    <t>merge-maestro</t>
  </si>
  <si>
    <t>C:\Users\Owner\Documents\Roguelike Roguelike\Roguelikes\Merge Maestro.url</t>
  </si>
  <si>
    <t>https://store.steampowered.com/app/3519530/Merge_Maestro/</t>
  </si>
  <si>
    <t>Metal Slug Tactics</t>
  </si>
  <si>
    <t>metal-slug-tactics</t>
  </si>
  <si>
    <t>C:\Users\Owner\Documents\Roguelike Roguelike\Roguelikes\Metal Slug Tactics.url</t>
  </si>
  <si>
    <t>https://store.steampowered.com/app/1590760/Metal_Slug_Tactics/</t>
  </si>
  <si>
    <t>Metal Unit</t>
  </si>
  <si>
    <t>metal-unit</t>
  </si>
  <si>
    <t>C:\Users\Owner\Documents\Roguelike Roguelike\Roguelikes\Metal Unit.url</t>
  </si>
  <si>
    <t>https://store.steampowered.com/app/1173200/Metal_Unit/</t>
  </si>
  <si>
    <t>Metallic Child</t>
  </si>
  <si>
    <t>metallic-child</t>
  </si>
  <si>
    <t>C:\Users\Owner\Documents\Roguelike Roguelike\Roguelikes\METALLIC CHILD.url</t>
  </si>
  <si>
    <t>https://store.steampowered.com/app/1490610/METALLIC_CHILD/</t>
  </si>
  <si>
    <t>Mewgenics</t>
  </si>
  <si>
    <t>mewgenics</t>
  </si>
  <si>
    <t>C:\Users\Owner\Documents\Roguelike Roguelike\Roguelikes\Mewgenics.url</t>
  </si>
  <si>
    <t>https://store.steampowered.com/app/686060/Mewgenics/</t>
  </si>
  <si>
    <t>Million Depth</t>
  </si>
  <si>
    <t>million-depth</t>
  </si>
  <si>
    <t>Mimic Logic</t>
  </si>
  <si>
    <t>mimic-logic</t>
  </si>
  <si>
    <t>C:\Users\Owner\Documents\Roguelike Roguelike\Roguelikes\Mimic Logic.url</t>
  </si>
  <si>
    <t>https://store.steampowered.com/app/2455920/Mimic_Logic/</t>
  </si>
  <si>
    <t>Miracle Chou Party: Sanae to Tenshi no Gensou Labyrinth</t>
  </si>
  <si>
    <t>miracle-chou-party-sanae-to-tenshi-no-gensou-labyrinth</t>
  </si>
  <si>
    <t>Miracle Party: Fushigi no Gensoukyou 2</t>
  </si>
  <si>
    <t>miracle-party-fushigi-no-gensoukyou-2</t>
  </si>
  <si>
    <t>Mission: Thunderbolt</t>
  </si>
  <si>
    <t>mission-thunderbolt</t>
  </si>
  <si>
    <t>C:\Users\Owner\Documents\Roguelike Roguelike\Roguelikes\mission - thunderbolt.lnk</t>
  </si>
  <si>
    <t>Mistrogue: Mist and the Living Dungeons</t>
  </si>
  <si>
    <t>mistrogue-mist-and-the-living-dungeons</t>
  </si>
  <si>
    <t>C:\Users\Owner\Documents\Roguelike Roguelike\Roguelikes\MISTROGUE Mist and the Living Dungeons.url</t>
  </si>
  <si>
    <t>https://store.steampowered.com/app/2102320/MISTROGUE_Mist_and_the_Living_Dungeons/</t>
  </si>
  <si>
    <t>Mobmania</t>
  </si>
  <si>
    <t>mobmania</t>
  </si>
  <si>
    <t>Monmusu Gladiator</t>
  </si>
  <si>
    <t>monmusu-gladiator</t>
  </si>
  <si>
    <t>C:\Users\Owner\Documents\Roguelike Roguelike\Roguelikes\Monmusu Gladiator.url</t>
  </si>
  <si>
    <t>https://store.steampowered.com/app/1660290/Monmusu_Gladiator/</t>
  </si>
  <si>
    <t>Monster Gate</t>
  </si>
  <si>
    <t>monster-gate</t>
  </si>
  <si>
    <t>C:\Users\Owner\Documents\Roguelike Roguelike\Roguelikes\Monster Gate.lnk</t>
  </si>
  <si>
    <t>Monster Gate: Ooinaru Dungeon - Fuuin no Orb</t>
  </si>
  <si>
    <t>monster-gate-ooinaru-dungeon-fuuin-no-orb</t>
  </si>
  <si>
    <t>C:\Users\Owner\Documents\Roguelike Roguelike\Roguelikes\Monster Gate Ooinaru Dungeon - Fuuin no Orb.lnk</t>
  </si>
  <si>
    <t>Monster Girls and the Mysterious Adventure</t>
  </si>
  <si>
    <t>monster-girls-and-the-mysterious-adventure</t>
  </si>
  <si>
    <t>Monster Girls and the Mysterious Adventure 2</t>
  </si>
  <si>
    <t>monster-girls-and-the-mysterious-adventure-2</t>
  </si>
  <si>
    <t>Monster Slayers</t>
  </si>
  <si>
    <t>monster-slayers</t>
  </si>
  <si>
    <t>C:\Users\Owner\Documents\Roguelike Roguelike\Roguelikes\Monster Slayers.url</t>
  </si>
  <si>
    <t>https://store.steampowered.com/app/496620/Monster_Slayers/</t>
  </si>
  <si>
    <t>Monster Train</t>
  </si>
  <si>
    <t>monster-train</t>
  </si>
  <si>
    <t>C:\Users\Owner\Documents\Roguelike Roguelike\Roguelikes\Monster Train.url</t>
  </si>
  <si>
    <t>https://store.steampowered.com/app/1102190/Monster_Train/</t>
  </si>
  <si>
    <t>Monster Train 2</t>
  </si>
  <si>
    <t>monster-train-2</t>
  </si>
  <si>
    <t>Monsters are Coming!</t>
  </si>
  <si>
    <t>monsters-are-coming</t>
  </si>
  <si>
    <t>C:\Users\Owner\Documents\Roguelike Roguelike\Roguelikes\Monsters are Coming!.url</t>
  </si>
  <si>
    <t>https://store.steampowered.com/app/2934220/Monsters_are_Coming/</t>
  </si>
  <si>
    <t>Monstrum</t>
  </si>
  <si>
    <t>monstrum</t>
  </si>
  <si>
    <t>C:\Users\Owner\Documents\Roguelike Roguelike\Roguelikes\Monstrum.url</t>
  </si>
  <si>
    <t>https://store.steampowered.com/app/296710/Monstrum/</t>
  </si>
  <si>
    <t>Montabi</t>
  </si>
  <si>
    <t>montabi</t>
  </si>
  <si>
    <t>https://store.steampowered.com/app/3141630/Montabi/</t>
  </si>
  <si>
    <t>Moon Hunters</t>
  </si>
  <si>
    <t>moon-hunters</t>
  </si>
  <si>
    <t>C:\Users\Owner\Documents\Roguelike Roguelike\Roguelikes\Moon Hunters.url</t>
  </si>
  <si>
    <t>https://store.steampowered.com/app/320040/Moon_Hunters/</t>
  </si>
  <si>
    <t>Moon Watch</t>
  </si>
  <si>
    <t>moon-watch</t>
  </si>
  <si>
    <t>Moonlighter</t>
  </si>
  <si>
    <t>moonlighter</t>
  </si>
  <si>
    <t>C:\Users\Owner\Documents\Roguelike Roguelike\Roguelikes\Moonlighter.url</t>
  </si>
  <si>
    <t>https://store.steampowered.com/app/606150/Moonlighter/</t>
  </si>
  <si>
    <t>Moonlighter 2: The Endless Vault</t>
  </si>
  <si>
    <t>moonlighter-2-the-endless-vault</t>
  </si>
  <si>
    <t>Moonring</t>
  </si>
  <si>
    <t>moonring</t>
  </si>
  <si>
    <t>C:\Users\Owner\Documents\Roguelike Roguelike\Roguelikes\Moonring.url</t>
  </si>
  <si>
    <t>https://store.steampowered.com/app/2373630/Moonring/</t>
  </si>
  <si>
    <t>Morbid Metal</t>
  </si>
  <si>
    <t>morbid-metal</t>
  </si>
  <si>
    <t>Moria</t>
  </si>
  <si>
    <t>moria</t>
  </si>
  <si>
    <t>C:\Users\Owner\Documents\Roguelike Roguelike\Roguelikes\umoria.lnk</t>
  </si>
  <si>
    <t>Morimens</t>
  </si>
  <si>
    <t>morimens</t>
  </si>
  <si>
    <t>C:\Users\Owner\Documents\Roguelike Roguelike\Roguelikes\Morimens.url</t>
  </si>
  <si>
    <t>https://store.steampowered.com/app/3052450/Morimens/</t>
  </si>
  <si>
    <t>Morsels</t>
  </si>
  <si>
    <t>morsels</t>
  </si>
  <si>
    <t>Mortal Sin</t>
  </si>
  <si>
    <t>mortal-sin</t>
  </si>
  <si>
    <t>C:\Users\Owner\Documents\Roguelike Roguelike\Roguelikes\Mortal Sin.url</t>
  </si>
  <si>
    <t>https://store.steampowered.com/app/1494810/Mortal_Sin/</t>
  </si>
  <si>
    <t>Mothergunship</t>
  </si>
  <si>
    <t>mothergunship</t>
  </si>
  <si>
    <t>C:\Users\Owner\Documents\Roguelike Roguelike\Roguelikes\MOTHERGUNSHIP.url</t>
  </si>
  <si>
    <t>https://store.steampowered.com/app/574090/MOTHERGUNSHIP/</t>
  </si>
  <si>
    <t>Mothergunship: Forge</t>
  </si>
  <si>
    <t>mothergunship-forge</t>
  </si>
  <si>
    <t>C:\Users\Owner\Documents\Roguelike Roguelike\Roguelikes\MOTHERGUNSHIP FORGE.url</t>
  </si>
  <si>
    <t>https://store.steampowered.com/app/1931240/MOTHERGUNSHIP_FORGE/</t>
  </si>
  <si>
    <t>Motto!? Fushigi no Gensoukyou: Under the Moonlight</t>
  </si>
  <si>
    <t>motto-fushigi-no-gensoukyou-under-the-moon</t>
  </si>
  <si>
    <t>Mr. Sun's Hatbox</t>
  </si>
  <si>
    <t>mr-suns-hatbox</t>
  </si>
  <si>
    <t>C:\Users\Owner\Documents\Roguelike Roguelike\Roguelikes\Mr. Sun's Hatbox.url</t>
  </si>
  <si>
    <t>https://store.steampowered.com/app/1214670/Mr_Suns_Hatbox/</t>
  </si>
  <si>
    <t>Muck</t>
  </si>
  <si>
    <t>muck</t>
  </si>
  <si>
    <t>C:\Users\Owner\Documents\Roguelike Roguelike\Roguelikes\Muck.url</t>
  </si>
  <si>
    <t>https://store.steampowered.com/app/1625450/Muck/</t>
  </si>
  <si>
    <t>My Card Is Better Than Your Card!</t>
  </si>
  <si>
    <t>my-card-is-better-than-your-card</t>
  </si>
  <si>
    <t>Mystery Chronicle: One Way Heroics</t>
  </si>
  <si>
    <t>mystery-chronicle-one-way-heroics</t>
  </si>
  <si>
    <t>https://store.steampowered.com/app/409000/Mystery_Chronicle_One_Way_Heroics/</t>
  </si>
  <si>
    <t>Mystery Dungeon 2: Shiren the Wanderer</t>
  </si>
  <si>
    <t>mystery-dungeon-2-shiren-the-wanderer</t>
  </si>
  <si>
    <t>C:\Users\Owner\Documents\Roguelike Roguelike\Roguelikes\Mystery Dungeon 2 Shiren the Wanderer.lnk</t>
  </si>
  <si>
    <t>Mythical Concept Starnaut</t>
  </si>
  <si>
    <t>mythical-concept-starnaut</t>
  </si>
  <si>
    <t>C:\Users\Owner\Documents\Roguelike Roguelike\Roguelikes\Mythical Concept STARNAUT.url</t>
  </si>
  <si>
    <t>https://store.steampowered.com/app/2508940/Mythical_Concept_STARNAUT/</t>
  </si>
  <si>
    <t>Nadir</t>
  </si>
  <si>
    <t>nadir</t>
  </si>
  <si>
    <t>https://store.steampowered.com/app/1535100/Nadir_A_Grimdark_Deckbuilder/</t>
  </si>
  <si>
    <t>NecroBouncer</t>
  </si>
  <si>
    <t>necrobouncer</t>
  </si>
  <si>
    <t>C:\Users\Owner\Documents\Roguelike Roguelike\Roguelikes\NecroBouncer.url</t>
  </si>
  <si>
    <t>https://store.steampowered.com/app/1786830/NecroBouncer/</t>
  </si>
  <si>
    <t>Necroking</t>
  </si>
  <si>
    <t>necroking</t>
  </si>
  <si>
    <t>C:\Users\Owner\Documents\Roguelike Roguelike\Roguelikes\Necroking.url</t>
  </si>
  <si>
    <t>https://store.steampowered.com/app/2852980/Necroking/</t>
  </si>
  <si>
    <t>Necrosmith</t>
  </si>
  <si>
    <t>necrosmith</t>
  </si>
  <si>
    <t>C:\Users\Owner\Documents\Roguelike Roguelike\Roguelikes\Necrosmith.url</t>
  </si>
  <si>
    <t>https://store.steampowered.com/app/1949190/Necrosmith/</t>
  </si>
  <si>
    <t>Necrosmith 2</t>
  </si>
  <si>
    <t>necrosmith-2</t>
  </si>
  <si>
    <t>C:\Users\Owner\Documents\Roguelike Roguelike\Roguelikes\Necrosmith 2.url</t>
  </si>
  <si>
    <t>https://store.steampowered.com/app/2277320/Necrosmith_2/</t>
  </si>
  <si>
    <t>Neon Abyss</t>
  </si>
  <si>
    <t>neon-abyss</t>
  </si>
  <si>
    <t>C:\Users\Owner\Documents\Roguelike Roguelike\Roguelikes\Neon Abyss.url</t>
  </si>
  <si>
    <t>https://store.steampowered.com/app/788100/Neon_Abyss/</t>
  </si>
  <si>
    <t>Neon Abyss 2</t>
  </si>
  <si>
    <t>neon-abyss-2</t>
  </si>
  <si>
    <t>Neophyte</t>
  </si>
  <si>
    <t>neophyte</t>
  </si>
  <si>
    <t>NetHack</t>
  </si>
  <si>
    <t>nethack</t>
  </si>
  <si>
    <t>C:\Users\Owner\Documents\Roguelike Roguelike\Roguelikes\NetHackW.lnk</t>
  </si>
  <si>
    <t>Netherworld Covenant</t>
  </si>
  <si>
    <t>netherworld-covenant</t>
  </si>
  <si>
    <t>https://store.steampowered.com/app/2735580/Netherworld_Covenant/</t>
  </si>
  <si>
    <t>Nigate Tale</t>
  </si>
  <si>
    <t>nigate-tale</t>
  </si>
  <si>
    <t>https://store.steampowered.com/app/1048350/Nigate_Tale/</t>
  </si>
  <si>
    <t>Night Swarm</t>
  </si>
  <si>
    <t>vampire</t>
  </si>
  <si>
    <t>night-swarm</t>
  </si>
  <si>
    <t>C:\Users\Owner\Documents\Roguelike Roguelike\Roguelikes\Night Swarm.url</t>
  </si>
  <si>
    <t>https://store.steampowered.com/app/3668370/Night_Swarm/</t>
  </si>
  <si>
    <t>Nimrods</t>
  </si>
  <si>
    <t>nimrods</t>
  </si>
  <si>
    <t>Node Crown</t>
  </si>
  <si>
    <t>node-crown</t>
  </si>
  <si>
    <t>Node Farm</t>
  </si>
  <si>
    <t>node-farm</t>
  </si>
  <si>
    <t>C:\Users\Owner\Documents\Roguelike Roguelike\Roguelikes\Node Farm.url</t>
  </si>
  <si>
    <t>https://store.steampowered.com/app/2738990/Node_Farm/</t>
  </si>
  <si>
    <t>Noita</t>
  </si>
  <si>
    <t>noita</t>
  </si>
  <si>
    <t>C:\Users\Owner\Documents\Roguelike Roguelike\Roguelikes\Noita.url</t>
  </si>
  <si>
    <t>https://store.steampowered.com/app/881100/Noita/</t>
  </si>
  <si>
    <t>Nomad Survival</t>
  </si>
  <si>
    <t>nomad-survival</t>
  </si>
  <si>
    <t>C:\Users\Owner\Documents\Roguelike Roguelike\Roguelikes\Nomad Survival.url</t>
  </si>
  <si>
    <t>https://store.steampowered.com/app/1929870/Nomad_Survival/</t>
  </si>
  <si>
    <t>Noobs Are Coming</t>
  </si>
  <si>
    <t>noobs-are-coming</t>
  </si>
  <si>
    <t>C:\Users\Owner\Documents\Roguelike Roguelike\Roguelikes\Noobs Are Coming.url</t>
  </si>
  <si>
    <t>https://store.steampowered.com/app/2225960/Noobs_Are_Coming/</t>
  </si>
  <si>
    <t>Noobs Want to Live</t>
  </si>
  <si>
    <t>noobs-want-to-live</t>
  </si>
  <si>
    <t>C:\Users\Owner\Documents\Roguelike Roguelike\Roguelikes\通神榜 Noobs Want to Live.url</t>
  </si>
  <si>
    <t>https://store.steampowered.com/app/1737340/Noobs_Want_to_Live/</t>
  </si>
  <si>
    <t>Nordhold</t>
  </si>
  <si>
    <t>nordhold</t>
  </si>
  <si>
    <t>C:\Users\Owner\Documents\Roguelike Roguelike\Roguelikes\Nordhold.url</t>
  </si>
  <si>
    <t>https://store.steampowered.com/app/3028310/Nordhold/</t>
  </si>
  <si>
    <t>Nordic Ashes: Survivors of Ragnarok</t>
  </si>
  <si>
    <t>nordic-ashes-survivors-of-ragnarok</t>
  </si>
  <si>
    <t>C:\Users\Owner\Documents\Roguelike Roguelike\Roguelikes\Nordic Ashes.url</t>
  </si>
  <si>
    <t>https://store.steampowered.com/app/2068280/Nordic_Ashes_Survivors_of_Ragnarok/</t>
  </si>
  <si>
    <t>No-Skin</t>
  </si>
  <si>
    <t>no-skin</t>
  </si>
  <si>
    <t>Nova Drift</t>
  </si>
  <si>
    <t>nova-drift</t>
  </si>
  <si>
    <t>C:\Users\Owner\Documents\Roguelike Roguelike\Roguelikes\Nova Drift.url</t>
  </si>
  <si>
    <t>https://store.steampowered.com/app/858210/Nova_Drift/</t>
  </si>
  <si>
    <t>Nowhere Prophet</t>
  </si>
  <si>
    <t>nowhere-prophet</t>
  </si>
  <si>
    <t>C:\Users\Owner\Documents\Roguelike Roguelike\Roguelikes\Nowhere Prophet.url</t>
  </si>
  <si>
    <t>https://store.steampowered.com/app/681730/Nowhere_Prophet/</t>
  </si>
  <si>
    <t>Nubby's Number Factory</t>
  </si>
  <si>
    <t>nubbys-number-factory</t>
  </si>
  <si>
    <t>C:\Users\Owner\Documents\Roguelike Roguelike\Roguelikes\Nubby's Number Factory.url</t>
  </si>
  <si>
    <t>https://store.steampowered.com/app/3191030/Nubbys_Number_Factory/</t>
  </si>
  <si>
    <t>Nuclear Throne</t>
  </si>
  <si>
    <t>nuclear-throne</t>
  </si>
  <si>
    <t>C:\Users\Owner\Documents\Roguelike Roguelike\Roguelikes\Nuclear Throne.url</t>
  </si>
  <si>
    <t>https://store.steampowered.com/app/242680/Nuclear_Throne/</t>
  </si>
  <si>
    <t>Nunholy</t>
  </si>
  <si>
    <t>nunholy</t>
  </si>
  <si>
    <t>C:\Users\Owner\Documents\Roguelike Roguelike\Roguelikes\Nunholy.url</t>
  </si>
  <si>
    <t>https://store.steampowered.com/app/2854740/Nunholy/</t>
  </si>
  <si>
    <t>Oaken Tower</t>
  </si>
  <si>
    <t>oaken-tower</t>
  </si>
  <si>
    <t>Oblivion Override</t>
  </si>
  <si>
    <t>oblivion-override</t>
  </si>
  <si>
    <t>Obsidian Prince</t>
  </si>
  <si>
    <t>obsidian-prince</t>
  </si>
  <si>
    <t>C:\Users\Owner\Documents\Roguelike Roguelike\Roguelikes\Obsidian Prince.url</t>
  </si>
  <si>
    <t>https://store.steampowered.com/app/1373260/Obsidian_Prince/</t>
  </si>
  <si>
    <t>Octogeddon</t>
  </si>
  <si>
    <t>octogeddon</t>
  </si>
  <si>
    <t>C:\Users\Owner\Documents\Roguelike Roguelike\Roguelikes\Octogeddon.url</t>
  </si>
  <si>
    <t>https://store.steampowered.com/app/525620/Octogeddon/</t>
  </si>
  <si>
    <t>Oddcore</t>
  </si>
  <si>
    <t>oddcore</t>
  </si>
  <si>
    <t>Odinfall</t>
  </si>
  <si>
    <t>odinfall</t>
  </si>
  <si>
    <t>Ogre Chambers 2222</t>
  </si>
  <si>
    <t>ogre-chambers-2222</t>
  </si>
  <si>
    <t>https://store.steampowered.com/app/3375890/Ogre_Chambers_2222/</t>
  </si>
  <si>
    <t>Omega</t>
  </si>
  <si>
    <t>omega</t>
  </si>
  <si>
    <t>C:\Users\Owner\Documents\Roguelike Roguelike\Roguelikes\Omega.lnk</t>
  </si>
  <si>
    <t>Omega Labyrinth</t>
  </si>
  <si>
    <t>omega-labyrinth</t>
  </si>
  <si>
    <t>Omega Labyrinth Life</t>
  </si>
  <si>
    <t>omega-labyrinth-life</t>
  </si>
  <si>
    <t>C:\Users\Owner\Documents\Roguelike Roguelike\Roguelikes\Omega Labyrinth Life.url</t>
  </si>
  <si>
    <t>https://store.steampowered.com/app/1163600/Omega_Labyrinth_Life/</t>
  </si>
  <si>
    <t>Omega Labyrinth Z</t>
  </si>
  <si>
    <t>omega-labyrinth-z</t>
  </si>
  <si>
    <t>Omelet You Cook</t>
  </si>
  <si>
    <t>omelet-you-cook</t>
  </si>
  <si>
    <t>One Step From Eden</t>
  </si>
  <si>
    <t>one-step-from-eden</t>
  </si>
  <si>
    <t>C:\Users\Owner\Documents\Roguelike Roguelike\Roguelikes\One Step From Eden.url</t>
  </si>
  <si>
    <t>https://store.steampowered.com/app/960690/One_Step_From_Eden/</t>
  </si>
  <si>
    <t>One Way Heroics</t>
  </si>
  <si>
    <t>one-way-heroics</t>
  </si>
  <si>
    <t>C:\Users\Owner\Documents\Roguelike Roguelike\Roguelikes\One Way Heroics.url</t>
  </si>
  <si>
    <t>https://store.steampowered.com/app/266210/One_Way_Heroics/</t>
  </si>
  <si>
    <t>OneBit Adventure</t>
  </si>
  <si>
    <t>onebit-adventure</t>
  </si>
  <si>
    <t>C:\Users\Owner\Documents\Roguelike Roguelike\Roguelikes\OneBit Adventure.url</t>
  </si>
  <si>
    <t>https://store.steampowered.com/app/1688320/OneBit_Adventure/</t>
  </si>
  <si>
    <t>OTXO</t>
  </si>
  <si>
    <t>otxo</t>
  </si>
  <si>
    <t>C:\Users\Owner\Documents\Roguelike Roguelike\Roguelikes\OTXO.url</t>
  </si>
  <si>
    <t>https://store.steampowered.com/app/1608640/OTXO/</t>
  </si>
  <si>
    <t>Our Darker Purpose</t>
  </si>
  <si>
    <t>our-darker-purpose</t>
  </si>
  <si>
    <t>https://store.steampowered.com/app/262790/Our_Darker_Purpose/</t>
  </si>
  <si>
    <t>Overlooting</t>
  </si>
  <si>
    <t>overlooting</t>
  </si>
  <si>
    <t>C:\Users\Owner\Documents\Roguelike Roguelike\Roguelikes\Overlooting.url</t>
  </si>
  <si>
    <t>https://store.steampowered.com/app/3410180/Overlooting/</t>
  </si>
  <si>
    <t>Overworld</t>
  </si>
  <si>
    <t>overworld</t>
  </si>
  <si>
    <t>C:\Users\Owner\Documents\Roguelike Roguelike\Roguelikes\Overworld.lnk</t>
  </si>
  <si>
    <t>Pairs &amp; Perils</t>
  </si>
  <si>
    <t>pairs-perils</t>
  </si>
  <si>
    <t>C:\Users\Owner\Documents\Roguelike Roguelike\Roguelikes\Pairs &amp; Perils.url</t>
  </si>
  <si>
    <t>https://store.steampowered.com/app/3179860/Pairs__Perils/</t>
  </si>
  <si>
    <t>Paper Animal Adventure</t>
  </si>
  <si>
    <t>paper-animal-adventure</t>
  </si>
  <si>
    <t>Paper Planet</t>
  </si>
  <si>
    <t>paper-planet</t>
  </si>
  <si>
    <t>C:\Users\Owner\Documents\Roguelike Roguelike\Roguelikes\Paper Planet.url</t>
  </si>
  <si>
    <t>https://store.steampowered.com/app/1504250/Paper_Planet/</t>
  </si>
  <si>
    <t>Passant: A Chess Roguelike</t>
  </si>
  <si>
    <t>passant-a-chess-roguelike</t>
  </si>
  <si>
    <t>Patch Quest</t>
  </si>
  <si>
    <t>patch-quest</t>
  </si>
  <si>
    <t>C:\Users\Owner\Documents\Roguelike Roguelike\Roguelikes\Patch Quest.url</t>
  </si>
  <si>
    <t>https://store.steampowered.com/app/1347970/Patch_Quest/</t>
  </si>
  <si>
    <t>Path of Achra</t>
  </si>
  <si>
    <t>path-of-achra</t>
  </si>
  <si>
    <t>C:\Users\Owner\Documents\Roguelike Roguelike\Roguelikes\Path of Achra.url</t>
  </si>
  <si>
    <t>https://store.steampowered.com/app/2128270/Path_of_Achra/</t>
  </si>
  <si>
    <t>Pathogenic</t>
  </si>
  <si>
    <t>pathogenic</t>
  </si>
  <si>
    <t>https://store.steampowered.com/app/3808690/Pathogenic/</t>
  </si>
  <si>
    <t>Pathos: Nethack Codex</t>
  </si>
  <si>
    <t>pathos-nethack-codex</t>
  </si>
  <si>
    <t>C:\Users\Owner\Documents\Roguelike Roguelike\Roguelikes\Pathos Nethack Codex.lnk</t>
  </si>
  <si>
    <t>Pawnbarian</t>
  </si>
  <si>
    <t>pawnbarian</t>
  </si>
  <si>
    <t>C:\Users\Owner\Documents\Roguelike Roguelike\Roguelikes\Pawnbarian.url</t>
  </si>
  <si>
    <t>https://store.steampowered.com/app/1142080/Pawnbarian/</t>
  </si>
  <si>
    <t>Peglin</t>
  </si>
  <si>
    <t>peglin</t>
  </si>
  <si>
    <t>C:\Users\Owner\Documents\Roguelike Roguelike\Roguelikes\Peglin.url</t>
  </si>
  <si>
    <t>https://store.steampowered.com/app/1296610/Peglin/</t>
  </si>
  <si>
    <t>Pegs X Stickers</t>
  </si>
  <si>
    <t>pegs-x-stickers</t>
  </si>
  <si>
    <t>https://store.steampowered.com/app/4403010/Pegs_X_Stickers/</t>
  </si>
  <si>
    <t>Pesticide Not Required</t>
  </si>
  <si>
    <t>pesticide-not-required</t>
  </si>
  <si>
    <t>C:\Users\Owner\Documents\Roguelike Roguelike\Roguelikes\Pesticide Not Required.url</t>
  </si>
  <si>
    <t>https://store.steampowered.com/app/2479320/Pesticide_Not_Required/</t>
  </si>
  <si>
    <t>Picayune Dreams</t>
  </si>
  <si>
    <t>picayune-dreams</t>
  </si>
  <si>
    <t>C:\Users\Owner\Documents\Roguelike Roguelike\Roguelikes\Picayune Dreams.url</t>
  </si>
  <si>
    <t>https://store.steampowered.com/app/2088840/Picayune_Dreams/</t>
  </si>
  <si>
    <t>Pip My Dice</t>
  </si>
  <si>
    <t>pip-my-dice</t>
  </si>
  <si>
    <t>C:\Users\Owner\Documents\Roguelike Roguelike\Roguelikes\Pip My Dice.url</t>
  </si>
  <si>
    <t>https://store.steampowered.com/app/2797650/Pip_My_Dice/</t>
  </si>
  <si>
    <t>Pixel Dungeon</t>
  </si>
  <si>
    <t>pixel-dungeon</t>
  </si>
  <si>
    <t>https://store.steampowered.com/app/365900/Pixel_Dungeon/</t>
  </si>
  <si>
    <t>PlateUp!</t>
  </si>
  <si>
    <t>plateup</t>
  </si>
  <si>
    <t>C:\Users\Owner\Documents\Roguelike Roguelike\Roguelikes\PlateUp!.url</t>
  </si>
  <si>
    <t>https://store.steampowered.com/app/1599600/PlateUp/</t>
  </si>
  <si>
    <t>Plinbo</t>
  </si>
  <si>
    <t>plinbo</t>
  </si>
  <si>
    <t>https://store.steampowered.com/app/3948580/Plinbo_Roguelike_Plinko/</t>
  </si>
  <si>
    <t>Plinko Panic!</t>
  </si>
  <si>
    <t>plinko-panic</t>
  </si>
  <si>
    <t>Pluto</t>
  </si>
  <si>
    <t>pluto</t>
  </si>
  <si>
    <t>Pocket Crystal League</t>
  </si>
  <si>
    <t>pokémon</t>
  </si>
  <si>
    <t>pocket-crystal-league</t>
  </si>
  <si>
    <t>C:\Users\Owner\Documents\Roguelike Roguelike\Roguelikes\PocketCrystalLeague.lnk</t>
  </si>
  <si>
    <t>Pogo Rogue</t>
  </si>
  <si>
    <t>pogo-rogue</t>
  </si>
  <si>
    <t>C:\Users\Owner\Documents\Roguelike Roguelike\Roguelikes\Pogo Rogue.url</t>
  </si>
  <si>
    <t>https://store.steampowered.com/app/2870280/Pogo_Rogue/</t>
  </si>
  <si>
    <t>Pokelike</t>
  </si>
  <si>
    <t>pokelike</t>
  </si>
  <si>
    <t>C:\Users\Owner\Documents\Roguelike Roguelike\Roguelikes\Pokelike.url</t>
  </si>
  <si>
    <t>Pokémon Auto Chess</t>
  </si>
  <si>
    <t>pokemon-auto-chess</t>
  </si>
  <si>
    <t>C:\Users\Owner\Documents\Roguelike Roguelike\Roguelikes\Pokemon- Auto Chess.url</t>
  </si>
  <si>
    <t>Pokémon Auto Spire</t>
  </si>
  <si>
    <t>pokemon-auto-spire</t>
  </si>
  <si>
    <t>C:\Users\Owner\Documents\Roguelike Roguelike\Roguelikes\Pokemon- Auto Spire.url</t>
  </si>
  <si>
    <t>Pokémon Mystery Dungeon: Explorers of Sky</t>
  </si>
  <si>
    <t>pokemon-mystery-dungeon-explorers-of-sky</t>
  </si>
  <si>
    <t>C:\Users\Owner\Documents\Roguelike Roguelike\Roguelikes\Pokémon Mystery Dungeon Explorers of Sky.lnk</t>
  </si>
  <si>
    <t>Pokémon Mystery Dungeon: Explorers of Time and Explorers of Darkness</t>
  </si>
  <si>
    <t>pokemon-mystery-dungeon-explorers-of-time-and-explorers-of-darkness</t>
  </si>
  <si>
    <t>C:\Users\Owner\Documents\Roguelike Roguelike\Roguelikes\Pokémon Mystery Dungeon Explorers of Time and Explorers of Darkness.lnk</t>
  </si>
  <si>
    <t>Pokémon Mystery Dungeon: Gates to Infinity</t>
  </si>
  <si>
    <t>pokemon-mystery-dungeon-gates-to-infinity</t>
  </si>
  <si>
    <t>Pokémon Mystery Dungeon: Red and Blue Rescue Team</t>
  </si>
  <si>
    <t>pokemon-mystery-dungeon-red-and-blue-rescue-team</t>
  </si>
  <si>
    <t>C:\Users\Owner\Documents\Roguelike Roguelike\Roguelikes\Pokémon Mystery Dungeon Red and Blue Rescue Team.lnk</t>
  </si>
  <si>
    <t>Pokémon Mystery Dungeon: Rescue Team DX</t>
  </si>
  <si>
    <t>pokemon-mystery-dungeon-rescue-team-dx</t>
  </si>
  <si>
    <t>Pokémon Super Mystery Dungeon</t>
  </si>
  <si>
    <t>pokemon-super-mystery-dungeon</t>
  </si>
  <si>
    <t>PokéRogue</t>
  </si>
  <si>
    <t>pokerogue</t>
  </si>
  <si>
    <t>PokeVoid</t>
  </si>
  <si>
    <t>pokevoid</t>
  </si>
  <si>
    <t>C:\Users\Owner\Documents\Roguelike Roguelike\Roguelikes\PokéVoid.url</t>
  </si>
  <si>
    <t>Popup Dungeon</t>
  </si>
  <si>
    <t>popup-dungeon</t>
  </si>
  <si>
    <t>Powder</t>
  </si>
  <si>
    <t>powder</t>
  </si>
  <si>
    <t>C:\Users\Owner\Documents\Roguelike Roguelike\Roguelikes\powder.lnk</t>
  </si>
  <si>
    <t>Primordialis</t>
  </si>
  <si>
    <t>primordialis</t>
  </si>
  <si>
    <t>Pronoun Palace</t>
  </si>
  <si>
    <t>pronoun-palace</t>
  </si>
  <si>
    <t>https://store.steampowered.com/app/3618850/Pronoun_Palace/</t>
  </si>
  <si>
    <t>Putrid Shot Ultra</t>
  </si>
  <si>
    <t>putrid-shot-ultra</t>
  </si>
  <si>
    <t>C:\Users\Owner\Documents\Roguelike Roguelike\Roguelikes\PUTRID SHOT ULTRA.url</t>
  </si>
  <si>
    <t>https://store.steampowered.com/app/2053360/PUTRID_SHOT_ULTRA/</t>
  </si>
  <si>
    <t>Quasimorph</t>
  </si>
  <si>
    <t>quasimorph</t>
  </si>
  <si>
    <t>C:\Users\Owner\Documents\Roguelike Roguelike\Roguelikes\Quasimorph.url</t>
  </si>
  <si>
    <t>https://store.steampowered.com/app/2059170/Quasimorph/</t>
  </si>
  <si>
    <t>Quest of Dungeons</t>
  </si>
  <si>
    <t>quest-of-dungeons</t>
  </si>
  <si>
    <t>C:\Users\Owner\Documents\Roguelike Roguelike\Roguelikes\Quest of Dungeons.url</t>
  </si>
  <si>
    <t>https://store.steampowered.com/app/270050/Quest_of_Dungeons/</t>
  </si>
  <si>
    <t>Rabbit and Steel</t>
  </si>
  <si>
    <t>rabbit-and-steel</t>
  </si>
  <si>
    <t>Raccoin: Coin Pusher Roguelike</t>
  </si>
  <si>
    <t>raccoin-coin-pusher-roguelike</t>
  </si>
  <si>
    <t>C:\Users\Owner\Documents\Roguelike Roguelike\Roguelikes\RACCOIN Coin Pusher Roguelike.url</t>
  </si>
  <si>
    <t>https://store.steampowered.com/app/3784030/RACCOIN_Coin_Pusher_Roguelike/</t>
  </si>
  <si>
    <t>Rack and Slay</t>
  </si>
  <si>
    <t>rack-and-slay</t>
  </si>
  <si>
    <t>C:\Users\Owner\Documents\Roguelike Roguelike\Roguelikes\Rack and Slay.url</t>
  </si>
  <si>
    <t>https://store.steampowered.com/app/2311990/Rack_and_Slay/</t>
  </si>
  <si>
    <t>Ragnarok</t>
  </si>
  <si>
    <t>ragnarok</t>
  </si>
  <si>
    <t>C:\Users\Owner\Documents\Roguelike Roguelike\Roguelikes\Ragnarok.lnk</t>
  </si>
  <si>
    <t>RAM: Random Access Mayhem</t>
  </si>
  <si>
    <t>ram-random-access-mayhem</t>
  </si>
  <si>
    <t>Rampage Knights</t>
  </si>
  <si>
    <t>rampage-knights</t>
  </si>
  <si>
    <t>https://store.steampowered.com/app/314410/Rampage_Knights/</t>
  </si>
  <si>
    <t>Ratropolis</t>
  </si>
  <si>
    <t>ratropolis</t>
  </si>
  <si>
    <t>C:\Users\Owner\Documents\Roguelike Roguelike\Roguelikes\Ratropolis.url</t>
  </si>
  <si>
    <t>https://store.steampowered.com/app/1108370/Ratropolis/</t>
  </si>
  <si>
    <t>Ravenswatch</t>
  </si>
  <si>
    <t>ravenswatch</t>
  </si>
  <si>
    <t>C:\Users\Owner\Documents\Roguelike Roguelike\Roguelikes\Ravenswatch.url</t>
  </si>
  <si>
    <t>https://store.steampowered.com/app/2071280/Ravenswatch/</t>
  </si>
  <si>
    <t>Reality Break</t>
  </si>
  <si>
    <t>reality-break</t>
  </si>
  <si>
    <t>Realm of Ink</t>
  </si>
  <si>
    <t>realm-of-ink</t>
  </si>
  <si>
    <t>Realm of the Mad God</t>
  </si>
  <si>
    <t>realm-of-the-mad-god</t>
  </si>
  <si>
    <t>C:\Users\Owner\Documents\Roguelike Roguelike\Roguelikes\Realm of the Mad God Exalt.url</t>
  </si>
  <si>
    <t>https://store.steampowered.com/app/200210/Realm_of_the_Mad_God_Exalt/</t>
  </si>
  <si>
    <t>Red Rogue</t>
  </si>
  <si>
    <t>red-rogue</t>
  </si>
  <si>
    <t>C:\Users\Owner\Documents\Roguelike Roguelike\Roguelikes\redrogue.lnk</t>
  </si>
  <si>
    <t>Renowned Explorers: International Society</t>
  </si>
  <si>
    <t>renowned-explorers-international-society</t>
  </si>
  <si>
    <t>C:\Users\Owner\Documents\Roguelike Roguelike\Roguelikes\Renowned Explorers International Society.url</t>
  </si>
  <si>
    <t>https://store.steampowered.com/app/296970/Renowned_Explorers_International_Society/</t>
  </si>
  <si>
    <t>Repetendium</t>
  </si>
  <si>
    <t>repetendium</t>
  </si>
  <si>
    <t>C:\Users\Owner\Documents\Roguelike Roguelike\Roguelikes\Repetendium.url</t>
  </si>
  <si>
    <t>https://store.steampowered.com/app/2055500/Repetendium/</t>
  </si>
  <si>
    <t>Replicat</t>
  </si>
  <si>
    <t>replicat</t>
  </si>
  <si>
    <t>https://store.steampowered.com/app/3509430/Replicat/?curator_clanid=45876201</t>
  </si>
  <si>
    <t>Return to Abyss</t>
  </si>
  <si>
    <t>return-to-abyss</t>
  </si>
  <si>
    <t>C:\Users\Owner\Documents\Roguelike Roguelike\Roguelikes\Return to abyss 重返深渊.url</t>
  </si>
  <si>
    <t>https://store.steampowered.com/app/2185780/Return_to_abyss/</t>
  </si>
  <si>
    <t>Returnal</t>
  </si>
  <si>
    <t>returnal</t>
  </si>
  <si>
    <t>C:\Users\Owner\Documents\Roguelike Roguelike\Roguelikes\Returnal™.url</t>
  </si>
  <si>
    <t>https://store.steampowered.com/app/1649240/Returnal/</t>
  </si>
  <si>
    <t>Revita</t>
  </si>
  <si>
    <t>revita</t>
  </si>
  <si>
    <t>C:\Users\Owner\Documents\Roguelike Roguelike\Roguelikes\Revita.url</t>
  </si>
  <si>
    <t>https://store.steampowered.com/app/1175460/Revita/</t>
  </si>
  <si>
    <t>Rhythm Witch: Beat Death</t>
  </si>
  <si>
    <t>rhythm-witch-beat-death</t>
  </si>
  <si>
    <t>C:\Users\Owner\Documents\Roguelike Roguelike\Roguelikes\Rhythm Witch Beat Death.url</t>
  </si>
  <si>
    <t>https://store.steampowered.com/app/2951580/Rhythm_Witch_Beat_Death/</t>
  </si>
  <si>
    <t>Rift Wizard</t>
  </si>
  <si>
    <t>rift-wizard</t>
  </si>
  <si>
    <t>C:\Users\Owner\Documents\Roguelike Roguelike\Roguelikes\Rift Wizard.url</t>
  </si>
  <si>
    <t>https://store.steampowered.com/app/1271280/Rift_Wizard/</t>
  </si>
  <si>
    <t>Rift Wizard 2</t>
  </si>
  <si>
    <t>rift-wizard-2</t>
  </si>
  <si>
    <t>C:\Users\Owner\Documents\Roguelike Roguelike\Roguelikes\Rift Wizard 2.url</t>
  </si>
  <si>
    <t>https://store.steampowered.com/app/2058570/Rift_Wizard_2/</t>
  </si>
  <si>
    <t>Rift Wizard 3</t>
  </si>
  <si>
    <t>rift-wizard-3</t>
  </si>
  <si>
    <t>https://store.steampowered.com/app/4366330/Rift_Wizard_3/</t>
  </si>
  <si>
    <t>Right and Down</t>
  </si>
  <si>
    <t>right-and-down</t>
  </si>
  <si>
    <t>C:\Users\Owner\Documents\Roguelike Roguelike\Roguelikes\Right and Down.url</t>
  </si>
  <si>
    <t>https://store.steampowered.com/app/2008050/Right_and_Down/</t>
  </si>
  <si>
    <t>Ring of Pain</t>
  </si>
  <si>
    <t>ring-of-pain</t>
  </si>
  <si>
    <t>C:\Users\Owner\Documents\Roguelike Roguelike\Roguelikes\Ring of Pain.url</t>
  </si>
  <si>
    <t>https://store.steampowered.com/app/998740/Ring_of_Pain/</t>
  </si>
  <si>
    <t>Ringer</t>
  </si>
  <si>
    <t>ringer</t>
  </si>
  <si>
    <t>C:\Users\Owner\Documents\Roguelike Roguelike\Roguelikes\Ringer.url</t>
  </si>
  <si>
    <t>https://store.steampowered.com/app/3308190/Ringer/</t>
  </si>
  <si>
    <t>Riptale</t>
  </si>
  <si>
    <t>riptale</t>
  </si>
  <si>
    <t>Risk of Rain</t>
  </si>
  <si>
    <t>risk-of-rain</t>
  </si>
  <si>
    <t>C:\Users\Owner\Documents\Roguelike Roguelike\Roguelikes\Risk of Rain (2013).url</t>
  </si>
  <si>
    <t>https://store.steampowered.com/app/248820/Risk_of_Rain_2013/</t>
  </si>
  <si>
    <t>Risk of Rain 2</t>
  </si>
  <si>
    <t>risk-of-rain-2</t>
  </si>
  <si>
    <t>C:\Users\Owner\Documents\Roguelike Roguelike\Roguelikes\Risk of Rain 2.url</t>
  </si>
  <si>
    <t>https://store.steampowered.com/app/632360/Risk_of_Rain_2/</t>
  </si>
  <si>
    <t>Risk of Rain Returns</t>
  </si>
  <si>
    <t>risk-of-rain-returns</t>
  </si>
  <si>
    <t>C:\Users\Owner\Documents\Roguelike Roguelike\Roguelikes\Risk of Rain Returns.url</t>
  </si>
  <si>
    <t>https://store.steampowered.com/app/1337520/Risk_of_Rain_Returns/</t>
  </si>
  <si>
    <t>Road Not Taken</t>
  </si>
  <si>
    <t>road-not-taken</t>
  </si>
  <si>
    <t>Roboquest</t>
  </si>
  <si>
    <t>roboquest</t>
  </si>
  <si>
    <t>C:\Users\Owner\Documents\Roguelike Roguelike\Roguelikes\Roboquest.url</t>
  </si>
  <si>
    <t>https://store.steampowered.com/app/692890/Roboquest/</t>
  </si>
  <si>
    <t>Rocket Rats</t>
  </si>
  <si>
    <t>rocket-rats</t>
  </si>
  <si>
    <t>C:\Users\Owner\Documents\Roguelike Roguelike\Roguelikes\Rocket Rats.url</t>
  </si>
  <si>
    <t>https://store.steampowered.com/app/3069810/Rocket_Rats/</t>
  </si>
  <si>
    <t>Rogue</t>
  </si>
  <si>
    <t>rogue</t>
  </si>
  <si>
    <t>"C:\Users\Owner\Documents\Roguelike Roguelike\Roguelikes\Rogue.url"</t>
  </si>
  <si>
    <t>https://store.steampowered.com/app/1443430/Rogue/</t>
  </si>
  <si>
    <t>Rogue Command</t>
  </si>
  <si>
    <t>rogue-command</t>
  </si>
  <si>
    <t>Rogue Empire</t>
  </si>
  <si>
    <t>rogue-empire</t>
  </si>
  <si>
    <t>Rogue Factory</t>
  </si>
  <si>
    <t>rogue-factory</t>
  </si>
  <si>
    <t>Rogue Flight</t>
  </si>
  <si>
    <t>rogue-flight</t>
  </si>
  <si>
    <t>Rogue Hearts Dungeon</t>
  </si>
  <si>
    <t>rogue-hearts-dungeon</t>
  </si>
  <si>
    <t>C:\Users\Owner\Documents\Roguelike Roguelike\Roguelikes\Rogue Hearts Dungeon.lnk</t>
  </si>
  <si>
    <t>Rogue Heroes: Ruins of Tasos</t>
  </si>
  <si>
    <t>rogue-heroes-ruins-of-tasos</t>
  </si>
  <si>
    <t>C:\Users\Owner\Documents\Roguelike Roguelike\Roguelikes\Rogue Heroes Ruins of Tasos.url</t>
  </si>
  <si>
    <t>https://store.steampowered.com/app/787810/Rogue_Heroes_Ruins_of_Tasos/</t>
  </si>
  <si>
    <t>Rogue Legacy</t>
  </si>
  <si>
    <t>rogue-legacy</t>
  </si>
  <si>
    <t>C:\Users\Owner\Documents\Roguelike Roguelike\Roguelikes\Rogue Legacy.url</t>
  </si>
  <si>
    <t>https://store.steampowered.com/app/241600/Rogue_Legacy/</t>
  </si>
  <si>
    <t>Rogue Legacy 2</t>
  </si>
  <si>
    <t>rogue-legacy-2</t>
  </si>
  <si>
    <t>C:\Users\Owner\Documents\Roguelike Roguelike\Roguelikes\Rogue Legacy 2.url</t>
  </si>
  <si>
    <t>https://store.steampowered.com/app/1253920/Rogue_Legacy_2/</t>
  </si>
  <si>
    <t>Rogue Lords</t>
  </si>
  <si>
    <t>rogue-lords</t>
  </si>
  <si>
    <t>C:\Users\Owner\Documents\Roguelike Roguelike\Roguelikes\Rogue Lords.url</t>
  </si>
  <si>
    <t>https://store.steampowered.com/app/1069690/Rogue_Lords/</t>
  </si>
  <si>
    <t>Rogue Tower</t>
  </si>
  <si>
    <t>rogue-tower</t>
  </si>
  <si>
    <t>Rogue Voltage</t>
  </si>
  <si>
    <t>rogue-voltage</t>
  </si>
  <si>
    <t>https://store.steampowered.com/app/1494560/Rogue_Voltage/</t>
  </si>
  <si>
    <t>Rogue Wizards</t>
  </si>
  <si>
    <t>rogue-wizards</t>
  </si>
  <si>
    <t>Rogue: Genesia</t>
  </si>
  <si>
    <t>rogue-genesia</t>
  </si>
  <si>
    <t>C:\Users\Owner\Documents\Roguelike Roguelike\Roguelikes\Rogue Genesia.url</t>
  </si>
  <si>
    <t>https://store.steampowered.com/app/2067920/Rogue_Genesia/</t>
  </si>
  <si>
    <t>Roguebook</t>
  </si>
  <si>
    <t>roguebook</t>
  </si>
  <si>
    <t>C:\Users\Owner\Documents\Roguelike Roguelike\Roguelikes\Roguebook.url</t>
  </si>
  <si>
    <t>https://store.steampowered.com/app/1076200/Roguebook/</t>
  </si>
  <si>
    <t>Rogue-Fp</t>
  </si>
  <si>
    <t>rogue-fp</t>
  </si>
  <si>
    <t>RogueJack21</t>
  </si>
  <si>
    <t>roguejack21</t>
  </si>
  <si>
    <t>Rogue's Tale</t>
  </si>
  <si>
    <t>rogues-tale</t>
  </si>
  <si>
    <t>https://store.steampowered.com/app/265990/Rogues_Tale/</t>
  </si>
  <si>
    <t>RogueSlide</t>
  </si>
  <si>
    <t>rogueslide</t>
  </si>
  <si>
    <t>C:\Users\Owner\Documents\Roguelike Roguelike\Roguelikes\Rogueslide.url</t>
  </si>
  <si>
    <t>https://store.steampowered.com/app/1443100/RogueSlide/</t>
  </si>
  <si>
    <t>Roll</t>
  </si>
  <si>
    <t>roll</t>
  </si>
  <si>
    <t>C:\Users\Owner\Documents\Roguelike Roguelike\Roguelikes\Roll.url</t>
  </si>
  <si>
    <t>https://store.steampowered.com/app/1585910/Roll/</t>
  </si>
  <si>
    <t>RollScape</t>
  </si>
  <si>
    <t>rollscape</t>
  </si>
  <si>
    <t>C:\Users\Owner\Documents\Roguelike Roguelike\Roguelikes\RollScape.url</t>
  </si>
  <si>
    <t>https://store.steampowered.com/app/2904290/RollScape/</t>
  </si>
  <si>
    <t>Roulette Dungeon</t>
  </si>
  <si>
    <t>roulette-dungeon</t>
  </si>
  <si>
    <t>https://store.steampowered.com/app/3399930/Roulette_Dungeon/</t>
  </si>
  <si>
    <t>Roulette Hero</t>
  </si>
  <si>
    <t>roulette-hero</t>
  </si>
  <si>
    <t>https://store.steampowered.com/app/3371510/Roulette_Hero/</t>
  </si>
  <si>
    <t>Rounds</t>
  </si>
  <si>
    <t>rounds</t>
  </si>
  <si>
    <t>C:\Users\Owner\Documents\Roguelike Roguelike\Roguelikes\ROUNDS.url</t>
  </si>
  <si>
    <t>https://store.steampowered.com/app/1557740/ROUNDS/</t>
  </si>
  <si>
    <t>Rune Dice</t>
  </si>
  <si>
    <t>rune-dice</t>
  </si>
  <si>
    <t>https://store.steampowered.com/app/3542380/Rune_Dice/</t>
  </si>
  <si>
    <t>Runeborn</t>
  </si>
  <si>
    <t>runeborn</t>
  </si>
  <si>
    <t>C:\Users\Owner\Documents\Roguelike Roguelike\Roguelikes\Runeborn.url</t>
  </si>
  <si>
    <t>https://store.steampowered.com/app/3073990/Runeborn/</t>
  </si>
  <si>
    <t>Runeveil</t>
  </si>
  <si>
    <t>runeveil</t>
  </si>
  <si>
    <t>https://store.steampowered.com/app/3656560/Runeveil/</t>
  </si>
  <si>
    <t>Rungore</t>
  </si>
  <si>
    <t>rungore</t>
  </si>
  <si>
    <t>https://store.steampowered.com/app/2113040/RUNGORE/</t>
  </si>
  <si>
    <t>Sanae no Chou Tokkyuu: The Express Trial</t>
  </si>
  <si>
    <t>sanae-no-chou-tokkyuu-the-express-trial</t>
  </si>
  <si>
    <t>Sandwalkers</t>
  </si>
  <si>
    <t>sandwalkers</t>
  </si>
  <si>
    <t>https://store.steampowered.com/app/1639080/Sandwalkers/</t>
  </si>
  <si>
    <t>Scarlet Tower</t>
  </si>
  <si>
    <t>scarlet-tower</t>
  </si>
  <si>
    <t>C:\Users\Owner\Documents\Roguelike Roguelike\Roguelikes\Scarlet Tower.url</t>
  </si>
  <si>
    <t>https://store.steampowered.com/app/2181720/Scarlet_Tower/</t>
  </si>
  <si>
    <t>Schism</t>
  </si>
  <si>
    <t>schism</t>
  </si>
  <si>
    <t>https://store.steampowered.com/app/2084300/Schism/</t>
  </si>
  <si>
    <t>Scourgebringer</t>
  </si>
  <si>
    <t>scourgebringer</t>
  </si>
  <si>
    <t>C:\Users\Owner\Documents\Roguelike Roguelike\Roguelikes\ScourgeBringer.url</t>
  </si>
  <si>
    <t>https://store.steampowered.com/app/1037020/ScourgeBringer/</t>
  </si>
  <si>
    <t>Sea of Survivors</t>
  </si>
  <si>
    <t>sea-of-survivors</t>
  </si>
  <si>
    <t>Section 13</t>
  </si>
  <si>
    <t>section-13</t>
  </si>
  <si>
    <t>C:\Users\Owner\Documents\Roguelike Roguelike\Roguelikes\Section 13.url</t>
  </si>
  <si>
    <t>https://store.steampowered.com/app/2111870/Section_13/</t>
  </si>
  <si>
    <t>Seedborne Soldiers</t>
  </si>
  <si>
    <t>seedborne-soldiers</t>
  </si>
  <si>
    <t>https://store.steampowered.com/app/3039930/Seedborne_Soldiers/</t>
  </si>
  <si>
    <t>Sephiria</t>
  </si>
  <si>
    <t>sephiria</t>
  </si>
  <si>
    <t>Seraph's Last Stand</t>
  </si>
  <si>
    <t>seraphs-last-stand</t>
  </si>
  <si>
    <t>C:\Users\Owner\Documents\Roguelike Roguelike\Roguelikes\Seraph's Last Stand.url</t>
  </si>
  <si>
    <t>https://store.steampowered.com/app/1919460/Seraphs_Last_Stand/</t>
  </si>
  <si>
    <t>Serpent's Gaze</t>
  </si>
  <si>
    <t>serpents-gaze</t>
  </si>
  <si>
    <t>https://store.steampowered.com/app/3069050/Serpents_Gaze/</t>
  </si>
  <si>
    <t>Shadow of the Wyrm</t>
  </si>
  <si>
    <t>shadow-of-the-wyrm</t>
  </si>
  <si>
    <t>C:\Users\Owner\Documents\Roguelike Roguelike\Roguelikes\sotw.lnk</t>
  </si>
  <si>
    <t>Shadowveil: Legend of The Five Rings</t>
  </si>
  <si>
    <t>shadowveil-legend-of-the-five-rings</t>
  </si>
  <si>
    <t>Shape of Dreams</t>
  </si>
  <si>
    <t>shape-of-dreams</t>
  </si>
  <si>
    <t>Shape Shifter: Formations</t>
  </si>
  <si>
    <t>shape-shifter-formations</t>
  </si>
  <si>
    <t>https://store.steampowered.com/app/2202590/Shape_Shifter_Formations/</t>
  </si>
  <si>
    <t>Shattered Pixel Dungeon</t>
  </si>
  <si>
    <t>shattered-pixel-dungeon</t>
  </si>
  <si>
    <t>Ship of Fools</t>
  </si>
  <si>
    <t>ship-of-fools</t>
  </si>
  <si>
    <t>C:\Users\Owner\Documents\Roguelike Roguelike\Roguelikes\Ship of Fools.url</t>
  </si>
  <si>
    <t>https://store.steampowered.com/app/1286580/Ship_of_Fools/</t>
  </si>
  <si>
    <t>Shiren the Wanderer (2008)</t>
  </si>
  <si>
    <t>shiren-the-wanderer-2008</t>
  </si>
  <si>
    <t>C:\Users\Owner\Documents\Roguelike Roguelike\Roguelikes\Shiren the Wanderer (2008).lnk</t>
  </si>
  <si>
    <t>Shiren the Wanderer 2: Shiren's Castle and the Oni Invasion</t>
  </si>
  <si>
    <t>shiren-the-wanderer-2-shirens-castle-and-the-oni-invasion</t>
  </si>
  <si>
    <t>C:\Users\Owner\Documents\Roguelike Roguelike\Roguelikes\Shiren the Wanderer 2 Shiren's Castle and the Oni Invasion.lnk</t>
  </si>
  <si>
    <t>Shiren the Wanderer 4: The Eye of God and the Devil's Navel</t>
  </si>
  <si>
    <t>shiren-the-wanderer-4-the-eye-of-god-and-the-devils-navel</t>
  </si>
  <si>
    <t>C:\Users\Owner\Documents\Roguelike Roguelike\Roguelikes\Shiren the Wanderer 4 The Eye of God and the Devil's Navel.lnk</t>
  </si>
  <si>
    <t>Shiren the Wanderer Gaiden: Asuka the Swordswoman</t>
  </si>
  <si>
    <t>shiren-the-wanderer-gaiden-asuka-the-swordswoman</t>
  </si>
  <si>
    <t>C:\Users\Owner\Documents\Roguelike Roguelike\Roguelikes\Shiren the Wanderer Gaiden Asuka the Swordswoman.lnk</t>
  </si>
  <si>
    <t>Shiren the Wanderer GB: Monster of Moonlight Village</t>
  </si>
  <si>
    <t>shiren-the-wanderer-gb-monster-of-moonlight-village</t>
  </si>
  <si>
    <t>C:\Users\Owner\Documents\Roguelike Roguelike\Roguelikes\Shiren the Wanderer GB Monster of Moonlight Village.lnk</t>
  </si>
  <si>
    <t>Shiren the Wanderer GB2: Magic Castle of the Desert</t>
  </si>
  <si>
    <t>shiren-the-wanderer-gb2-magic-castle-of-the-desert</t>
  </si>
  <si>
    <t>C:\Users\Owner\Documents\Roguelike Roguelike\Roguelikes\Shiren the Wanderer GB2 Magic Castle of the Desert.lnk</t>
  </si>
  <si>
    <t>Shiren the Wanderer: The Mystery Dungeon of Serpentcoil Island</t>
  </si>
  <si>
    <t>shiren-the-wanderer-the-mystery-dungeon-of-serpentcoil-island</t>
  </si>
  <si>
    <t>C:\Users\Owner\Documents\Roguelike Roguelike\Roguelikes\Shiren the Wanderer The Mystery Dungeon of Serpentcoil Island.url</t>
  </si>
  <si>
    <t>https://store.steampowered.com/app/2178480/Shiren_the_Wanderer_The_Mystery_Dungeon_of_Serpentcoil_Island/</t>
  </si>
  <si>
    <t>Shiren the Wanderer: The Tower of Fortune and the Dice of Fate</t>
  </si>
  <si>
    <t>shiren-the-wanderer-the-tower-of-fortune-and-the-dice-of-fate</t>
  </si>
  <si>
    <t>C:\Users\Owner\Documents\Roguelike Roguelike\Roguelikes\Shiren the Wanderer The Tower of Fortune and the Dice of Fate.url</t>
  </si>
  <si>
    <t>https://store.steampowered.com/app/1178790/Shiren_the_Wanderer_The_Tower_of_Fortune_and_the_Dice_of_Fate/</t>
  </si>
  <si>
    <t>Shogun Showdown</t>
  </si>
  <si>
    <t>shogun-showdown</t>
  </si>
  <si>
    <t>C:\Users\Owner\Documents\Roguelike Roguelike\Roguelikes\Shogun Showdown.url</t>
  </si>
  <si>
    <t>https://store.steampowered.com/app/2084000/Shogun_Showdown/</t>
  </si>
  <si>
    <t>Shoot First</t>
  </si>
  <si>
    <t>shoot-first</t>
  </si>
  <si>
    <t>Shotgun King: The Final Checkmate</t>
  </si>
  <si>
    <t>shotgun-king-the-final-checkmate</t>
  </si>
  <si>
    <t>C:\Users\Owner\Documents\Roguelike Roguelike\Roguelikes\Shotgun King The Final Checkmate.url</t>
  </si>
  <si>
    <t>https://store.steampowered.com/app/1972440/Shotgun_King_The_Final_Checkmate/</t>
  </si>
  <si>
    <t>Shovel Knight Dig</t>
  </si>
  <si>
    <t>shovel-knight-dig</t>
  </si>
  <si>
    <t>Sil</t>
  </si>
  <si>
    <t>sil</t>
  </si>
  <si>
    <t>Sir, We Have an Orc Problem</t>
  </si>
  <si>
    <t>sir-we-have-an-orc-problem</t>
  </si>
  <si>
    <t>https://store.steampowered.com/app/4594150/Sir_We_Have_an_Orc_Problem</t>
  </si>
  <si>
    <t>Skul: The Hero Slayer</t>
  </si>
  <si>
    <t>skul-the-hero-slayer</t>
  </si>
  <si>
    <t>C:\Users\Owner\Documents\Roguelike Roguelike\Roguelikes\Skul The Hero Slayer.url</t>
  </si>
  <si>
    <t>https://store.steampowered.com/app/1147560/Skul_The_Hero_Slayer/</t>
  </si>
  <si>
    <t>Skull Horde</t>
  </si>
  <si>
    <t>skull-horde</t>
  </si>
  <si>
    <t>Sky Rogue</t>
  </si>
  <si>
    <t>sky-rogue</t>
  </si>
  <si>
    <t>https://store.steampowered.com/app/381020/Sky_Rogue/</t>
  </si>
  <si>
    <t>Sky's The Limit MAH-JONG</t>
  </si>
  <si>
    <t>skys-the-limit-mah-jong</t>
  </si>
  <si>
    <t>C:\Users\Owner\Documents\Roguelike Roguelike\Roguelikes\Sky's The Limit MAH-JONG.url</t>
  </si>
  <si>
    <t>https://store.steampowered.com/app/3085620/Skys_The_Limit_MAHJONG/</t>
  </si>
  <si>
    <t>Slash'EM</t>
  </si>
  <si>
    <t>slashem</t>
  </si>
  <si>
    <t>C:\Users\Owner\Documents\Roguelike Roguelike\Roguelikes\Slash'EM.lnk</t>
  </si>
  <si>
    <t>Slasher's Keep</t>
  </si>
  <si>
    <t>slashers-keep</t>
  </si>
  <si>
    <t>C:\Users\Owner\Documents\Roguelike Roguelike\Roguelikes\Slasher's Keep.url</t>
  </si>
  <si>
    <t>https://store.steampowered.com/app/598060/Slashers_Keep/</t>
  </si>
  <si>
    <t>slay-the-spire</t>
  </si>
  <si>
    <t>C:\Users\Owner\Documents\Roguelike Roguelike\Roguelikes\Slay the Spire.url</t>
  </si>
  <si>
    <t>https://store.steampowered.com/app/646570/Slay_the_Spire/</t>
  </si>
  <si>
    <t>slay-the-spire-2</t>
  </si>
  <si>
    <t>C:\Users\Owner\Documents\Roguelike Roguelike\Roguelikes\Slay the Spire 2.url</t>
  </si>
  <si>
    <t>https://store.steampowered.com/app/2868840/Slay_the_Spire_2/</t>
  </si>
  <si>
    <t>Slice &amp; Dice</t>
  </si>
  <si>
    <t>slice-dice</t>
  </si>
  <si>
    <t>C:\Users\Owner\Documents\Roguelike Roguelike\Roguelikes\Slice &amp; Dice.url</t>
  </si>
  <si>
    <t>https://store.steampowered.com/app/1775490/Slice__Dice/</t>
  </si>
  <si>
    <t>Slime 3K: Rise Against Despot</t>
  </si>
  <si>
    <t>slime-3k-rise-against-despot</t>
  </si>
  <si>
    <t>C:\Users\Owner\Documents\Roguelike Roguelike\Roguelikes\Slime 3K Rise Against Despot.url</t>
  </si>
  <si>
    <t>https://store.steampowered.com/app/2348610/Slime_3K_Rise_Against_Despot/</t>
  </si>
  <si>
    <t>Slot &amp; Dungeons</t>
  </si>
  <si>
    <t>slot-dungeons</t>
  </si>
  <si>
    <t>Slot or Not</t>
  </si>
  <si>
    <t>slot-or-not</t>
  </si>
  <si>
    <t>Slots &amp; Daggers</t>
  </si>
  <si>
    <t>slots-daggers</t>
  </si>
  <si>
    <t>C:\Users\Owner\Documents\Roguelike Roguelike\Roguelikes\Slots &amp; Daggers.url</t>
  </si>
  <si>
    <t>https://store.steampowered.com/app/3631290/Slots__Daggers/</t>
  </si>
  <si>
    <t>SNKRX</t>
  </si>
  <si>
    <t>snkrx</t>
  </si>
  <si>
    <t>C:\Users\Owner\Documents\Roguelike Roguelike\Roguelikes\SNKRX.url</t>
  </si>
  <si>
    <t>https://store.steampowered.com/app/915310/SNKRX/</t>
  </si>
  <si>
    <t>Sodaman</t>
  </si>
  <si>
    <t>sodaman</t>
  </si>
  <si>
    <t>C:\Users\Owner\Documents\Roguelike Roguelike\Roguelikes\Sodaman.url</t>
  </si>
  <si>
    <t>https://store.steampowered.com/app/2178990/Sodaman/</t>
  </si>
  <si>
    <t>Sol Cesto</t>
  </si>
  <si>
    <t>sol-cesto</t>
  </si>
  <si>
    <t>C:\Users\Owner\Documents\Roguelike Roguelike\Roguelikes\Sol Cesto.url</t>
  </si>
  <si>
    <t>https://store.steampowered.com/app/2738490/Sol_Cesto/</t>
  </si>
  <si>
    <t>Solitairica</t>
  </si>
  <si>
    <t>solitairica</t>
  </si>
  <si>
    <t>C:\Users\Owner\Documents\Roguelike Roguelike\Roguelikes\Solitairica.url</t>
  </si>
  <si>
    <t>https://store.steampowered.com/app/463980/Solitairica/</t>
  </si>
  <si>
    <t>Soulash</t>
  </si>
  <si>
    <t>soulash</t>
  </si>
  <si>
    <t>Soulash 2</t>
  </si>
  <si>
    <t>soulash-2</t>
  </si>
  <si>
    <t>Soulstone Survivors</t>
  </si>
  <si>
    <t>soulstone-survivors</t>
  </si>
  <si>
    <t>C:\Users\Owner\Documents\Roguelike Roguelike\Roguelikes\Soulstone Survivors.url</t>
  </si>
  <si>
    <t>https://store.steampowered.com/app/2066020/Soulstone_Survivors/</t>
  </si>
  <si>
    <t>Space Beast Terror Fright</t>
  </si>
  <si>
    <t>space-beast-terror-fright</t>
  </si>
  <si>
    <t>Space Gladiators</t>
  </si>
  <si>
    <t>space-gladiators</t>
  </si>
  <si>
    <t>https://store.steampowered.com/app/1144910/Space_Gladiators</t>
  </si>
  <si>
    <t>Space Grunts</t>
  </si>
  <si>
    <t>space-grunts</t>
  </si>
  <si>
    <t>C:\Users\Owner\Documents\Roguelike Roguelike\Roguelikes\Space Grunts.url</t>
  </si>
  <si>
    <t>https://store.steampowered.com/app/371430/Space_Grunts/</t>
  </si>
  <si>
    <t>Spellbook Demonslayers</t>
  </si>
  <si>
    <t>spellbook-demonslayers</t>
  </si>
  <si>
    <t>C:\Users\Owner\Documents\Roguelike Roguelike\Roguelikes\Spellbook Demonslayers.url</t>
  </si>
  <si>
    <t>https://store.steampowered.com/app/2007530/Spellbook_Demonslayers/</t>
  </si>
  <si>
    <t>Spellmasons</t>
  </si>
  <si>
    <t>spellmasons</t>
  </si>
  <si>
    <t>SpellRogue</t>
  </si>
  <si>
    <t>spellrogue</t>
  </si>
  <si>
    <t>C:\Users\Owner\Documents\Roguelike Roguelike\Roguelikes\SpellRogue.url</t>
  </si>
  <si>
    <t>https://store.steampowered.com/app/1990110/SpellRogue/</t>
  </si>
  <si>
    <t>Spelunky</t>
  </si>
  <si>
    <t>spelunky</t>
  </si>
  <si>
    <t>C:\Users\Owner\Documents\Roguelike Roguelike\Roguelikes\Spelunky.url</t>
  </si>
  <si>
    <t>https://store.steampowered.com/app/239350/Spelunky/</t>
  </si>
  <si>
    <t>Spelunky 2</t>
  </si>
  <si>
    <t>spelunky-2</t>
  </si>
  <si>
    <t>C:\Users\Owner\Documents\Roguelike Roguelike\Roguelikes\Spelunky 2.url</t>
  </si>
  <si>
    <t>https://store.steampowered.com/app/418530/Spelunky_2/</t>
  </si>
  <si>
    <t>Spelunky Classic</t>
  </si>
  <si>
    <t>spelunky-classic</t>
  </si>
  <si>
    <t>C:\Users\Owner\Documents\Roguelike Roguelike\Roguelikes\SpelunkyClassic.lnk</t>
  </si>
  <si>
    <t>Spin Hero</t>
  </si>
  <si>
    <t>spin-hero</t>
  </si>
  <si>
    <t>C:\Users\Owner\Documents\Roguelike Roguelike\Roguelikes\Spin Hero.url</t>
  </si>
  <si>
    <t>https://store.steampowered.com/app/2917350/Spin_Hero/</t>
  </si>
  <si>
    <t>Spirit Hunters: Infinite Horde</t>
  </si>
  <si>
    <t>spirit-hunters-infinite-horde</t>
  </si>
  <si>
    <t>C:\Users\Owner\Documents\Roguelike Roguelike\Roguelikes\Spirit Hunters Infinite Horde.url</t>
  </si>
  <si>
    <t>https://store.steampowered.com/app/1914580/Spirit_Hunters_Infinite_Horde/</t>
  </si>
  <si>
    <t>Spiritfall</t>
  </si>
  <si>
    <t>spiritfall</t>
  </si>
  <si>
    <t>C:\Users\Owner\Documents\Roguelike Roguelike\Roguelikes\Spiritfall.url</t>
  </si>
  <si>
    <t>https://store.steampowered.com/app/1835240/Spiritfall/</t>
  </si>
  <si>
    <t>Spirits Abyss</t>
  </si>
  <si>
    <t>spirits-abyss</t>
  </si>
  <si>
    <t>C:\Users\Owner\Documents\Roguelike Roguelike\Roguelikes\Spirits Abyss.url</t>
  </si>
  <si>
    <t>https://store.steampowered.com/app/1078200/Spirits_Abyss/</t>
  </si>
  <si>
    <t>Sproggiwood</t>
  </si>
  <si>
    <t>sproggiwood</t>
  </si>
  <si>
    <t>C:\Users\Owner\Documents\Roguelike Roguelike\Roguelikes\Sproggiwood.url</t>
  </si>
  <si>
    <t>https://store.steampowered.com/app/311720/Sproggiwood/</t>
  </si>
  <si>
    <t>Squeaky Squad</t>
  </si>
  <si>
    <t>squeaky-squad</t>
  </si>
  <si>
    <t>C:\Users\Owner\Documents\Roguelike Roguelike\Roguelikes\Squeaky Squad.url</t>
  </si>
  <si>
    <t>https://store.steampowered.com/app/2573200/Squeaky_Squad/</t>
  </si>
  <si>
    <t>Stackflow</t>
  </si>
  <si>
    <t>stackflow</t>
  </si>
  <si>
    <t>C:\Users\Owner\Documents\Roguelike Roguelike\Roguelikes\Stackflow.url</t>
  </si>
  <si>
    <t>https://store.steampowered.com/app/3908810/Stackflow/</t>
  </si>
  <si>
    <t>Star of Providence</t>
  </si>
  <si>
    <t>star-of-providence</t>
  </si>
  <si>
    <t>C:\Users\Owner\Documents\Roguelike Roguelike\Roguelikes\Star of Providence.url</t>
  </si>
  <si>
    <t>https://store.steampowered.com/app/603960/Star_of_Providence/</t>
  </si>
  <si>
    <t>Star Survivor</t>
  </si>
  <si>
    <t>star-survivor</t>
  </si>
  <si>
    <t>C:\Users\Owner\Documents\Roguelike Roguelike\Roguelikes\Star Survivor.url</t>
  </si>
  <si>
    <t>https://store.steampowered.com/app/2060750/Star_Survivor/</t>
  </si>
  <si>
    <t>Starlight Revolver</t>
  </si>
  <si>
    <t>starlight-revolver</t>
  </si>
  <si>
    <t>C:\Users\Owner\Documents\Roguelike Roguelike\Roguelikes\Starlight ReVolver.url</t>
  </si>
  <si>
    <t>https://store.steampowered.com/app/3201010/Starlight_Revolver/</t>
  </si>
  <si>
    <t>StarVaders</t>
  </si>
  <si>
    <t>starvaders</t>
  </si>
  <si>
    <t>C:\Users\Owner\Documents\Roguelike Roguelike\Roguelikes\StarVaders.url</t>
  </si>
  <si>
    <t>https://store.steampowered.com/app/2097570/StarVaders/</t>
  </si>
  <si>
    <t>Steve's Warehouse: Physics. Roguelike. Chaos.</t>
  </si>
  <si>
    <t>steves-warehouse-physics-roguelike-chaos</t>
  </si>
  <si>
    <t>Stick It to the Stickman</t>
  </si>
  <si>
    <t>stick-it-to-the-stickman</t>
  </si>
  <si>
    <t>C:\Users\Owner\Documents\Roguelike Roguelike\Roguelikes\Stick It to the Stickman.url</t>
  </si>
  <si>
    <t>https://store.steampowered.com/app/2085540/Stick_It_to_the_Stickman/</t>
  </si>
  <si>
    <t>Stoneshard</t>
  </si>
  <si>
    <t>stoneshard</t>
  </si>
  <si>
    <t>Stories from the Outbreak</t>
  </si>
  <si>
    <t>stories-from-the-outbreak</t>
  </si>
  <si>
    <t>Strafe</t>
  </si>
  <si>
    <t>strafe</t>
  </si>
  <si>
    <t>C:\Users\Owner\Documents\Roguelike Roguelike\Roguelikes\STRAFE Gold Edition.url</t>
  </si>
  <si>
    <t>https://store.steampowered.com/app/442780/STRAFE_Gold_Edition/</t>
  </si>
  <si>
    <t>Strange Adventures in Infinite Space</t>
  </si>
  <si>
    <t>strange-adventures-in-infinite-space</t>
  </si>
  <si>
    <t>C:\Users\Owner\Documents\Roguelike Roguelike\Roguelikes\Strange Adventures in Infinite Space.lnk</t>
  </si>
  <si>
    <t>Streets of Rogue</t>
  </si>
  <si>
    <t>streets-of-rogue</t>
  </si>
  <si>
    <t>C:\Users\Owner\Documents\Roguelike Roguelike\Roguelikes\Streets of Rogue.url</t>
  </si>
  <si>
    <t>https://store.steampowered.com/app/512900/Streets_of_Rogue/</t>
  </si>
  <si>
    <t>SULFUR</t>
  </si>
  <si>
    <t>sulfur</t>
  </si>
  <si>
    <t>Sundered</t>
  </si>
  <si>
    <t>sundered</t>
  </si>
  <si>
    <t>C:\Users\Owner\Documents\Roguelike Roguelike\Roguelikes\Sundered Eldritch Edition.url</t>
  </si>
  <si>
    <t>https://store.steampowered.com/app/535480/Sundered_Eldritch_Edition/</t>
  </si>
  <si>
    <t>Sunless Sea</t>
  </si>
  <si>
    <t>sunless-sea</t>
  </si>
  <si>
    <t>C:\Users\Owner\Documents\Roguelike Roguelike\Roguelikes\Sunless Sea.url</t>
  </si>
  <si>
    <t>https://store.steampowered.com/app/304650/SUNLESS_SEA/</t>
  </si>
  <si>
    <t>Super Auto Pets</t>
  </si>
  <si>
    <t>super-auto-pets</t>
  </si>
  <si>
    <t>C:\Users\Owner\Documents\Roguelike Roguelike\Roguelikes\Super Auto Pets.url</t>
  </si>
  <si>
    <t>https://store.steampowered.com/app/1714040/Super_Auto_Pets/</t>
  </si>
  <si>
    <t>Super Bullet Break</t>
  </si>
  <si>
    <t>super-bullet-break</t>
  </si>
  <si>
    <t>C:\Users\Owner\Documents\Roguelike Roguelike\Roguelikes\Super Bullet Break.url</t>
  </si>
  <si>
    <t>https://store.steampowered.com/app/1767170/Super_Bullet_Break/</t>
  </si>
  <si>
    <t>Super Fantasy Kingdom</t>
  </si>
  <si>
    <t>super-fantasy-kingdom</t>
  </si>
  <si>
    <t>C:\Users\Owner\Documents\Roguelike Roguelike\Roguelikes\Super Fantasy Kingdom.url</t>
  </si>
  <si>
    <t>https://store.steampowered.com/app/2289750/Super_Fantasy_Kingdom/</t>
  </si>
  <si>
    <t>Super House of Dead Ninjas</t>
  </si>
  <si>
    <t>super-house-of-dead-ninjas</t>
  </si>
  <si>
    <t>C:\Users\Owner\Documents\Roguelike Roguelike\Roguelikes\Super House of Dead Ninjas.url</t>
  </si>
  <si>
    <t>https://store.steampowered.com/app/224820/Super_House_of_Dead_Ninjas/</t>
  </si>
  <si>
    <t>Super Tax City</t>
  </si>
  <si>
    <t>super-tax-city</t>
  </si>
  <si>
    <t>Swapmeat</t>
  </si>
  <si>
    <t>swapmeat</t>
  </si>
  <si>
    <t>Swarm Grinder</t>
  </si>
  <si>
    <t>swarm-grinder</t>
  </si>
  <si>
    <t>C:\Users\Owner\Documents\Roguelike Roguelike\Roguelikes\Swarm Grinder.url</t>
  </si>
  <si>
    <t>https://store.steampowered.com/app/1375900/Swarm_Grinder/</t>
  </si>
  <si>
    <t>Switchcars</t>
  </si>
  <si>
    <t>switchcars</t>
  </si>
  <si>
    <t>C:\Users\Owner\Documents\Roguelike Roguelike\Roguelikes\Switchcars.url</t>
  </si>
  <si>
    <t>https://store.steampowered.com/app/442210/Switchcars/</t>
  </si>
  <si>
    <t>Sword of Fargoal</t>
  </si>
  <si>
    <t>sword-of-fargoal</t>
  </si>
  <si>
    <t>https://store.steampowered.com/app/2231080/Sword_of_Fargoal/</t>
  </si>
  <si>
    <t>Sword of the Necromancer</t>
  </si>
  <si>
    <t>sword-of-the-necromancer</t>
  </si>
  <si>
    <t>https://store.steampowered.com/app/1243890/Sword_of_the_Necromancer/</t>
  </si>
  <si>
    <t>Sword of the Necromancer: Resurrection</t>
  </si>
  <si>
    <t>sword-of-the-necromancer-resurrection</t>
  </si>
  <si>
    <t>https://store.steampowered.com/app/2782880/Sword_of_the_Necromancer_Resurrection/</t>
  </si>
  <si>
    <t>Sword of the Stars: The Pit</t>
  </si>
  <si>
    <t>sword-of-the-stars-the-pit</t>
  </si>
  <si>
    <t>https://store.steampowered.com/app/233700/Sword_of_the_Stars_The_Pit/</t>
  </si>
  <si>
    <t>Swordship</t>
  </si>
  <si>
    <t>swordship</t>
  </si>
  <si>
    <t>C:\Users\Owner\Documents\Roguelike Roguelike\Roguelikes\Swordship.url</t>
  </si>
  <si>
    <t>https://store.steampowered.com/app/1804270/Swordship/</t>
  </si>
  <si>
    <t>Sworn</t>
  </si>
  <si>
    <t>sworn</t>
  </si>
  <si>
    <t>C:\Users\Owner\Documents\Roguelike Roguelike\Roguelikes\SWORN.url</t>
  </si>
  <si>
    <t>https://store.steampowered.com/app/1763250/SWORN/</t>
  </si>
  <si>
    <t>Synthetik 2</t>
  </si>
  <si>
    <t>synthetik-2</t>
  </si>
  <si>
    <t>Synthetik: Legion Rising</t>
  </si>
  <si>
    <t>synthetik-legion-rising</t>
  </si>
  <si>
    <t>C:\Users\Owner\Documents\Roguelike Roguelike\Roguelikes\SYNTHETIK.url</t>
  </si>
  <si>
    <t>https://store.steampowered.com/app/528230/SYNTHETIK_Legion_Rising/</t>
  </si>
  <si>
    <t>Tabletop Tavern</t>
  </si>
  <si>
    <t>tabletop-tavern</t>
  </si>
  <si>
    <t>https://store.steampowered.com/app/3337380/Tabletop_Tavern/</t>
  </si>
  <si>
    <t>Tainted Grail: Conquest</t>
  </si>
  <si>
    <t>tainted-grail-conquest</t>
  </si>
  <si>
    <t>C:\Users\Owner\Documents\Roguelike Roguelike\Roguelikes\Tainted Grail.url</t>
  </si>
  <si>
    <t>https://store.steampowered.com/app/1199030/Tainted_Grail_Conquest/</t>
  </si>
  <si>
    <t>Talented</t>
  </si>
  <si>
    <t>talented</t>
  </si>
  <si>
    <t>C:\Users\Owner\Documents\Roguelike Roguelike\Roguelikes\Talented.url</t>
  </si>
  <si>
    <t>https://store.steampowered.com/app/2435090/Talented/</t>
  </si>
  <si>
    <t>Tales of Maj'Eyal</t>
  </si>
  <si>
    <t>tales-of-majeyal</t>
  </si>
  <si>
    <t>C:\Users\Owner\Documents\Roguelike Roguelike\Roguelikes\Tales of Maj'Eyal.url</t>
  </si>
  <si>
    <t>https://store.steampowered.com/app/259680/Tales_of_MajEyal/</t>
  </si>
  <si>
    <t>Talespinner</t>
  </si>
  <si>
    <t>talespinner</t>
  </si>
  <si>
    <t>https://store.steampowered.com/app/1725410/Talespinner/</t>
  </si>
  <si>
    <t>Tangledeep</t>
  </si>
  <si>
    <t>tangledeep</t>
  </si>
  <si>
    <t>C:\Users\Owner\Documents\Roguelike Roguelike\Roguelikes\Tangledeep.url</t>
  </si>
  <si>
    <t>https://store.steampowered.com/app/628770/Tangledeep/</t>
  </si>
  <si>
    <t>Tangy TD</t>
  </si>
  <si>
    <t>tower defense, food</t>
  </si>
  <si>
    <t>tangy-td</t>
  </si>
  <si>
    <t>C:\Users\Owner\Documents\Roguelike Roguelike\Roguelikes\Tangy TD.url</t>
  </si>
  <si>
    <t>https://store.steampowered.com/app/2245620/Tangy_TD/</t>
  </si>
  <si>
    <t>Tao's Adventure: Curse of the Demon Seal</t>
  </si>
  <si>
    <t>taos-adventure-curse-of-the-demon-seal</t>
  </si>
  <si>
    <t>C:\Users\Owner\Documents\Roguelike Roguelike\Roguelikes\Tao's Adventure Curse of the Demon Seal.lnk</t>
  </si>
  <si>
    <t>Tape to Tape</t>
  </si>
  <si>
    <t>tape-to-tape</t>
  </si>
  <si>
    <t>C:\Users\Owner\Documents\Roguelike Roguelike\Roguelikes\Tape to Tape.url</t>
  </si>
  <si>
    <t>https://store.steampowered.com/app/1566200/Tape_to_Tape/</t>
  </si>
  <si>
    <t>Teamfight Tactics</t>
  </si>
  <si>
    <t>teamfight-tactics</t>
  </si>
  <si>
    <t>Tears of Metal</t>
  </si>
  <si>
    <t>tears-of-metal</t>
  </si>
  <si>
    <t>https://store.steampowered.com/app/1913120/Tears_of_Metal/</t>
  </si>
  <si>
    <t>Teenage Mutant Ninja Turtles: Splintered Fate</t>
  </si>
  <si>
    <t>teenage-mutant-ninja-turtles-splintered-fate</t>
  </si>
  <si>
    <t>C:\Users\Owner\Documents\Roguelike Roguelike\Roguelikes\Teenage Mutant Ninja Turtles Splintered Fate.url</t>
  </si>
  <si>
    <t>https://store.steampowered.com/app/2996040/Teenage_Mutant_Ninja_Turtles_Splintered_Fate/</t>
  </si>
  <si>
    <t>Temtem: Swarm</t>
  </si>
  <si>
    <t>temtem-swarm</t>
  </si>
  <si>
    <t>Terraformers</t>
  </si>
  <si>
    <t>terraformers</t>
  </si>
  <si>
    <t>C:\Users\Owner\Documents\Roguelike Roguelike\Roguelikes\Terraformers.url</t>
  </si>
  <si>
    <t>https://store.steampowered.com/app/1244800/Terraformers/</t>
  </si>
  <si>
    <t>TerraTech Legion</t>
  </si>
  <si>
    <t>terratech-legion</t>
  </si>
  <si>
    <t>https://store.steampowered.com/app/3596700/TerraTech_Legion/</t>
  </si>
  <si>
    <t>TerRoguelike</t>
  </si>
  <si>
    <t>terroguelike</t>
  </si>
  <si>
    <t>The Bazaar</t>
  </si>
  <si>
    <t>the-bazaar</t>
  </si>
  <si>
    <t>the-binding-of-isaac</t>
  </si>
  <si>
    <t>C:\Users\Owner\Documents\Roguelike Roguelike\Roguelikes\The Binding of Isaac.url</t>
  </si>
  <si>
    <t>https://store.steampowered.com/app/113200/The_Binding_of_Isaac/</t>
  </si>
  <si>
    <t>The Binding of Isaac: Rebirth</t>
  </si>
  <si>
    <t>the-binding-of-isaac-rebirth</t>
  </si>
  <si>
    <t>C:\Users\Owner\Documents\Roguelike Roguelike\Roguelikes\The Binding of Isaac Rebirth.url</t>
  </si>
  <si>
    <t>https://store.steampowered.com/app/250900/The_Binding_of_Isaac_Rebirth/</t>
  </si>
  <si>
    <t>The Doors of Trithius</t>
  </si>
  <si>
    <t>the-doors-of-trithius</t>
  </si>
  <si>
    <t>The Dungeon RPG</t>
  </si>
  <si>
    <t>the-dungeon-rpg</t>
  </si>
  <si>
    <t>C:\Users\Owner\Documents\Roguelike Roguelike\Roguelikes\The Dungeon RPG.lnk</t>
  </si>
  <si>
    <t>The Fable: Manga Build Roguelike</t>
  </si>
  <si>
    <t>the-fable-manga-build-roguelike</t>
  </si>
  <si>
    <t>The Flame in the Flood</t>
  </si>
  <si>
    <t>the-flame-in-the-flood</t>
  </si>
  <si>
    <t>C:\Users\Owner\Documents\Roguelike Roguelike\Roguelikes\The Flame in the Flood.url</t>
  </si>
  <si>
    <t>https://store.steampowered.com/app/318600/The_Flame_in_the_Flood/</t>
  </si>
  <si>
    <t>The Ground Gives Way</t>
  </si>
  <si>
    <t>the-ground-gives-way</t>
  </si>
  <si>
    <t>C:\Users\Owner\Documents\Roguelike Roguelike\Roguelikes\The Ground Gives Way.lnk</t>
  </si>
  <si>
    <t>The Guided Fate Paradox</t>
  </si>
  <si>
    <t>the-guided-fate-paradox</t>
  </si>
  <si>
    <t>The King is Watching</t>
  </si>
  <si>
    <t>the-king-is-watching</t>
  </si>
  <si>
    <t>C:\Users\Owner\Documents\Roguelike Roguelike\Roguelikes\The King is Watching.url</t>
  </si>
  <si>
    <t>https://store.steampowered.com/app/2753900/The_King_is_Watching/</t>
  </si>
  <si>
    <t>The Last Flame</t>
  </si>
  <si>
    <t>the-last-flame</t>
  </si>
  <si>
    <t>The Last Game</t>
  </si>
  <si>
    <t>the-last-game</t>
  </si>
  <si>
    <t>https://store.steampowered.com/app/2563800/The_Last_Game/</t>
  </si>
  <si>
    <t>The Last Spell</t>
  </si>
  <si>
    <t>the-last-spell</t>
  </si>
  <si>
    <t>C:\Users\Owner\Documents\Roguelike Roguelike\Roguelikes\The Last Spell.url</t>
  </si>
  <si>
    <t>https://store.steampowered.com/app/1105670/The_Last_Spell/</t>
  </si>
  <si>
    <t>The Legend of Bum-Bo</t>
  </si>
  <si>
    <t>the-legend-of-bum-bo</t>
  </si>
  <si>
    <t>C:\Users\Owner\Documents\Roguelike Roguelike\Roguelikes\The Legend of Bum-Bo.url</t>
  </si>
  <si>
    <t>https://store.steampowered.com/app/1148650/The_Legend_of_BumBo/</t>
  </si>
  <si>
    <t>The Nightmare of Druaga</t>
  </si>
  <si>
    <t>the-nightmare-of-druaga</t>
  </si>
  <si>
    <t>C:\Users\Owner\Documents\Roguelike Roguelike\Roguelikes\The Nightmare of Druaga.lnk</t>
  </si>
  <si>
    <t>The Ouroboros King</t>
  </si>
  <si>
    <t>the-ouroboros-king</t>
  </si>
  <si>
    <t>C:\Users\Owner\Documents\Roguelike Roguelike\Roguelikes\The Ouroboros King.url</t>
  </si>
  <si>
    <t>https://store.steampowered.com/app/2096510/The_Ouroboros_King/</t>
  </si>
  <si>
    <t>The Rogue Prince of Persia</t>
  </si>
  <si>
    <t>the-rogue-prince-of-persia</t>
  </si>
  <si>
    <t>C:\Users\Owner\Documents\Roguelike Roguelike\Roguelikes\The Rogue Prince of Persia.url</t>
  </si>
  <si>
    <t>https://store.steampowered.com/app/2717880/The_Rogue_Prince_of_Persia/</t>
  </si>
  <si>
    <t>The Royal Writ</t>
  </si>
  <si>
    <t>the-royal-writ</t>
  </si>
  <si>
    <t>The Spell Brigade</t>
  </si>
  <si>
    <t>the-spell-brigade</t>
  </si>
  <si>
    <t>The Spirit Lift</t>
  </si>
  <si>
    <t>the-spirit-lift</t>
  </si>
  <si>
    <t>C:\Users\Owner\Documents\Roguelike Roguelike\Roguelikes\THE SPIRIT LIFT.url</t>
  </si>
  <si>
    <t>https://store.steampowered.com/app/1727590/THE_SPIRIT_LIFT/</t>
  </si>
  <si>
    <t>The Unliving</t>
  </si>
  <si>
    <t>the-unliving</t>
  </si>
  <si>
    <t>C:\Users\Owner\Documents\Roguelike Roguelike\Roguelikes\The Unliving.url</t>
  </si>
  <si>
    <t>https://store.steampowered.com/app/986040/The_Unliving/</t>
  </si>
  <si>
    <t>The Void Rains Upon Her Heart</t>
  </si>
  <si>
    <t>the-void-rains-upon-her-heart</t>
  </si>
  <si>
    <t>The World is Your Weapon</t>
  </si>
  <si>
    <t>the-world-is-your-weapon</t>
  </si>
  <si>
    <t>https://store.steampowered.com/app/1056490/The_World_is_Your_Weapon/</t>
  </si>
  <si>
    <t>There Are No Orcs</t>
  </si>
  <si>
    <t>there-are-no-orcs</t>
  </si>
  <si>
    <t>Tic Tactic</t>
  </si>
  <si>
    <t>tic-tactic</t>
  </si>
  <si>
    <t>Time Survivors</t>
  </si>
  <si>
    <t>time-survivors</t>
  </si>
  <si>
    <t>https://store.steampowered.com/app/2211390/Time_Survivors/</t>
  </si>
  <si>
    <t>Time Wasters</t>
  </si>
  <si>
    <t>time-wasters</t>
  </si>
  <si>
    <t>C:\Users\Owner\Documents\Roguelike Roguelike\Roguelikes\Time Wasters.url</t>
  </si>
  <si>
    <t>https://store.steampowered.com/app/1290330/Time_Wasters/</t>
  </si>
  <si>
    <t>Tiny Auto Knights</t>
  </si>
  <si>
    <t>tiny-auto-knights</t>
  </si>
  <si>
    <t>https://store.steampowered.com/app/3405540/Tiny_Auto_Knights</t>
  </si>
  <si>
    <t>Tiny Rogues</t>
  </si>
  <si>
    <t>tiny-rogues</t>
  </si>
  <si>
    <t>C:\Users\Owner\Documents\Roguelike Roguelike\Roguelikes\Tiny Rogues.url</t>
  </si>
  <si>
    <t>https://store.steampowered.com/app/2088570/Tiny_Rogues/</t>
  </si>
  <si>
    <t>Tinyfolks</t>
  </si>
  <si>
    <t>tinyfolks</t>
  </si>
  <si>
    <t>C:\Users\Owner\Documents\Roguelike Roguelike\Roguelikes\Tinyfolks.url</t>
  </si>
  <si>
    <t>https://store.steampowered.com/app/1909420/Tinyfolks/</t>
  </si>
  <si>
    <t>ToeJam &amp; Earl</t>
  </si>
  <si>
    <t>toejam-earl</t>
  </si>
  <si>
    <t>C:\Users\Owner\Documents\Roguelike Roguelike\Roguelikes\ToeJam &amp; Earl.lnk</t>
  </si>
  <si>
    <t>ToeJam &amp; Earl: Back in the Groove!</t>
  </si>
  <si>
    <t>toejam-earl-back-in-the-groove</t>
  </si>
  <si>
    <t>TombStar</t>
  </si>
  <si>
    <t>tombstar</t>
  </si>
  <si>
    <t>C:\Users\Owner\Documents\Roguelike Roguelike\Roguelikes\TombStar.url</t>
  </si>
  <si>
    <t>https://store.steampowered.com/app/1165470/TombStar/</t>
  </si>
  <si>
    <t>Torneko: The Last Hope</t>
  </si>
  <si>
    <t>torneko-the-last-hope</t>
  </si>
  <si>
    <t>C:\Users\Owner\Documents\Roguelike Roguelike\Roguelikes\Torneko - The Last Hope.lnk</t>
  </si>
  <si>
    <t>Torneko's Great Adventure 3</t>
  </si>
  <si>
    <t>tornekos-great-adventure-3</t>
  </si>
  <si>
    <t>C:\Users\Owner\Documents\Roguelike Roguelike\Roguelikes\Torneko's Great Adventure 3.lnk</t>
  </si>
  <si>
    <t>Torneko's Great Adventure: Mystery Dungeon</t>
  </si>
  <si>
    <t>tornekos-great-adventure-mystery-dungeon</t>
  </si>
  <si>
    <t>C:\Users\Owner\Documents\Roguelike Roguelike\Roguelikes\Torneko's Great Adventure Mystery Dungeon.lnk</t>
  </si>
  <si>
    <t>Touhou Crawl</t>
  </si>
  <si>
    <t>touhou-crawl</t>
  </si>
  <si>
    <t>C:\Users\Owner\Documents\Roguelike Roguelike\Roguelikes\Touhou Crawl.url</t>
  </si>
  <si>
    <t>https://store.steampowered.com/app/3601130/Touhou_Crawl/</t>
  </si>
  <si>
    <t>Touhou Genso Wanderer: Foresight</t>
  </si>
  <si>
    <t>touhou-genso-wanderer-foresight</t>
  </si>
  <si>
    <t>https://store.steampowered.com/app/1847150/Touhou_Genso_Wanderer_FORESIGHT/</t>
  </si>
  <si>
    <t>Touhou Genso Wanderer: Lotus Labyrinth R</t>
  </si>
  <si>
    <t>touhou-genso-wanderer-lotus-labyrinth-r</t>
  </si>
  <si>
    <t>https://store.steampowered.com/app/1005120/Touhou_Genso_Wanderer_Lotus_Labyrinth_R/</t>
  </si>
  <si>
    <t>Touhou: Lost Branch of Legend</t>
  </si>
  <si>
    <t>touhou-lost-branch-of-legend</t>
  </si>
  <si>
    <t>Tower Dominion</t>
  </si>
  <si>
    <t>tower-dominion</t>
  </si>
  <si>
    <t>Tower Escape</t>
  </si>
  <si>
    <t>tower-escape</t>
  </si>
  <si>
    <t>C:\Users\Owner\Documents\Roguelike Roguelike\Roguelikes\Tower Escape.url</t>
  </si>
  <si>
    <t>https://store.steampowered.com/app/2009860/Tower_Escape/</t>
  </si>
  <si>
    <t>Tower Factory</t>
  </si>
  <si>
    <t>tower-factory</t>
  </si>
  <si>
    <t>Tower Fortress</t>
  </si>
  <si>
    <t>tower-fortress</t>
  </si>
  <si>
    <t>https://store.steampowered.com/app/593700/Tower_Fortress/</t>
  </si>
  <si>
    <t>Tower of Guns</t>
  </si>
  <si>
    <t>tower-of-guns</t>
  </si>
  <si>
    <t>C:\Users\Owner\Documents\Roguelike Roguelike\Roguelikes\Tower of Guns.url</t>
  </si>
  <si>
    <t>https://store.steampowered.com/app/266110/Tower_of_Guns/</t>
  </si>
  <si>
    <t>Tower Tactics: Liberation</t>
  </si>
  <si>
    <t>tower-tactics-liberation</t>
  </si>
  <si>
    <t>C:\Users\Owner\Documents\Roguelike Roguelike\Roguelikes\Tower Tactics Liberation.url</t>
  </si>
  <si>
    <t>https://store.steampowered.com/app/1709900/Tower_Tactics_Liberation/</t>
  </si>
  <si>
    <t>Toy Smash Kaboom!</t>
  </si>
  <si>
    <t>toy-smash-kaboom</t>
  </si>
  <si>
    <t>Trials of Fire</t>
  </si>
  <si>
    <t>trials-of-fire</t>
  </si>
  <si>
    <t>https://store.steampowered.com/app/1038370/Trials_of_Fire/</t>
  </si>
  <si>
    <t>TumbleSeed</t>
  </si>
  <si>
    <t>tumbleseed</t>
  </si>
  <si>
    <t>https://store.steampowered.com/app/457890/TumbleSeed/</t>
  </si>
  <si>
    <t>Turnbound</t>
  </si>
  <si>
    <t>turnbound</t>
  </si>
  <si>
    <t>https://store.steampowered.com/app/3802470/Turnbound/</t>
  </si>
  <si>
    <t>Tyrant's Realm</t>
  </si>
  <si>
    <t>tyrants-realm</t>
  </si>
  <si>
    <t>https://store.steampowered.com/app/2259260/Tyrants_Realm/</t>
  </si>
  <si>
    <t>Ultima Ratio Regum</t>
  </si>
  <si>
    <t>ultima-ratio-regum</t>
  </si>
  <si>
    <t>Ultimate ADOM</t>
  </si>
  <si>
    <t>ultimate-adom</t>
  </si>
  <si>
    <t>C:\Users\Owner\Documents\Roguelike Roguelike\Roguelikes\Ultimate ADOM - Caverns of Chaos.url</t>
  </si>
  <si>
    <t>https://store.steampowered.com/app/1266820/Ultimate_ADOM__Caverns_of_Chaos/</t>
  </si>
  <si>
    <t>Uma Musume: Pretty Derby</t>
  </si>
  <si>
    <t>anime, gacha, racing</t>
  </si>
  <si>
    <t>uma-musume-pretty-derby</t>
  </si>
  <si>
    <t>C:\Users\Owner\Documents\Roguelike Roguelike\Roguelikes\Umamusume Pretty Derby.url</t>
  </si>
  <si>
    <t>https://store.steampowered.com/app/3224770/Umamusume_Pretty_Derby/</t>
  </si>
  <si>
    <t>Underdogs</t>
  </si>
  <si>
    <t>underdogs</t>
  </si>
  <si>
    <t>UnderMine</t>
  </si>
  <si>
    <t>undermine</t>
  </si>
  <si>
    <t>C:\Users\Owner\Documents\Roguelike Roguelike\Roguelikes\UnderMine.url</t>
  </si>
  <si>
    <t>https://store.steampowered.com/app/656350/UnderMine/</t>
  </si>
  <si>
    <t>UnderMine 2</t>
  </si>
  <si>
    <t>undermine-2</t>
  </si>
  <si>
    <t>Unexplored</t>
  </si>
  <si>
    <t>unexplored</t>
  </si>
  <si>
    <t>Unexplored 2: The Wayfarer's Legacy</t>
  </si>
  <si>
    <t>unexplored-2-the-wayfarers-legacy</t>
  </si>
  <si>
    <t>UnReal World</t>
  </si>
  <si>
    <t>unreal-world</t>
  </si>
  <si>
    <t>C:\Users\Owner\Documents\Roguelike Roguelike\Roguelikes\UnReal World.url</t>
  </si>
  <si>
    <t>https://store.steampowered.com/app/351700/UnReal_World/</t>
  </si>
  <si>
    <t>Vagante</t>
  </si>
  <si>
    <t>vagante</t>
  </si>
  <si>
    <t>Vampire Crawlers</t>
  </si>
  <si>
    <t>vampire-crawlers</t>
  </si>
  <si>
    <t>Vampire Hunters</t>
  </si>
  <si>
    <t>vampire-hunters</t>
  </si>
  <si>
    <t>C:\Users\Owner\Documents\Roguelike Roguelike\Roguelikes\Vampire Hunters.url</t>
  </si>
  <si>
    <t>https://store.steampowered.com/app/2206270/Vampire_Hunters/</t>
  </si>
  <si>
    <t>Vampire Survivors</t>
  </si>
  <si>
    <t>vampire-survivors</t>
  </si>
  <si>
    <t>C:\Users\Owner\Documents\Roguelike Roguelike\Roguelikes\Vampire Survivors.url</t>
  </si>
  <si>
    <t>https://store.steampowered.com/app/1794680/Vampire_Survivors/</t>
  </si>
  <si>
    <t>Vault of the Void</t>
  </si>
  <si>
    <t>vault-of-the-void</t>
  </si>
  <si>
    <t>C:\Users\Owner\Documents\Roguelike Roguelike\Roguelikes\Vault of the Void.url</t>
  </si>
  <si>
    <t>https://store.steampowered.com/app/1135810/Vault_of_the_Void/</t>
  </si>
  <si>
    <t>Vellum</t>
  </si>
  <si>
    <t>vellum</t>
  </si>
  <si>
    <t>Vital Shell</t>
  </si>
  <si>
    <t>vital-shell</t>
  </si>
  <si>
    <t>C:\Users\Owner\Documents\Roguelike Roguelike\Roguelikes\Vital Shell.url</t>
  </si>
  <si>
    <t>https://store.steampowered.com/app/3741860/Vital_Shell/</t>
  </si>
  <si>
    <t>Vivid Knight</t>
  </si>
  <si>
    <t>vivid-knight</t>
  </si>
  <si>
    <t>Vivid World</t>
  </si>
  <si>
    <t>vivid-world</t>
  </si>
  <si>
    <t>Voice of Belldona</t>
  </si>
  <si>
    <t>voice-of-belldona</t>
  </si>
  <si>
    <t>Void Bastards</t>
  </si>
  <si>
    <t>void-bastards</t>
  </si>
  <si>
    <t>C:\Users\Owner\Documents\Roguelike Roguelike\Roguelikes\Void Bastards.url</t>
  </si>
  <si>
    <t>https://store.steampowered.com/app/857980/Void_Bastards/</t>
  </si>
  <si>
    <t>Void Scrappers</t>
  </si>
  <si>
    <t>void-scrappers</t>
  </si>
  <si>
    <t>C:\Users\Owner\Documents\Roguelike Roguelike\Roguelikes\Void Scrappers.url</t>
  </si>
  <si>
    <t>https://store.steampowered.com/app/2005210/Void_Scrappers/</t>
  </si>
  <si>
    <t>Void War</t>
  </si>
  <si>
    <t>void-war</t>
  </si>
  <si>
    <t>Voidigo</t>
  </si>
  <si>
    <t>voidigo</t>
  </si>
  <si>
    <t>C:\Users\Owner\Documents\Roguelike Roguelike\Roguelikes\Voidigo.url</t>
  </si>
  <si>
    <t>https://store.steampowered.com/app/1304680/Voidigo/</t>
  </si>
  <si>
    <t>Voids Vigil</t>
  </si>
  <si>
    <t>voids-vigil</t>
  </si>
  <si>
    <t>Voin</t>
  </si>
  <si>
    <t>voin</t>
  </si>
  <si>
    <t>https://store.steampowered.com/app/2464530/VOIN/</t>
  </si>
  <si>
    <t>Waku Waku Puyo Puyo Dungeon</t>
  </si>
  <si>
    <t>waku-waku-poyo-poyo-dungeon</t>
  </si>
  <si>
    <t>C:\Users\Owner\Documents\Roguelike Roguelike\Roguelikes\Waku Waku Puyo Puyo Dungeon.lnk</t>
  </si>
  <si>
    <t>Wall World</t>
  </si>
  <si>
    <t>wall-world</t>
  </si>
  <si>
    <t>C:\Users\Owner\Documents\Roguelike Roguelike\Roguelikes\Wall World.url</t>
  </si>
  <si>
    <t>https://store.steampowered.com/app/2187290/Wall_World/</t>
  </si>
  <si>
    <t>Wall World 2</t>
  </si>
  <si>
    <t>wall-world-2</t>
  </si>
  <si>
    <t>Warhammer Survivors</t>
  </si>
  <si>
    <t>warhammer-survivors</t>
  </si>
  <si>
    <t>WarpVector</t>
  </si>
  <si>
    <t>warpvector</t>
  </si>
  <si>
    <t>Warriors: Abyss</t>
  </si>
  <si>
    <t>warriors-abyss</t>
  </si>
  <si>
    <t>C:\Users\Owner\Documents\Roguelike Roguelike\Roguelikes\WARRIORS Abyss.url</t>
  </si>
  <si>
    <t>https://store.steampowered.com/app/3178350/WARRIORS_Abyss/</t>
  </si>
  <si>
    <t>Warsim: The Realm of Aslona</t>
  </si>
  <si>
    <t>warsim-the-realm-of-aslona</t>
  </si>
  <si>
    <t>C:\Users\Owner\Documents\Roguelike Roguelike\Roguelikes\Warsim The Realm of Aslona.url</t>
  </si>
  <si>
    <t>https://store.steampowered.com/app/659540/Warsim_The_Realm_of_Aslona/</t>
  </si>
  <si>
    <t>Wayward</t>
  </si>
  <si>
    <t>wayward</t>
  </si>
  <si>
    <t>WazHack</t>
  </si>
  <si>
    <t>wazhack</t>
  </si>
  <si>
    <t>C:\Users\Owner\Documents\Roguelike Roguelike\Roguelikes\WazHack.url</t>
  </si>
  <si>
    <t>https://store.steampowered.com/app/264160/WazHack/</t>
  </si>
  <si>
    <t>We Need To Go Deeper</t>
  </si>
  <si>
    <t>we-need-to-go-deeper</t>
  </si>
  <si>
    <t>C:\Users\Owner\Documents\Roguelike Roguelike\Roguelikes\We Need To Go Deeper.url</t>
  </si>
  <si>
    <t>https://store.steampowered.com/app/307110/We_Need_To_Go_Deeper/</t>
  </si>
  <si>
    <t>Weird Worlds: Return to Infinite Space</t>
  </si>
  <si>
    <t>weird-worlds-return-to-infinite-space</t>
  </si>
  <si>
    <t>C:\Users\Owner\Documents\Roguelike Roguelike\Roguelikes\Weird Worlds Return to Infinite Space.url</t>
  </si>
  <si>
    <t>https://store.steampowered.com/app/226120/Weird_Worlds_Return_to_Infinite_Space/</t>
  </si>
  <si>
    <t>West of Dead</t>
  </si>
  <si>
    <t>west-of-dead</t>
  </si>
  <si>
    <t>C:\Users\Owner\Documents\Roguelike Roguelike\Roguelikes\West of Dead.url</t>
  </si>
  <si>
    <t>https://store.steampowered.com/app/1016790/West_of_Dead/</t>
  </si>
  <si>
    <t>Whisker Squadron: Survivor</t>
  </si>
  <si>
    <t>whisker-squadron-survivor</t>
  </si>
  <si>
    <t>White Knuckle</t>
  </si>
  <si>
    <t>white-knuckle</t>
  </si>
  <si>
    <t>Wild Bastards</t>
  </si>
  <si>
    <t>wild-bastards</t>
  </si>
  <si>
    <t>Wildermyth</t>
  </si>
  <si>
    <t>wildermyth</t>
  </si>
  <si>
    <t>Wildfrost</t>
  </si>
  <si>
    <t>wildfrost</t>
  </si>
  <si>
    <t>C:\Users\Owner\Documents\Roguelike Roguelike\Roguelikes\Wildfrost.url</t>
  </si>
  <si>
    <t>https://store.steampowered.com/app/1811990/Wildfrost/</t>
  </si>
  <si>
    <t>Windblown</t>
  </si>
  <si>
    <t>windblown</t>
  </si>
  <si>
    <t>Winnie's Hole</t>
  </si>
  <si>
    <t>winnies-hole</t>
  </si>
  <si>
    <t>Wireworks</t>
  </si>
  <si>
    <t>wireworks</t>
  </si>
  <si>
    <t>https://store.steampowered.com/app/4206270/Wireworks/</t>
  </si>
  <si>
    <t>Witchfire</t>
  </si>
  <si>
    <t>witchfire</t>
  </si>
  <si>
    <t>https://store.steampowered.com/app/3156770/Witchfire/</t>
  </si>
  <si>
    <t>Witch's Apocalyptic Journey</t>
  </si>
  <si>
    <t>witchs-apocalyptic-journey</t>
  </si>
  <si>
    <t>Wizard of Legend</t>
  </si>
  <si>
    <t>wizard-of-legend</t>
  </si>
  <si>
    <t>C:\Users\Owner\Documents\Roguelike Roguelike\Roguelikes\Wizard of Legend.url</t>
  </si>
  <si>
    <t>https://store.steampowered.com/app/445980/Wizard_of_Legend/</t>
  </si>
  <si>
    <t>Wizard of Legend 2</t>
  </si>
  <si>
    <t>wizard-of-legend-2</t>
  </si>
  <si>
    <t>C:\Users\Owner\Documents\Roguelike Roguelike\Roguelikes\Wizard of Legend 2.url</t>
  </si>
  <si>
    <t>https://store.steampowered.com/app/2193540/Wizard_of_Legend_2/</t>
  </si>
  <si>
    <t>WizardChess</t>
  </si>
  <si>
    <t>wizardchess</t>
  </si>
  <si>
    <t>C:\Users\Owner\Documents\Roguelike Roguelike\Roguelikes\WizardChess.url</t>
  </si>
  <si>
    <t>https://store.steampowered.com/app/1274210/WizardChess/</t>
  </si>
  <si>
    <t>Word Play</t>
  </si>
  <si>
    <t>word-play</t>
  </si>
  <si>
    <t>Wordatro!</t>
  </si>
  <si>
    <t>wordatro</t>
  </si>
  <si>
    <t>C:\Users\Owner\Documents\Roguelike Roguelike\Roguelikes\Wordatro!.url</t>
  </si>
  <si>
    <t>https://store.steampowered.com/app/3140120/Wordatro/</t>
  </si>
  <si>
    <t>Words Can Kill</t>
  </si>
  <si>
    <t>words-can-kill</t>
  </si>
  <si>
    <t>C:\Users\Owner\Documents\Roguelike Roguelike\Roguelikes\Words Can Kill.url</t>
  </si>
  <si>
    <t>https://store.steampowered.com/app/1732090/Words_Can_Kill/</t>
  </si>
  <si>
    <t>Worlds Upon The Wind</t>
  </si>
  <si>
    <t>worlds-upon-the-wind</t>
  </si>
  <si>
    <t>https://store.steampowered.com/app/3640430/Worlds_Upon_The_Wind/</t>
  </si>
  <si>
    <t>Yasha: Legends of the Demon Blade</t>
  </si>
  <si>
    <t>yasha-legends-of-the-demon-blade</t>
  </si>
  <si>
    <t>Yet Another Zombie Survivors</t>
  </si>
  <si>
    <t>yet-another-zombie-survivors</t>
  </si>
  <si>
    <t>C:\Users\Owner\Documents\Roguelike Roguelike\Roguelikes\Yet Another Zombie Survivors.url</t>
  </si>
  <si>
    <t>https://store.steampowered.com/app/2163330/Yet_Another_Zombie_Survivors/</t>
  </si>
  <si>
    <t>Yohane the Parhelion: Numazu in the Mirage</t>
  </si>
  <si>
    <t>yohane-the-parhelion-numazu-in-the-mirage</t>
  </si>
  <si>
    <t>C:\Users\Owner\Documents\Roguelike Roguelike\Roguelikes\Yohane the Parhelion - NUMAZU in the MIRAGE -.url</t>
  </si>
  <si>
    <t>https://store.steampowered.com/app/2459750/Yohane_the_Parhelion__NUMAZU_in_the_MIRAGE/</t>
  </si>
  <si>
    <t>Youdanji</t>
  </si>
  <si>
    <t>youdanji</t>
  </si>
  <si>
    <t>Z.H.P. Unlosing Ranger VS Darkdeath Evilman</t>
  </si>
  <si>
    <t>z-h-p-unlosing-ranger-vs-darkdeath-evilman</t>
  </si>
  <si>
    <t>C:\Users\Owner\Documents\Roguelike Roguelike\Roguelikes\Z.H.P. Unlosing Ranger VS Darkdeath Evilman.lnk</t>
  </si>
  <si>
    <t>https://store.steampowered.com/app/1732070/ZHP_Unlosing_Ranger_vs_Darkdeath_Evilman/</t>
  </si>
  <si>
    <t>Zangband</t>
  </si>
  <si>
    <t>zangband</t>
  </si>
  <si>
    <t>C:\Users\Owner\Documents\Roguelike Roguelike\Roguelikes\Zangband.lnk</t>
  </si>
  <si>
    <t>Zet Zillions</t>
  </si>
  <si>
    <t>zet-zillions</t>
  </si>
  <si>
    <t>C:\Users\Owner\Documents\Roguelike Roguelike\Roguelikes\Zet Zillions.url</t>
  </si>
  <si>
    <t>https://store.steampowered.com/app/2229560/Zet_Zillions/</t>
  </si>
  <si>
    <t>Ziggurat</t>
  </si>
  <si>
    <t>ziggurat</t>
  </si>
  <si>
    <t>C:\Users\Owner\Documents\Roguelike Roguelike\Roguelikes\Ziggurat.url</t>
  </si>
  <si>
    <t>https://store.steampowered.com/app/308420/Ziggurat/</t>
  </si>
  <si>
    <t>Ziggurat 2</t>
  </si>
  <si>
    <t>ziggurat-2</t>
  </si>
  <si>
    <t>C:\Users\Owner\Documents\Roguelike Roguelike\Roguelikes\Ziggurat 2.url</t>
  </si>
  <si>
    <t>https://store.steampowered.com/app/1159560/Ziggurat_2/</t>
  </si>
  <si>
    <t>ZMAngband</t>
  </si>
  <si>
    <t>zmangband</t>
  </si>
  <si>
    <t>C:\Users\Owner\Documents\Roguelike Roguelike\Roguelikes\ZMAngband.lnk</t>
  </si>
  <si>
    <t>Zoeti</t>
  </si>
  <si>
    <t>zoeti</t>
  </si>
  <si>
    <t>C:\Users\Owner\Documents\Roguelike Roguelike\Roguelikes\Zoeti.url</t>
  </si>
  <si>
    <t>https://store.steampowered.com/app/1434540/Zoeti/</t>
  </si>
  <si>
    <t>Zoominoes</t>
  </si>
  <si>
    <t>zoominoes</t>
  </si>
  <si>
    <t>https://store.steampowered.com/app/3282420/Zoominoes/</t>
  </si>
  <si>
    <t>Zorbus</t>
  </si>
  <si>
    <t>zorbus</t>
  </si>
  <si>
    <t>C:\Users\Owner\Documents\Roguelike Roguelike\Roguelikes\Zorbus.url</t>
  </si>
  <si>
    <t>https://store.steampowered.com/app/2125420/Zorbus/</t>
  </si>
  <si>
    <t>Influencer</t>
  </si>
  <si>
    <t>Influencee</t>
  </si>
  <si>
    <t>Influencer Time</t>
  </si>
  <si>
    <t>Dev/Series Relation</t>
  </si>
  <si>
    <t>Source</t>
  </si>
  <si>
    <t>https://www.reddit.com/r/nintendo/comments/54vjq6/ama_im_david_the_developer_of_quest_of_dungeons/</t>
  </si>
  <si>
    <t>check folder</t>
  </si>
  <si>
    <t>https://steamcommunity.com/app/1461910/discussions/0/3363649332031630216/?l=finnish</t>
  </si>
  <si>
    <t>https://x.com/mumpitzgames/status/1925572756806017381</t>
  </si>
  <si>
    <t>https://store.steampowered.com/app/3333700/The_Royal_Writ/</t>
  </si>
  <si>
    <t>https://www.akuparagames.com/2026/06/09/meeting-mankibo-the-team-behind-montabi/</t>
  </si>
  <si>
    <t>https://www.reddit.com/r/roguelikes/comments/1kanmof/crablike_an_underwater_dungeon_crawler/</t>
  </si>
  <si>
    <t>https://www.youtube.com/watch?v=JXv8hQguGCI</t>
  </si>
  <si>
    <t>https://frozendepths.net/roguelike/info.php</t>
  </si>
  <si>
    <t>https://roguebasin.com/index.php/GearHead_Caramel</t>
  </si>
  <si>
    <t>https://zenorogue.blogspot.com/search/label/sources</t>
  </si>
  <si>
    <t>game credits</t>
  </si>
  <si>
    <t>https://roguebasin.com/index.php/LambdaRogue</t>
  </si>
  <si>
    <t>http://www.zincland.com/powder/?pagename=about</t>
  </si>
  <si>
    <t>https://www.patreon.com/roguempire/about</t>
  </si>
  <si>
    <t>https://www.shadowofthewyrm.org/about.html</t>
  </si>
  <si>
    <t>https://x.com/ArturSmiarowski/status/1870390372389597210</t>
  </si>
  <si>
    <t>https://www.roguebasin.com/index.php/Sproggiwood</t>
  </si>
  <si>
    <t>https://www.kickstarter.com/projects/1926605606/stoneshard-open-world-roguelike-rpg-with-tactical</t>
  </si>
  <si>
    <t>https://x.com/tametick/status/1202248124221272064</t>
  </si>
  <si>
    <t>https://roguebasin.com/index.php/Crablike</t>
  </si>
  <si>
    <t>https://roguebasin.com/index.php?title=Diablo</t>
  </si>
  <si>
    <t>https://roguebasin.com/index.php/Sil</t>
  </si>
  <si>
    <t>https://roguebasin.com/index.php/The_Ground_Gives_Way</t>
  </si>
  <si>
    <t>https://roguebasin.com/index.php/Zangband</t>
  </si>
  <si>
    <t>https://roguebasin.com/index.php/ZMAngband</t>
  </si>
  <si>
    <t>https://steamcommunity.com/app/1830970/discussions/0/6660355571253835571/</t>
  </si>
  <si>
    <t>https://www.youtube.com/watch?v=kYUYXX5vdkU</t>
  </si>
  <si>
    <t>http://www.roguelikeradio.com/2019/02/episode-151-haque.html</t>
  </si>
  <si>
    <t>https://x.com/GrimorioG/status/1213196249509376001?s=20</t>
  </si>
  <si>
    <t>https://www.reddit.com/r/IndieGaming/comments/1iooyqr/roguelike_autobattler_cute_creatures_what_do_you/</t>
  </si>
  <si>
    <t>https://codetheory.itch.io/lootplot-playtest#:~:text=A%20downloadable%20game%20for%20Windows,it%20to%20the%20next%20round.</t>
  </si>
  <si>
    <t>look at it</t>
  </si>
  <si>
    <t>https://youtu.be/DY-KwfFTU9g</t>
  </si>
  <si>
    <t>https://www.reddit.com/r/IndieGaming/comments/13vr0mm/comment/jm7alk0/?context=3</t>
  </si>
  <si>
    <t>https://x.com/Mudita_Games/status/1988179400454500794</t>
  </si>
  <si>
    <t>https://steamcommunity.com/app/1494560/discussions/0/4335355681660890217/#c4335355681661031211</t>
  </si>
  <si>
    <t>developer is a big balatro fan, decks and cards resemble balatro</t>
  </si>
  <si>
    <t>https://store.steampowered.com/app/3823370/Beyond_Words/</t>
  </si>
  <si>
    <t>https://youtu.be/HyhYA69y62c</t>
  </si>
  <si>
    <t>https://forum.gamemaker.io/index.php?threads/cats-dice-a-big-number-dice-building-roguelike-inspired-by-games-such-as-balatro-and-slice-dice.114871/</t>
  </si>
  <si>
    <t>https://x.com/CraftmosGames/status/2032372023327146439?s=20</t>
  </si>
  <si>
    <t>https://www.gamespress.com/Solo-Developer-Bigosaur-Launches-Basketball-Roguelike-Clutchtime-Baske#:~:text=With%20inspirations%20from%20hometown%20superstars%20Nikola%20Joki%C4%87%2C,passion%20project%20using%20basketball%20as%20the%20medium.</t>
  </si>
  <si>
    <t>https://www.reddit.com/r/roguelites/comments/1u78c4e/2_years_later_my_solo_pinball_roguelike_project/</t>
  </si>
  <si>
    <t>https://www.youtube.com/watch?v=7SjRhK9wdEE</t>
  </si>
  <si>
    <t>https://rocketadrift.itch.io/dead-finger-dice-a-billionaire-killing-game/devlog/963841/dead-finger-dice-demo-out-now</t>
  </si>
  <si>
    <t>https://store.steampowered.com/app/3035330/Dicealot/</t>
  </si>
  <si>
    <t>https://www.reddit.com/r/IndieGaming/comments/1pjdyue/bucket_list_item_complete_presenting_at_day_of/</t>
  </si>
  <si>
    <t>clear influence but also check folder, he clearly plays it and made a game like it</t>
  </si>
  <si>
    <t>https://www.pocketgamer.com/gambonanza/developer-interview/</t>
  </si>
  <si>
    <t>https://bscotch.itch.io/how-many-dudes</t>
  </si>
  <si>
    <t>https://www.youtube.com/watch?v=txv0XsRrFwo</t>
  </si>
  <si>
    <t>https://x.com/PlayLuckyShot/status/2084999450808782908</t>
  </si>
  <si>
    <t>https://www.youtube.com/watch?v=cjh1J2AuT_4</t>
  </si>
  <si>
    <t>https://store.steampowered.com/app/3205380/Omelet_You_Cook/</t>
  </si>
  <si>
    <t>https://www.reddit.com/r/IndieGaming/comments/1h0aag9/passant_is_a_chess_roguelike_where_you_build_your/ / mentioned on discord he went back to an old project after playing balatro</t>
  </si>
  <si>
    <t>https://x.com/MrMorrisGames/status/2030327854383190254</t>
  </si>
  <si>
    <t>https://retconmagazine.com/how-raccoin-a-game-about-watching-a-machine-push-coins-came-to-life-interview/</t>
  </si>
  <si>
    <t>https://x.com/brainoidgames/status/1925653290278121609</t>
  </si>
  <si>
    <t>https://www.reddit.com/r/godot/comments/1lo0rfm/14_months_of_work_on_my_1st_game_demo_is_now/#:~:text=Demo%20is%20now%20available!,-selfpromo%20(games)&amp;text=This%20video%20cannot%20be%20played.&amp;text=Hi%20fellow%20devs%2C%20I'm,it%20to%20get%20notified%20:)</t>
  </si>
  <si>
    <t>https://steamcommunity.com/games/2904290/announcements/detail/4185610799649293674#:~:text=RollScape%20is%20a%20game%20inspired,I%20played%20throughout%20the%20years.</t>
  </si>
  <si>
    <t>https://x.com/CLLC_studio/status/1925866594078453892</t>
  </si>
  <si>
    <t>https://www.reddit.com/r/pcgaming/comments/1ix1kj1/we_are_the_developers_of_runeborn_a_dark_fantasy/#:~:text=%2C%20say%2C%20Arco?-,RunebornGame,make%20it%20even%20more%20unique.</t>
  </si>
  <si>
    <t>https://www.reddit.com/r/deckbuildingroguelike/comments/1qszp8o/runeveil_sts_meets_balatro_is_on_steam/</t>
  </si>
  <si>
    <t>duh</t>
  </si>
  <si>
    <t>https://store.steampowered.com/app/3496890/Slot_or_Not/</t>
  </si>
  <si>
    <t>https://www.reddit.com/r/Games/comments/1giltps/sodaman_tape_corps_balatro_inspired_roguelite/</t>
  </si>
  <si>
    <t>https://www.youtube.com/watch?v=ZVQBDWbGPIg</t>
  </si>
  <si>
    <t>https://store.steampowered.com/app/2902440/Steves_Warehouse_Physics_Roguelike_Chaos/</t>
  </si>
  <si>
    <t>Mentioned multiple times in discord, not an inspiration to start the game, but helped out during development, check folder</t>
  </si>
  <si>
    <t>https://gmtk.substack.com/p/how-i-made-word-play</t>
  </si>
  <si>
    <t>….......</t>
  </si>
  <si>
    <t>https://www.youtube.com/watch?v=9MTnAtXsJn0</t>
  </si>
  <si>
    <t>https://legendofkeepers.fandom.com/wiki/Legend_of_Keepers</t>
  </si>
  <si>
    <t>https://gamerant.com/the-last-spell-game-interview-launch-dlc/#:~:text=The%20Last%20Spell's%20unique%20blend,build%20characters%20however%20they%20want.</t>
  </si>
  <si>
    <t>https://youtu.be/VGMszILvj78</t>
  </si>
  <si>
    <t>https://www.ign.com/articles/claim-a-key-for-hellcard-the-turn-based-deckbuilding-rogue-lite-from-book-of-demons-developer</t>
  </si>
  <si>
    <t>https://steamcommunity.com/app/1823390/discussions/2/6893400166994423780/</t>
  </si>
  <si>
    <t>https://roguebasin.com/index.php/Labyrinth_of_Legendary_Loot</t>
  </si>
  <si>
    <t>https://roguebasin.com/index.php/Pixel_Dungeon</t>
  </si>
  <si>
    <t>https://roguebasin.com/index.php/ROGUE-FP</t>
  </si>
  <si>
    <t>https://steamcommunity.com/app/371430/discussions/0/494631967651210890/#c494631967651765393</t>
  </si>
  <si>
    <t>https://steamcommunity.com/app/506870/discussions/0/1354868867726398236/</t>
  </si>
  <si>
    <t>https://www.youtube.com/watch?v=G8e_zxWb3QA</t>
  </si>
  <si>
    <t>https://steamcommunity.com/app/3100310/discussions/0/735910198043224446/#c735910198043297427</t>
  </si>
  <si>
    <t>https://caifuhao.eastmoney.com/news/20260725235351583816280</t>
  </si>
  <si>
    <t>https://x.com/9fingergames/status/1702411051290006007</t>
  </si>
  <si>
    <t>https://x.com/nikkonikkoLTD/status/1984291038723457227?s=20</t>
  </si>
  <si>
    <t>https://gamingtrend.com/previews/little-angels-maid-survivors-preview-playx4-a-brotato-esque-horde-survival-game-with-anime-packaging-and-evolutions-to-the-genre/</t>
  </si>
  <si>
    <t>https://www.reddit.com/r/Games/comments/16x0fkk/shape_shifter_formations_castec_studios_an_action/</t>
  </si>
  <si>
    <t>https://store.steampowered.com/app/2738940/Voids_Vigil/?inqueue=2_eyJzdHJDb250ZW50SHViVHlwZSI6InRhZ3MiLCJuQ29udGVudEh1YlRhZ0lEIjoxNzE2LCJiRGlzY291bnRzT25seSI6ZmFsc2UsImJQcmlvcml0aXplRGlzY291bnRzIjpmYWxzZX0</t>
  </si>
  <si>
    <t>https://www.reddit.com/r/Games/comments/2osauc/hi_rgames_were_a_group_of_aaa_and_exaaa/</t>
  </si>
  <si>
    <t>https://roguebasin.com/index.php/Cataclysm:_Bright_Nights</t>
  </si>
  <si>
    <t>https://roguebasin.com/index.php/CataclysmDDA</t>
  </si>
  <si>
    <t>https://www.youtube.com/watch?v=DASCE8BbvOI&amp;t=1s (Got to play the kickstarter version early)</t>
  </si>
  <si>
    <t>https://mcvuk.com/business-news/when-we-made-wildfrost/</t>
  </si>
  <si>
    <t>https://www.scousegamer88.com/2021/03/31/astral-ascent-hibernian-workshop-interview/</t>
  </si>
  <si>
    <t>https://gonintendo.com/contents/37637-tmnt-splintered-fate-devs-say-they-were-inspired-by-hades-dead-cells-and-more</t>
  </si>
  <si>
    <t>https://www.reddit.com/r/roguelikes/comments/fwbx5g/mainframe_defenders_cogmind_inspired_tactics/#:~:text=*Mainframe%20Defenders*%20is%20a%20roguelite%20game%20available,**Earning%20Matter%20and%20drops**%20*%20**Upgrading%20mechs**</t>
  </si>
  <si>
    <t>https://steamcommunity.com/app/1519490/discussions/0/5456682769556329213/#c5456682769558786398</t>
  </si>
  <si>
    <t>https://malcolmsith.newgrounds.com/news/post/1504514</t>
  </si>
  <si>
    <t>https://rogueliker.com/vellum-inspirations/#:~:text=Vellum's%20Inspirations,chapter%20of%20the%20original%20series.</t>
  </si>
  <si>
    <t>https://www.reddit.com/r/IAmA/comments/4po4pn/i_am_the_developer_of_20xx_the_megaman_xinspired/</t>
  </si>
  <si>
    <t>https://en.wikipedia.org/wiki/BPM:_Bullets_Per_Minute#:~:text=The%20game%20was%20inspired%20by,of%20the%20NecroDancer%20and%20Cuphead.</t>
  </si>
  <si>
    <t>https://www.youtube.com/watch?v=dfLSGkKC2ug</t>
  </si>
  <si>
    <t>https://www.reddit.com/r/Games/comments/1syyjc8/ama_demon_lord_just_a_block_the_gridbased/</t>
  </si>
  <si>
    <t>https://x.com/nikkonikkoLTD/status/1925953983178269138?s=20</t>
  </si>
  <si>
    <t>https://shogunshowdown.wiki.gg/wiki/Shogun_Showdown</t>
  </si>
  <si>
    <t>https://www.nettosgameroom.com/2025/09/interview-with-team-tapas-creators-of.html</t>
  </si>
  <si>
    <t>https://www.reddit.com/r/IndieGaming/comments/evnabb/a_short_impression_of_insurmountable_our_new_game/</t>
  </si>
  <si>
    <t>https://x.com/studio_goblinz/status/1703121970680807815?s=20</t>
  </si>
  <si>
    <t>https://steamcommunity.com/app/2735580/discussions/0/595152144826392997/</t>
  </si>
  <si>
    <t>duh also check the folder for proof</t>
  </si>
  <si>
    <t>also mentioned in discord</t>
  </si>
  <si>
    <t>https://www.reddit.com/r/pcgaming/comments/1kxi8ze/as_we_descend_strategy_roguelike_deckbuilder/</t>
  </si>
  <si>
    <t>https://www.kickstarter.com/projects/thermitegames/corpse-keeper</t>
  </si>
  <si>
    <t>https://youtu.be/tbs9o6bck1U</t>
  </si>
  <si>
    <t>https://steamcommunity.com/app/1016730/discussions/0/1814296907961762044/</t>
  </si>
  <si>
    <t>https://www.pcgamer.com/turn-based-roguelike-deep-sky-derelicts-channels-darkest-dungeon-in-space/</t>
  </si>
  <si>
    <t>https://www.gamespress.com/Die-For-The-Lich-is-coming-to-Early-Access-on-November-10th-2025</t>
  </si>
  <si>
    <t>https://steamcommunity.com/app/429620/discussions/0/352788552271906911/#c352788917764129482</t>
  </si>
  <si>
    <t>https://www.reddit.com/r/roguelites/comments/r8cay9/weve_been_developing_the_roguelite_escape_the_mad/</t>
  </si>
  <si>
    <t>https://www.youtube.com/watch?v=ZqMZqQ-wrko</t>
  </si>
  <si>
    <t>https://iratus.org/faq</t>
  </si>
  <si>
    <t>https://x.com/NadirTheGame/status/1585925975115702273?s=20</t>
  </si>
  <si>
    <t>https://rogueliker.com/shadowveil-legend-of-the-five-rings-interview/</t>
  </si>
  <si>
    <t>https://www.reddit.com/r/IAmA/comments/aj6sq1/comment/eet5qh4/</t>
  </si>
  <si>
    <t>https://www.reddit.com/r/indiegames/comments/171yt60/our_first_gamevoice_of_belldonademo_release/</t>
  </si>
  <si>
    <t>https://store.steampowered.com/news/app/3590290/view/508482584447025703</t>
  </si>
  <si>
    <t>https://www.polygon.com/absolum-roguelike-interview-dotemu-guard-crush/</t>
  </si>
  <si>
    <t>https://x.com/AnAmazingWizard/status/1489554155597352962?s=20</t>
  </si>
  <si>
    <t>https://x.com/monstertheaterx/status/1819715822203355558?s=20</t>
  </si>
  <si>
    <t>https://80.lv/articles/battle-shapers-how-blender-unity-helped-create-the-game-s-vibrant-world</t>
  </si>
  <si>
    <t>https://www.youtube.com/watch?v=VRhAER68ynU</t>
  </si>
  <si>
    <t>https://darkrpgs.home.blog/2021/01/08/interview-with-glasses-cat-games-the-creators-of-devil-slayer-raksasi-a-souls-like-inspired-by-chinese-legends/#:~:text=How%20the%20idea%20behind%20this,souls%2Dlike%20style%20combat%20system.</t>
  </si>
  <si>
    <t>https://www.reddit.com/r/Games/comments/oymu1h/ama_we_are_afterburner_studios_the_3person_team/</t>
  </si>
  <si>
    <t>https://www.reddit.com/r/IndieGaming/comments/1pji5gu/dunjungle_the_monkey_action_roguelite_is_out_on/#:~:text=A%20big%20of%20Rogue%20Legacy%2C%20Spelunky%2C%20Hades.,kinda%20got%20inspiration%20from%20all%20of%20them.</t>
  </si>
  <si>
    <t>https://store.steampowered.com/app/465200/Fury_Unleashed/#:~:text=Fury%20Unleashed%20was%20created%20by,like%20Contra%20and%20Metal%20Slug.</t>
  </si>
  <si>
    <t>https://x.com/JFGamesPR/status/1803711115047625170</t>
  </si>
  <si>
    <t>https://x.com/VoidmawGames/status/2024503993805000848?s=20</t>
  </si>
  <si>
    <t>https://noisypixel.net/metal-unit-interview-waifus-2d-action-felix-soumpholphakdy/#:~:text=Felix%20Soumpholphakdy:%20Dead%20Cells%20is%20a%20big,we%20wanted%20to%20craft%20a%20big%20world.</t>
  </si>
  <si>
    <t>https://www.reddit.com/r/roguelites/comments/m2341u/space_gladiators_my_isaac_inspired_grotesque/</t>
  </si>
  <si>
    <t>https://www.cbr.com/rogue-prince-of-persia-asadi-xye-dylan-eurlings-interview/</t>
  </si>
  <si>
    <t>https://www.shacknews.com/article/110700/undermine-dev-unearths-roguelike-rpg-info-in-interview</t>
  </si>
  <si>
    <t>https://en.wikipedia.org/wiki/Windblown</t>
  </si>
  <si>
    <t>https://www.reddit.com/r/Games/comments/1c3l5e8/jotunnslayer_hordes_of_hel_games_farm_roguelike/</t>
  </si>
  <si>
    <t>https://www.reddit.com/r/roguelites/comments/1df57mf/ama_hello_were_bolt_blaster_games_the_creators_of/</t>
  </si>
  <si>
    <t>https://www.reddit.com/r/iosgaming/comments/1hjehh9/lost_for_swords_a_dungeon_crawler_focusing_on/</t>
  </si>
  <si>
    <t>https://www.youtube.com/watch?v=-X_QYumQQGk</t>
  </si>
  <si>
    <t>https://steamcommunity.com/app/3100310/discussions/0/735910198042983690/#c758430178052462886</t>
  </si>
  <si>
    <t>https://steamcommunity.com/app/449960/discussions/0/352788917765198084/?ctp=2#c353915309337431749</t>
  </si>
  <si>
    <t>https://x.com/MirariRelics/status/2083184893182489017?s=20</t>
  </si>
  <si>
    <t>https://www.youtube.com/watch?v=mGVNTEOoBXc</t>
  </si>
  <si>
    <t>https://www.w4games.com/blog/w4-games-news-1/interview-with-chasing-carrots-developer-of-halls-of-torment-120</t>
  </si>
  <si>
    <t>https://roguesnail.com/hell-clock-our-new-roguelike-arpg-in-a-dark-fantasy-twist-on-brazils-war-of-canudos/</t>
  </si>
  <si>
    <t>https://roguebasin.com/index.php?title=LambdaRogue</t>
  </si>
  <si>
    <t>https://x.com/edmundmcmillen/status/2073665726712614938?s=20</t>
  </si>
  <si>
    <t>https://www.youtube.com/watch?v=xsmbVWflwpw</t>
  </si>
  <si>
    <t>https://roguebasin.com/index.php/Sword_of_the_Stars:_The_Pit</t>
  </si>
  <si>
    <t>https://www.reddit.com/r/WebGames/comments/1m6esqf/archon_soul_its_been_a_year_and_a_half_of_hard/</t>
  </si>
  <si>
    <t>https://www.reddit.com/r/Games/comments/1dbw5hw/dice_fold_tinymice_slay_the_spire_but_with_dice/</t>
  </si>
  <si>
    <t>https://store.steampowered.com/app/3548520/DOG_WITCH/</t>
  </si>
  <si>
    <t>https://www.facebook.com/reel/931892201606258</t>
  </si>
  <si>
    <t>https://x.com/cleanfallgame/status/1958500517597876299?s=20</t>
  </si>
  <si>
    <t>https://store.steampowered.com/news/app/2934220/view/698764742929416235?l=english</t>
  </si>
  <si>
    <t>https://store.steampowered.com/news/app/2187290/view/3683427098080954737</t>
  </si>
  <si>
    <t>https://en.wikipedia.org/wiki/Road_Not_Taken</t>
  </si>
  <si>
    <t>https://www.reddit.com/r/NintendoSwitch/comments/75yryq/hi_we_are_the_molasses_flood_creators_of_the/</t>
  </si>
  <si>
    <t>https://www.roguelikeradio.com/2011/10/interview-with-ido-yehieli.html</t>
  </si>
  <si>
    <t>https://roguebasin.com/index.php/Cataclysm</t>
  </si>
  <si>
    <t>https://sassygamers.com/2023/10/20/gamedev-interview-quasimorph/</t>
  </si>
  <si>
    <t>https://x.com/TeamWoodGames/status/1383470923156647938?s=20</t>
  </si>
  <si>
    <t>https://en.wikipedia.org/wiki/Teamfight_Tactics</t>
  </si>
  <si>
    <t>https://gamestudio.n-ix.com/case-study/the-bazaar-game-development-story/</t>
  </si>
  <si>
    <t>https://www.youtube.com/watch?v=5fR9VYTfm2A&amp;t=1s</t>
  </si>
  <si>
    <t>https://www.reddit.com/r/nintendo/comments/6k942k/yo_we_made_gonner_and_it_just_came_out_on_the/</t>
  </si>
  <si>
    <t>https://gamerant.com/lone-ruin-interview-roguelike-indie-game-design-inspirations-visuals-coding/#:~:text=As%20inspiration%20from%20different%20games,dangerous%20to%20go%20alone%22%20line.</t>
  </si>
  <si>
    <t>https://monstervine.com/ic/IC-LR-Interview.mp3</t>
  </si>
  <si>
    <t>https://steamcommunity.com/app/616000/discussions/0/1319962663550892419/#c1319962683447326488</t>
  </si>
  <si>
    <t>https://www.fanbyte.com/legacy/shovel-knight-dig-interview</t>
  </si>
  <si>
    <t>https://x.com/Nitrome/status/931133911408828421?s=20</t>
  </si>
  <si>
    <t>https://www.reddit.com/r/nintendo/comments/691a58/we_are_team_tumbleseed_and_we_launched_tumbleseed/</t>
  </si>
  <si>
    <t>https://www.polygon.com/pc/2019/4/7/18299068/dicey-dungeons-terry-cavanagh-gdc-preview</t>
  </si>
  <si>
    <t>https://game-wisdom.com/podcast/five-year-development-behind-nowhere-prophet mentions plaing dream quest in this interview</t>
  </si>
  <si>
    <t>https://podcasts.apple.com/us/podcast/slay-the-spire-with-anthony-giovannetti/id1435365252?i=1000447140877</t>
  </si>
  <si>
    <t>https://www.gridsagegames.com/forums/index.php?topic=648.msg5316#msg5316</t>
  </si>
  <si>
    <t>https://www.qcfdesign.com/wiki/DesktopDungeons/index.php?title=Desktop_Dungeons</t>
  </si>
  <si>
    <t>https://www.gamedeveloper.com/game-platforms/eugene-paik-talks-about-vagante-a-roguelite-8-years-in-the-making</t>
  </si>
  <si>
    <t>https://www.reddit.com/r/Games/comments/7ukbl1/im_the_lead_developer_of_tangledeep_a_roguelike/</t>
  </si>
  <si>
    <t>https://www.roguebasin.com/index.php/I_Am_Overburdened</t>
  </si>
  <si>
    <t>https://www.gameskinny.com/culture/interview-with-colin-day-creator-of-rogue-wizards-and-founder-of-spellbind-studios/</t>
  </si>
  <si>
    <t>https://steamcommunity.com/app/329970/discussions/0/620700960829035333/#c606068060818832019</t>
  </si>
  <si>
    <t>https://www.bay12forums.com/smf/index.php?topic=182370.0#:~:text=Escaped%20Lunatic-,Soulash%202%20%2D%20Adventures%20and%20Conquest%20in%20Procedural%20Fantasy%20Worlds,to%20the%20Roguelike%20design%20formula.</t>
  </si>
  <si>
    <t>https://store.epicgames.com/en-US/news/super-fantasy-kingdom-city-builder-next-vampire-survivors-obsession</t>
  </si>
  <si>
    <t>https://doorsoftrithius.com/</t>
  </si>
  <si>
    <t>https://www.youtube.com/watch?v=giIIoIKntnw</t>
  </si>
  <si>
    <t>https://youtu.be/-I__TxhbQgw</t>
  </si>
  <si>
    <t>http://www.bay12forums.com/smf/index.php?topic=173000.0</t>
  </si>
  <si>
    <t>https://roguebasin.com/index.php/Wayward</t>
  </si>
  <si>
    <t>https://x.com/TheFeebleMinds/status/2027340299630989393</t>
  </si>
  <si>
    <t>https://www.reddit.com/r/playmygame/comments/sqb852/our_spellcasting_roguelike_abandoned_archive_now/</t>
  </si>
  <si>
    <t>https://www.reddit.com/r/Games/comments/v2kcsr/ama_were_the_team_behind_akxolotl_a_cute_but/</t>
  </si>
  <si>
    <t>dev has mentioned playing both isaac and gungeon, and also look at it</t>
  </si>
  <si>
    <t>https://www.reddit.com/r/Games/comments/czn9i5/were_the_developers_of_atomicrops_an_action/#:~:text=I%20got%20addicted%20to%20Stardew,simply%20stat%20upgrades%20or%20something).</t>
  </si>
  <si>
    <t>https://web.archive.org/web/20220130212105/https://www.indiegameoftheweek.com/BeyondTheLongNight</t>
  </si>
  <si>
    <t>https://steamcommunity.com/app/1734320/discussions/0/598515896185532848/</t>
  </si>
  <si>
    <t>https://en.wikipedia.org/wiki/Gunfire_Reborn#:~:text=Gunfire%20Reborn%20is%20developed%20by,would%20be%20most%20beneficial%20design.</t>
  </si>
  <si>
    <t>https://www.reddit.com/r/Games/comments/ziyl7m/this_is_alchemy_sheep_the_studio_behind_a/</t>
  </si>
  <si>
    <t>https://fextralife.com/odinfall-a-new-viking-themed-roguelite-coming-to-early-access/#:~:text=Odinfall%20Early%20Access%20on%20Steam&amp;text=According%20to%20Oscar%20Axelsson%20from,Throne%20and%20Enter%20the%20Gungeon.</t>
  </si>
  <si>
    <t>https://x.com/pathogenicgame/status/2085041700716654606?s=20</t>
  </si>
  <si>
    <t>https://www.gamedeveloper.com/design/ram-random-access-mayhem-s-body-swapping-mechanic-was-born-from-challenges-playing-roguelikes</t>
  </si>
  <si>
    <t>devs mentioned gungeon and hades a few times as comparisons, it's clear they've played multiple roguelikes also check folder</t>
  </si>
  <si>
    <t>https://creators.spotify.com/pod/show/openindie/episodes/29---Pixlpunk---Tiny-Rogues---RubyDev---Austria-e2ainqm/a-aafpjfq</t>
  </si>
  <si>
    <t>https://www.nme.com/news/gaming-news/crossy-road-creator-announces-space-western-shooter-tombstar-3258744</t>
  </si>
  <si>
    <t>https://www.reddit.com/r/JRPG/comments/1h4umpj/lets_talk_about_dragon_crystal_segas_own_early/</t>
  </si>
  <si>
    <t>https://bigbossbattle.com/abandon-ship-interview-fireblade-softwares-gary-burchell/</t>
  </si>
  <si>
    <t>https://arcanium-rise-of-akhan.xsollasitebuilder.com/</t>
  </si>
  <si>
    <t>https://steamcommunity.com/app/2118810/discussions/1/3980680532379147080/#c6027566653452797874</t>
  </si>
  <si>
    <t>https://medium.com/@gofig.news/a-coffee-break-with-fr%C3%A9d%C3%A9ric-lopez-crying-suns-3b030eb4f455</t>
  </si>
  <si>
    <t>https://medium.com/@alexiskennedy/q-a-with-alexis-kennedy-co-founder-of-weather-factory-dd35393c66f3</t>
  </si>
  <si>
    <t>https://steamcommunity.com/app/326150/discussions/0/617320168090466146/#c617320168065346307</t>
  </si>
  <si>
    <t>https://www.nintendolife.com/features/only-pokemon-can-make-pokemon-dicefolk-devs-on-finding-a-voice-in-a-crowded-genre</t>
  </si>
  <si>
    <t>https://www.reddit.com/r/NintendoSwitch/comments/trax0e/hi_im_the_developer_of_for_the_warp_a_scifi/</t>
  </si>
  <si>
    <t>https://medium.com/@morganjaffit/games-dont-credit-their-influences-they-should-a32e9904d800</t>
  </si>
  <si>
    <t>https://switchplayer.net/2017/05/08/grabbing-a-frozenbyte-with-some-has-been-heroes/</t>
  </si>
  <si>
    <t>https://en.wikipedia.org/wiki/Into_the_Breach#:~:text=Into%20the%20Breach%20came%20out,%3A%20Enemy%20Unknown%20(2012).</t>
  </si>
  <si>
    <t>https://forums.tigsource.com/index.php?topic=41609.0</t>
  </si>
  <si>
    <t>https://steamcommunity.com/app/681730/discussions/0/2132869574262194220/#c1675812484339955409</t>
  </si>
  <si>
    <t>https://en.wikipedia.org/wiki/One_Step_From_Eden#:~:text=Development%20of%20the%20game%20began,a%20reference%20to%20the%20game.</t>
  </si>
  <si>
    <t>https://www.polygon.com/2013/6/20/4439320/our-darker-purpose-kickstarter-avidly-wild-games/</t>
  </si>
  <si>
    <t>https://steamcommunity.com/app/296970/discussions/0/483368526579730066/#c483368526581048948</t>
  </si>
  <si>
    <t>https://screenrant.com/shape-of-dreams-eunseop-shim-interview/#:~:text=MOBAs%20were%20a%20key%20inspiration,like%20action%20roguelites%20in%20general.</t>
  </si>
  <si>
    <t>https://en.wikipedia.org/wiki/Slay_the_Spire#:~:text=Their%20initial%20goal%20was%20to,built%20on%20the%20libGDX%20framework.</t>
  </si>
  <si>
    <t>https://youtu.be/j6rOHgGxdHY</t>
  </si>
  <si>
    <t>https://www.emuglx.org/reportaze/interview/exclusive-switchcars-interview/</t>
  </si>
  <si>
    <t>https://youtu.be/X_7TB97jCug &amp; check folder</t>
  </si>
  <si>
    <t>https://store.steampowered.com/news/app/1434540/view/2939150821227809707</t>
  </si>
  <si>
    <t>https://www.gamingfurever.com/news/editorials/brew-interview-with-ceo-of-snow-leaf-studios-isak-wahl#:~:text=JW%2C%20GF:%20What%20are%20some,us%20a%20lot%20of%20motivation.</t>
  </si>
  <si>
    <t>https://store.epicgames.com/en-US/news/darkblade-ascent-brings-the-roguelike-to-the-soulslike</t>
  </si>
  <si>
    <t>https://roguebasin.com/index.php/ADOM</t>
  </si>
  <si>
    <t>https://roguebasin.com/index.php/Slaves_to_Armok_II:_Dwarf_Fortress</t>
  </si>
  <si>
    <t>https://roguebasin.com/index.php/GearHead</t>
  </si>
  <si>
    <t>https://www.roguebasin.com/index.php/Lost_Labyrinth</t>
  </si>
  <si>
    <t>https://roguebasin.com/index.php/NetHack</t>
  </si>
  <si>
    <t>https://www.reddit.com/r/survivorslikes/comments/1jvtb6m/we_released_asgards_fall_on_steam/</t>
  </si>
  <si>
    <t>https://filipmagnuswrites.wordpress.com/2023/12/07/in-the-oven-death-must-die-is-a-love-letter-to-your-favourite-games/#:~:text=Death%20Must%20Die%20opens%20up,appropriation%2C%20even%20a%20love%20letter.</t>
  </si>
  <si>
    <t>https://twotinydice.itch.io/forward/devlog/355393/development-update-2-new-game-mode-cool-features</t>
  </si>
  <si>
    <t>https://gamerant.com/have-a-nice-death-tim-burton-one-punch-man-anime-game-inspirations/#:~:text=Have%20a%20Nice%20Death%20also,movies%2C%20shorts%2C%20and%20ads.</t>
  </si>
  <si>
    <t>https://store.steampowered.com/news/app/3372060/view/600783816474231378?l=english</t>
  </si>
  <si>
    <t>https://youtu.be/tGdbRTxu4Ew</t>
  </si>
  <si>
    <t>https://www.polygon.com/gaming/610928/lost-random-eternal-die-roguelike-developer-insights/</t>
  </si>
  <si>
    <t>https://x.com/MasksOfTheVoid/status/2084174185505448157?s=20</t>
  </si>
  <si>
    <t>https://www.reddit.com/r/Games/comments/wifqwk/putrid_shot_ultra_abhi_sundu_chaotic_roguelike/</t>
  </si>
  <si>
    <t>https://rogueliker.com/realm-of-ink-interview/</t>
  </si>
  <si>
    <t>https://www.reddit.com/r/roguelites/comments/xtr9td/tomorrow_we_have_a_huge_announcement_for/</t>
  </si>
  <si>
    <t>https://www.gamescom.global/en/product/starlight-revolver-pahdo</t>
  </si>
  <si>
    <t>https://steamcommunity.com/app/1763250/discussions/0/4289188745218594758/</t>
  </si>
  <si>
    <t>https://www.reddit.com/r/Games/comments/w6vkdf/tape_to_tape_a_roguelite_hockey_game/#:~:text=Tape%20to%20Tape%20is%20a,the%20Spire%20and%20NHL%2094!</t>
  </si>
  <si>
    <t>https://www.thegamer.com/teenage-mutant-ninja-turtles-tmnt-splintered-fate-leads-talk-idw-inspirations-2025-dlc-and-the-comparisons-to-hades/</t>
  </si>
  <si>
    <t>https://www.indie-games.eu/hell-maiden-touhou-meets-vampire-survivors-interview/</t>
  </si>
  <si>
    <t>https://youtu.be/s_I07Iq_2XM?si=AWX0JtDGVzx0vl36</t>
  </si>
  <si>
    <t>https://steamcommunity.com/app/3585160/discussions/0/663844088186935277/#c695373095208229623</t>
  </si>
  <si>
    <t>https://x.com/imgame_official/status/1925464077654249724</t>
  </si>
  <si>
    <t>https://moodytail.itch.io/pocket-crystal-league</t>
  </si>
  <si>
    <t>https://pokevoid.com/</t>
  </si>
  <si>
    <t>https://store.steampowered.com/app/1668690/Alina_of_the_Arena/#:~:text=About%20This%20Game-,ABOUT,and%20'Into%20the%20Breach'.</t>
  </si>
  <si>
    <t>https://en.wikipedia.org/wiki/Backpack_Hero#:~:text=Main%20developer%20Jasper%20Cole%20stated,inventory%20as%20an%20additional%20inspiration.</t>
  </si>
  <si>
    <t>https://x.com/Klukva_Games/status/1750485532868522090</t>
  </si>
  <si>
    <t>https://youtu.be/zLmdMjZtDs4</t>
  </si>
  <si>
    <t>https://www.reddit.com/r/Games/comments/1kjulpf/fogpiercer_mad_cookies_train_building_roguelike/</t>
  </si>
  <si>
    <t>https://www.thegamer.com/metal-slug-tactics-interview/</t>
  </si>
  <si>
    <t>https://www.reddit.com/r/Games/comments/vftn02/pawnbarian_j4nw_a_chessinspired_tactical_puzzle/</t>
  </si>
  <si>
    <t>https://www.reddit.com/r/IndieGaming/comments/1m9tpw9/a_whole_25_years_after_release_my_spellcrafting/#:~:text=is%20blowing%20up!-,830%20concurrent%20players%2C%20I%20can't%20believe%20it!,has%20been%20a%20wild%20ride.</t>
  </si>
  <si>
    <t>https://www.reddit.com/r/Games/comments/10uappd/the_ouroboros_king_oriol_cosp_chess_based/</t>
  </si>
  <si>
    <t>https://www.siliconera.com/catacomb-kids-interview-spelunky-comparisons-and-the-early-access-gamble/</t>
  </si>
  <si>
    <t>https://steamcommunity.com/app/2821800/discussions/0/4346617656894336061/#c4346617656897843847</t>
  </si>
  <si>
    <t>https://roguebasin.com/index.php/Dungeon_Crawl_Stone_Soup</t>
  </si>
  <si>
    <t>https://www.gamedeveloper.com/design/making-a-case-for-short-games</t>
  </si>
  <si>
    <t>https://youtu.be/DpEmpx4isOQ</t>
  </si>
  <si>
    <t>https://x.com/sparklewing925/status/1926056500113346640</t>
  </si>
  <si>
    <t>https://en.wikipedia.org/wiki/Balatro</t>
  </si>
  <si>
    <t>https://www.reddit.com/r/indiegames/comments/1b21ga6/we_are_developing_a_strategy_deckbuilding_game/</t>
  </si>
  <si>
    <t>https://x.com/Typin_/status/2033598772677140518?s=20</t>
  </si>
  <si>
    <t>https://www.reddit.com/r/indiegames/comments/1gg9w9m/the_new_luck_be_a_landlordstyle_game_dog_and/</t>
  </si>
  <si>
    <t>https://steamcommunity.com/app/1794400/discussions/0/3409803709049368658/</t>
  </si>
  <si>
    <t>https://www.kxan.com/business/press-releases/ein-presswire/785406016/idream-interactive-unveils-runeborn-a-dark-fantasy-roguelike-deckbuilder-at-steam-next-fest/#:~:text=Founder's%20Vision%20%E2%80%9CRuneborn%20is%20an,share%20it%20with%20the%20world.%E2%80%9D</t>
  </si>
  <si>
    <t>https://x.com/SoramameKoubou/status/1786329686978777095</t>
  </si>
  <si>
    <t>https://en.wikipedia.org/wiki/Vampire_Survivors#:~:text=The%20game%20was%20inspired%20by,assets%2C%20art%2C%20and%20music.</t>
  </si>
  <si>
    <t>https://www.digitallydownloaded.net/2021/10/four-quick-questions-for-developer-of.html</t>
  </si>
  <si>
    <t>https://roguebasin.com/index.php/Angband</t>
  </si>
  <si>
    <t>https://www.reddit.com/r/pcgaming/comments/1p30oqw/were_big_distraction_an_indie_studio_founded_by/</t>
  </si>
  <si>
    <t>https://www.gamedeveloper.com/business/marketing-on-the-app-store-the-cautionary-tale-of-i-100-rogues-i-</t>
  </si>
  <si>
    <t>https://www.reddit.com/r/roguelikes/comments/1iyzkws/house_of_necrosis_demo_is_out_now_on_steam/#:~:text=House%20of%20Necrosis%20is%20a,Linux)%20and%20the%20Steam%20Deck</t>
  </si>
  <si>
    <t>https://www.moguragames.com/smokingwolfinterview/</t>
  </si>
  <si>
    <t>https://www.pcgamer.com/how-a-videogame-composer-designed-the-tangledeep-rpg/</t>
  </si>
  <si>
    <t>https://indiegraph.wordpress.com/2013/12/11/interview-with-the-creator-of-barony/</t>
  </si>
  <si>
    <t>https://forums.tigsource.com/index.php?topic=25392.0</t>
  </si>
  <si>
    <t>https://www.roguebasin.com/index.php/Dragonslayer</t>
  </si>
  <si>
    <t>https://www.roguebasin.com/index.php/Dungeons_of_Dredmor</t>
  </si>
  <si>
    <t>https://darkrpgs.home.blog/2019/03/08/interview-with-miro-haverinen-the-creator-of-the-dark-rpg-fear-hunger/</t>
  </si>
  <si>
    <t>variant</t>
  </si>
  <si>
    <t>https://www.gamingonlinux.com/2015/10/project-maiden-review-plus-interview-with-developer-kevin-cole/</t>
  </si>
  <si>
    <t>http://roguebasin.com/index.php/IVAN</t>
  </si>
  <si>
    <t>https://roguebasin.com/index.php/Linley%27s_Dungeon_Crawl</t>
  </si>
  <si>
    <t>https://www.roguebasin.com/index.php/Pathos:_NetHack_Codex</t>
  </si>
  <si>
    <t>https://roguebasin.com/index.php/POWDER</t>
  </si>
  <si>
    <t>https://crpgaddict.blogspot.com/2020/02/game-354-ragnarok-1992.html</t>
  </si>
  <si>
    <t>https://roguebasin.com/index.php/SLASH%27EM</t>
  </si>
  <si>
    <t>https://en.wikipedia.org/wiki/Spelunky</t>
  </si>
  <si>
    <t>https://www.roguebasin.com/index.php/Sword_of_the_Stars:_The_Pit</t>
  </si>
  <si>
    <t>http://www.roguelikeradio.com/2013/09/this-is-episode-80-of-roguelike-radio.html</t>
  </si>
  <si>
    <t>https://www.reddit.com/r/WazHack/comments/2dgp8s/question_is_wazhack_based_of_of_nethack/</t>
  </si>
  <si>
    <t>dev is a noita fan also look at it</t>
  </si>
  <si>
    <t>https://www.sohu.com/a/740136808_204824</t>
  </si>
  <si>
    <t>https://steamcommunity.com/app/3808690/discussions/0/574921459914426009/#c574921459914427191</t>
  </si>
  <si>
    <t>https://youtu.be/3C_nZPTNy4E</t>
  </si>
  <si>
    <t>mentioned multiple times by players as inspired by noita, and check folder for the dev saying he likes noita</t>
  </si>
  <si>
    <t>mentioned multiple times in discord and on steam discussions</t>
  </si>
  <si>
    <t>https://milkbar-lads.itch.io/dead-estate</t>
  </si>
  <si>
    <t>https://en.wikipedia.org/wiki/Enter_the_Gungeon#:~:text=Though%20Crooks%20stated%20that%20The,Souls%2C%20and%20Metal%20Gear%20Solid.</t>
  </si>
  <si>
    <t>https://gamingbolt.com/gonner-interview-a-colorful-and-challenging-ride</t>
  </si>
  <si>
    <t>https://x.com/AntennaGames/status/2062052913199956449</t>
  </si>
  <si>
    <t>https://gamerant.com/voidigo-developer-art-rogue-like-interview/</t>
  </si>
  <si>
    <t>https://www.reddit.com/r/roguelites/comments/1ic44r5/my_angry_bird_roguelike_is_finally_out_on_steam/</t>
  </si>
  <si>
    <t>https://www.reddit.com/r/Games/comments/1ker0jk/rune_dice_smart_raven_studio_peglininspired/</t>
  </si>
  <si>
    <t>https://youtu.be/ShnrIAmnN8I</t>
  </si>
  <si>
    <t>https://www.reddit.com/r/indiegames/comments/1kfcwzq/i_worked_4_years_fulltime_on_my_dream_game/</t>
  </si>
  <si>
    <t>https://creators.spotify.com/pod/show/the-indie-diarist/episodes/Indie-Diary-5-Enrique-Dryere-Triple-B-Titles---Creativity-as-Sacrifice--Secrets-of-Inspiration--DnD-and----Poker-e207m5b</t>
  </si>
  <si>
    <t>https://roguebasin.com/index.php/Haque</t>
  </si>
  <si>
    <t>https://roguebasin.com/index.php?title=Wayward</t>
  </si>
  <si>
    <t>https://x.com/search?q=from%3AMiraricogames%20survivors&amp;src=typed_query</t>
  </si>
  <si>
    <t>https://www.reddit.com/r/pcgaming/comments/1f9y4d8/weve_been_making_our_totally_normal_coop_shooter/</t>
  </si>
  <si>
    <t>https://mcvuk.com/development-news/when-we-made-dead-cells/</t>
  </si>
  <si>
    <t>https://www.julianedisonart.com/icov</t>
  </si>
  <si>
    <t>https://www.reddit.com/r/IAmA/comments/9m53vr/after_a_failed_kickstarter_and_3_years_of_working/</t>
  </si>
  <si>
    <t>https://steamcommunity.com/app/1425000/discussions/0/595137684887848950/#c595137684887857500</t>
  </si>
  <si>
    <t>https://youtu.be/GWc7QppCPHM</t>
  </si>
  <si>
    <t>https://youtu.be/Jn9yS2eSJzg</t>
  </si>
  <si>
    <t>it's clear from the discord messages</t>
  </si>
  <si>
    <t>https://www.gamedeveloper.com/design/how-michael-brough-s-love-of-exploring-a-single-game-mechanic-beget-i-cinco-paus-i-</t>
  </si>
  <si>
    <t>https://roguebasin.com/index.php/Brogue</t>
  </si>
  <si>
    <t>https://www.honestgamers.com/15273/game-boy/cave-noire/review.html (not an actual source, just an informed speculation)</t>
  </si>
  <si>
    <t>https://www.reddit.com/r/Games/comments/2e7eti/hello_rgames_we_are_the_creators_of_the_roguelike/</t>
  </si>
  <si>
    <t>https://segadoes.com/2017/06/16/fatal-labyrinth/#:~:text=Fatal%20Labyrinth%20is%20Sega's%20first,is%20a%20game%2Dbreaking%20affair. Also it shares a lot of similarities</t>
  </si>
  <si>
    <t>https://www.reddit.com/r/gamedev/comments/o8bzkt/one_year_into_early_access_for_golden_light_lets/</t>
  </si>
  <si>
    <t>https://roguebasin.com/index.php/Larn</t>
  </si>
  <si>
    <t>https://roguebasin.com/index.php/Moria</t>
  </si>
  <si>
    <t>https://www.youtube.com/watch?v=DASCE8BbvOI&amp;t=1s</t>
  </si>
  <si>
    <t>https://www.reddit.com/r/JRPG/comments/1k54nny/lets_discover_rogue_hearts_dungeon_jun_ota_and/#:~:text=Apparently%2C%20Ota%20was%20a%20well%20known%20figure,to%20connect%20Tokyo's%20three%20main%20universities%20that</t>
  </si>
  <si>
    <t>https://www.roguebasin.com/index.php/Rogue's_Tale</t>
  </si>
  <si>
    <t>https://en.wikipedia.org/wiki/ToeJam_%26_Earl</t>
  </si>
  <si>
    <t>https://en.wikipedia.org/wiki/Torneko%27s_Great_Adventure</t>
  </si>
  <si>
    <t>https://youtu.be/0MY03yNkuFI</t>
  </si>
  <si>
    <t>https://en.wikipedia.org/wiki/Flinthook#:~:text=The%20game%20was%20inspired%20by,exceptionally%20difficult%20for%20all%20players.</t>
  </si>
  <si>
    <t>https://gamerheadquarters.com/articles/immortal-redneck-interview.html</t>
  </si>
  <si>
    <t>https://mcvuk.com/development-news/when-we-made-moonlighter/</t>
  </si>
  <si>
    <t>https://www.facebook.com/DreamHack/videos/rogue-heroes-ruins-of-tasos-developers-explain-how-why-the-game-came-together-go/440879170356208/</t>
  </si>
  <si>
    <t>https://steamcommunity.com/app/535480/discussions/0/1693785035806645807/#c1693785035807819716</t>
  </si>
  <si>
    <t>https://steamcommunity.com/app/3226530/discussions/0/592890533790115891/</t>
  </si>
  <si>
    <t>https://youtu.be/MgSjfLOYMXg</t>
  </si>
  <si>
    <t>https://steamcommunity.com/app/242680/discussions/0/648811852292061582/</t>
  </si>
  <si>
    <t>https://nethackwiki.com/wiki/Hack%27EM</t>
  </si>
  <si>
    <t>https://www.youtube.com/watch?v=9fxnPkfyHuA</t>
  </si>
  <si>
    <t>duh also the devs talk about loving sts in discord</t>
  </si>
  <si>
    <t>https://www.kickstarter.com/projects/hibernian-workshop/astral-ascent#:~:text=Inspired%20by%20rogue%2Dlite%20games,set%20of%20attacks%20and%20spells.</t>
  </si>
  <si>
    <t>https://indiecator.org/2022/09/26/astrea-six-sided-oracles-interview/</t>
  </si>
  <si>
    <t>https://www.gamingonlinux.com/2024/07/bite-sized-roguelike-tower-defense-game-bella-wants-blood-releases-july-24/#:~:text=What%20they%20said%20about%20it,rewards%20that%20come%20with%20them.</t>
  </si>
  <si>
    <t>https://steamcommunity.com/app/1803400/discussions/0/3883848697076653164/?l=hungarian</t>
  </si>
  <si>
    <t>https://www.reddit.com/r/Games/comments/s5izbt/breach_wanderers_baronnerie_games_roguelike/</t>
  </si>
  <si>
    <t>https://hardcoregamer.com/chaos-zero-nightmare-director-interview-tgs-2025/</t>
  </si>
  <si>
    <t>https://www.youtube.com/watch?v=SI0_xHvFIKM</t>
  </si>
  <si>
    <t>https://www.reddit.com/r/Games/comments/1g2qolv/commander_quest_flyway_games_deck_building/#:~:text=I'm%20the%20game%20designer,battling%20from%20%22Clash%20Royale%22.</t>
  </si>
  <si>
    <t>https://www.reddit.com/r/TowerDefense/comments/epx1qr/ive_just_released_core_defense_a_very_difficult/#:~:text=Oh%20and%20did%20I%20mention,insanely%20replayable%20for%20similar%20reasons.</t>
  </si>
  <si>
    <t>https://www.reddit.com/r/Games/comments/1bmxhsf/crush_the_industry_cognoggin_games_a_roguelike/</t>
  </si>
  <si>
    <t>devs mention liking and playing sts multiple times in discord</t>
  </si>
  <si>
    <t>https://indiegamepicks.wordpress.com/2023/10/18/deepest-chamber-resurrection-interview/</t>
  </si>
  <si>
    <t>https://x.com/dicefold/status/1805536239212544285</t>
  </si>
  <si>
    <t>https://www.reddit.com/r/slaythespire/comments/1mqcqmg/dice_legends_a_love_letter_and_homage_to_slay_the/</t>
  </si>
  <si>
    <t>https://x.com/dieinthedungeon/status/1829950757699010949</t>
  </si>
  <si>
    <t>mentions slay the spire multiple times in discord and also check the folder</t>
  </si>
  <si>
    <t>mentions slay the spire multiple times in discord</t>
  </si>
  <si>
    <t>https://www.pocketgamer.com/gordian-quest/interview/</t>
  </si>
  <si>
    <t>https://youtu.be/gxLI-Zq8gqU</t>
  </si>
  <si>
    <t>https://x.com/hellmaidengame/status/1929946431311241324</t>
  </si>
  <si>
    <t>mutiple messages about sts and check folder</t>
  </si>
  <si>
    <t>https://steamcommunity.com/app/1266430/discussions/0/3194745319517826630/#c3194745319530070972</t>
  </si>
  <si>
    <t>https://en.wikipedia.org/wiki/Luck_Be_a_Landlord#:~:text=Dan%20DiIorio%20developed%20Luck%20Be,pondering%20why%20rent%20was%20necessary.</t>
  </si>
  <si>
    <t>Perfect is based on defect</t>
  </si>
  <si>
    <t>https://mezha.media/en/articles/interview-with-artem-bazdyrev-about-the-development-and-release-of-menace-from-the-deep-problems-and-future-plans/</t>
  </si>
  <si>
    <t>dev mentions slay the spire when talking about some specific decisions, check folder</t>
  </si>
  <si>
    <t>https://x.com/PlayMontabi/status/2084484478647595121?s=20</t>
  </si>
  <si>
    <t>https://youtu.be/-Vsd5hUMAT8</t>
  </si>
  <si>
    <t>https://youtu.be/lr9xu3YNwZE</t>
  </si>
  <si>
    <t>https://en.wikipedia.org/wiki/Peglin#:~:text=As%20design%20of%20the%20game,Bandicoot%20and%20Donkey%20Kong%20Country.</t>
  </si>
  <si>
    <t>https://www.reddit.com/r/pokemon/comments/1rp0vq7/i_made_a_roguelike_pokemon_autobattler/</t>
  </si>
  <si>
    <t>https://www.reddit.com/r/NintendoSwitch/comments/10q0wez/ama_the_roguelike_that_is_played_using_only_two/</t>
  </si>
  <si>
    <t>https://www.reddit.com/r/NintendoSwitch/comments/jsi9x8/we_are_the_devs_behind_ring_of_pain_a_roguelike/</t>
  </si>
  <si>
    <t>https://venturebeat.com/games/roguebook-interview-rewriting-the-slay-to-spire-formula/</t>
  </si>
  <si>
    <t>https://forum.godotengine.org/t/seedborne-soldiers-an-auto-battler-roguelike-demo-now-available-on-steam/83974</t>
  </si>
  <si>
    <t>https://www.reddit.com/r/slaythespire/comments/1g25q6g/design_lessons_from_sts_or_how_i_got_inspired_to/</t>
  </si>
  <si>
    <t>https://x.com/tjgamedev/status/1850115152118796296</t>
  </si>
  <si>
    <t>https://steamcommunity.com/app/1199030/discussions/0/5011908545188375361/?ctp=2#c3005556719742617866</t>
  </si>
  <si>
    <t>https://x.com/Talespinner_/status/1925872666474401877?s=20</t>
  </si>
  <si>
    <t>https://www.reddit.com/r/slaythespire/comments/173zdvp/i_am_a_solo_developer_working_on_the_last_flame_a/#:~:text=hotloopgames-,I%20am%20a%20solo%20developer%20working%20on%20The%20Last%20Flame,plays%20as%20an%20auto%2Dbattler.</t>
  </si>
  <si>
    <t>https://en.touhouwiki.net/wiki/Touhou:_Lost_Branch_of_Legend  (also just look at it)</t>
  </si>
  <si>
    <t>https://www.reddit.com/r/roguelites/comments/1djfzyz/started_as_a_solodev_with_no_programming/</t>
  </si>
  <si>
    <t>https://automaton-media.com/en/interviews/interview-koei-tecmos-warriors-abyss-is-a-major-japanese-developers-take-on-the-roguelite-genre-made-by-a-hardcore-roguelite-lover/</t>
  </si>
  <si>
    <t>https://youtu.be/cX-tottt9i0</t>
  </si>
  <si>
    <t>https://www.reddit.com/r/IndieGame/comments/1s28b5c/we_have_such_a_game_do_you_think_people_will_like/</t>
  </si>
  <si>
    <t>https://www.reddit.com/r/Games/comments/r4a4sv/words_can_kill_typing_monkey_slay_the_spire/</t>
  </si>
  <si>
    <t>https://youtu.be/wJ2cgBoxsi4</t>
  </si>
  <si>
    <t>https://en.wikipedia.org/wiki/Caveblazers</t>
  </si>
  <si>
    <t>https://dumbandfat.com/coincrypt/</t>
  </si>
  <si>
    <t>https://en.wikipedia.org/wiki/Downwell_(video_game)#:~:text=Much%20of%20the%20game%20was,similar%20gameplay%20would%20be%20like.</t>
  </si>
  <si>
    <t>https://bsky.app/profile/dphrygian.com/post/3mgga4hmbg22r</t>
  </si>
  <si>
    <t>https://youtu.be/gDuqf4uCBho</t>
  </si>
  <si>
    <t>https://wesleyjkurtz.wixsite.com/orangedrop/post/mana-spark-kishimoto-studios-indie-devs-behemutt-an-in-depth-interview</t>
  </si>
  <si>
    <t>https://www.gamedeveloper.com/business/road-to-the-igf-2023-kenny-sun-s-mr-sun-s-hatbox</t>
  </si>
  <si>
    <t>https://en.wikipedia.org/wiki/Rogue_Legacy#:~:text=The%20game%20was%20developed%20by,development%2C%20including%20an%20experience%20system.</t>
  </si>
  <si>
    <t>https://youtu.be/zKQl9Xp3dxo</t>
  </si>
  <si>
    <t>https://en.wikipedia.org/wiki/Streets_of_Rogue#:~:text=Lead%20designer%20Matt%20Dabrowski%20credited,inspirations%20for%20Streets%20of%20Rogue.</t>
  </si>
  <si>
    <t>https://www.reddit.com/r/roguelikes/comments/5zi6kq/y%C5%8Ddanji_coffeebreak_mobile_roguelike_themed_after/</t>
  </si>
  <si>
    <t>https://www.reddit.com/r/NintendoSwitch/comments/8jv8rd/im_matt_bitner_sole_developer_of_a_robot_named/#:~:text=I%20left%20my%20old%20job,as%20The%20Binding%20of%20Isaac.</t>
  </si>
  <si>
    <t>https://www.reddit.com/r/bindingofisaac/comments/icvtkc/cavity_busters_toothpunk_roguelite_with_some/</t>
  </si>
  <si>
    <t>https://conanchopchop.fandom.com/wiki/Conan_Chop_Chop</t>
  </si>
  <si>
    <t>https://x.com/2_left_thumbs/status/1625686255093813249?s=20</t>
  </si>
  <si>
    <t>The dev's favorite roguelike, check folder</t>
  </si>
  <si>
    <t>https://steamcommunity.com/app/225280/discussions/0/846961716374404705/#c846961716375428005</t>
  </si>
  <si>
    <t>https://blog.novadrift.io/nova-drift-frequently-asked-questions/</t>
  </si>
  <si>
    <t>https://youtu.be/G_Oc86mFc8A</t>
  </si>
  <si>
    <t>https://www.reddit.com/r/Spore/comments/1uz4aye/just_released_my_game_pathogenic_its_basically/</t>
  </si>
  <si>
    <t>https://store.steampowered.com/news/app/3618850/view/527614642864786784?l=english</t>
  </si>
  <si>
    <t>https://games.tiscali.cz/novinky/cesky-tym-rake-in-grass-se-hlasi-se-slibnou-arkadou-rampage-knights-240475</t>
  </si>
  <si>
    <t>https://gamerant.com/revita-benstar-interview-six-year-development-early-access-pc-switch-launch/#:~:text=The%20Binding%20of%20Isaac's%20%22Deals,health%2Das%2Dcurrency%20mechanic.</t>
  </si>
  <si>
    <t>https://github.com/ScottBurger/going_rogue_podcast/blob/master/docs/providence.md</t>
  </si>
  <si>
    <t>https://steamcommunity.com/app/2563800/discussions/0/4756451565242385846/#c592882772895432824</t>
  </si>
  <si>
    <t>https://steamcommunity.com/app/790060/discussions/0/3377008022024931698/?ctp=12#c1696095174288151256</t>
  </si>
  <si>
    <t>https://www.terribleposture.com/tower-of-guns/</t>
  </si>
  <si>
    <t>https://store.steampowered.com/news/app/3618850/view/527612739964633653?l=english</t>
  </si>
  <si>
    <t>https://baldis-basics-in-education-and-learning.fandom.com/wiki/Inspiration_and_reference</t>
  </si>
  <si>
    <t>https://www.dualshockers.com/touhou-genso-wanderer-interview-director-jyunya-talks-about-the-best-rouge-like-game-in-japan/</t>
  </si>
  <si>
    <t>https://www.pcgamer.com/dave-the-diver-was-inspired-by-a-real-oceanside-seafood-restaurant-and-metal-gear-solid/</t>
  </si>
  <si>
    <t>https://store.steampowered.com/app/1229260/Monster_Girls_and_the_Mysterious_Adventure/</t>
  </si>
  <si>
    <t>https://www.simplelove.co/entry/20141209/1418122763</t>
  </si>
  <si>
    <t>https://x.com/kagaya_wqy/status/1152559201945677825</t>
  </si>
  <si>
    <t>tried my best to find sources, but all I got is that like duh look at it and also that there might be an interview in Dengeki PlayStation Vol. 478 but I don't got that shit (might be more like shiren but oh well)</t>
  </si>
  <si>
    <t>https://steamcommunity.com/app/3088070/discussions/0/562532756309055685/#c562532756309107833</t>
  </si>
  <si>
    <t>https://www.reddit.com/r/IndieGaming/comments/1dnw8jb/been_working_on_an_experimental_survivorslike/</t>
  </si>
  <si>
    <t>https://xuanmingzhou.com/blog/glyphica-a-solo-dev-retrospective/</t>
  </si>
  <si>
    <t>https://www.reddit.com/r/shmups/comments/y3uhl5/i_just_released_my_game_icewall_an_action/</t>
  </si>
  <si>
    <t>described as a bullet heaven, unclear if there was a specific game inspired from, but I think VS counts to an extent</t>
  </si>
  <si>
    <t>https://www.reddit.com/r/Games/comments/196wldd/swarm_grinder_last_bite_games_a_roguelite_game/</t>
  </si>
  <si>
    <t>https://store.epicgames.com/news/terratech-legion-interview-russ-clark-car-building-freedom-bullet-heaven?lang=hi</t>
  </si>
  <si>
    <t>https://www.reddit.com/r/DestroyMyGame/comments/119wet3/looking_for_feedback_on_this_vs_inspired/</t>
  </si>
  <si>
    <t>Developed by Auroch Digital (Warhammer 40,000: Boltgun) in partnership with Warhammer and poncle (Vampire Survivors)</t>
  </si>
  <si>
    <t>https://tonemadison.com/articles/whisker-squadron-survivor-takes-aim-at-its-pain-points/#:~:text=Runs%20in%20Whisker%20Squadron:%20Survivor,to%20engage%20the%20boost%20thrusters.</t>
  </si>
  <si>
    <t>https://80.lv/articles/making-hack-and-slash-action-rpg-voin-as-solo-developer</t>
  </si>
  <si>
    <t>same devs, same mechanics, different tone</t>
  </si>
  <si>
    <t>https://www.roguebasin.com/index.php/Cthangband</t>
  </si>
  <si>
    <t>https://roguebasin.com/index.php/PernAngband</t>
  </si>
  <si>
    <t>Health</t>
  </si>
  <si>
    <t>Gold</t>
  </si>
  <si>
    <t>Bash</t>
  </si>
  <si>
    <t>Dash</t>
  </si>
  <si>
    <t>Push</t>
  </si>
  <si>
    <t>Transmute</t>
  </si>
  <si>
    <t>Scramble</t>
  </si>
  <si>
    <t>Bombs</t>
  </si>
  <si>
    <t>Keys</t>
  </si>
  <si>
    <t>Random</t>
  </si>
  <si>
    <t>Level Up</t>
  </si>
  <si>
    <t>Reward</t>
  </si>
  <si>
    <t>Description</t>
  </si>
  <si>
    <t>Starting items</t>
  </si>
  <si>
    <t>Antonio Belpaese</t>
  </si>
  <si>
    <t>Gain +1 Random Sized Chest</t>
  </si>
  <si>
    <t>What a wonderful night to hunt beasts!</t>
  </si>
  <si>
    <t>N/A</t>
  </si>
  <si>
    <t>AntonioBelpaese</t>
  </si>
  <si>
    <t>Erratic Deck</t>
  </si>
  <si>
    <t>Gain +1 Scramble</t>
  </si>
  <si>
    <t>All Ranks and Suits in deck are randomized</t>
  </si>
  <si>
    <t>ErraticDeck</t>
  </si>
  <si>
    <t>Ironclad</t>
  </si>
  <si>
    <t>Gain +1 Small Chest</t>
  </si>
  <si>
    <t>The remaining soldier of the Ironclads. Sold his soul to harness demonic energies.</t>
  </si>
  <si>
    <t>Burning Blood</t>
  </si>
  <si>
    <t>Isaac</t>
  </si>
  <si>
    <t>Gain +1 Small Chest and +1 Scramble</t>
  </si>
  <si>
    <t>Who am I?</t>
  </si>
  <si>
    <t>D6</t>
  </si>
  <si>
    <t>Manager</t>
  </si>
  <si>
    <t>Gain +1 Push and +1 Gold</t>
  </si>
  <si>
    <t>Master in using  Math coins and earning tickets.</t>
  </si>
  <si>
    <t>Minä</t>
  </si>
  <si>
    <t>Craft or combine a spell or weapon</t>
  </si>
  <si>
    <t>Gain +1 Transmute</t>
  </si>
  <si>
    <t>Why must you go destroying everything? Why? For glory? For your precious god of gods. Is it really worth all this? Is it? Is it really?</t>
  </si>
  <si>
    <t>Poe Ratcho</t>
  </si>
  <si>
    <t>A malodorous hero</t>
  </si>
  <si>
    <t>Pummarola</t>
  </si>
  <si>
    <t>PoeRatcho</t>
  </si>
  <si>
    <t>Regent</t>
  </si>
  <si>
    <t>Heir to the Throne of Stars. Wields cosmic powers but his minions do the work.</t>
  </si>
  <si>
    <t>Rodney</t>
  </si>
  <si>
    <t>Beat a game without meta progression</t>
  </si>
  <si>
    <t>Now I abide here, searching endlessly for the precious Amulet... and finding a thousand horrors.</t>
  </si>
  <si>
    <t>Zagreus</t>
  </si>
  <si>
    <t>Gain +1 Large Chest</t>
  </si>
  <si>
    <t>... All right, let's give it another shot.</t>
  </si>
  <si>
    <t>Zoe</t>
  </si>
  <si>
    <t>Perfect a Game</t>
  </si>
  <si>
    <t>Gain +1 Dash</t>
  </si>
  <si>
    <t>Express Delivery: Arrives with haste, before the world ends.</t>
  </si>
  <si>
    <t>Rating</t>
  </si>
  <si>
    <t>Effect</t>
  </si>
  <si>
    <t>Reference</t>
  </si>
  <si>
    <t>tags</t>
  </si>
  <si>
    <t>pools</t>
  </si>
  <si>
    <t>Sorting</t>
  </si>
  <si>
    <t>Alien Baby</t>
  </si>
  <si>
    <t>Rare</t>
  </si>
  <si>
    <t>Pickup, Triggered</t>
  </si>
  <si>
    <t>Gain +6 Max Health, but all enemies gain +1 Health</t>
  </si>
  <si>
    <t>item_acquired: gain_max_hp 6; passive: +1 enemy_health</t>
  </si>
  <si>
    <t>alien</t>
  </si>
  <si>
    <t>AlienBaby</t>
  </si>
  <si>
    <t>Anchor</t>
  </si>
  <si>
    <t>Triggered</t>
  </si>
  <si>
    <t>game_selected: gain_stat shields 1</t>
  </si>
  <si>
    <t>sea, ship</t>
  </si>
  <si>
    <t>Defense</t>
  </si>
  <si>
    <t>Ban Hammer</t>
  </si>
  <si>
    <t>Uncommon</t>
  </si>
  <si>
    <t>Pickup</t>
  </si>
  <si>
    <t>Gain +2 Bashes</t>
  </si>
  <si>
    <t>item_acquired: gain_stat bash 2</t>
  </si>
  <si>
    <t>tool, hammer</t>
  </si>
  <si>
    <t>BanHammer</t>
  </si>
  <si>
    <t>Stats</t>
  </si>
  <si>
    <t>Barricade</t>
  </si>
  <si>
    <t>Bionic Face Plating</t>
  </si>
  <si>
    <t>Passive</t>
  </si>
  <si>
    <t>Gain +3 Speed, but this is destroyed when taking damage</t>
  </si>
  <si>
    <t>passive_status: speed 3; destroy_on_damage</t>
  </si>
  <si>
    <t>cybernetics</t>
  </si>
  <si>
    <t>BionicFacePlating</t>
  </si>
  <si>
    <t>Blood Bag</t>
  </si>
  <si>
    <t>Gain +2 Max Health and +8 Health</t>
  </si>
  <si>
    <t>item_acquired: gain_max_hp 2; gain_hp 8</t>
  </si>
  <si>
    <t>blood</t>
  </si>
  <si>
    <t>BloodBag</t>
  </si>
  <si>
    <t>Blood Bombs</t>
  </si>
  <si>
    <t>Gain +1 Bomb. When using a Bomb, Gain +1 Health</t>
  </si>
  <si>
    <t>item_acquired: gain_stat bombs 1; bomb_used: gain_hp 1</t>
  </si>
  <si>
    <t>bomb, blood</t>
  </si>
  <si>
    <t>BloodBombs</t>
  </si>
  <si>
    <t>Bomb</t>
  </si>
  <si>
    <t>Brimstone Bombs</t>
  </si>
  <si>
    <t>Pickup, Passive</t>
  </si>
  <si>
    <t>item_acquired: gain_stat bombs 1; bomb_cardinal</t>
  </si>
  <si>
    <t>bomb</t>
  </si>
  <si>
    <t>devil_room</t>
  </si>
  <si>
    <t>BrimstoneBombs</t>
  </si>
  <si>
    <t>Bomb, Grid</t>
  </si>
  <si>
    <t>Starter</t>
  </si>
  <si>
    <t>After beating a game, Gain +1 Health</t>
  </si>
  <si>
    <t>game_beaten: gain_hp 1</t>
  </si>
  <si>
    <t>BurningBlood</t>
  </si>
  <si>
    <t>Caffeine Pill</t>
  </si>
  <si>
    <t>Passive, Pickup</t>
  </si>
  <si>
    <t>Gain +1 Speed and +1 Pill</t>
  </si>
  <si>
    <t>passive_status: speed 1; item_acquired: gain_pill 1</t>
  </si>
  <si>
    <t>drugs, pills</t>
  </si>
  <si>
    <t>CaffeinePill</t>
  </si>
  <si>
    <t>Loot, Stats</t>
  </si>
  <si>
    <t>Calling Bell</t>
  </si>
  <si>
    <t>Boss</t>
  </si>
  <si>
    <t>Obtain Curse of the Bell and 3 random items — one Common, one Uncommon, one Rare</t>
  </si>
  <si>
    <t>item_acquired: add_curse curse_of_the_bell, gain_item_per_rarity 3</t>
  </si>
  <si>
    <t>CallingBell</t>
  </si>
  <si>
    <t>Special</t>
  </si>
  <si>
    <t>Charm of the Vampire</t>
  </si>
  <si>
    <t>Triggered, Incremental</t>
  </si>
  <si>
    <t>When you defeat 3 enemies, Gain +1 Health</t>
  </si>
  <si>
    <t>enemy_killed: counter key=enemies_defeated every=3 -&gt; gain_hp 1</t>
  </si>
  <si>
    <t>bat, vampire</t>
  </si>
  <si>
    <t>CharmOfTheVampire</t>
  </si>
  <si>
    <t>Clover</t>
  </si>
  <si>
    <t>Gain +1 Luck</t>
  </si>
  <si>
    <t>passive: +1 luck</t>
  </si>
  <si>
    <t>plant</t>
  </si>
  <si>
    <t>Crown</t>
  </si>
  <si>
    <t>When Levelling Up, 50% chance to Level Up an additional time</t>
  </si>
  <si>
    <t>level_up: 50%</t>
  </si>
  <si>
    <t>wearable, hat, crown</t>
  </si>
  <si>
    <t>Economy</t>
  </si>
  <si>
    <t>D10</t>
  </si>
  <si>
    <t>Charged, 2</t>
  </si>
  <si>
    <t>Reroll all non-boss enemies</t>
  </si>
  <si>
    <t>item_used: reroll_enemies</t>
  </si>
  <si>
    <t>Grid</t>
  </si>
  <si>
    <t>item_used: gain_stat scramble 1</t>
  </si>
  <si>
    <t>Echo Chamber</t>
  </si>
  <si>
    <t>Whenever you use Loot, you also use a copy of the last 3 Loot you used after picking up Echo Chamber</t>
  </si>
  <si>
    <t>echo_loot 3</t>
  </si>
  <si>
    <t>EchoChamber</t>
  </si>
  <si>
    <t>Loot</t>
  </si>
  <si>
    <t>Fortune Necklace</t>
  </si>
  <si>
    <t>When selecting a game, Gain +1 Gold, but this is destroyed when taking damage</t>
  </si>
  <si>
    <t>game_selected: gain_gold 1; destroy_on_damage</t>
  </si>
  <si>
    <t>wearable, necklace</t>
  </si>
  <si>
    <t>FortuneNecklace</t>
  </si>
  <si>
    <t>All enemies drop +1 Gold</t>
  </si>
  <si>
    <t>gold_per_enemy: 1</t>
  </si>
  <si>
    <t>gold</t>
  </si>
  <si>
    <t>Hollow Heart</t>
  </si>
  <si>
    <t>item_acquired: gain_empty_max_hp 4</t>
  </si>
  <si>
    <t>heart</t>
  </si>
  <si>
    <t>HollowHeart</t>
  </si>
  <si>
    <t>Hot Bombs</t>
  </si>
  <si>
    <t>item_acquired: gain_stat bombs 1; bomb_tile fire</t>
  </si>
  <si>
    <t>bomb, fire</t>
  </si>
  <si>
    <t>HotBombs</t>
  </si>
  <si>
    <t>IV Bag</t>
  </si>
  <si>
    <t>Usable, 0</t>
  </si>
  <si>
    <t>Lose 1 Health and Gain +1 Gold</t>
  </si>
  <si>
    <t>item_used: lose_hp 1; gain_gold 1</t>
  </si>
  <si>
    <t>IvBag</t>
  </si>
  <si>
    <t>Landmines</t>
  </si>
  <si>
    <t>After Combat ends, Apply the Landmine Unit to a random empty Tile</t>
  </si>
  <si>
    <t>game_beaten: apply_unit landmine target=random_empty</t>
  </si>
  <si>
    <t>Lord's Parasol</t>
  </si>
  <si>
    <t>When encountering a shop, purchase everything in it</t>
  </si>
  <si>
    <t>shop_sweep</t>
  </si>
  <si>
    <t>umbrella</t>
  </si>
  <si>
    <t>LordsParasol</t>
  </si>
  <si>
    <t>Lucky Foot</t>
  </si>
  <si>
    <t>Gain +1 Luck, +1 Pill, and all negative pills become positive</t>
  </si>
  <si>
    <t>passive: +1 luck; item_acquired: gain_pill 1; pills_positive</t>
  </si>
  <si>
    <t>foot</t>
  </si>
  <si>
    <t>LuckyFoot</t>
  </si>
  <si>
    <t>Lucky Hat</t>
  </si>
  <si>
    <t>Gain +1 Luck, but this is destroyed when taking damage</t>
  </si>
  <si>
    <t>passive: +1 luck; destroy_on_damage</t>
  </si>
  <si>
    <t>wearable, hat</t>
  </si>
  <si>
    <t>LuckyHat</t>
  </si>
  <si>
    <t>Lunch</t>
  </si>
  <si>
    <t>Gain +2 Max Health</t>
  </si>
  <si>
    <t>item_acquired: gain_max_hp 2</t>
  </si>
  <si>
    <t>Mango</t>
  </si>
  <si>
    <t>Gain +4 Max Health</t>
  </si>
  <si>
    <t>item_acquired: gain_max_hp 4</t>
  </si>
  <si>
    <t>food, fruit</t>
  </si>
  <si>
    <t>Meat on the Bone</t>
  </si>
  <si>
    <t>When your Health is at 50% or below Max Health after beating a game, gain +2 Health</t>
  </si>
  <si>
    <t>game_beaten: if_hp below 0.5 -&gt; gain_hp 2</t>
  </si>
  <si>
    <t>food, meat</t>
  </si>
  <si>
    <t>MeatOnTheBone</t>
  </si>
  <si>
    <t>Mine-r Construction</t>
  </si>
  <si>
    <t xml:space="preserve">Increase the Grid length and width by 1 </t>
  </si>
  <si>
    <t>grid_grow</t>
  </si>
  <si>
    <t>tool</t>
  </si>
  <si>
    <t>MinerConstruction</t>
  </si>
  <si>
    <t>Mom's Bottle of Pills</t>
  </si>
  <si>
    <t>Gain +1 Pill</t>
  </si>
  <si>
    <t>item_used: gain_pill 1</t>
  </si>
  <si>
    <t>mom, drugs, pills</t>
  </si>
  <si>
    <t>MomsBottleOfPills</t>
  </si>
  <si>
    <t>Mom's Coin Purse</t>
  </si>
  <si>
    <t>Gain +4 Pills</t>
  </si>
  <si>
    <t>item_acquired: gain_pill 4</t>
  </si>
  <si>
    <t>mom, purse, drugs, pills</t>
  </si>
  <si>
    <t>MomsCoinPurse</t>
  </si>
  <si>
    <t>Oddly Smooth Stone</t>
  </si>
  <si>
    <t>Status</t>
  </si>
  <si>
    <t>Gain +1 Dexterity</t>
  </si>
  <si>
    <t>item_acquired: apply_status dexterity 1</t>
  </si>
  <si>
    <t>stone</t>
  </si>
  <si>
    <t>OddlySmoothStone</t>
  </si>
  <si>
    <t>Philosophers Stone</t>
  </si>
  <si>
    <t>Increase the Grid length by 1, but give all spawned enemies +1 Strength</t>
  </si>
  <si>
    <t>grid_length; spawn_status strength 1</t>
  </si>
  <si>
    <t>PhilosophersStone</t>
  </si>
  <si>
    <t>Piggy Bank</t>
  </si>
  <si>
    <t>Whenever you lose Health, Gain +1 Gold</t>
  </si>
  <si>
    <t>health_lost: gain_gold 1</t>
  </si>
  <si>
    <t>pig, bank</t>
  </si>
  <si>
    <t>shop</t>
  </si>
  <si>
    <t>PiggyBank</t>
  </si>
  <si>
    <t>Red Candle</t>
  </si>
  <si>
    <t>Charged, 1</t>
  </si>
  <si>
    <t>Apply the Fire Tile to any tile within the columns 2 and 3</t>
  </si>
  <si>
    <t>item_used: apply_tile fire target=tile cols=2-3</t>
  </si>
  <si>
    <t>fire</t>
  </si>
  <si>
    <t>RedCandle</t>
  </si>
  <si>
    <t>Ride the Bus</t>
  </si>
  <si>
    <t>Teleport to a random Deckbuilder Game</t>
  </si>
  <si>
    <t>RideTheBus</t>
  </si>
  <si>
    <t>Movement</t>
  </si>
  <si>
    <t>Runic Dome</t>
  </si>
  <si>
    <t>Increase the Grid length by 1, but you can no longer see enemies that will spawn</t>
  </si>
  <si>
    <t>grid_length; hide_spawns</t>
  </si>
  <si>
    <t>RunicDome</t>
  </si>
  <si>
    <t>Sacred Bark</t>
  </si>
  <si>
    <t>Double the effect of all Loot consumables (Scrolls, Potions, etc)</t>
  </si>
  <si>
    <t>loot_multiplier: 2</t>
  </si>
  <si>
    <t>wood</t>
  </si>
  <si>
    <t>SacredBark</t>
  </si>
  <si>
    <t>Snowball</t>
  </si>
  <si>
    <t>When you would Gain +1 Transmute, Gain +1 Transmute</t>
  </si>
  <si>
    <t>stat_gain_bonus: {transmute: 1}</t>
  </si>
  <si>
    <t>snow</t>
  </si>
  <si>
    <t>Staff of Flame</t>
  </si>
  <si>
    <t>Apply +3 Burn to a target enemy</t>
  </si>
  <si>
    <t>item_used: apply_status burn 3 target=enemy</t>
  </si>
  <si>
    <t>magic, fire</t>
  </si>
  <si>
    <t>StaffOfFlame</t>
  </si>
  <si>
    <t>Sticky Bombs</t>
  </si>
  <si>
    <t>bomb, spider</t>
  </si>
  <si>
    <t>StickyBombs</t>
  </si>
  <si>
    <t>Stigmata</t>
  </si>
  <si>
    <t>Gain +2 Max Health, Gain +2 Health, and +1 Bash</t>
  </si>
  <si>
    <t>item_acquired: gain_max_hp 2; gain_hp 2; gain_stat bash 1</t>
  </si>
  <si>
    <t>angel_room</t>
  </si>
  <si>
    <t>Health, Stats</t>
  </si>
  <si>
    <t>The Mark</t>
  </si>
  <si>
    <t>Gain +1 Bash and +1 Speed</t>
  </si>
  <si>
    <t>item_acquired: gain_stat bash 1; apply_status speed 1</t>
  </si>
  <si>
    <t>devilish</t>
  </si>
  <si>
    <t>TheMark</t>
  </si>
  <si>
    <t>There's Options</t>
  </si>
  <si>
    <t>Increase the chest size dropped from bosses by 1</t>
  </si>
  <si>
    <t>boss_chest_bonus: 1</t>
  </si>
  <si>
    <t>TheresOptions</t>
  </si>
  <si>
    <t>Unstable Genome</t>
  </si>
  <si>
    <t>When you beat a game, there's a 33% chance for this item to be destroyed and you may gain 1 of 3 random items</t>
  </si>
  <si>
    <t>game_beaten: 33% chance random_item_choice 3 destroy_self</t>
  </si>
  <si>
    <t>mutation</t>
  </si>
  <si>
    <t>UnstableGenome</t>
  </si>
  <si>
    <t>Vajra</t>
  </si>
  <si>
    <t>Gain +1 Strength</t>
  </si>
  <si>
    <t>item_acquired: apply_status strength 1</t>
  </si>
  <si>
    <t>Wand of Wishing</t>
  </si>
  <si>
    <t>Legendary</t>
  </si>
  <si>
    <t>Obtain any one item in the game</t>
  </si>
  <si>
    <t>wand</t>
  </si>
  <si>
    <t>WandOfWishing</t>
  </si>
  <si>
    <t>Wooden Nickel</t>
  </si>
  <si>
    <t>50% chance to Gain +1 Gold</t>
  </si>
  <si>
    <t>item_used: 50% chance gain_gold 1</t>
  </si>
  <si>
    <t>wood, coin</t>
  </si>
  <si>
    <t>WoodenNickel</t>
  </si>
  <si>
    <t>Difficulty</t>
  </si>
  <si>
    <t>Size</t>
  </si>
  <si>
    <t>Damage</t>
  </si>
  <si>
    <t>Goal Type</t>
  </si>
  <si>
    <t>Goal</t>
  </si>
  <si>
    <t>Ability</t>
  </si>
  <si>
    <t>Tag</t>
  </si>
  <si>
    <t>Attack Fly</t>
  </si>
  <si>
    <t>1-Low</t>
  </si>
  <si>
    <t>1x1</t>
  </si>
  <si>
    <t>Bounty</t>
  </si>
  <si>
    <t>AttackFly</t>
  </si>
  <si>
    <t>bug, fly</t>
  </si>
  <si>
    <t>Baby Alien</t>
  </si>
  <si>
    <t>Defeat an enemy that is an alien</t>
  </si>
  <si>
    <t>BabyAlien</t>
  </si>
  <si>
    <t>Flaming Fatty</t>
  </si>
  <si>
    <t>Feat</t>
  </si>
  <si>
    <t>Push an enemy into fire</t>
  </si>
  <si>
    <t>FlamingFatty</t>
  </si>
  <si>
    <t>Keybullet Kin</t>
  </si>
  <si>
    <t>Fetch</t>
  </si>
  <si>
    <t>KeybulletKin</t>
  </si>
  <si>
    <t>Lil Dave</t>
  </si>
  <si>
    <t>Destroy a wooden structure</t>
  </si>
  <si>
    <t>LilDave</t>
  </si>
  <si>
    <t>Numbskull</t>
  </si>
  <si>
    <t>Defeat an animated body part</t>
  </si>
  <si>
    <t>undead, skeleton</t>
  </si>
  <si>
    <t>Psychic Horf</t>
  </si>
  <si>
    <t>Use a homing attack</t>
  </si>
  <si>
    <t>PsychicHorf</t>
  </si>
  <si>
    <t>Skeleton Warrior</t>
  </si>
  <si>
    <t>Defeat a skeleton with a ball</t>
  </si>
  <si>
    <t>SkeletonWarrior</t>
  </si>
  <si>
    <t>Spider</t>
  </si>
  <si>
    <t>bug, spider</t>
  </si>
  <si>
    <t>Wisp</t>
  </si>
  <si>
    <t>Defeat an enemy made of fire</t>
  </si>
  <si>
    <t>Wringer</t>
  </si>
  <si>
    <t>Grab an enemy</t>
  </si>
  <si>
    <t>Bony</t>
  </si>
  <si>
    <t>2-Medium</t>
  </si>
  <si>
    <t>Child</t>
  </si>
  <si>
    <t>Defeat a child</t>
  </si>
  <si>
    <t>Coal Spider</t>
  </si>
  <si>
    <t>Set a rock on fire</t>
  </si>
  <si>
    <t>CoalSpider</t>
  </si>
  <si>
    <t>spider, rock, fire</t>
  </si>
  <si>
    <t>Flaming Hopper</t>
  </si>
  <si>
    <t>Defeat an enemy while on fire</t>
  </si>
  <si>
    <t>FlamingHopper</t>
  </si>
  <si>
    <t>Skeletal Brute</t>
  </si>
  <si>
    <t>1x2</t>
  </si>
  <si>
    <t>SkeletalBrute</t>
  </si>
  <si>
    <t>Bishop</t>
  </si>
  <si>
    <t>3-High</t>
  </si>
  <si>
    <t>Gigantic Vermin</t>
  </si>
  <si>
    <t>2x2</t>
  </si>
  <si>
    <t>Defeat a large rodent</t>
  </si>
  <si>
    <t>GiganticVermin</t>
  </si>
  <si>
    <t>rodent, rat</t>
  </si>
  <si>
    <t>Nemean Chariot</t>
  </si>
  <si>
    <t>Hit an enemy with a vehicle</t>
  </si>
  <si>
    <t>NemeanChariot</t>
  </si>
  <si>
    <t>Skeletal Bastion</t>
  </si>
  <si>
    <t>2x3 L 90 CC</t>
  </si>
  <si>
    <t>SkeletalBastion</t>
  </si>
  <si>
    <t>Cultist</t>
  </si>
  <si>
    <t>Perform a religious act</t>
  </si>
  <si>
    <t>Fungi Beast</t>
  </si>
  <si>
    <t>Get infected</t>
  </si>
  <si>
    <t>FungiBeast</t>
  </si>
  <si>
    <t>mushroom</t>
  </si>
  <si>
    <t>Ice Slime</t>
  </si>
  <si>
    <t>Freeze an enemy</t>
  </si>
  <si>
    <t>IceSlime</t>
  </si>
  <si>
    <t>slime, ice</t>
  </si>
  <si>
    <t>Lava Slime</t>
  </si>
  <si>
    <t>Touch lava</t>
  </si>
  <si>
    <t>LavaSlime</t>
  </si>
  <si>
    <t>slime, lava</t>
  </si>
  <si>
    <t>Punch Construct</t>
  </si>
  <si>
    <t>Punch a robot</t>
  </si>
  <si>
    <t>PunchConstruct</t>
  </si>
  <si>
    <t>robot</t>
  </si>
  <si>
    <t>Shrinker Beetle</t>
  </si>
  <si>
    <t>Shrink in size</t>
  </si>
  <si>
    <t>ShrinkerBeetle</t>
  </si>
  <si>
    <t>bug, beetle</t>
  </si>
  <si>
    <t>Spike Slime (L)</t>
  </si>
  <si>
    <t>Defeat an enemy that splits into another enemy</t>
  </si>
  <si>
    <t>SpikeSlime(L)</t>
  </si>
  <si>
    <t>slime</t>
  </si>
  <si>
    <t>Shelled Parasite</t>
  </si>
  <si>
    <t>Defeat an enemy that looks edible</t>
  </si>
  <si>
    <t>ShelledParasite</t>
  </si>
  <si>
    <t>Snecko</t>
  </si>
  <si>
    <t>Restriction</t>
  </si>
  <si>
    <t>The Obscura</t>
  </si>
  <si>
    <t>Create an illusion</t>
  </si>
  <si>
    <t>TheObscura</t>
  </si>
  <si>
    <t>Chosen</t>
  </si>
  <si>
    <t>Transient</t>
  </si>
  <si>
    <t>Discovery</t>
  </si>
  <si>
    <t>Witness an enemy kill itself</t>
  </si>
  <si>
    <t>Carcass</t>
  </si>
  <si>
    <t>Destroy an enemy spawner</t>
  </si>
  <si>
    <t>Goblin</t>
  </si>
  <si>
    <t>goblin</t>
  </si>
  <si>
    <t>Mung</t>
  </si>
  <si>
    <t>Obtain 1 fish</t>
  </si>
  <si>
    <t>fish</t>
  </si>
  <si>
    <t>Host</t>
  </si>
  <si>
    <t>Reflect a projectile</t>
  </si>
  <si>
    <t>Love Bot</t>
  </si>
  <si>
    <t>Use technology to heal yourself</t>
  </si>
  <si>
    <t>LoveBot</t>
  </si>
  <si>
    <t>Revola</t>
  </si>
  <si>
    <t>Body slam an enemy</t>
  </si>
  <si>
    <t>Robo-Cat</t>
  </si>
  <si>
    <t>Defeat a robot designed to look like an animal</t>
  </si>
  <si>
    <t>cat, robot</t>
  </si>
  <si>
    <t>Sharky</t>
  </si>
  <si>
    <t>Bleed an enemy to death</t>
  </si>
  <si>
    <t>cat, fish</t>
  </si>
  <si>
    <t>Spiked Cat</t>
  </si>
  <si>
    <t>Break glass</t>
  </si>
  <si>
    <t>SpikedCat</t>
  </si>
  <si>
    <t>cat</t>
  </si>
  <si>
    <t>Tornado</t>
  </si>
  <si>
    <t>Find a Tornado</t>
  </si>
  <si>
    <t>Giggling Minister</t>
  </si>
  <si>
    <t>Get something stolen from you</t>
  </si>
  <si>
    <t>GigglingMinister</t>
  </si>
  <si>
    <t>Spider Kitten</t>
  </si>
  <si>
    <t>Trap an enemy in place</t>
  </si>
  <si>
    <t>SpiderKitten</t>
  </si>
  <si>
    <t>cat, bug, spider</t>
  </si>
  <si>
    <t>Leprechaun</t>
  </si>
  <si>
    <t>Retrieve stolen currency or items</t>
  </si>
  <si>
    <t>Rust Monster</t>
  </si>
  <si>
    <t>RustMonster</t>
  </si>
  <si>
    <t>Stalker</t>
  </si>
  <si>
    <t>Become undetectable</t>
  </si>
  <si>
    <t>Jabberwock</t>
  </si>
  <si>
    <t>Behead an enemy</t>
  </si>
  <si>
    <t>Beholster</t>
  </si>
  <si>
    <t>gun</t>
  </si>
  <si>
    <t>Big Chunk</t>
  </si>
  <si>
    <t>Defeat an enemy made of stone</t>
  </si>
  <si>
    <t>BigChunk</t>
  </si>
  <si>
    <t>rock</t>
  </si>
  <si>
    <t>Colossus</t>
  </si>
  <si>
    <t>Witness a living structure</t>
  </si>
  <si>
    <t>Famine</t>
  </si>
  <si>
    <t>Mega Fatty</t>
  </si>
  <si>
    <t>Defeat an obese enemy</t>
  </si>
  <si>
    <t>MegaFatty</t>
  </si>
  <si>
    <t>Megaera</t>
  </si>
  <si>
    <t>Date someone</t>
  </si>
  <si>
    <t>Steven</t>
  </si>
  <si>
    <t>Be in a time loop</t>
  </si>
  <si>
    <t>Charon</t>
  </si>
  <si>
    <t>2x1</t>
  </si>
  <si>
    <t>Steal from a shop</t>
  </si>
  <si>
    <t>Mom's Heart</t>
  </si>
  <si>
    <t>Break a Heart</t>
  </si>
  <si>
    <t>MomsHeart</t>
  </si>
  <si>
    <t>Royal Phalanx</t>
  </si>
  <si>
    <t>Block an attack with an element</t>
  </si>
  <si>
    <t>RoyalPhalanx</t>
  </si>
  <si>
    <t>Scylla</t>
  </si>
  <si>
    <t>Perform a song</t>
  </si>
  <si>
    <t>Defeat yourself</t>
  </si>
  <si>
    <t>Lich</t>
  </si>
  <si>
    <t>4-Insane</t>
  </si>
  <si>
    <t>Defeat a magic enemy with a gun</t>
  </si>
  <si>
    <t xml:space="preserve">Lagavulin </t>
  </si>
  <si>
    <t>Go to sleep</t>
  </si>
  <si>
    <t>Lagavulin</t>
  </si>
  <si>
    <t>Vantom</t>
  </si>
  <si>
    <t>Use an attack that hits 4+ times</t>
  </si>
  <si>
    <t>The Club</t>
  </si>
  <si>
    <t>TheClub</t>
  </si>
  <si>
    <t>The Goad</t>
  </si>
  <si>
    <t>TheGoad</t>
  </si>
  <si>
    <t>The Head</t>
  </si>
  <si>
    <t>TheHead</t>
  </si>
  <si>
    <t xml:space="preserve">The Insatiable </t>
  </si>
  <si>
    <t>Consume an enemy</t>
  </si>
  <si>
    <t>TheInsatiable</t>
  </si>
  <si>
    <t>The Window</t>
  </si>
  <si>
    <t>TheWindow</t>
  </si>
  <si>
    <t>Cerulean Bell</t>
  </si>
  <si>
    <t>When taking reward options, only take the first option offered</t>
  </si>
  <si>
    <t>CeruleanBell</t>
  </si>
  <si>
    <t>Time Eater</t>
  </si>
  <si>
    <t>Beat the game in 2 hours or less</t>
  </si>
  <si>
    <t>TimeEater</t>
  </si>
  <si>
    <t>Corrupt Heart</t>
  </si>
  <si>
    <t>Get the true ending on the hardest difficulty possible</t>
  </si>
  <si>
    <t>CorruptHeart</t>
  </si>
  <si>
    <t>Giant Spider</t>
  </si>
  <si>
    <t>Defeat a bug larger than you</t>
  </si>
  <si>
    <t>GiantSpider</t>
  </si>
  <si>
    <t>Hickory</t>
  </si>
  <si>
    <t>Light a liquid on fire</t>
  </si>
  <si>
    <t>Marshmallow</t>
  </si>
  <si>
    <t>Have an enemy defeat another enemy</t>
  </si>
  <si>
    <t>Mobius</t>
  </si>
  <si>
    <t>Obtain a large fish</t>
  </si>
  <si>
    <t>Morana</t>
  </si>
  <si>
    <t>Raise the dead</t>
  </si>
  <si>
    <t>Trigger Fingers</t>
  </si>
  <si>
    <t>Defeat a fascist</t>
  </si>
  <si>
    <t>TriggerFingers</t>
  </si>
  <si>
    <t>Flushmaster</t>
  </si>
  <si>
    <t>Flush or get flushed</t>
  </si>
  <si>
    <t>Lord Bunga</t>
  </si>
  <si>
    <t>Become a cannibal</t>
  </si>
  <si>
    <t>LordBunga</t>
  </si>
  <si>
    <t>Trampy</t>
  </si>
  <si>
    <t>Get drunk</t>
  </si>
  <si>
    <t>The Man in the Moon</t>
  </si>
  <si>
    <t>3x3</t>
  </si>
  <si>
    <t>Go to a Moon</t>
  </si>
  <si>
    <t>TheManInTheMoon</t>
  </si>
  <si>
    <t>Throbbing King</t>
  </si>
  <si>
    <t>Steal a body part</t>
  </si>
  <si>
    <t>ThrobbingKing</t>
  </si>
  <si>
    <t>The Creator</t>
  </si>
  <si>
    <t>TheCreator</t>
  </si>
  <si>
    <t>god</t>
  </si>
  <si>
    <t>Banshee</t>
  </si>
  <si>
    <t>Green Banshee</t>
  </si>
  <si>
    <t>GreenBanshee</t>
  </si>
  <si>
    <t>Dragon</t>
  </si>
  <si>
    <t>Slay a dragon boss</t>
  </si>
  <si>
    <t>On Player</t>
  </si>
  <si>
    <t>On Player Effect</t>
  </si>
  <si>
    <t>On Enemy</t>
  </si>
  <si>
    <t>On Enemy Effect</t>
  </si>
  <si>
    <t>Combat</t>
  </si>
  <si>
    <t>Decrease</t>
  </si>
  <si>
    <t>EnemyOnly</t>
  </si>
  <si>
    <t>Enemy Combat Effect</t>
  </si>
  <si>
    <t>Stackable</t>
  </si>
  <si>
    <t>Strength</t>
  </si>
  <si>
    <t>Buff</t>
  </si>
  <si>
    <t>Increase Damage Dealt by X</t>
  </si>
  <si>
    <t>damage_dealt +{X}</t>
  </si>
  <si>
    <t>Intensity</t>
  </si>
  <si>
    <t>Speed</t>
  </si>
  <si>
    <t>goal "beaten in {1+(1/2)^(X-2):hours} or less" -&gt; gain_chest reward {X}; gain_stat dash 1</t>
  </si>
  <si>
    <t>Increase tile movement by X</t>
  </si>
  <si>
    <t>tile_move +{X}</t>
  </si>
  <si>
    <t>Marked</t>
  </si>
  <si>
    <t>Debuff</t>
  </si>
  <si>
    <t>demand "get {X} [achievement|achievements]" else -&gt; take_damage 3</t>
  </si>
  <si>
    <t>bonus "you get {X} [achievement|achievements]" decay -&gt; gain_chest reward {X}</t>
  </si>
  <si>
    <t>Damage taken increased by x2. Ignores shields.</t>
  </si>
  <si>
    <t xml:space="preserve">On Completion </t>
  </si>
  <si>
    <t>No</t>
  </si>
  <si>
    <t>damage_taken x2; pierce_shields</t>
  </si>
  <si>
    <t>Dexterity</t>
  </si>
  <si>
    <t>Gain +X Shields</t>
  </si>
  <si>
    <t>shield +{X}</t>
  </si>
  <si>
    <t>Burn</t>
  </si>
  <si>
    <t>demand "skip or trash {X} [item/upgrade|items/upgrades]" else -&gt; take_damage 3</t>
  </si>
  <si>
    <t>instead "skip or trash {4-X} [item/upgrade|items/upgrades]"</t>
  </si>
  <si>
    <t>Half Damage dealt</t>
  </si>
  <si>
    <t>damage_dealt x0.5</t>
  </si>
  <si>
    <t>Max: 3</t>
  </si>
  <si>
    <t>Scrolls</t>
  </si>
  <si>
    <t>Preference</t>
  </si>
  <si>
    <t>Notes</t>
  </si>
  <si>
    <t>Random Scroll Name</t>
  </si>
  <si>
    <t>Random Scroll Part</t>
  </si>
  <si>
    <t>Scroll of Aggravate Monsters</t>
  </si>
  <si>
    <t>Negative</t>
  </si>
  <si>
    <t>All current enemies Gain +1 Strength</t>
  </si>
  <si>
    <t>apply_status strength 1 all</t>
  </si>
  <si>
    <t>ANDOVA BEGARIN</t>
  </si>
  <si>
    <t>ah</t>
  </si>
  <si>
    <t>Scroll of Amnesia</t>
  </si>
  <si>
    <t>Forget 1 random Identified Loot.</t>
  </si>
  <si>
    <t>forget loot 1</t>
  </si>
  <si>
    <t>Amnesia</t>
  </si>
  <si>
    <t>DAIYEN FOOELS</t>
  </si>
  <si>
    <t>arek</t>
  </si>
  <si>
    <t>Scroll of Create Monster</t>
  </si>
  <si>
    <t>Spawn a Random Enemy with the current Difficulty</t>
  </si>
  <si>
    <t>spawn_enemy current</t>
  </si>
  <si>
    <t>DUAM XNAHT</t>
  </si>
  <si>
    <t>bahl</t>
  </si>
  <si>
    <t>Scroll of Identify</t>
  </si>
  <si>
    <t>Positive</t>
  </si>
  <si>
    <t>Choose 1 Loot to Identify.</t>
  </si>
  <si>
    <t>identify_loot choose 1</t>
  </si>
  <si>
    <t>Identify</t>
  </si>
  <si>
    <t>ELAM EBOW</t>
  </si>
  <si>
    <t>bar</t>
  </si>
  <si>
    <t>Scroll of Scare Monster</t>
  </si>
  <si>
    <t>stun_enemies choose 1</t>
  </si>
  <si>
    <t>ELBIB YLOH</t>
  </si>
  <si>
    <t>barf</t>
  </si>
  <si>
    <t>Scroll of Teleportation</t>
  </si>
  <si>
    <t>Neutral</t>
  </si>
  <si>
    <t>Teleport to a Random Space with roughly the same distance from the Amulet Game. (+ or - 2)</t>
  </si>
  <si>
    <t>teleport same 2</t>
  </si>
  <si>
    <t>Teleportation</t>
  </si>
  <si>
    <t>FOOBIE BLETCH</t>
  </si>
  <si>
    <t>behil</t>
  </si>
  <si>
    <t>Scroll of Fire</t>
  </si>
  <si>
    <t>Gain +3 Burn, Apply the Fire Tile and +3 Burn to all everything in the first column</t>
  </si>
  <si>
    <t>apply_status burn 3 player; apply_tile fire front; apply_status burn 3 front</t>
  </si>
  <si>
    <t>GARVEN DEH</t>
  </si>
  <si>
    <t>blech</t>
  </si>
  <si>
    <t>Scroll of Remove Curse</t>
  </si>
  <si>
    <t>Remove 1 target Curse</t>
  </si>
  <si>
    <t>remove_curse choose 1</t>
  </si>
  <si>
    <t>HACKEM MUCHE</t>
  </si>
  <si>
    <t>blorp</t>
  </si>
  <si>
    <t>JUYED AWK YACC</t>
  </si>
  <si>
    <t>bloto</t>
  </si>
  <si>
    <t>KERNOD WEL</t>
  </si>
  <si>
    <t>caca</t>
  </si>
  <si>
    <t>KIRJE</t>
  </si>
  <si>
    <t>coph</t>
  </si>
  <si>
    <t>LEP GEX VEN ZEA</t>
  </si>
  <si>
    <t>druhl</t>
  </si>
  <si>
    <t>NR 9</t>
  </si>
  <si>
    <t>erp</t>
  </si>
  <si>
    <t>PRATYAVAYAH</t>
  </si>
  <si>
    <t>festr</t>
  </si>
  <si>
    <t>PRIRUTSENIE</t>
  </si>
  <si>
    <t>flem</t>
  </si>
  <si>
    <t>READ ME</t>
  </si>
  <si>
    <t>foo</t>
  </si>
  <si>
    <t>TEMOV</t>
  </si>
  <si>
    <t>grit</t>
  </si>
  <si>
    <t>THARR</t>
  </si>
  <si>
    <t>ichi</t>
  </si>
  <si>
    <t>VE FORBRYDERNE</t>
  </si>
  <si>
    <t>ighr</t>
  </si>
  <si>
    <t>VELOX NEB </t>
  </si>
  <si>
    <t>iky</t>
  </si>
  <si>
    <t>VENZAR BORGAVVE</t>
  </si>
  <si>
    <t>kini</t>
  </si>
  <si>
    <t>VERR YED HORRE</t>
  </si>
  <si>
    <t>kona</t>
  </si>
  <si>
    <t>XIXAXA XOXAXA XUXAXA</t>
  </si>
  <si>
    <t>mep</t>
  </si>
  <si>
    <t>YUM YUM</t>
  </si>
  <si>
    <t>mihln</t>
  </si>
  <si>
    <t>ZELGO MER</t>
  </si>
  <si>
    <t>ogr</t>
  </si>
  <si>
    <t>9 KR</t>
  </si>
  <si>
    <t>oh</t>
  </si>
  <si>
    <t>BAYOWOKI</t>
  </si>
  <si>
    <t>oo</t>
  </si>
  <si>
    <t>BITEME</t>
  </si>
  <si>
    <t>ooze</t>
  </si>
  <si>
    <t>FIIK</t>
  </si>
  <si>
    <t>poxi</t>
  </si>
  <si>
    <t>GA NI VEN ZEA</t>
  </si>
  <si>
    <t>quo</t>
  </si>
  <si>
    <t>HACHEM MUCHE</t>
  </si>
  <si>
    <t>rech</t>
  </si>
  <si>
    <t>PRIRUCHENIE</t>
  </si>
  <si>
    <t>rot</t>
  </si>
  <si>
    <t>RE ADME</t>
  </si>
  <si>
    <t>slie</t>
  </si>
  <si>
    <t>ROCH HOCH</t>
  </si>
  <si>
    <t>snorf</t>
  </si>
  <si>
    <t>swerr</t>
  </si>
  <si>
    <t>TIDDER ROF</t>
  </si>
  <si>
    <t>tims</t>
  </si>
  <si>
    <t>yuky</t>
  </si>
  <si>
    <t>zep</t>
  </si>
  <si>
    <t>zihr</t>
  </si>
  <si>
    <t>Horse Description</t>
  </si>
  <si>
    <t>Horse Effect</t>
  </si>
  <si>
    <t>Luck Up</t>
  </si>
  <si>
    <t>gain_stat luck 1</t>
  </si>
  <si>
    <t>Gain +2 Luck</t>
  </si>
  <si>
    <t>gain_stat luck 2</t>
  </si>
  <si>
    <t>Luck Down</t>
  </si>
  <si>
    <t>Lose -1 Luck</t>
  </si>
  <si>
    <t>lose_stat luck 1</t>
  </si>
  <si>
    <t>Lose -2 Luck</t>
  </si>
  <si>
    <t>lose_stat luck 2</t>
  </si>
  <si>
    <t>Telepills</t>
  </si>
  <si>
    <t>Teleport to a Random Space with a 1-3 distance from the Amulet Game</t>
  </si>
  <si>
    <t>teleport amulet 1 3</t>
  </si>
  <si>
    <t>48 Hour Energy</t>
  </si>
  <si>
    <t>charge random 3</t>
  </si>
  <si>
    <t>charge random 3 full</t>
  </si>
  <si>
    <t>Health Up</t>
  </si>
  <si>
    <t>gain_max_hp 2</t>
  </si>
  <si>
    <t>gain_max_hp 4</t>
  </si>
  <si>
    <t>Health Down</t>
  </si>
  <si>
    <t>Lose -2 Max Health</t>
  </si>
  <si>
    <t>lose_max_hp 2</t>
  </si>
  <si>
    <t>Lose -4 Max Health</t>
  </si>
  <si>
    <t>lose_max_hp 4</t>
  </si>
  <si>
    <t>Bad Trip</t>
  </si>
  <si>
    <t>Lose -2 Health</t>
  </si>
  <si>
    <t>lose_hp 2 lethal=heal_full</t>
  </si>
  <si>
    <t>Lose -4 Health</t>
  </si>
  <si>
    <t>lose_hp 4 lethal=heal_full</t>
  </si>
  <si>
    <t>When a Bad Trip pill when it would kill you, it becomes Full Health</t>
  </si>
  <si>
    <t>Full Health</t>
  </si>
  <si>
    <t>Heal to full health</t>
  </si>
  <si>
    <t>heal_full</t>
  </si>
  <si>
    <t>Heal to full health and Gain +3 Shields</t>
  </si>
  <si>
    <t>heal_full; gain_stat bonus_shields 3</t>
  </si>
  <si>
    <t>Balls of Steel</t>
  </si>
  <si>
    <t>Gain +2 Shields</t>
  </si>
  <si>
    <t>gain_stat bonus_shields 2</t>
  </si>
  <si>
    <t>Gain +4 Shields</t>
  </si>
  <si>
    <t>gain_stat bonus_shields 4</t>
  </si>
  <si>
    <t>Gain a Random Curse and Forget all Identified loot</t>
  </si>
  <si>
    <t>add_curse random; forget loot all</t>
  </si>
  <si>
    <t>On Tile</t>
  </si>
  <si>
    <t>On Tile Effect</t>
  </si>
  <si>
    <t>Fire Potion</t>
  </si>
  <si>
    <t>FirePotion</t>
  </si>
  <si>
    <t>Block Potion</t>
  </si>
  <si>
    <t>Apply 2 Sheilds</t>
  </si>
  <si>
    <t>grant_shield 2 area=cell</t>
  </si>
  <si>
    <t>BlockPotion</t>
  </si>
  <si>
    <t>Speed Potion</t>
  </si>
  <si>
    <t>Gain +5 Dexterity until the end of the next combat</t>
  </si>
  <si>
    <t>apply_status dexterity 5 player games=1</t>
  </si>
  <si>
    <t>Apply +5 Dexterity until the end of the next combat</t>
  </si>
  <si>
    <t>apply_status dexterity 5 area=cell games=1</t>
  </si>
  <si>
    <t>SpeedPotion</t>
  </si>
  <si>
    <t>Flex Potion</t>
  </si>
  <si>
    <t>Gain +5 Strength until the end of the next combat</t>
  </si>
  <si>
    <t>apply_status strength 5 player games=1</t>
  </si>
  <si>
    <t>Apply +5 Strength until the end of the next combat</t>
  </si>
  <si>
    <t>apply_status strength 5 area=cell games=1</t>
  </si>
  <si>
    <t>FlexPotion</t>
  </si>
  <si>
    <t>Fruit Juice</t>
  </si>
  <si>
    <t>Apply +2 Max Health</t>
  </si>
  <si>
    <t>grant_max_health 2 area=cell</t>
  </si>
  <si>
    <t>FruitJuice</t>
  </si>
  <si>
    <t>Dexterity Potion</t>
  </si>
  <si>
    <t>Gain +2 Dexterity until the end of the next combat</t>
  </si>
  <si>
    <t>apply_status dexterity 2 player games=1</t>
  </si>
  <si>
    <t>Apply +1 Dexterity until the end of the next combat</t>
  </si>
  <si>
    <t>apply_status dexterity 1 area=cell games=1</t>
  </si>
  <si>
    <t>DexterityPotion</t>
  </si>
  <si>
    <t>Strength Potion</t>
  </si>
  <si>
    <t>Gain +2 Strength until the end of the next combat</t>
  </si>
  <si>
    <t>apply_status strength 2 player games=1</t>
  </si>
  <si>
    <t>Apply +1 Strength until the end of the next combat</t>
  </si>
  <si>
    <t>apply_status strength 1 area=cell games=1</t>
  </si>
  <si>
    <t>StrengthPotion</t>
  </si>
  <si>
    <t>Explosive Ampoule</t>
  </si>
  <si>
    <t>Take 3 Damage</t>
  </si>
  <si>
    <t>take_damage 3</t>
  </si>
  <si>
    <t>Deal 1 Damage everything on this tile and it's row</t>
  </si>
  <si>
    <t>deal_damage 1 area=row</t>
  </si>
  <si>
    <t>ExplosiveAmpoule</t>
  </si>
  <si>
    <t>Fysh Oil</t>
  </si>
  <si>
    <t>Gain +1 Strength and +1 Dexterity until the end of the next combat</t>
  </si>
  <si>
    <t>apply_status strength 1 player games=1; apply_status dexterity 1 player games=1</t>
  </si>
  <si>
    <t>Apply +1 Strength and +1 Dexterity until the end of the next combat</t>
  </si>
  <si>
    <t>apply_status strength 1 area=cell games=1; apply_status dexterity 1 area=cell games=1</t>
  </si>
  <si>
    <t>FyshOil</t>
  </si>
  <si>
    <t>Potion of Healing</t>
  </si>
  <si>
    <t>Gain +2 Health</t>
  </si>
  <si>
    <t>gain_hp 2</t>
  </si>
  <si>
    <t>Apply +2 Health</t>
  </si>
  <si>
    <t>grant_health 2 area=cell</t>
  </si>
  <si>
    <t>Potion of Raise Level</t>
  </si>
  <si>
    <t>Gain +1 Level</t>
  </si>
  <si>
    <t>gain_level 1</t>
  </si>
  <si>
    <t>none</t>
  </si>
  <si>
    <t>Potion of Extra Healing</t>
  </si>
  <si>
    <t>Gain +5 Health</t>
  </si>
  <si>
    <t>gain_hp 5</t>
  </si>
  <si>
    <t>Apply +5 Health</t>
  </si>
  <si>
    <t>grant_health 5 area=cell</t>
  </si>
  <si>
    <t>Potion of Haste Self</t>
  </si>
  <si>
    <t>Gain +2 Speed until the end of the next combat</t>
  </si>
  <si>
    <t>apply_status speed 2 player games=1</t>
  </si>
  <si>
    <t>Apply +2 Speed until the end of the next combat</t>
  </si>
  <si>
    <t>apply_status speed 2 area=cell games=1</t>
  </si>
  <si>
    <t>Potion of Self-Mutilation</t>
  </si>
  <si>
    <t>Deal 3 Damage to everything on this tile</t>
  </si>
  <si>
    <t>deal_damage 3 area=cell</t>
  </si>
  <si>
    <t>Potion of Uselessness</t>
  </si>
  <si>
    <t>Do nothing</t>
  </si>
  <si>
    <t>Limit</t>
  </si>
  <si>
    <t>Unique</t>
  </si>
  <si>
    <t>Blood Donation Machine</t>
  </si>
  <si>
    <t>arcade</t>
  </si>
  <si>
    <t>BloodDonationMachine</t>
  </si>
  <si>
    <t>The machine exploded, and {ITEM} appeared.</t>
  </si>
  <si>
    <t>Give Blood</t>
  </si>
  <si>
    <t>lose_hp 1; chance 6.7% -&gt; gain_item_of blood_bag|iv_bag; destroy_object else gain_gold 1</t>
  </si>
  <si>
    <t>needs bombs 1; spend_bomb 1; gain_pickups 2-4 hp|gold; destroy_object</t>
  </si>
  <si>
    <t>Donation Machine</t>
  </si>
  <si>
    <t>DonationMachine</t>
  </si>
  <si>
    <t>Give Gold</t>
  </si>
  <si>
    <t>needs gold 1; needs not_jammed; needs bank_space; donate_gold 1; roll 5% gain_stat luck 1; roll {1+X}% jam_object</t>
  </si>
  <si>
    <t>needs bombs 1; spend_bomb 1; bank_payout 2-5; destroy_object run</t>
  </si>
  <si>
    <t>Curse</t>
  </si>
  <si>
    <t>Condition</t>
  </si>
  <si>
    <t>Penalty</t>
  </si>
  <si>
    <t>Timer</t>
  </si>
  <si>
    <t>Curse of the Bell</t>
  </si>
  <si>
    <t>you don't ring a bell</t>
  </si>
  <si>
    <t>spawn_enemy</t>
  </si>
  <si>
    <t>CurseOfTheBell</t>
  </si>
  <si>
    <t>Injury</t>
  </si>
  <si>
    <t>you go below half health</t>
  </si>
  <si>
    <t>Poor Sleep</t>
  </si>
  <si>
    <t>you use a rest site to replenish health</t>
  </si>
  <si>
    <t>PoorSleep</t>
  </si>
  <si>
    <t>Interactions</t>
  </si>
  <si>
    <t>Decay</t>
  </si>
  <si>
    <t>Img</t>
  </si>
  <si>
    <t>Fire</t>
  </si>
  <si>
    <t>Apply +1 Burn to enemies who enter or start their turn on this tile</t>
  </si>
  <si>
    <t>enemy_enters: apply_status burn 1; enemy_turn_start: apply_status burn 1</t>
  </si>
  <si>
    <t>3 Games</t>
  </si>
  <si>
    <t>Landmine</t>
  </si>
  <si>
    <t>Inanimate</t>
  </si>
  <si>
    <t>On contact with an enemy, or when it takes damage, destroy itself, explode, and trigger your bomb effects</t>
  </si>
  <si>
    <t>enemy_enters: detonate; damaged: detonate</t>
  </si>
  <si>
    <t>tile fire: detonate_unit; remove_tile</t>
  </si>
  <si>
    <t>Obtain Goals</t>
  </si>
  <si>
    <t>Visuals</t>
  </si>
  <si>
    <t>Body</t>
  </si>
  <si>
    <t>Get damaged by enemies a lot</t>
  </si>
  <si>
    <t>battered</t>
  </si>
  <si>
    <t>Only take 10 or less damage from enemies</t>
  </si>
  <si>
    <t>slightly damaged</t>
  </si>
  <si>
    <t>Take no damage from enemies</t>
  </si>
  <si>
    <t>completely pristine</t>
  </si>
  <si>
    <t>Cord</t>
  </si>
  <si>
    <t>End a run with 10 or less items</t>
  </si>
  <si>
    <t>bare</t>
  </si>
  <si>
    <t>End a run with 11 - 20 items</t>
  </si>
  <si>
    <t>has some stuff on it</t>
  </si>
  <si>
    <t>End a run with over 20 items</t>
  </si>
  <si>
    <t>ornaments and stuff on it</t>
  </si>
  <si>
    <t>Decoration</t>
  </si>
  <si>
    <t>Beat a low tier boss</t>
  </si>
  <si>
    <t>Beat a medium tier boss</t>
  </si>
  <si>
    <t>Beat a high tier boss</t>
  </si>
  <si>
    <t>Beat an insane tier boss</t>
  </si>
  <si>
    <t>up to you to decide how these look, but I think they should be a gem that gets bigger and the 4th tier one should be magical</t>
  </si>
  <si>
    <t>Goal Effect</t>
  </si>
  <si>
    <t>Extra Effect</t>
  </si>
  <si>
    <t>Enemy Type</t>
  </si>
  <si>
    <t>Burning Basement</t>
  </si>
  <si>
    <t>Set 10+ enemies on fire</t>
  </si>
  <si>
    <t>None</t>
  </si>
  <si>
    <t>When entered, spawn 1 random enemy with the fire tag</t>
  </si>
  <si>
    <t>Dross</t>
  </si>
  <si>
    <t>Defeat a stinky enemy</t>
  </si>
  <si>
    <t>stinky</t>
  </si>
  <si>
    <t>Influence Graph — live analysis</t>
  </si>
  <si>
    <t>Every figure is a formula over the games and connections sheets. Add a row to either and these update on open.</t>
  </si>
  <si>
    <t>Measure</t>
  </si>
  <si>
    <t>Value</t>
  </si>
  <si>
    <t>What it means</t>
  </si>
  <si>
    <t>Degree</t>
  </si>
  <si>
    <t>Games</t>
  </si>
  <si>
    <t>Genre</t>
  </si>
  <si>
    <t>Owned %</t>
  </si>
  <si>
    <t>Rank</t>
  </si>
  <si>
    <t>Game you own</t>
  </si>
  <si>
    <t>Connections</t>
  </si>
  <si>
    <t>Edge span</t>
  </si>
  <si>
    <t>Nodes in the graph</t>
  </si>
  <si>
    <t>0</t>
  </si>
  <si>
    <t>Games owned</t>
  </si>
  <si>
    <t>Marked Owned — the catalog a default run draws from</t>
  </si>
  <si>
    <t>1</t>
  </si>
  <si>
    <t>Owned share</t>
  </si>
  <si>
    <t>How much of the sheet a run can actually be sent to</t>
  </si>
  <si>
    <t>2</t>
  </si>
  <si>
    <t>Authored influence edges</t>
  </si>
  <si>
    <t>3</t>
  </si>
  <si>
    <t>Average degree</t>
  </si>
  <si>
    <t>Connections per game — under 3 means a sparse graph</t>
  </si>
  <si>
    <t>4</t>
  </si>
  <si>
    <t>Average degree (owned)</t>
  </si>
  <si>
    <t>The same figure over the owned catalog — the graph a run walks</t>
  </si>
  <si>
    <t>5</t>
  </si>
  <si>
    <t>Median degree</t>
  </si>
  <si>
    <t>Half of all games sit at or below this</t>
  </si>
  <si>
    <t>6-9</t>
  </si>
  <si>
    <t>Largest hub</t>
  </si>
  <si>
    <t>Degree of the single most connected game</t>
  </si>
  <si>
    <t>10-24</t>
  </si>
  <si>
    <t>Leaves (degree 1)</t>
  </si>
  <si>
    <t>Dead ends — one way in, the same way out</t>
  </si>
  <si>
    <t>25+</t>
  </si>
  <si>
    <t>Isolated (degree 0)</t>
  </si>
  <si>
    <t>Unreachable; can never appear on a route</t>
  </si>
  <si>
    <t>Leaves + isolated</t>
  </si>
  <si>
    <t>Share of the map that carries no routing information</t>
  </si>
  <si>
    <t>Owned &amp; routable</t>
  </si>
  <si>
    <t>Owned games with more than one way out — real junctions on a route</t>
  </si>
  <si>
    <t>11-20</t>
  </si>
  <si>
    <t>Owned dead ends</t>
  </si>
  <si>
    <t>Owned games the run can only reach and turn around in</t>
  </si>
  <si>
    <t>21+</t>
  </si>
  <si>
    <t>Backward in time</t>
  </si>
  <si>
    <t>MUST BE 0 — an influence cannot point at an older game</t>
  </si>
  <si>
    <t>Same year</t>
  </si>
  <si>
    <t>Legal: a demo influencing something shipped the same year</t>
  </si>
  <si>
    <t>Median edge span</t>
  </si>
  <si>
    <t>Years between an influencer and what it influenced</t>
  </si>
  <si>
    <t>Dev/Series flagged</t>
  </si>
  <si>
    <t>Sequel / same-devs links, distinct from plain influence</t>
  </si>
  <si>
    <t>With a source</t>
  </si>
  <si>
    <t>Connections carrying a URL or note as evidence</t>
  </si>
  <si>
    <t>Owned, no Steam page</t>
  </si>
  <si>
    <t>Owned rows with nothing to link to — a gap in the sheet, not the graph</t>
  </si>
  <si>
    <t>Keep of the Lead Lord</t>
  </si>
  <si>
    <t>Low</t>
  </si>
  <si>
    <t>Building</t>
  </si>
  <si>
    <t>Guns are 20% more likely to show up</t>
  </si>
  <si>
    <t>Black Powder Mine</t>
  </si>
  <si>
    <t>Medium</t>
  </si>
  <si>
    <t>Underground</t>
  </si>
  <si>
    <t>Hollow</t>
  </si>
  <si>
    <t>Icy</t>
  </si>
  <si>
    <t>Forge</t>
  </si>
  <si>
    <t>Hard</t>
  </si>
  <si>
    <t>Firey</t>
  </si>
  <si>
    <t>Bullet Hell</t>
  </si>
  <si>
    <t>Undead</t>
  </si>
  <si>
    <t>Basement</t>
  </si>
  <si>
    <t>All games in this Location will either be Holy, Devilish, or Stinky (At least one of each if possible)</t>
  </si>
  <si>
    <t>Fiery</t>
  </si>
  <si>
    <t>Sewage</t>
  </si>
  <si>
    <t>Caves</t>
  </si>
  <si>
    <t>Flooded Caves</t>
  </si>
  <si>
    <t>Watery</t>
  </si>
  <si>
    <t>Necropolis</t>
  </si>
  <si>
    <t>Womb</t>
  </si>
  <si>
    <t>Living</t>
  </si>
  <si>
    <t>Cathedral</t>
  </si>
  <si>
    <t>Holy</t>
  </si>
  <si>
    <t>The Void</t>
  </si>
  <si>
    <t>Chaos</t>
  </si>
  <si>
    <t>Tartarus</t>
  </si>
  <si>
    <t>When the player enters this location, they will chose one of 3 Gods which will Give the player a it's Boon Item</t>
  </si>
  <si>
    <t>Asphodel</t>
  </si>
  <si>
    <t>Elysium</t>
  </si>
  <si>
    <t>Temple of Styx</t>
  </si>
  <si>
    <t>Titanic Plains</t>
  </si>
  <si>
    <t>General</t>
  </si>
  <si>
    <t>The Difficulty level has a 50% chance to increase by +1 after beating a game, but whenever a player beats a game, they can open an extra chest for 20 Gold</t>
  </si>
  <si>
    <t>Abandoned Aqueduct</t>
  </si>
  <si>
    <t>Desert</t>
  </si>
  <si>
    <t>Siphoned Forest</t>
  </si>
  <si>
    <t>Wetland Aspect</t>
  </si>
  <si>
    <t>Swampy</t>
  </si>
  <si>
    <t>Rallypoint Delta</t>
  </si>
  <si>
    <t>Abyssal Depths</t>
  </si>
  <si>
    <t>Sundered Grove</t>
  </si>
  <si>
    <t>Sulfur Pools</t>
  </si>
  <si>
    <t>Poisonous</t>
  </si>
  <si>
    <t>Sky Meadow</t>
  </si>
  <si>
    <t>Sky</t>
  </si>
  <si>
    <t>Commencement</t>
  </si>
  <si>
    <t>Lunar</t>
  </si>
  <si>
    <t>Salt Marsh</t>
  </si>
  <si>
    <t>If the player changes their physical appearance (not attire) in a run, there's a 50% chance to upgrade and 50% chance to downgrade a random passive item</t>
  </si>
  <si>
    <t>Deep Jungle</t>
  </si>
  <si>
    <t>Salt Dunes</t>
  </si>
  <si>
    <t>Moon Stair</t>
  </si>
  <si>
    <t>Flower fields</t>
  </si>
  <si>
    <t>Asphalt Mines</t>
  </si>
  <si>
    <t>The Far Shore</t>
  </si>
  <si>
    <t>All Enemies Gain Pigment Rich at the start of combat.</t>
  </si>
  <si>
    <t>The Orpheum</t>
  </si>
  <si>
    <t>The Garden</t>
  </si>
  <si>
    <t>Gain +25 Max Health, but at the start of combat, all enemies gain +3 Max HP</t>
  </si>
  <si>
    <t>item_acquired: gain_max_hp 25; enemy_spawned: +3 enemy_max_hp</t>
  </si>
  <si>
    <t>At the start of combat, Gain +10 Block</t>
  </si>
  <si>
    <t>combat_start: +10 block</t>
  </si>
  <si>
    <t>Bag o' Glitter</t>
  </si>
  <si>
    <t>Weapon</t>
  </si>
  <si>
    <t>Add the Card "Bag o' Glitter" into your Deck. If you obtain something glittery at least one time, "Bag o' Glitter" Gains (+1/+2) Blind</t>
  </si>
  <si>
    <t>weapon: bag_o_glitter; verify: Did you obtain something glittery? =&gt; +1/+2 Blind</t>
  </si>
  <si>
    <t>bag</t>
  </si>
  <si>
    <t>BagO'Glitter</t>
  </si>
  <si>
    <t>Ballistic Boots</t>
  </si>
  <si>
    <t>Gain +1 Speed</t>
  </si>
  <si>
    <t>passive: +1 speed</t>
  </si>
  <si>
    <t>wearable, shoes</t>
  </si>
  <si>
    <t>BallisticBoots</t>
  </si>
  <si>
    <t>Barrel</t>
  </si>
  <si>
    <t>Add the Card "Barrel" into your Deck. If you obtain at least 1 fish, Gain (1/2) random fish</t>
  </si>
  <si>
    <t>weapon: barrel; verify: Did you obtain at least 1 fish? =&gt; 1/2 random fish</t>
  </si>
  <si>
    <t>gun, fish</t>
  </si>
  <si>
    <t>Offense, Economy</t>
  </si>
  <si>
    <t>Bear Trap Mask</t>
  </si>
  <si>
    <t>At the start of combat, Gain +4 Block and +1 Bleed Thorns</t>
  </si>
  <si>
    <t>combat_start: +4 block, +1 bleed_thorns</t>
  </si>
  <si>
    <t>wearable, mask</t>
  </si>
  <si>
    <t>BearTrapMask</t>
  </si>
  <si>
    <t>Beefy Ring</t>
  </si>
  <si>
    <t>Scaling</t>
  </si>
  <si>
    <t xml:space="preserve">Gain scaling +1 Strength per 20 max health </t>
  </si>
  <si>
    <t>scaling: +1 strength per 20 max_hp</t>
  </si>
  <si>
    <t>wearable, ring</t>
  </si>
  <si>
    <t>BeefyRing</t>
  </si>
  <si>
    <t>Bird Head</t>
  </si>
  <si>
    <t>Your Strikes inflict Soul Link.</t>
  </si>
  <si>
    <t>card_grant if_tag=strike: +1 soul_link (enemy)</t>
  </si>
  <si>
    <t>bird, evil, animal corpse</t>
  </si>
  <si>
    <t>BirdHead</t>
  </si>
  <si>
    <t>Offense</t>
  </si>
  <si>
    <t>Bird-Faced Urn</t>
  </si>
  <si>
    <t>When you play a power, gain +2 Health</t>
  </si>
  <si>
    <t>card_played if_type=power: +2 hp</t>
  </si>
  <si>
    <t>bird</t>
  </si>
  <si>
    <t>BirdFacedUrn</t>
  </si>
  <si>
    <t>Blasma Pistol</t>
  </si>
  <si>
    <t>Add the Card "Blasma Pistol" into your Deck. If you open more than 10 chests, Gain (10/20) Gold</t>
  </si>
  <si>
    <t>weapon: blasma_pistol; verify: Did you open more than 10 chests? =&gt; gain_gold 10/20</t>
  </si>
  <si>
    <t>BlasmaPistol</t>
  </si>
  <si>
    <t>Blood Magic</t>
  </si>
  <si>
    <t>Add the Card "Blood Magic" into your Deck. If you create or use a magic circle, "Blood Magic" Gains  (+1/+2/) Infuse</t>
  </si>
  <si>
    <t>weapon: blood_magic; verify: Did you create or use a magic circle? =&gt; bump effect#0.infuse +1/+2</t>
  </si>
  <si>
    <t>BloodMagic</t>
  </si>
  <si>
    <t>Offense, Health</t>
  </si>
  <si>
    <t>Blood Vial</t>
  </si>
  <si>
    <t>At the start of combat, gain +2 Health</t>
  </si>
  <si>
    <t>combat_start: +2 hp</t>
  </si>
  <si>
    <t>BloodVial</t>
  </si>
  <si>
    <t>Boiling Water</t>
  </si>
  <si>
    <t>Gain +4 Intelligence and -3 Max Health</t>
  </si>
  <si>
    <t>passive: +4 intelligence; item_acquired: gain_max_hp -3</t>
  </si>
  <si>
    <t>drink, water</t>
  </si>
  <si>
    <t>BoilingWater</t>
  </si>
  <si>
    <t>Boon of Aphrodite</t>
  </si>
  <si>
    <t>Boon</t>
  </si>
  <si>
    <t>If the player charms an enemy gain +1 to all combat roll bonus stats, but 1 of the game choices will be Charmed</t>
  </si>
  <si>
    <t>BoonOfAphrodite</t>
  </si>
  <si>
    <t>Boon of Artemis</t>
  </si>
  <si>
    <t>If the player uses ranged strategies primarlity to win the run gain +1 to all combat roll bonus stats, but 1 of the game choices will be Marked</t>
  </si>
  <si>
    <t>BoonOfArtemis</t>
  </si>
  <si>
    <t>Boon of Athena</t>
  </si>
  <si>
    <t>If the player negates damage with a shield 5+ times gain +1 to all combat roll bonus stats, but 1 of the game choices will be Shielded</t>
  </si>
  <si>
    <t>BoonOfAthena</t>
  </si>
  <si>
    <t>Boon of Hermes</t>
  </si>
  <si>
    <t>If the player beats a game within an hour gain +1 to all combat roll bonus stats, but 1 of the game choices will be Timed</t>
  </si>
  <si>
    <t>BoonOfHermes</t>
  </si>
  <si>
    <t>Boon of Poseidon</t>
  </si>
  <si>
    <t>If the player defeats an enemy underwater gain +1 to all combat roll bonus stats, but 1 of the game choices will be Soaked</t>
  </si>
  <si>
    <t>BoonOfPoseidon</t>
  </si>
  <si>
    <t>Boon of Zeus</t>
  </si>
  <si>
    <t>If the player defeats an enemy with lightning in their run gain +1 to all combat roll bonus stats, but 1 of the game choices will be Shocked</t>
  </si>
  <si>
    <t>BoonOfZeus</t>
  </si>
  <si>
    <t>Bowler Hat</t>
  </si>
  <si>
    <t>Gain +3 Luck and 18 Harvesting, but -3% Crit Chance</t>
  </si>
  <si>
    <t>passive: +3 luck, +18 harvesting, -3 crit_chance</t>
  </si>
  <si>
    <t>BowlerHat</t>
  </si>
  <si>
    <t>Stats, Economy</t>
  </si>
  <si>
    <t>Brain Candy</t>
  </si>
  <si>
    <t>Usable</t>
  </si>
  <si>
    <t>Gain +5 Intelligence this combat/event</t>
  </si>
  <si>
    <t>item_used: temp_stat intelligence +5</t>
  </si>
  <si>
    <t>drug, pill, consumable</t>
  </si>
  <si>
    <t>BrainCandy</t>
  </si>
  <si>
    <t>Brass Knuckles</t>
  </si>
  <si>
    <t>Your Strikes inflict Bruise</t>
  </si>
  <si>
    <t>card_grant if_tag=strike: +1 bruise (enemy)</t>
  </si>
  <si>
    <t>BrassKnuckles</t>
  </si>
  <si>
    <t>Broken Window</t>
  </si>
  <si>
    <t>At the start of combat, Gain +3 Bleed Thorns and +1 Bleed</t>
  </si>
  <si>
    <t>combat_start: +3 bleed_thorns, +1 bleed</t>
  </si>
  <si>
    <t>glass, wood</t>
  </si>
  <si>
    <t>BrokenWindow</t>
  </si>
  <si>
    <t>Bronze Scales</t>
  </si>
  <si>
    <t>At the start of combat, Gain +3 Thorns</t>
  </si>
  <si>
    <t>combat_start: +3 thorns</t>
  </si>
  <si>
    <t>metal</t>
  </si>
  <si>
    <t>BronzeScales</t>
  </si>
  <si>
    <t>At the end of combat, Gain +6 Health</t>
  </si>
  <si>
    <t>combat_end: +6 hp</t>
  </si>
  <si>
    <t>Busted Crown</t>
  </si>
  <si>
    <t>Gain +1 Max Energy, but -2 Discovery</t>
  </si>
  <si>
    <t>passive: +1 max_energy, -2 discovery</t>
  </si>
  <si>
    <t>BustedCrown</t>
  </si>
  <si>
    <t>Energy</t>
  </si>
  <si>
    <t>Campfire</t>
  </si>
  <si>
    <t>Gain +3 Intelligence and +1 Regeneration, but -1 Speed</t>
  </si>
  <si>
    <t>passive: +3 intelligence, +1 regeneration, -1 speed</t>
  </si>
  <si>
    <t>Captain's Wheel</t>
  </si>
  <si>
    <t>Start the 3rd turn of combat with +18 Block</t>
  </si>
  <si>
    <t>turn_started if_turn=3: +18 block (self)</t>
  </si>
  <si>
    <t>Captain'sWheel</t>
  </si>
  <si>
    <t>When you defeat an enemy, 50% chance to Heal +2 Health</t>
  </si>
  <si>
    <t>enemy_killed: 50% chance +2 hp</t>
  </si>
  <si>
    <t>Gain +5 Luck this combat/event</t>
  </si>
  <si>
    <t>item_used: temp_stat luck +5</t>
  </si>
  <si>
    <t>Clown Shoes</t>
  </si>
  <si>
    <t>Whenever you don't Perfect a game, (beat a game/combat without losing a run) 50% chance to treat it like you did</t>
  </si>
  <si>
    <t>perfect: verify Did you Perfect this game? =&gt; 50% to treat a non-perfect game as perfected</t>
  </si>
  <si>
    <t>wearable, shoes, clown</t>
  </si>
  <si>
    <t>ClownShoes</t>
  </si>
  <si>
    <t>Perfect</t>
  </si>
  <si>
    <t>Cricket's Head</t>
  </si>
  <si>
    <t>Gain +1 Strength. Multiply all Strength by 1.5</t>
  </si>
  <si>
    <t>passive: +1 strength; stat_multiply: strength 1.5</t>
  </si>
  <si>
    <t>dog, animal corpse</t>
  </si>
  <si>
    <t>CricketsHead</t>
  </si>
  <si>
    <t>level_up: 50% chance to Level Up an additional time</t>
  </si>
  <si>
    <t>Charged, 4</t>
  </si>
  <si>
    <t>Gain +1 Reroll</t>
  </si>
  <si>
    <t>charged (charge_cost 4); item_used: gain_stat reroll +1 (adds a Reroll charge, spendable on any reward/shop reroll)</t>
  </si>
  <si>
    <t>Darkstone Periapt</t>
  </si>
  <si>
    <t>Gain +6 Max Health whenever you obtain a Curse</t>
  </si>
  <si>
    <t>curse_applied: gain_max_hp 6</t>
  </si>
  <si>
    <t>stone, necklace, wearable</t>
  </si>
  <si>
    <t>DarkstonePeriapt</t>
  </si>
  <si>
    <t>Health, Curse</t>
  </si>
  <si>
    <t>Dead Eye</t>
  </si>
  <si>
    <t>Incremental</t>
  </si>
  <si>
    <t>Every time you hit with an Attack on the same target, every Attack Gains +1 Dmg. Bonus goes away when you miss or change targets.</t>
  </si>
  <si>
    <t>attack_landed: +1 dead_eye streak (same target); attack_missed: reset dead_eye</t>
  </si>
  <si>
    <t>eye</t>
  </si>
  <si>
    <t>DeadEye</t>
  </si>
  <si>
    <t>Dead Sea Scrolls</t>
  </si>
  <si>
    <t>Trigger the effect of a Random Scroll / Outside of Combat</t>
  </si>
  <si>
    <t>historical</t>
  </si>
  <si>
    <t>DeadSeaScrolls</t>
  </si>
  <si>
    <t>Death Orb</t>
  </si>
  <si>
    <t>When you play a power, deal Xx2 damage to each enemy where X is the number of Curses you have</t>
  </si>
  <si>
    <t>card_played if_type=power: dmg all_enemies value_from=curses x2 type=true (X = curse COUNT, not curse cards; true damage)</t>
  </si>
  <si>
    <t>orb, evil</t>
  </si>
  <si>
    <t>DeathOrb</t>
  </si>
  <si>
    <t>Power, Curse</t>
  </si>
  <si>
    <t>Dexecutioner</t>
  </si>
  <si>
    <t>Add the Card "Dexecutioner" into your Deck. If you kill an enemy with a piercing attack at least one time, "Dexecutioner" Gains (+1/+2) Dmg</t>
  </si>
  <si>
    <t>weapon: dexecutioner; verify: Did you kill an enemy with a piercing attack? =&gt; 1/2 dmg</t>
  </si>
  <si>
    <t>Disco Biscuit</t>
  </si>
  <si>
    <t>Gain +5 Charisma this combat/event</t>
  </si>
  <si>
    <t>item_used: temp_stat charisma +5</t>
  </si>
  <si>
    <t>DiscoBiscuit</t>
  </si>
  <si>
    <t>Duplicator</t>
  </si>
  <si>
    <t>Your Weapon Attack Cards gain Replay 1</t>
  </si>
  <si>
    <t>card_grant if_tag=weapon if_type=attack: +Replay 1 (re-resolves the card 1 extra time)</t>
  </si>
  <si>
    <t>Du-Vu Doll</t>
  </si>
  <si>
    <t>At the start of each combat, Gain X Power where X is the number of curses you have</t>
  </si>
  <si>
    <t>combat_started: +X power (self) stacks_from=curses (X = curse COUNT, not curse cards)</t>
  </si>
  <si>
    <t>doll</t>
  </si>
  <si>
    <t>Du-VuDoll</t>
  </si>
  <si>
    <t>Power</t>
  </si>
  <si>
    <t>Empty Syringe</t>
  </si>
  <si>
    <t>When Inflicting Bleed or Poison, Inflict +1 Bleed or Poison</t>
  </si>
  <si>
    <t>status_amplify: +1 bleed, +1 poison (when inflicted on an enemy)</t>
  </si>
  <si>
    <t>syringe</t>
  </si>
  <si>
    <t>EmptySyringe</t>
  </si>
  <si>
    <t>Empty Tome</t>
  </si>
  <si>
    <t>At the start of combat, a random Weapon Attack card in your deck costs 1 less for the rest of the combat.</t>
  </si>
  <si>
    <t>combat_started: reduce_card_cost 1 tag=weapon type=attack</t>
  </si>
  <si>
    <t>book</t>
  </si>
  <si>
    <t>EmptyTome</t>
  </si>
  <si>
    <t>Focus Crystal</t>
  </si>
  <si>
    <t>Melee Attacks deal +1 Dmg</t>
  </si>
  <si>
    <t>attack_damage_bonus: {melee: 1} (player melee attacks deal +1)</t>
  </si>
  <si>
    <t>crystal</t>
  </si>
  <si>
    <t>FocusCrystal</t>
  </si>
  <si>
    <t>Frozen Egg</t>
  </si>
  <si>
    <t>Whenever you add a Power card to your deck, Upgrade it</t>
  </si>
  <si>
    <t>upgrade_card_types: power (auto-upgrade Power cards added to deck)</t>
  </si>
  <si>
    <t>egg</t>
  </si>
  <si>
    <t>FrozenEgg</t>
  </si>
  <si>
    <t>Garlic</t>
  </si>
  <si>
    <t>At the start of combat, gain +1 Brace</t>
  </si>
  <si>
    <t>combat_started: +1 brace (self)</t>
  </si>
  <si>
    <t>food, vegetable</t>
  </si>
  <si>
    <t>Ginger</t>
  </si>
  <si>
    <t>You can no longer Gain Weak</t>
  </si>
  <si>
    <t>status_immunity: weak</t>
  </si>
  <si>
    <t>Glass Eye</t>
  </si>
  <si>
    <t>Gain +2 Strength and +1 Luck</t>
  </si>
  <si>
    <t>passive: +2 strength, +1 luck</t>
  </si>
  <si>
    <t>eye, glass</t>
  </si>
  <si>
    <t>GlassEye</t>
  </si>
  <si>
    <t>Golden Beetle</t>
  </si>
  <si>
    <t>Whenever you get rid of a Curse or Curse Card, gain one Chest</t>
  </si>
  <si>
    <t>curse_removed: gain_chest 1; curse_card_removed: gain_chest 1 (a chest = an item reward; counts both curses AND curse cards)</t>
  </si>
  <si>
    <t>bug</t>
  </si>
  <si>
    <t>GoldenBeetle</t>
  </si>
  <si>
    <t>Curse, Economy</t>
  </si>
  <si>
    <t>Gremlin Horn</t>
  </si>
  <si>
    <t>When an enemy dies, Gain +1 Energy and Draw 1 card</t>
  </si>
  <si>
    <t>enemy_killed: gain_energy 1, draw 1</t>
  </si>
  <si>
    <t>GremlinHorn</t>
  </si>
  <si>
    <t>Energy, Draw</t>
  </si>
  <si>
    <t>Handcuffs</t>
  </si>
  <si>
    <t>Gain +3 Strength, +3 Dexterity, and +3 Intelligence. Your Max Health is capped at its current value</t>
  </si>
  <si>
    <t>passive: +3 strength, +3 dexterity, +3 intelligence; caps_max_hp: locks max_hp at its current value while owned (held via GameState.max_hp_cap; cleared when the item leaves)</t>
  </si>
  <si>
    <t>military</t>
  </si>
  <si>
    <t>Happy Flower</t>
  </si>
  <si>
    <t>Every 3 turns, Gain +1 energy</t>
  </si>
  <si>
    <t>turn_tick: counter key=turns every=3 -&gt; gain_energy 1</t>
  </si>
  <si>
    <t>flower</t>
  </si>
  <si>
    <t>HappyFlower</t>
  </si>
  <si>
    <t>Head of the Keeper</t>
  </si>
  <si>
    <t>When you deal Dmg to an Enemy, 5% to Gain 1 Gold</t>
  </si>
  <si>
    <t>attack_landed: 5% chance gain_gold 1</t>
  </si>
  <si>
    <t>coin</t>
  </si>
  <si>
    <t>HeadOfTheKeeper</t>
  </si>
  <si>
    <t>Gain +12 Max Health</t>
  </si>
  <si>
    <t>item_acquired: gain_max_hp 6</t>
  </si>
  <si>
    <t>Holy Mantle</t>
  </si>
  <si>
    <t>At the start of combat, Gain +1 Buffer</t>
  </si>
  <si>
    <t>combat_start: +1 buffer (self)</t>
  </si>
  <si>
    <t>holy</t>
  </si>
  <si>
    <t>HolyMantle</t>
  </si>
  <si>
    <t>Horn Cleat</t>
  </si>
  <si>
    <t>Start the 2nd turn of combat with +14 Block</t>
  </si>
  <si>
    <t>turn_started if_turn=2: +14 block (self)</t>
  </si>
  <si>
    <t>HornCleat</t>
  </si>
  <si>
    <t>Ice Cream</t>
  </si>
  <si>
    <t>When you end your turn with energy, gain that much energy on your next energy</t>
  </si>
  <si>
    <t>carries_leftover_energy: true (deckbuilder carries leftover energy to next turn; strategy banks an empower charge on a turn the ability is skipped; action n/a)</t>
  </si>
  <si>
    <t>IceCream</t>
  </si>
  <si>
    <t>Jar of Leeches</t>
  </si>
  <si>
    <t>Your Strikes inflict Leeches</t>
  </si>
  <si>
    <t>card_grant if_tag=strike: +1 leeches (enemy). Leeches drains the enemy each turn and heals you</t>
  </si>
  <si>
    <t>leech, jar</t>
  </si>
  <si>
    <t>JarOfLeeches</t>
  </si>
  <si>
    <t>Jelly</t>
  </si>
  <si>
    <t>Gain +2 Max Health per Weapon Card in your Deck</t>
  </si>
  <si>
    <t>scaling: +2 max_hp per weapon card in deck (of: deck_tag:weapon)</t>
  </si>
  <si>
    <t>Keeper's Sack</t>
  </si>
  <si>
    <t>Gain 5 Gold. Whenever you spend 10 Gold, Gain +1 to a Random Stat</t>
  </si>
  <si>
    <t>item_acquired: gain_gold 5; gold_spend_stat_per=10 (+1 random core stat per 10 gold spent)</t>
  </si>
  <si>
    <t>Keeper'sSack</t>
  </si>
  <si>
    <t>Economy, Stats</t>
  </si>
  <si>
    <t>Leech Brood</t>
  </si>
  <si>
    <t>At the start of combat, inflict +1 Leeches to all enemies. If you start combat above 50% health, lose 10 health</t>
  </si>
  <si>
    <t>combat_started: +1 leeches (all_enemies); if_hp above 0.5 -&gt; lose_hp 10 (non_lethal, self)</t>
  </si>
  <si>
    <t>leech</t>
  </si>
  <si>
    <t>LeechBrood</t>
  </si>
  <si>
    <t>Leeching Seed</t>
  </si>
  <si>
    <t>Your Strikes Gain Heal 1</t>
  </si>
  <si>
    <t>card_grant if_tag=strike: heal 1 (self)</t>
  </si>
  <si>
    <t>seed</t>
  </si>
  <si>
    <t>LeechingSeed</t>
  </si>
  <si>
    <t>Lil' Bomber</t>
  </si>
  <si>
    <t>Add the Card "Lil' Bomber" into your Deck. If you kill an enemy with a bomb at least one time, "Lil' Bomber" Gains (+1/+2) Dmg</t>
  </si>
  <si>
    <t>weapon: lil_bomber; verify: Did you kill an enemy with a bomb? =&gt; 1/2 dmg</t>
  </si>
  <si>
    <t>LilBomber</t>
  </si>
  <si>
    <t>Little Knife</t>
  </si>
  <si>
    <t>Attacks deal 25% more Dmg to targets with lower Health</t>
  </si>
  <si>
    <t>lower_hp_damage_mult: 1.25 (player attacks deal x1.25 Dmg, ceil, to targets below player HP)</t>
  </si>
  <si>
    <t>knife</t>
  </si>
  <si>
    <t>LittleKnife</t>
  </si>
  <si>
    <t>Lower Case r</t>
  </si>
  <si>
    <t>Add the Card "Lower Case r" into your Deck. If you beat a game with the letter "R" in the title, "Lower Case r" Gains (+1/+2) Dmg</t>
  </si>
  <si>
    <t>weapon: lower_case_r; verify: Did you beat a game with the letter R in the title? =&gt; 1/2 dmg</t>
  </si>
  <si>
    <t>LowerCaseR</t>
  </si>
  <si>
    <t>Lucky Toe</t>
  </si>
  <si>
    <t>passive: +2 luck</t>
  </si>
  <si>
    <t>LuckyToe</t>
  </si>
  <si>
    <t>Gain +8 Max Health and +8 Health</t>
  </si>
  <si>
    <t>item_acquired: gain_max_hp 6, gain_hp 6</t>
  </si>
  <si>
    <t>Gain + 14 Max Health and +14 Health</t>
  </si>
  <si>
    <t>item_acquired: gain_max_hp 14, gain_hp 14</t>
  </si>
  <si>
    <t>Whenever your Health is at 50% or below Max Health at the end of combat, gain +12 Health</t>
  </si>
  <si>
    <t>combat_ended: if_hp below 0.5 -&gt; gain_hp 12 (heal when at/below 50% HP)</t>
  </si>
  <si>
    <t>Mercury Hourglass</t>
  </si>
  <si>
    <t>At the start of your turn, Deal 3 Dmg to all enemies</t>
  </si>
  <si>
    <t>turn_started: dmg 3 (all_enemies)</t>
  </si>
  <si>
    <t>MercuryHourglass</t>
  </si>
  <si>
    <t>Metal Plate</t>
  </si>
  <si>
    <t>When you kill an enemy, Gain +1 Brace</t>
  </si>
  <si>
    <t>enemy_killed: +1 brace (self)</t>
  </si>
  <si>
    <t>scrap, metal</t>
  </si>
  <si>
    <t>MetalPlate</t>
  </si>
  <si>
    <t>Molten Egg</t>
  </si>
  <si>
    <t>Whenever you add an Attack card to your deck, Upgrade it</t>
  </si>
  <si>
    <t>upgrade_card_types: attack (auto-upgrade Attack cards added to deck)</t>
  </si>
  <si>
    <t>MoltenEgg</t>
  </si>
  <si>
    <t>More Options</t>
  </si>
  <si>
    <t>Gain +1 Field of View, get an extra option in the space choice</t>
  </si>
  <si>
    <t>passive: +1 fov_bonus (an extra overworld portal option)</t>
  </si>
  <si>
    <t>MoreOptions</t>
  </si>
  <si>
    <t>Mummified Hand</t>
  </si>
  <si>
    <t>When you play a power, a random card in your hand becomes free to play this turn</t>
  </si>
  <si>
    <t>card_played if_type=power: free_random_hand_card (deckbuilder: random hand card costs 0 this turn; strategy: a random other ability needs no play this turn, still spends a use; action: slashes attack cooldowns)</t>
  </si>
  <si>
    <t>mummy</t>
  </si>
  <si>
    <t>MummifiedHand</t>
  </si>
  <si>
    <t>Power, Energy</t>
  </si>
  <si>
    <t>Nunchaku</t>
  </si>
  <si>
    <t>Every time you play 10 attacks, gain +1 Energy</t>
  </si>
  <si>
    <t>card_played if_type=attack: counter key=attacks_total every=10 -&gt; gain_energy 1</t>
  </si>
  <si>
    <t>ninja</t>
  </si>
  <si>
    <t>Offense, Energy</t>
  </si>
  <si>
    <t>Gain +3 Dexterity</t>
  </si>
  <si>
    <t>passive: +3 dexterity</t>
  </si>
  <si>
    <t>Old Coin</t>
  </si>
  <si>
    <t>Gain 100 Gold</t>
  </si>
  <si>
    <t>item_acquired: gain_gold 100</t>
  </si>
  <si>
    <t>OldCoin</t>
  </si>
  <si>
    <t>Ornamental Fan</t>
  </si>
  <si>
    <t>Every time you play 4 attacks in a single turn, Gain +4 Block</t>
  </si>
  <si>
    <t>card_played if_type=attack: counter key=attacks_this_turn every=4 -&gt; +4 block (self)</t>
  </si>
  <si>
    <t>japan</t>
  </si>
  <si>
    <t>OrnamentalFan</t>
  </si>
  <si>
    <t>Panda</t>
  </si>
  <si>
    <t>Gain +20 Max Health and +2 Luck, but -2 Strength</t>
  </si>
  <si>
    <t>item_acquired: gain_max_hp 20; passive: +2 luck, -2 strength</t>
  </si>
  <si>
    <t>Paper Bag</t>
  </si>
  <si>
    <t>Your Charisma is equal to your highest stat</t>
  </si>
  <si>
    <t>stat_mirror: {charisma: [strength, dexterity, intelligence, charisma]}</t>
  </si>
  <si>
    <t>wearable, paper</t>
  </si>
  <si>
    <t>PaperBag</t>
  </si>
  <si>
    <t>Pen Nib</t>
  </si>
  <si>
    <t>Every 10th attack you play deals double damage</t>
  </si>
  <si>
    <t>card_played if_type=attack: counter key=attacks_total every=10 -&gt; attack_double</t>
  </si>
  <si>
    <t>PenNib</t>
  </si>
  <si>
    <t>Percs</t>
  </si>
  <si>
    <t>Gain +10 Block</t>
  </si>
  <si>
    <t>item_used: block 10 (self)</t>
  </si>
  <si>
    <t>Performance Based Health Insurance</t>
  </si>
  <si>
    <t>Whenever you perfect a game (beat a game/combat without losing a run), Gain +5 Health</t>
  </si>
  <si>
    <t>perfect: gain_hp 5</t>
  </si>
  <si>
    <t>PerformanceBasedHealthInsurance</t>
  </si>
  <si>
    <t>Perfect, Health</t>
  </si>
  <si>
    <t>Philosopher's Stone</t>
  </si>
  <si>
    <t>Gain +1 Max Energy, but all enemies start with 1 Power</t>
  </si>
  <si>
    <t>passive: +1 max_energy; enemy_spawned: +1 power (enemy)</t>
  </si>
  <si>
    <t>Prayer Beads</t>
  </si>
  <si>
    <t>Whenever you take damage, Gain Temporary +3 Brace until end of this turn</t>
  </si>
  <si>
    <t>damage_taken: +3 brace temp until end of turn (self)</t>
  </si>
  <si>
    <t>monk, wearable, necklace</t>
  </si>
  <si>
    <t>PrayerBeads</t>
  </si>
  <si>
    <t>Prayer Card</t>
  </si>
  <si>
    <t>33% chance to gain +1 Buffer each time you take damage</t>
  </si>
  <si>
    <t>damage_taken: 33% chance +1 buffer (self)</t>
  </si>
  <si>
    <t>card, paper, holy, cardboard</t>
  </si>
  <si>
    <t>PrayerCard</t>
  </si>
  <si>
    <t>Propeller Hat</t>
  </si>
  <si>
    <t>Gain +3 Luck, but -1 Strength</t>
  </si>
  <si>
    <t>passive: +3 luck, -1 strength</t>
  </si>
  <si>
    <t>PropellerHat</t>
  </si>
  <si>
    <t>At the start of combat, Gain +1 Regeneration</t>
  </si>
  <si>
    <t>combat_started: +1 regeneration (self)</t>
  </si>
  <si>
    <t>Raven Feather</t>
  </si>
  <si>
    <t>At the start of combat, inflict Soul Link on 2 random enemies</t>
  </si>
  <si>
    <t>combat_started: +1 soul_link (random_enemies count=2)</t>
  </si>
  <si>
    <t>RavenFeather</t>
  </si>
  <si>
    <t>Reactive Trauma Plate</t>
  </si>
  <si>
    <t>If the player would take lethal damage, negate that damage and destroy this item</t>
  </si>
  <si>
    <t>negate_lethal: negate a lethal hit, then destroy this item</t>
  </si>
  <si>
    <t>ReactiveTraumaPlate</t>
  </si>
  <si>
    <t>Teleport to a random Deckbuilder space</t>
  </si>
  <si>
    <t>Ring of the Snake</t>
  </si>
  <si>
    <t>At the start of combat, Draw 2 Cards</t>
  </si>
  <si>
    <t>combat_started: draw 2 (self)</t>
  </si>
  <si>
    <t>ring</t>
  </si>
  <si>
    <t>RingOfTheSnake</t>
  </si>
  <si>
    <t>Draw</t>
  </si>
  <si>
    <t>Rock Bottom</t>
  </si>
  <si>
    <t>Prevents your Strength, Dexterity, Intelligence, Charisma, FoV, Discovery, and Luck from falling below their highest values reached.</t>
  </si>
  <si>
    <t>stat_floor: [strength, dexterity, intelligence, charisma, fov_bonus, discovery, luck] (held at highest effective value reached)</t>
  </si>
  <si>
    <t>RockBottom</t>
  </si>
  <si>
    <t>Roid Rage</t>
  </si>
  <si>
    <t>Gain +5 Strength this combat/event</t>
  </si>
  <si>
    <t>item_used: temp_stat strength +5</t>
  </si>
  <si>
    <t>RoidRage</t>
  </si>
  <si>
    <t>Rusty Razor</t>
  </si>
  <si>
    <t>Add the Card "Rusty Razor" into your Deck. If you kill an enemy with a status affliction at least one time, "Rusty Razor" Gains (+1/+2) Bleed and Poison</t>
  </si>
  <si>
    <t>weapon: rusty_razor; verify: Did you kill an enemy with a status affliction? =&gt; +1/+2 Bleed and Poison</t>
  </si>
  <si>
    <t>RustyRazor</t>
  </si>
  <si>
    <t>Sacred Orb</t>
  </si>
  <si>
    <t>Whenever an item spawns, if it was Common, reroll it. If it was an Uncommon, there is a 25% chance to reroll it.</t>
  </si>
  <si>
    <t>reroll_low_rarity: item rewards reroll Common picks (always) and Uncommon picks (25%)</t>
  </si>
  <si>
    <t>SacredOrb</t>
  </si>
  <si>
    <t>Secret Technique Instructions</t>
  </si>
  <si>
    <t>Whenever you perfect a game (beat a game/combat without losing a run), gain +1 Dash</t>
  </si>
  <si>
    <t>perfect: gain_stat dash 1</t>
  </si>
  <si>
    <t>SecretTechniqueInstructions</t>
  </si>
  <si>
    <t>Perfect, Stats</t>
  </si>
  <si>
    <t>Shuriken</t>
  </si>
  <si>
    <t>Every time you play 3 attacks in a single turn, Gain +1 Power</t>
  </si>
  <si>
    <t>card_played if_type=attack: counter key=attacks_this_turn every=3 -&gt; +1 power (self)</t>
  </si>
  <si>
    <t>Whenever you would Gain permanent Intelligence, Gain +1 Intelligence</t>
  </si>
  <si>
    <t>stat_gain_bonus: {intelligence: 1} (each permanent Intelligence gain grants +1 more)</t>
  </si>
  <si>
    <t>Speedball</t>
  </si>
  <si>
    <t>Gain +5 Dexterity this combat/event</t>
  </si>
  <si>
    <t>item_used: temp_stat dexterity +5</t>
  </si>
  <si>
    <t>Stabilizer Arm Locks</t>
  </si>
  <si>
    <t>Gain +6 Dexterity</t>
  </si>
  <si>
    <t>passive: +6 dexterity</t>
  </si>
  <si>
    <t>StabilizerArmLocks</t>
  </si>
  <si>
    <t>Steady Investment</t>
  </si>
  <si>
    <t>Whenever you perfect a game (beat a game/combat without losing a run), Gain +10 Gold</t>
  </si>
  <si>
    <t>perfect: gain_gold 10</t>
  </si>
  <si>
    <t>SteadyInvestment</t>
  </si>
  <si>
    <t>Perfect, Economy</t>
  </si>
  <si>
    <t>Stem Cells</t>
  </si>
  <si>
    <t>Gain +3 Regeneration</t>
  </si>
  <si>
    <t>consumable</t>
  </si>
  <si>
    <t>StemCells</t>
  </si>
  <si>
    <t>Stone Calendar</t>
  </si>
  <si>
    <t>At the end of turn 7, Deal 52 Damage to all enemies</t>
  </si>
  <si>
    <t>turn_ended if_turn=7: dmg 52 (all_enemies)</t>
  </si>
  <si>
    <t>StoneCalendar</t>
  </si>
  <si>
    <t>Strike Dummy</t>
  </si>
  <si>
    <t>Your Strikes Gain +3 Dmg</t>
  </si>
  <si>
    <t>card_grant if_tag=strike: dmg 3 (enemy)</t>
  </si>
  <si>
    <t>StrikeDummy</t>
  </si>
  <si>
    <t>Sulfa Powder</t>
  </si>
  <si>
    <t>At the start of your turn, Gain +D12 Block</t>
  </si>
  <si>
    <t>turn_started: roll_block sides=12 (self, Luck-weighted)</t>
  </si>
  <si>
    <t>SulfaPowder</t>
  </si>
  <si>
    <t>Sunglasses</t>
  </si>
  <si>
    <t>Gain +3 Charisma</t>
  </si>
  <si>
    <t>passive: +3 charisma</t>
  </si>
  <si>
    <t>wearable, glasses</t>
  </si>
  <si>
    <t>The Necronomicon</t>
  </si>
  <si>
    <t>Deal 20 Magic Dmg Dark Cleave / Inside of Combat</t>
  </si>
  <si>
    <t>book, evil</t>
  </si>
  <si>
    <t>TheNecronomicon</t>
  </si>
  <si>
    <t>The Poop</t>
  </si>
  <si>
    <t>Poop on the current space, this space will not show up on the space choice in the future unless it's the only option (very stinky) / Outside of Combat</t>
  </si>
  <si>
    <t>poop</t>
  </si>
  <si>
    <t>ThePoop</t>
  </si>
  <si>
    <t>Thread and Needle</t>
  </si>
  <si>
    <t>At the start of combat, Gain +4 Plated Armor</t>
  </si>
  <si>
    <t>combat_started: +4 plated_armor</t>
  </si>
  <si>
    <t>ThreadAndNeedle</t>
  </si>
  <si>
    <t>Toxic Egg</t>
  </si>
  <si>
    <t>Whenever you add a Skill card to your deck, Upgrade it</t>
  </si>
  <si>
    <t>upgrade_card_types: skill (auto-upgrade Skill cards added to deck)</t>
  </si>
  <si>
    <t>ToxicEgg</t>
  </si>
  <si>
    <t>Toy Ornithopter</t>
  </si>
  <si>
    <t>Whenever you use a Potion, Gain + 5 Health</t>
  </si>
  <si>
    <t>potion_used: gain_hp 5</t>
  </si>
  <si>
    <t>toy, wood</t>
  </si>
  <si>
    <t>ToyOrnithopter</t>
  </si>
  <si>
    <t>Turnip</t>
  </si>
  <si>
    <t>You can no longer Gain Frail</t>
  </si>
  <si>
    <t>status_immunity: frail</t>
  </si>
  <si>
    <t>Upper</t>
  </si>
  <si>
    <t>Gain +5 Speed this combat/event</t>
  </si>
  <si>
    <t>item_used: temp_stat speed +5</t>
  </si>
  <si>
    <t>Gain +3 Strength</t>
  </si>
  <si>
    <t>passive: +3 strength</t>
  </si>
  <si>
    <t>Ventricle Razor</t>
  </si>
  <si>
    <t>On the first use, create a portal. On second use, return to the space you created the portal on / Outside of Combat</t>
  </si>
  <si>
    <t>VentricleRazor</t>
  </si>
  <si>
    <t>Vitality Orb</t>
  </si>
  <si>
    <t>Gain +10 Max Health whenever you obtain a Curse</t>
  </si>
  <si>
    <t>curse_applied: gain_max_hp 10</t>
  </si>
  <si>
    <t>orb</t>
  </si>
  <si>
    <t>VitalityOrb</t>
  </si>
  <si>
    <t>Charged, 10</t>
  </si>
  <si>
    <t>Obtain any one item in the game / Inside or Outside of Combat</t>
  </si>
  <si>
    <t>War Paint</t>
  </si>
  <si>
    <t>Upgrade 2 random Skills</t>
  </si>
  <si>
    <t>item_acquired: upgrade_random_cards card_type=skill count=2</t>
  </si>
  <si>
    <t>WarPaint</t>
  </si>
  <si>
    <t>Wheat</t>
  </si>
  <si>
    <t>Gain +6 Strength, but -2 Intelligence</t>
  </si>
  <si>
    <t>passive: +3 strength, +2 dexterity, +10 harvesting, -3 intelligence</t>
  </si>
  <si>
    <t>Whetstone</t>
  </si>
  <si>
    <t>Upgrade 2 random Attacks</t>
  </si>
  <si>
    <t>item_acquired: upgrade_random_cards card_type=attack count=2</t>
  </si>
  <si>
    <t>Winged Boots</t>
  </si>
  <si>
    <t>Usable, 3</t>
  </si>
  <si>
    <t>Move to a one of three games that share the year of the game you're currently on</t>
  </si>
  <si>
    <t>item_used: overworld_jump same_year count=3</t>
  </si>
  <si>
    <t>WingedBoots</t>
  </si>
  <si>
    <t>Wings</t>
  </si>
  <si>
    <t>Gain +6 Dexterity, but -2  Intelligence</t>
  </si>
  <si>
    <t>passive: +2 speed, +3 range, -2 intelligence</t>
  </si>
  <si>
    <t>50% Chance to Gain 1, 5, or 10 Gold</t>
  </si>
  <si>
    <t>charged (charge_cost 1); item_used: 50% chance =&gt; roll_gold [1,5,10] (luck-weighted: 1 common / 5 uncommon / 10 rare)</t>
  </si>
  <si>
    <t>coin, wood</t>
  </si>
  <si>
    <t xml:space="preserve">Name </t>
  </si>
  <si>
    <t>Diffuculty Roll</t>
  </si>
  <si>
    <t>Possible Inputs</t>
  </si>
  <si>
    <t>Possible Outputs</t>
  </si>
  <si>
    <t>Multipath</t>
  </si>
  <si>
    <t>Run Limit</t>
  </si>
  <si>
    <t>Watching Eyeballs</t>
  </si>
  <si>
    <t>Dexterity, Intelligence, Strength</t>
  </si>
  <si>
    <t>Ambush, Ambushed, Fear, Item, Gold, Curse, Health</t>
  </si>
  <si>
    <t>WatchingEyeballs</t>
  </si>
  <si>
    <t>spooky, hole</t>
  </si>
  <si>
    <t>Fruit Basket</t>
  </si>
  <si>
    <t>Constitution, Strength, Intelligence</t>
  </si>
  <si>
    <t>Health, Poison, Item, Enemy, Buffer, Ambushed, Fear</t>
  </si>
  <si>
    <t>FruitBasket</t>
  </si>
  <si>
    <t>A Note For Yourself</t>
  </si>
  <si>
    <t>Card</t>
  </si>
  <si>
    <t>ANoteForYourself</t>
  </si>
  <si>
    <t>The Ssssserpent</t>
  </si>
  <si>
    <t>Easy</t>
  </si>
  <si>
    <t>Gold, Curse</t>
  </si>
  <si>
    <t>TheSsssserpent</t>
  </si>
  <si>
    <t>snake</t>
  </si>
  <si>
    <t>Primordial Teleporter</t>
  </si>
  <si>
    <t>A trio of Stone Golems back you up into what seems to be an ancient teleporter. Do you activate it?</t>
  </si>
  <si>
    <t>Enter the teleporter (teleport to a random action roguelike)</t>
  </si>
  <si>
    <t xml:space="preserve">Interact with the teleporter, then enter it (teleport to the starting game and decrease difficulty by 3) </t>
  </si>
  <si>
    <t>Fight off the Stone Golems (Enter three consecutive combats with the Stone Golem Enemy)</t>
  </si>
  <si>
    <t>A Wild Muncher Appears</t>
  </si>
  <si>
    <t>You come across a green chest that looks hungry. Should you feed it?</t>
  </si>
  <si>
    <t>Feed it four items (discard four items and get two random new ones of rarity equal to the least rare item discarded)</t>
  </si>
  <si>
    <t>Feed it two items (discard 2 items and get one random new one of rarity equal to the least rare item discarded)</t>
  </si>
  <si>
    <t>Leave it hungry (Do Nothing)</t>
  </si>
  <si>
    <t>4 or more items</t>
  </si>
  <si>
    <t>The Collosseum</t>
  </si>
  <si>
    <t xml:space="preserve">You wake up in the center of a roaring arena, and must survive as long as you can. You must fight off an enemy and then are given the choice to escape or double down. (Teleport to an action game off of the map and beat it.) </t>
  </si>
  <si>
    <t>Escape the arena (you then get teleported back to the game that originally had the event trigger)</t>
  </si>
  <si>
    <t xml:space="preserve">Challenge the Champion (You get teleported to another game that isn't connected to the rest and have three attempts to beat it, if you succeed gain 2 random items, if you fail lose 3 health) </t>
  </si>
  <si>
    <t>A Sushi Bar By The Blue Hole</t>
  </si>
  <si>
    <t>As you continue on your journey, you stumble upon a sushi resteraunt residing near a large ocean. You meet an eccentric older gentleman who challenges you to a fishing contest.</t>
  </si>
  <si>
    <t>Keep the fish (You are able to sell fish in the shop for gold)</t>
  </si>
  <si>
    <t>Allow the chef to prepare sushi (exchange fish for health)</t>
  </si>
  <si>
    <t>Deal with the Devil</t>
  </si>
  <si>
    <t>You enter a room devoid of light with a large statue of Satan standing above 3 different floating question marks. Do you take them?</t>
  </si>
  <si>
    <t>Grab one question mark (Get one random item and lose one health)</t>
  </si>
  <si>
    <t>Grab two question marks (Get two random items and lose two health)</t>
  </si>
  <si>
    <t>Grab three question mark (Get three random items and lose three health)</t>
  </si>
  <si>
    <t>The Colloseum</t>
  </si>
  <si>
    <t xml:space="preserve">You wake up in the center of a roaring arena, and must survive as long as you can. You must fight off an enemy and then are given the choice to escape or double down. (Teleport to an action game off of the map and beat it. You get the item reward, but not the event trigger) </t>
  </si>
  <si>
    <t>Escape the arena (Teleport back to the spot you were on before)</t>
  </si>
  <si>
    <t xml:space="preserve">Challenge the Champion (You have three attempts to beat the game you are currently on, if you succeed gain 2 random items, if you fail lose 3 health) </t>
  </si>
  <si>
    <t>npc</t>
  </si>
  <si>
    <t>Requirements</t>
  </si>
  <si>
    <t>Requirement Effect</t>
  </si>
  <si>
    <t>Deal</t>
  </si>
  <si>
    <t>Pick any of 3 Random Evil Items, but lose health based on rarity and gain a Random Curse for each Item taken.</t>
  </si>
  <si>
    <t>offer_items evil 3 any ; per_item lose_hp_pct by_rarity ; per_item add_curse 1</t>
  </si>
  <si>
    <t>Satan</t>
  </si>
  <si>
    <t>Trigger a Curse in the last Game Cleared</t>
  </si>
  <si>
    <t>last_game.curses_triggered &gt;= 1</t>
  </si>
  <si>
    <t>deal-with-the-devil</t>
  </si>
  <si>
    <t>P Mart Shopkeeper</t>
  </si>
  <si>
    <t>Shop</t>
  </si>
  <si>
    <t>A shop that sells Food and Pill Items</t>
  </si>
  <si>
    <t>shop food pill</t>
  </si>
  <si>
    <t>Tracy</t>
  </si>
  <si>
    <t>p-mart-shopkeeper</t>
  </si>
  <si>
    <t>Trorc Shopkeeper</t>
  </si>
  <si>
    <t>A shop that sells Military Items with a 20% discount</t>
  </si>
  <si>
    <t>shop military discount=20</t>
  </si>
  <si>
    <t>Trorc</t>
  </si>
  <si>
    <t>trorc-shopkeeper</t>
  </si>
  <si>
    <t>Teleporter</t>
  </si>
  <si>
    <t>Fight 1 Action Combat Elite, and then Teleport to a nearby Random Game</t>
  </si>
  <si>
    <t>combat action elite ; teleport nearby</t>
  </si>
  <si>
    <t>teleporter</t>
  </si>
  <si>
    <t>Divine Teleporter</t>
  </si>
  <si>
    <t>Fight 1 Action Combat Elite, and then Teleport to a nearby Random Game or return to the Previous Game</t>
  </si>
  <si>
    <t>combat action elite ; teleport choose nearby previous</t>
  </si>
  <si>
    <t>divine-teleporter</t>
  </si>
  <si>
    <t>Challenge Rift</t>
  </si>
  <si>
    <t>Challenge</t>
  </si>
  <si>
    <t>Decide to play a Random Action Game not connected on the map to claim 50 Gold and a Chest up front. Then beat it within 3 attempts — fail and gain a Random Curse.</t>
  </si>
  <si>
    <t>challenge action unconnected attempts=3 ; reward gain_gold 50 ; reward gain_chest ; fail add_curse 1</t>
  </si>
  <si>
    <t>challenge-rift</t>
  </si>
  <si>
    <t>Angel Room</t>
  </si>
  <si>
    <t>Pick 1 of 3 Holy Items.</t>
  </si>
  <si>
    <t>offer_items holy 3 one</t>
  </si>
  <si>
    <t xml:space="preserve">Last Game Cleared was with 2+ Curses without triggering them </t>
  </si>
  <si>
    <t>last_game.curses_held &gt;= 2 and last_game.curses_triggered == 0</t>
  </si>
  <si>
    <t>angel-statue</t>
  </si>
  <si>
    <t>Weight</t>
  </si>
  <si>
    <t>Min HP</t>
  </si>
  <si>
    <t>Max HP</t>
  </si>
  <si>
    <t>Location</t>
  </si>
  <si>
    <t>Moves</t>
  </si>
  <si>
    <t>Variant</t>
  </si>
  <si>
    <t>Charisma</t>
  </si>
  <si>
    <t>t1 @ 0 | Ritualize (+3 Ritual) | gain:ritual:3;;
any @ 100 | Dark Strike (6) | dmg:6</t>
  </si>
  <si>
    <t>t1 @ 0 | Perplexing Glare (6 Confused) | inflict:confused:6;;
any @ 60 | Tail Whip (8 dmg, 2 Vulnerable) | dmg:8; inflict:vulnerable:2;;
any @ 40 | Bite (15) | dmg:15</t>
  </si>
  <si>
    <t>High</t>
  </si>
  <si>
    <t>Fading 4/Shifting</t>
  </si>
  <si>
    <t>any @ 100 | Attack (30, +10/turn) | dmg:30:per_turn=10</t>
  </si>
  <si>
    <t>Jaw Worm</t>
  </si>
  <si>
    <t>t1 @ 0 | Chomp (11) | dmg:11;;
any @ 45 | Bellow (+3 Power, +6 Block) | gain:power:3; block:6;;
any @ 30 | Thrash (7 dmg, 6 Block) | dmg:7; block:6;;
any @ 25 | Chomp (11) | dmg:11</t>
  </si>
  <si>
    <t>JawWorm</t>
  </si>
  <si>
    <t>Red Louse</t>
  </si>
  <si>
    <t>Curl Up Determined(3-7)</t>
  </si>
  <si>
    <t>any @ 75 | Bite (5-7) | dmg:determined(5,7);;
any @ 25 | Grow (+3 Power) | gain:power:3</t>
  </si>
  <si>
    <t>RedLouse</t>
  </si>
  <si>
    <t>Green Louse</t>
  </si>
  <si>
    <t>any @ 75 | Bite (5-7) | dmg:determined(5,7);;
any @ 25 | Spit Web (2 Weak) | inflict:weak:2</t>
  </si>
  <si>
    <t>GreenLouse</t>
  </si>
  <si>
    <t>Acid Slime (L)</t>
  </si>
  <si>
    <t>Split 2 Acid Slime (M)</t>
  </si>
  <si>
    <t>any @ 30 | Corrosive Spit (11, +2 Slimed) | dmg:11:ranged; add_card:slimed:2:discard;;
any @ 40 | Tackle (16) | dmg:16;;
any @ 30 | Lick (2 Weak) | inflict:weak:2</t>
  </si>
  <si>
    <t>AcidSlime(L)</t>
  </si>
  <si>
    <t>Acid Slime (M)</t>
  </si>
  <si>
    <t>any @ 30 | Corrosive Spit (7, +1 Slimed) | dmg:7:ranged; add_card:slimed:1:discard;;
any @ 40 | Tackle (10) | dmg:10;;
any @ 30 | Lick (1 Weak) | inflict:weak:1</t>
  </si>
  <si>
    <t>AcidSlime(M)</t>
  </si>
  <si>
    <t>Acid Slime (S)</t>
  </si>
  <si>
    <t>any @ 50 | Tackle (3) | dmg:3;;
any @ 50 | Lick (1 Weak) | inflict:weak:1</t>
  </si>
  <si>
    <t>AcidSlime(S)</t>
  </si>
  <si>
    <t>Split 2 Spike Slime (M)</t>
  </si>
  <si>
    <t>any @ 30 | Flame Tackle (16, +2 Slimed) | dmg:16; add_card:slimed:2:discard;;
any @ 70 | Lick (2 Frail) | inflict:frail:2</t>
  </si>
  <si>
    <t>Spike Slime (M)</t>
  </si>
  <si>
    <t>any @ 30 | Flame Tackle (8, +1 Slimed) | dmg:8; add_card:slimed:1:discard;;
any @ 70 | Lick (1 Frail) | inflict:frail:1</t>
  </si>
  <si>
    <t>SpikeSlime(M)</t>
  </si>
  <si>
    <t>Spike Slime (S)</t>
  </si>
  <si>
    <t>any @ 100 | Tackle (5) | dmg:5</t>
  </si>
  <si>
    <t>SpikeSlime(S)</t>
  </si>
  <si>
    <t>Id</t>
  </si>
  <si>
    <t>Behavior</t>
  </si>
  <si>
    <t>Stop Distance</t>
  </si>
  <si>
    <t>Attacks</t>
  </si>
  <si>
    <t>Color</t>
  </si>
  <si>
    <t>Directional</t>
  </si>
  <si>
    <t>Motion</t>
  </si>
  <si>
    <t>Attack Style</t>
  </si>
  <si>
    <t>Layers</t>
  </si>
  <si>
    <t>Animations</t>
  </si>
  <si>
    <t>baby_alien</t>
  </si>
  <si>
    <t>Walker</t>
  </si>
  <si>
    <t>melee dmg 5 cd 1.0 range 40</t>
  </si>
  <si>
    <t>0.45,0.4,0.55</t>
  </si>
  <si>
    <t>squash</t>
  </si>
  <si>
    <t>idle @ 4 loop</t>
  </si>
  <si>
    <t>Gaper</t>
  </si>
  <si>
    <t>gaper</t>
  </si>
  <si>
    <t>melee dmg 6 cd 1.0 range 40</t>
  </si>
  <si>
    <t>0.9,0.6,0.55</t>
  </si>
  <si>
    <t>body @ 0,0 sheet Gaper/gaper_body_sheet.png cell 32 ; head @ 0,-10 sheet Gaper/gaper_head_sheet.png cell 32</t>
  </si>
  <si>
    <t>body.idle @ 5 loop cells 0,0 ; body.walk_vert @ 12 loop cells 0,1 0,2 0,3 1,0 1,1 1,2 1,3 2,0 2,1 ; body.walk_side @ 12 loop cells 2,2 2,3 3,0 3,1 3,2 3,3 4,0 4,1 4,2 4,3 ; head.idle @ 5 loop cells 0,1 ; head.attack @ 10 once cells 0,1 1,1</t>
  </si>
  <si>
    <t>OnDeath(pacer:80, gusher:20)</t>
  </si>
  <si>
    <t>Gusher</t>
  </si>
  <si>
    <t>gusher</t>
  </si>
  <si>
    <t>Pacer</t>
  </si>
  <si>
    <t>melee dmg 6 cd 1.2 range 40 ; ranged dmg 6 cd 1.2 speed 180 life 3 count 1 random</t>
  </si>
  <si>
    <t>0.7,0.1,0.1</t>
  </si>
  <si>
    <t>body @ 0,0 sheet Gusher/gusher_body_sheet.png cell 32 ; gush @ 0,-1 sheet Gusher/gusher_gush_sheet.png cell 48</t>
  </si>
  <si>
    <t>body.idle @ 5 loop cells 0,0 ; body.walk_vert @ 12 loop cells 0,1 0,2 0,3 1,0 1,1 1,2 1,3 2,0 2,1 ; body.walk_side @ 12 loop cells 2,3 3,0 3,1 3,2 3,3 4,0 4,1 4,2 4,3 ; body.idle_side @ 5 loop cells 2,2 ; gush.spew @ 10 loop cells 0,0 0,1 0,2 0,3 1,0 1,1 1,2 1,3 2,0 2,1</t>
  </si>
  <si>
    <t>Horf</t>
  </si>
  <si>
    <t>horf</t>
  </si>
  <si>
    <t>Stationary</t>
  </si>
  <si>
    <t>ranged dmg 6 cd 2.2 windup 0.35 range 480 speed 200 life 5</t>
  </si>
  <si>
    <t>0.8,0.1,0.1</t>
  </si>
  <si>
    <t>idle @ 4 loop ; attack @ 12 once grid 32x32</t>
  </si>
  <si>
    <t>pacer</t>
  </si>
  <si>
    <t>0.85,0.5,0.5</t>
  </si>
  <si>
    <t>body @ 0,0 sheet Pacer/pacer_body_sheet.png cell 32</t>
  </si>
  <si>
    <t>body.idle @ 5 loop cells 0,0 ; body.walk_vert @ 12 loop cells 0,1 0,2 0,3 1,0 1,1 1,2 1,3 2,0 2,1 ; body.walk_side @ 12 loop cells 2,3 3,0 3,1 3,2 3,3 4,0 4,1 4,2 4,3 ; body.idle_side @ 5 loop cells 2,2</t>
  </si>
  <si>
    <t>Spitter</t>
  </si>
  <si>
    <t>spitter</t>
  </si>
  <si>
    <t>Shooter</t>
  </si>
  <si>
    <t>ranged dmg 6 cd 1.8 windup 0.6 range 490 speed 260 life 2.5</t>
  </si>
  <si>
    <t>0.42,0.38,0.52</t>
  </si>
  <si>
    <t>charge</t>
  </si>
  <si>
    <t>Penalty Card</t>
  </si>
  <si>
    <t>Curse of Devotion</t>
  </si>
  <si>
    <t>Never reset a run</t>
  </si>
  <si>
    <t>Curse of Compulsion</t>
  </si>
  <si>
    <t>Never skip an offered reward (item, card, upgrade, etc.) when skipping is possible</t>
  </si>
  <si>
    <t>Curse of Impulse</t>
  </si>
  <si>
    <t>Regret</t>
  </si>
  <si>
    <t>Curse of Haste</t>
  </si>
  <si>
    <t>If you aren't playing a Traditional Roguelike, Complete the run in 3 hours or less</t>
  </si>
  <si>
    <t>Curse of Blindness</t>
  </si>
  <si>
    <t>You must randomly choose your starting Character/Loadout if possible</t>
  </si>
  <si>
    <t>Curse of Frugality</t>
  </si>
  <si>
    <t>Never purchase more than 2 rewards for sale in a single shop</t>
  </si>
  <si>
    <t>Greed</t>
  </si>
  <si>
    <t>Curse of Hubris</t>
  </si>
  <si>
    <t>Always Choose the highest difficulty available</t>
  </si>
  <si>
    <t>Pride</t>
  </si>
  <si>
    <t>Curse of Vulnerability</t>
  </si>
  <si>
    <t>Affliction</t>
  </si>
  <si>
    <t>If you were to get a Curse, Get another of the same exact Curse</t>
  </si>
  <si>
    <t>duplicate_curse</t>
  </si>
  <si>
    <t>Curse of Shroud</t>
  </si>
  <si>
    <t>Space Choices contain one less option</t>
  </si>
  <si>
    <t>reduce_choices:1</t>
  </si>
  <si>
    <t>Curse of Misfortune</t>
  </si>
  <si>
    <t>When rolling a die, roll it with disadvantage</t>
  </si>
  <si>
    <t>dice_disadvantage</t>
  </si>
  <si>
    <t>Curse of Guilt</t>
  </si>
  <si>
    <t>Do not kill any innocents</t>
  </si>
  <si>
    <t>Guilty</t>
  </si>
  <si>
    <t>Curse of Affection</t>
  </si>
  <si>
    <t>Every game you beat must be one you rate 7+/10.</t>
  </si>
  <si>
    <t>Curse of the Hunter</t>
  </si>
  <si>
    <t>You must obtain a new Achievement if possible</t>
  </si>
  <si>
    <t>Curse of the Damp</t>
  </si>
  <si>
    <t>You must touch water at least once</t>
  </si>
  <si>
    <t>Curse of Decay</t>
  </si>
  <si>
    <t>When obtaining a passive item, there is a 50% chance that it gets downgraded</t>
  </si>
  <si>
    <t>item_downgrade_chance:50</t>
  </si>
  <si>
    <t>Curse of Ocular Trauma</t>
  </si>
  <si>
    <t>Do not equip headgear if possible</t>
  </si>
  <si>
    <t>Punctured Eye</t>
  </si>
  <si>
    <t>Max Stack</t>
  </si>
  <si>
    <t>Who</t>
  </si>
  <si>
    <t>File2</t>
  </si>
  <si>
    <t>Arcane</t>
  </si>
  <si>
    <t>Raise or Lower the Magic damage dealt by this target by X</t>
  </si>
  <si>
    <t>Block is not removed at the start of each turn</t>
  </si>
  <si>
    <t>Bleed</t>
  </si>
  <si>
    <t>Target loses 1 Health per stack at the end of their turn.</t>
  </si>
  <si>
    <t>UP by 1 at the end of turn</t>
  </si>
  <si>
    <t>Bleed Thorns</t>
  </si>
  <si>
    <t>When a target with Bleed Thorns gets dealt or deals Melee Dmg, the target Inflicts X Bleed to the attacker/recipient</t>
  </si>
  <si>
    <t>BleedThorns</t>
  </si>
  <si>
    <t>Blind</t>
  </si>
  <si>
    <t>Each hit from Attack Cards have a 30% Miss Chance</t>
  </si>
  <si>
    <t>Down by 1 at end of turn</t>
  </si>
  <si>
    <t>Blur</t>
  </si>
  <si>
    <t>Block is not removed at the start of your next X turns</t>
  </si>
  <si>
    <t>Brace</t>
  </si>
  <si>
    <t>Target takes 1 less damage from all sources per stack. (minimum 1)</t>
  </si>
  <si>
    <t>Bruise</t>
  </si>
  <si>
    <t>Increases all melee and ranged damage taken by 1 per stack.</t>
  </si>
  <si>
    <t>Buffer</t>
  </si>
  <si>
    <t>Prevent the next X times the target would lose Health</t>
  </si>
  <si>
    <t>When the target would take damage</t>
  </si>
  <si>
    <t>Deals 3 damage to target at the end of turn</t>
  </si>
  <si>
    <t>Burst</t>
  </si>
  <si>
    <t>The next X Skills are played an additional time</t>
  </si>
  <si>
    <t>Lose all at end of turn</t>
  </si>
  <si>
    <t>Player</t>
  </si>
  <si>
    <t>Choked</t>
  </si>
  <si>
    <t>Whenever you play a card this turn, target loses X Health</t>
  </si>
  <si>
    <t>Enemy</t>
  </si>
  <si>
    <t>Confused</t>
  </si>
  <si>
    <t>Each Dice Energy Cost is randomized between 0 and your max energy every roll</t>
  </si>
  <si>
    <t>Corpse Explosion</t>
  </si>
  <si>
    <t>On death, this enemy deals X times it's Max Health to all other Enemies</t>
  </si>
  <si>
    <t>CorpseExplosion</t>
  </si>
  <si>
    <t>Curl Up</t>
  </si>
  <si>
    <t>Target Gains +X Block upon receiving first attack damage each turn</t>
  </si>
  <si>
    <t>CurlUp</t>
  </si>
  <si>
    <t>Raise or Lower the Block gained by this target by X</t>
  </si>
  <si>
    <t>Dodge</t>
  </si>
  <si>
    <t>Negate the next X sources of damage where X is the stack</t>
  </si>
  <si>
    <t>Down when player was going to lose health</t>
  </si>
  <si>
    <t>Doom</t>
  </si>
  <si>
    <t>At the end the target's turn, if that target has less health than it has Doom, it will die</t>
  </si>
  <si>
    <t>Double Damage</t>
  </si>
  <si>
    <t>Attacks deal double damage for X turns</t>
  </si>
  <si>
    <t>DoubleDamage</t>
  </si>
  <si>
    <t>Enfeebled</t>
  </si>
  <si>
    <t>All damage deals double to target</t>
  </si>
  <si>
    <t>Envenom</t>
  </si>
  <si>
    <t>Whenever you deal unblocked attack damage, apply X poison</t>
  </si>
  <si>
    <t>Evolve</t>
  </si>
  <si>
    <t>Whenever you Draw a Status Card, Draw X Cards</t>
  </si>
  <si>
    <t>Fading X</t>
  </si>
  <si>
    <t>Dies in X turns</t>
  </si>
  <si>
    <t>Fading</t>
  </si>
  <si>
    <t>Fear</t>
  </si>
  <si>
    <t>Your non-Skill Cards cost 1 more Energy, lose 1 Fear whenever you play a Skill Card</t>
  </si>
  <si>
    <t>Down by 1 on played Skill Card</t>
  </si>
  <si>
    <t>Feel No Pain</t>
  </si>
  <si>
    <t>Whenever a Card is Exhausted, Gain X Block</t>
  </si>
  <si>
    <t>FeelNoPain</t>
  </si>
  <si>
    <t>Fire Breathing</t>
  </si>
  <si>
    <t>Whenever you Draw a Status or Curse Card, Deal X Magic Dmg Fire Ranged Cleave</t>
  </si>
  <si>
    <t>FireBreathing</t>
  </si>
  <si>
    <t>Flame Barrier</t>
  </si>
  <si>
    <t>When a target with Flame Barrier gets dealt Dmg, the target deals X Magic Dmg Fire Ranged to the attacker</t>
  </si>
  <si>
    <t>FlameBarrier</t>
  </si>
  <si>
    <t>Forgetful</t>
  </si>
  <si>
    <t>This enemy cannot repeat any of its intents until it has performed all of them.</t>
  </si>
  <si>
    <t>Down by 1 when all sides have been rolled</t>
  </si>
  <si>
    <t>Formless</t>
  </si>
  <si>
    <t>When dealt damage, change it's intent</t>
  </si>
  <si>
    <t>Frail</t>
  </si>
  <si>
    <t>Block gained from Cards is reduced by 25%</t>
  </si>
  <si>
    <t>Intangible</t>
  </si>
  <si>
    <t>Reduce each instance of Dmg and Health loss to 1</t>
  </si>
  <si>
    <t>Leeches</t>
  </si>
  <si>
    <t>Drains 1 health per stack from all afflicted units at the end of the applier's turn and gives it to the applier. When hovering, it will say "X's Leeches"</t>
  </si>
  <si>
    <t>Multi Attack</t>
  </si>
  <si>
    <t>This enemy has X amount of intents in a turn</t>
  </si>
  <si>
    <t>MultiAttack</t>
  </si>
  <si>
    <t>Next Turn Block</t>
  </si>
  <si>
    <t>Gain X Block at the start of your next turn</t>
  </si>
  <si>
    <t>Separate</t>
  </si>
  <si>
    <t>Lose all when triggered</t>
  </si>
  <si>
    <t>NextTurnBlock</t>
  </si>
  <si>
    <t>Next Turn Draw</t>
  </si>
  <si>
    <t>Draw X Cards at the start of your turn</t>
  </si>
  <si>
    <t>NextTurnDraw</t>
  </si>
  <si>
    <t>Next Turn Energy</t>
  </si>
  <si>
    <t>Gain X Energy at the start of your turn</t>
  </si>
  <si>
    <t>NextTurnEnergy</t>
  </si>
  <si>
    <t>No Draw</t>
  </si>
  <si>
    <t>You cannot Draw Cards this Turn</t>
  </si>
  <si>
    <t>NoDraw</t>
  </si>
  <si>
    <t>Oiled</t>
  </si>
  <si>
    <t>Burn deals double damage, and at end of turn, Dex save 10 or Lose 1 Energy</t>
  </si>
  <si>
    <t>Persistence</t>
  </si>
  <si>
    <t>Raise or Lower the severity of all non-basic statuses gained or inclifted in combat by X if possible</t>
  </si>
  <si>
    <t>Pigment Rich</t>
  </si>
  <si>
    <t>When hit, add a random pigment card to your hand.</t>
  </si>
  <si>
    <t>PigmentRich</t>
  </si>
  <si>
    <t>Plated Armor</t>
  </si>
  <si>
    <t>At the end of your turn, Gain X Block</t>
  </si>
  <si>
    <t>Down by 1 when receiving unblocked Dmg</t>
  </si>
  <si>
    <t>PlatedArmor</t>
  </si>
  <si>
    <t>Poison</t>
  </si>
  <si>
    <t>Deals X damage to any target where X is the stack at the start of turn</t>
  </si>
  <si>
    <t>Down by 1 at start of turn</t>
  </si>
  <si>
    <t>Raise or Lower the Melee or Ranged damage dealth by this target by X</t>
  </si>
  <si>
    <t>Regeneration</t>
  </si>
  <si>
    <t>At the end of target's turn, it gains X health where X is the stack</t>
  </si>
  <si>
    <t>Rerollable</t>
  </si>
  <si>
    <t>Attacks from this enemy can be rerolled costing 1 Reroll</t>
  </si>
  <si>
    <t>Ritual</t>
  </si>
  <si>
    <t>At the end of its turn, gains X Power</t>
  </si>
  <si>
    <t>Ruptured</t>
  </si>
  <si>
    <t>Deals 3 damage to the player when they use a dash to gain dodge</t>
  </si>
  <si>
    <t>Down by 1 when dash is used</t>
  </si>
  <si>
    <t>Rust</t>
  </si>
  <si>
    <t>If this enemy does damage that causes the player to lose health, Downgrade a random passive item</t>
  </si>
  <si>
    <t>Shackled</t>
  </si>
  <si>
    <t>Regains X Power at the end of target's turn</t>
  </si>
  <si>
    <t>Shifting</t>
  </si>
  <si>
    <t>Loses X Power where X is the amount of damage taken this turn. Gain X Shackled.</t>
  </si>
  <si>
    <t>Soul Link</t>
  </si>
  <si>
    <t>Whenever a soul linked target loses health, all soul linked characters lose that health as well.</t>
  </si>
  <si>
    <t>SoulLink</t>
  </si>
  <si>
    <t>Split</t>
  </si>
  <si>
    <t>When target's health is at or below 50%, it's intent will become Unknown Intent ("Splitting") and Spawn X Y with its current HP on it's turn</t>
  </si>
  <si>
    <t>Stagger X</t>
  </si>
  <si>
    <t>Target will gain Stun when hit with X% of Total Health lost in one hit</t>
  </si>
  <si>
    <t>Stun</t>
  </si>
  <si>
    <t xml:space="preserve">The enemy's intent will be changed to "Stunned" and will do nothing on this turn </t>
  </si>
  <si>
    <t>Thorns</t>
  </si>
  <si>
    <t>When a target with Thorns gets dealt or deals Melee Dmg, the target deals X Dmg to the attacker/recipient</t>
  </si>
  <si>
    <t>Unknown</t>
  </si>
  <si>
    <t>This enemy intends to do something specific</t>
  </si>
  <si>
    <t>Intent</t>
  </si>
  <si>
    <t>Vulnerable</t>
  </si>
  <si>
    <t xml:space="preserve">All damage deals 50% more to target </t>
  </si>
  <si>
    <t>Weak</t>
  </si>
  <si>
    <t>Target deals 25% less damage.</t>
  </si>
  <si>
    <t>Well-Laid Plans</t>
  </si>
  <si>
    <t>At the end of your turn, add Retain to up to X Cards</t>
  </si>
  <si>
    <t>Well-LaidPlans</t>
  </si>
  <si>
    <t>Wet</t>
  </si>
  <si>
    <t>Cannot be Burned. Any Magic Dmg Electric dealt to adjacent Wet targets will be dealt to this target as well</t>
  </si>
  <si>
    <t>Icon</t>
  </si>
  <si>
    <t>Translates</t>
  </si>
  <si>
    <t>Per-Mode</t>
  </si>
  <si>
    <t>on_damage_dealt:add_per_stack:1:type=magic</t>
  </si>
  <si>
    <t>When you play an Attack, each unit with Bleed loses 1 Health per stack. All Bleed is lost at the end of your turn.</t>
  </si>
  <si>
    <t>on_turn_end:  lose N hp</t>
  </si>
  <si>
    <t>All stacks lost at end of turn</t>
  </si>
  <si>
    <t>db.both: when you play an Attack card, each bleeding unit loses HP = its stacks (after the card resolves); all Bleed lost at end of turn | strategy.both: loses 1 HP per stack at end of turn, then grows +1 | action.both: bites for HP = stacks each turn tick; +1 while it keeps taking hits, cleared the moment it isn't hit</t>
  </si>
  <si>
    <t>When a target with Bleed Thorns gets dealt Melee Dmg, the target Inflicts X Bleed to the attacker/recipient</t>
  </si>
  <si>
    <t>on_melee_hit: N bleed attacker</t>
  </si>
  <si>
    <t>Each hit from an Attack have a 30% Miss Chance</t>
  </si>
  <si>
    <t>on_damage_dealt:roll_miss:30:type=attack</t>
  </si>
  <si>
    <t>Increases all non-magic melee and ranged damage taken by 1 per stack.</t>
  </si>
  <si>
    <t>on_damage_taken:add_per_stack:1:type=attack</t>
  </si>
  <si>
    <t>on_damage_taken:skip_and_consume</t>
  </si>
  <si>
    <t>on_turn_end:dmg_self:3</t>
  </si>
  <si>
    <t>Each card's energy cost is randomized between 0 and your max energy each turn</t>
  </si>
  <si>
    <t>on_turn_start:randomize_card_costs:0:max_energy</t>
  </si>
  <si>
    <t>Crit Chance Up</t>
  </si>
  <si>
    <t>Chance for a hit on an enemy to become a Critical Hit dealing Critical Damage, which starts at 100%.</t>
  </si>
  <si>
    <t>crit% = max(0, crit_chance_stat + 2×luck) + Crit Chance Up</t>
  </si>
  <si>
    <t>CritChanceUp</t>
  </si>
  <si>
    <t>Gains X Block the first time it takes attack damage each turn</t>
  </si>
  <si>
    <t>on_first_damage_taken:gain_block:per_stack</t>
  </si>
  <si>
    <t>on_block_gained:add_per_stack:1</t>
  </si>
  <si>
    <t>on_turn_end:countdown:die_at_zero</t>
  </si>
  <si>
    <t>db.player: non-Skill cards +1 Energy; lose 1 Fear per Skill | db.enemy: none | strategy.both: flee at turn start; -1 end of turn | action.enemy: flees, scales with stacks | action.player: none</t>
  </si>
  <si>
    <t>on_block_gained:multiplier:0.75</t>
  </si>
  <si>
    <t>on_status_applied:add_stacks:1:per_stack:exclude_class=basic</t>
  </si>
  <si>
    <t>on_turn_end:gain_block:per_stack</t>
  </si>
  <si>
    <t>on_turn_start:dmg_self:1:per_stack</t>
  </si>
  <si>
    <t>on_damage_dealt:add_per_stack:1:type=attack</t>
  </si>
  <si>
    <t>on_turn_end:heal_self:1:per_stack</t>
  </si>
  <si>
    <t>on_turn_end:gain_power:per_stack:1</t>
  </si>
  <si>
    <t>Regains X Power at the end of the target's turn, then all Shackled is removed</t>
  </si>
  <si>
    <t>on_turn_end:gain_power:per_stack:1;then:lose_all</t>
  </si>
  <si>
    <t>At the end of the target's turn, it loses Power equal to the damage it took this turn and gains that much Shackled</t>
  </si>
  <si>
    <t>on_turn_end:lose_power:damage_taken_this_turn:gain_shackled</t>
  </si>
  <si>
    <t>on_hp_lost: propagate raw hp loss to all other soul_link holders</t>
  </si>
  <si>
    <t>When target's HP is at or below 50%, its intent becomes Splitting and it spawns its split targets at its current HP on its turn</t>
  </si>
  <si>
    <t>on_turn_start:if_hp_at_or_below:50:split_spawn</t>
  </si>
  <si>
    <t>When a target with Thorns gets dealt Melee Dmg, the target deals X Dmg to the attacker/recipient</t>
  </si>
  <si>
    <t>on_melee_hit: N dmg attacker</t>
  </si>
  <si>
    <t>on_damage_taken:multiplier:1.5</t>
  </si>
  <si>
    <t>on_damage_dealt:multiplier:0.75:type=attack</t>
  </si>
  <si>
    <t>on_turn_start: skip turn</t>
  </si>
  <si>
    <t>All modes: the stunned unit's turn is skipped (deals/plays nothing).</t>
  </si>
  <si>
    <t>Gain X Energy at the start of your next turn, where X is the stack</t>
  </si>
  <si>
    <t>on_turn_start: gain N energy, then all stacks removed</t>
  </si>
  <si>
    <t>db.player: +stacks energy on top of the refreshed pool at turn start, then cleared | strategy.player: +stacks energy at the unit's turn start, then cleared | action.player: at the next turn tick (in combat) the stacks become a Haste window (energy_to_seconds), then cleared</t>
  </si>
  <si>
    <t>Draw X additional Cards at the start of your next turn, where X is the stack</t>
  </si>
  <si>
    <t>on_turn_start: draw N cards, then all stacks removed</t>
  </si>
  <si>
    <t>db.player: +stacks cards with the turn-start hand, then cleared | strategy.player: +stacks cards with the turn-start hand, then cleared | action.player: at the next turn tick (in combat) opens stacks temporary auto-cast slots (the draw analog), then cleared</t>
  </si>
  <si>
    <t>You cannot Draw Cards this turn</t>
  </si>
  <si>
    <t>on_draw: suppress</t>
  </si>
  <si>
    <t>db.player: every draw_cards call is suppressed while the stack is up; decays at end of turn so the next turn-start hand is unaffected | strategy.player: same rule on the unit's turn | action.player: draw effects open no temporary auto-cast slots until the next turn tick decays it</t>
  </si>
  <si>
    <t>on_damage: clamp each instance to 1 (pre-block)</t>
  </si>
  <si>
    <t>db/strategy: every hit resolves through Stats.resolve_damage, which clamps the post-modifier amount to 1 BEFORE block soaks it; DoT ticks (apply_dot) clamp to 1 too; decays at the turn boundary | action: same shared resolver + DoT clamp; decays at the turn tick</t>
  </si>
  <si>
    <t>Whenever you play a Card, this target loses X Health where X is the stack. All Choked is lost at the end of your turn.</t>
  </si>
  <si>
    <t>on_card_played: lose stacks as raw HP (apply_dot, like Bleed's bite)</t>
  </si>
  <si>
    <t>All lost at end of your turn</t>
  </si>
  <si>
    <t>db/strategy: every card play AFTER the choking play bites via apply_dot (the play that inflicts Choked doesn't proc itself); wiped alongside Bleed at the player's end of turn | action: every click/auto card use bites; wiped at each turn tick</t>
  </si>
  <si>
    <t>Until your next turn, enemies that hit you take X Magic Dmg Fire and gain 1 Burn per contact.</t>
  </si>
  <si>
    <t>N/A — behavior lives on the card's Effects DSL</t>
  </si>
  <si>
    <t>Skill</t>
  </si>
  <si>
    <t>All stacks lost at the start of your next turn</t>
  </si>
  <si>
    <t>Rage</t>
  </si>
  <si>
    <t>Until the end of your turn, whenever you play an Attack, Gain +X Block.</t>
  </si>
  <si>
    <t>Double Tap</t>
  </si>
  <si>
    <t>This turn, your next X Attacks are played twice.</t>
  </si>
  <si>
    <t>DoubleTap</t>
  </si>
  <si>
    <t>Your Block is not removed at the start of your next turn. Down by 1 each turn it preserves your Block.</t>
  </si>
  <si>
    <t>on_turn_start: keep block, then stack -1</t>
  </si>
  <si>
    <t>Down by 1 when it preserves your Block at turn start</t>
  </si>
  <si>
    <t>db.player: the turn-start block wipe is skipped while a stack remains (Barricade's rule, one turn per stack) | strategy.player: same rule at the unit's turn start | action.player: block stops fading while stacks remain; one stack is consumed per turn tick</t>
  </si>
  <si>
    <t>This turn, your next X Skills are played twice.</t>
  </si>
  <si>
    <t>Gain X Block at the start of your next turn, where X is the stack</t>
  </si>
  <si>
    <t>on_turn_start: gain N block, then all stacks removed</t>
  </si>
  <si>
    <t>db.player: +stacks Block (through gain_block, so Frail/Defense apply) at turn start, then cleared | strategy.player: same at the unit's turn start | action.player: at the next turn tick the stacks pour into the decaying block pool, then cleared</t>
  </si>
  <si>
    <t>Your Attacks deal double damage. X is the number of turns it lasts.</t>
  </si>
  <si>
    <t>on_damage_dealt:multiplier:2:type=attack</t>
  </si>
  <si>
    <t>When this target dies, it deals damage equal to its Max Health to all other enemies.</t>
  </si>
  <si>
    <t>on_death: dmg max_hp to all other enemies</t>
  </si>
  <si>
    <t>db.enemy: the corpse detonates for its Max HP against every other living enemy | strategy.enemy: same room-wide blast | action.enemy: the corpse bursts like Lil' Bomber — a Medium blast disc at the body; only enemies caught in the radius take the Max HP hit</t>
  </si>
  <si>
    <t>Effect on Attack</t>
  </si>
  <si>
    <t xml:space="preserve">Extra Effects </t>
  </si>
  <si>
    <t>Extra Effects 2</t>
  </si>
  <si>
    <t>Blood</t>
  </si>
  <si>
    <t>Inflict 1 Bleed</t>
  </si>
  <si>
    <t>Red</t>
  </si>
  <si>
    <t>Dark</t>
  </si>
  <si>
    <t>Inflict 1 Blind</t>
  </si>
  <si>
    <t>Purple</t>
  </si>
  <si>
    <t>Earth</t>
  </si>
  <si>
    <t>Brown</t>
  </si>
  <si>
    <t>Electric</t>
  </si>
  <si>
    <t>Any Electric Dmg dealt to a Wet target will also target adjacent Wet targets</t>
  </si>
  <si>
    <t>Yellow</t>
  </si>
  <si>
    <t>Inflict 1 Burn</t>
  </si>
  <si>
    <t>Orange</t>
  </si>
  <si>
    <t>Inflict 1 Poison if target isn't gaining Poison already</t>
  </si>
  <si>
    <t>Light Green</t>
  </si>
  <si>
    <t>Water</t>
  </si>
  <si>
    <t>Inflict 1 Wet, Remove all stacks of Burn</t>
  </si>
  <si>
    <t>Remove all stacks of Burn</t>
  </si>
  <si>
    <t>Every Burn applied to a target with Wet instead lowers Wet by 1</t>
  </si>
  <si>
    <t>Blue</t>
  </si>
  <si>
    <t>Can Be Attached To</t>
  </si>
  <si>
    <t>Forms</t>
  </si>
  <si>
    <t>Cantrip</t>
  </si>
  <si>
    <t>Whenever this side is rolled, trigger its effect immediately (to a random preferred target)</t>
  </si>
  <si>
    <t>Channel</t>
  </si>
  <si>
    <t>Costs 1 less mana each time it's cast (minimum 1)</t>
  </si>
  <si>
    <t>Spell</t>
  </si>
  <si>
    <t>Cleave</t>
  </si>
  <si>
    <t>Applies this to target and every target on it's side (Allies or Enemies)</t>
  </si>
  <si>
    <t>Cooldown</t>
  </si>
  <si>
    <t>Only usable once per turn</t>
  </si>
  <si>
    <t>Deplete</t>
  </si>
  <si>
    <t>Costs 1 more mana each time it's cast</t>
  </si>
  <si>
    <t>Destroy</t>
  </si>
  <si>
    <t>Remove this from your deck permanently</t>
  </si>
  <si>
    <t>Determined(X-Y)</t>
  </si>
  <si>
    <t>Counts as a number that is determined before combat to be a random number from X to Y</t>
  </si>
  <si>
    <t>Engage</t>
  </si>
  <si>
    <t>x2 on targets with full health</t>
  </si>
  <si>
    <t>Ethereal</t>
  </si>
  <si>
    <t>If an Ethereal card is in your hand at the end of your turn, it is Exhausted.</t>
  </si>
  <si>
    <t>Cards</t>
  </si>
  <si>
    <t>Finesse</t>
  </si>
  <si>
    <t>This weapon scales damage with Dexterity instead of Strength</t>
  </si>
  <si>
    <t>Fishing Weight</t>
  </si>
  <si>
    <t>Gain +1 Dmg for every 3 Common, 2 Uncommon, or 1 Rare fish in your loot inventory</t>
  </si>
  <si>
    <t>Future</t>
  </si>
  <si>
    <t>Effect is delayed until the start of the next turn</t>
  </si>
  <si>
    <t>Indiscriminate</t>
  </si>
  <si>
    <t>Will use random applicable targets</t>
  </si>
  <si>
    <t>Infuse X</t>
  </si>
  <si>
    <t>If this kills an enemy, gain X Max Health</t>
  </si>
  <si>
    <t>Innate</t>
  </si>
  <si>
    <t>Place this card on the top of your deck at the start of combat</t>
  </si>
  <si>
    <t>Lifesteal</t>
  </si>
  <si>
    <t>Heals the target equal to the amount of unblocked Dmg dealt</t>
  </si>
  <si>
    <t>Mandatory</t>
  </si>
  <si>
    <t>This Side must be played before ending your turn</t>
  </si>
  <si>
    <t>Dice</t>
  </si>
  <si>
    <t>Melee</t>
  </si>
  <si>
    <t>Triggers effects from contact (Thorns, etc.)</t>
  </si>
  <si>
    <t>Multiply X</t>
  </si>
  <si>
    <t>Multiplies this side by X (Example: 2 Damage Multi 2)</t>
  </si>
  <si>
    <t>Overload</t>
  </si>
  <si>
    <t>Applies this to every target (both the player/allies and enemies). Adding ExceptLeft or ExceptRight will allow an enemy to hit everything except any other enemy targets to it's left or right</t>
  </si>
  <si>
    <t>OverloadExceptLeft, OverloadExceptRight</t>
  </si>
  <si>
    <t>Ranged</t>
  </si>
  <si>
    <t>Ignores effects come from contact</t>
  </si>
  <si>
    <t>Attack, Status</t>
  </si>
  <si>
    <t>Retain</t>
  </si>
  <si>
    <t>This card is not discarded at the end of the turn</t>
  </si>
  <si>
    <t>Sequential Upgrade</t>
  </si>
  <si>
    <t>This card can be upgraded any number of times. Adding Dmg will allow the card to scale it's damage by X each time</t>
  </si>
  <si>
    <t>SequentialUpgradeDmg</t>
  </si>
  <si>
    <t>Single Use</t>
  </si>
  <si>
    <t>After this Side is used, replace it with a blank this fight</t>
  </si>
  <si>
    <t>SingleCast</t>
  </si>
  <si>
    <t>Only usable once per combat</t>
  </si>
  <si>
    <t>Sly</t>
  </si>
  <si>
    <t>This Card is Unplayable, but gets played when it's discarded</t>
  </si>
  <si>
    <t>Unplayable</t>
  </si>
  <si>
    <t>This card cannot be played and has no mana cost</t>
  </si>
  <si>
    <t>Vorpal</t>
  </si>
  <si>
    <t>A random Enemy Type and Weight are chosen. This Weapon Deals +10 Dmg to Enemies that fit that Type and Weight</t>
  </si>
  <si>
    <t>Weapon (Attack)</t>
  </si>
  <si>
    <t>Wealth</t>
  </si>
  <si>
    <t>Add +1 for every 10 Gold the player has</t>
  </si>
  <si>
    <t>Has Value</t>
  </si>
  <si>
    <t>Uses</t>
  </si>
  <si>
    <t>Key</t>
  </si>
  <si>
    <t>Hook</t>
  </si>
  <si>
    <t>Expr</t>
  </si>
  <si>
    <t>DB Verb</t>
  </si>
  <si>
    <t>Action Verb</t>
  </si>
  <si>
    <t>Strategy Verb</t>
  </si>
  <si>
    <t>Radius is a full circle around the player</t>
  </si>
  <si>
    <t>The attacks radius is all around the player</t>
  </si>
  <si>
    <t>cleave</t>
  </si>
  <si>
    <t>effect_retarget</t>
  </si>
  <si>
    <t>enemy-&gt;all_enemies</t>
  </si>
  <si>
    <t>destroy</t>
  </si>
  <si>
    <t>structural</t>
  </si>
  <si>
    <t>Determined</t>
  </si>
  <si>
    <t>Counts as a number determined before combat to be a random number from X to Y</t>
  </si>
  <si>
    <t>determined</t>
  </si>
  <si>
    <t>effect_value</t>
  </si>
  <si>
    <t>Eternal</t>
  </si>
  <si>
    <t>This card cannot be removed</t>
  </si>
  <si>
    <t>eternal</t>
  </si>
  <si>
    <t>Cooldown time is doubled</t>
  </si>
  <si>
    <t>ethereal</t>
  </si>
  <si>
    <t>eot_in_hand: to_pile(exhaust)</t>
  </si>
  <si>
    <t>cooldown_mult(2)</t>
  </si>
  <si>
    <t>Exhaust</t>
  </si>
  <si>
    <t>Put the card in the Exhaust Pile</t>
  </si>
  <si>
    <t>This Ability can only be used once per combat</t>
  </si>
  <si>
    <t>exhaust</t>
  </si>
  <si>
    <t>on_play: to_pile(exhaust)</t>
  </si>
  <si>
    <t>uses_per_combat(1)</t>
  </si>
  <si>
    <t>Bonus damage scales with Defense as well as Power</t>
  </si>
  <si>
    <t>Bonus damage scales with Dexterity as well as Strength</t>
  </si>
  <si>
    <t>finesse</t>
  </si>
  <si>
    <t>effect_flag</t>
  </si>
  <si>
    <t>fishing_weight</t>
  </si>
  <si>
    <t>effect_dmg_bonus</t>
  </si>
  <si>
    <t>Will use random applicable targets in an area</t>
  </si>
  <si>
    <t>indiscriminate</t>
  </si>
  <si>
    <t>Infuse</t>
  </si>
  <si>
    <t>If this kills an enemy, 10% chance to gain X Max Health</t>
  </si>
  <si>
    <t>infuse</t>
  </si>
  <si>
    <t>One of your Innate cards is the first card auto-cast each room</t>
  </si>
  <si>
    <t>innate</t>
  </si>
  <si>
    <t>on_combat_start: to_hand</t>
  </si>
  <si>
    <t>on_combat_start: auto_play</t>
  </si>
  <si>
    <t>lifesteal</t>
  </si>
  <si>
    <t>Triggers effects from contact</t>
  </si>
  <si>
    <t>Attack is a melee hit with a set range</t>
  </si>
  <si>
    <t>melee</t>
  </si>
  <si>
    <t>Permanent</t>
  </si>
  <si>
    <t>This Status does not decay</t>
  </si>
  <si>
    <t>Statuses</t>
  </si>
  <si>
    <t>permanent</t>
  </si>
  <si>
    <t>Temporary</t>
  </si>
  <si>
    <t>This Status holds its value for N turns, then is removed</t>
  </si>
  <si>
    <t>temporary</t>
  </si>
  <si>
    <t>Attack is a projectile</t>
  </si>
  <si>
    <t>ranged</t>
  </si>
  <si>
    <t>Replay</t>
  </si>
  <si>
    <t>This card gets played again X times</t>
  </si>
  <si>
    <t>This ability gets played again X times</t>
  </si>
  <si>
    <t>replay</t>
  </si>
  <si>
    <t>card_replay</t>
  </si>
  <si>
    <t>As this Card's cooldown completes and it fires, open another slot</t>
  </si>
  <si>
    <t>retain</t>
  </si>
  <si>
    <t>This Card gets played when it's discarded</t>
  </si>
  <si>
    <t>If a Card would be Discarded while a Sly Card is in a slot, immediately play the Sly Card</t>
  </si>
  <si>
    <t>sly</t>
  </si>
  <si>
    <t>This card cannot be played</t>
  </si>
  <si>
    <t>unplayable</t>
  </si>
  <si>
    <t>not_playable</t>
  </si>
  <si>
    <t>A random Combat Type and Weight are chosen. This Weapon Deals +10 Dmg to Enemies that fit that Type and Weight</t>
  </si>
  <si>
    <t>vorpal</t>
  </si>
  <si>
    <t>effect_vorpal</t>
  </si>
  <si>
    <t>wealth</t>
  </si>
  <si>
    <t>gold/10</t>
  </si>
  <si>
    <t>Critical Success</t>
  </si>
  <si>
    <t>Critical Success Effect</t>
  </si>
  <si>
    <t>Success</t>
  </si>
  <si>
    <t>Success Effect</t>
  </si>
  <si>
    <t>Fail</t>
  </si>
  <si>
    <t>Fail Effect</t>
  </si>
  <si>
    <t>Critical Fail</t>
  </si>
  <si>
    <t>Critical Fail Effect</t>
  </si>
  <si>
    <t>Blank Scroll</t>
  </si>
  <si>
    <t>Does nothing.</t>
  </si>
  <si>
    <t>All Enemies Gain +1 Power in your next Combat.</t>
  </si>
  <si>
    <t>buff_enemies power 1</t>
  </si>
  <si>
    <t>All Enemies Gain +2 Power in your next Combat.</t>
  </si>
  <si>
    <t>buff_enemies power 2</t>
  </si>
  <si>
    <t>All Enemies Gain +3 Power in your next Combat.</t>
  </si>
  <si>
    <t>buff_enemies power 3</t>
  </si>
  <si>
    <t>All Enemies Gain +3 Power  and +3 Defense in your next Combat.</t>
  </si>
  <si>
    <t>buff_enemies power 3 defense 3</t>
  </si>
  <si>
    <t>Forget 1 Identified Scroll and 1 Potion.</t>
  </si>
  <si>
    <t>forget scroll 1; forget potion 1</t>
  </si>
  <si>
    <t>Forget up to 2 Identified Scrolls and 2 Potions.</t>
  </si>
  <si>
    <t>forget scroll 2; forget potion 2</t>
  </si>
  <si>
    <t>Forget up to 3 Identified Scrolls and 3 Potions. Forget 1 Random Spell.</t>
  </si>
  <si>
    <t>forget scroll 3; forget potion 3; forget spell 1</t>
  </si>
  <si>
    <t>Forget all Identified Scrolls and Potions. Forget 2 Random Spells.</t>
  </si>
  <si>
    <t>forget scroll all; forget potion all; forget spell 2</t>
  </si>
  <si>
    <t>Scroll of Create Food</t>
  </si>
  <si>
    <t>Chose 1 of 2 Random Uncommon or higher Food Items.</t>
  </si>
  <si>
    <t>create_food choose 2 rarity uncommon+</t>
  </si>
  <si>
    <t>Chose 1 of 2 Random Food Items.</t>
  </si>
  <si>
    <t>create_food choose 2</t>
  </si>
  <si>
    <t>Get 1 Random Food Item.</t>
  </si>
  <si>
    <t>create_food random 1</t>
  </si>
  <si>
    <t>Get 1 Random Common Food Item.</t>
  </si>
  <si>
    <t>create_food random 1 rarity common</t>
  </si>
  <si>
    <t>Add a Random Enemy with 2 or less Weight to the next Combat.</t>
  </si>
  <si>
    <t>spawn_enemies 1 weight 2</t>
  </si>
  <si>
    <t>Add a Random Enemy with 3 or less Weight to the next Combat</t>
  </si>
  <si>
    <t>spawn_enemies 1 weight 3</t>
  </si>
  <si>
    <t>Add a Random Enemy with 5 or less Weight to the next Combat.</t>
  </si>
  <si>
    <t>spawn_enemies 1 weight 5</t>
  </si>
  <si>
    <t>Add 2 Random Enemies with 5 or less Weight to the next Combat.</t>
  </si>
  <si>
    <t>spawn_enemies 2 weight 5</t>
  </si>
  <si>
    <t>Scroll of Enchant Weapon</t>
  </si>
  <si>
    <t>Choose 1 Weapon Attack Card you own. It Gains +5 Dmg and Retain.</t>
  </si>
  <si>
    <t>enchant_weapon choose dmg 5 retain</t>
  </si>
  <si>
    <t>Choose 1 Weapon Attack Card you own. It Gains +5 Dmg.</t>
  </si>
  <si>
    <t>enchant_weapon choose dmg 5</t>
  </si>
  <si>
    <t>A Random Weapon Attack Card you own Gains +5 Dmg.</t>
  </si>
  <si>
    <t>enchant_weapon random dmg 5</t>
  </si>
  <si>
    <t>A Random Weapon Attack Card you own Gains +2 Dmg.</t>
  </si>
  <si>
    <t>enchant_weapon random dmg 2</t>
  </si>
  <si>
    <t>EnchantWeapon</t>
  </si>
  <si>
    <t>Take 10 Magic Dmg Fire. Health. All Enemies Take 10 Magic Dmg Fire in your next Combat.</t>
  </si>
  <si>
    <t>self_damage 10 fire; damage_enemies 10 fire</t>
  </si>
  <si>
    <t>Take 10 Magic Dmg Fire. All Enemies Take 10 Magic Dmg Fire in your next Combat. Destroy 1 Random Item.</t>
  </si>
  <si>
    <t>self_damage 10 fire; damage_enemies 10 fire; destroy item 1</t>
  </si>
  <si>
    <t>Take 10 Magic Dmg Fire. All Enemies Take 10 Magic Dmg Fire in your next Combat. Destroy 1 Random Item and 1 Random Scroll.</t>
  </si>
  <si>
    <t>self_damage 10 fire; damage_enemies 10 fire; destroy item 1; destroy scroll 1</t>
  </si>
  <si>
    <t>Take 10 Magic Dmg Fire. All Enemies Take 10 Magic Dmg Fire in your next Combat. Destroy 1 Random Item, 1 Random Scroll, and 1 Random Potion.</t>
  </si>
  <si>
    <t>self_damage 10 fire; damage_enemies 10 fire; destroy item 1; destroy scroll 1; destroy potion 1</t>
  </si>
  <si>
    <t>Identify all of your Scrolls.</t>
  </si>
  <si>
    <t>identify_scrolls all</t>
  </si>
  <si>
    <t>Choose up to 3 Scrolls to Identify.</t>
  </si>
  <si>
    <t>identify_scrolls choose 3</t>
  </si>
  <si>
    <t>Choose 1 Scroll to Identify.</t>
  </si>
  <si>
    <t>identify_scrolls choose 1</t>
  </si>
  <si>
    <t>Identify 1 Random Scroll.</t>
  </si>
  <si>
    <t>identify_scrolls random 1</t>
  </si>
  <si>
    <t>Stun all Enemies at the start of the next Combat.</t>
  </si>
  <si>
    <t>stun_enemies all</t>
  </si>
  <si>
    <t>Choose up to 3 Enemies to Stun at the start of the next Combat.</t>
  </si>
  <si>
    <t>stun_enemies choose 3</t>
  </si>
  <si>
    <t>Choose 1 Enemy to Stun at the start of the next Combat.</t>
  </si>
  <si>
    <t>Stun 1 Random Enemy at the start of the next Combat.</t>
  </si>
  <si>
    <t>stun_enemies random 1</t>
  </si>
  <si>
    <t>Scroll of Sleep</t>
  </si>
  <si>
    <t>Fall asleep and Gain +10 Health. You are Ambushed in your next Combat.</t>
  </si>
  <si>
    <t>heal 10; ambush</t>
  </si>
  <si>
    <t>Fall asleep. You are Ambushed in your next Combat.</t>
  </si>
  <si>
    <t>ambush</t>
  </si>
  <si>
    <t>Fall asleep and get a nightmare. You Gain +1 Fear and are Ambushed in your next Combat.</t>
  </si>
  <si>
    <t>gain_status fear 1; ambush</t>
  </si>
  <si>
    <t>Fall asleep and get a nightmare. You Gain +3 Fear and are Ambushed in your next Combat.</t>
  </si>
  <si>
    <t>gain_status fear 3; ambush</t>
  </si>
  <si>
    <t xml:space="preserve">Scroll of Teleportation </t>
  </si>
  <si>
    <t>Teleport to a Random Space closer to the Amulet Game by up to 3 Spaces.</t>
  </si>
  <si>
    <t>teleport closer 3</t>
  </si>
  <si>
    <t>Teleport to a Random Space with the same distance from the Amulet Game.</t>
  </si>
  <si>
    <t>teleport same</t>
  </si>
  <si>
    <t>Teleport to a Random Space farther away from the Amulet Game by up to 3 Spaces.</t>
  </si>
  <si>
    <t>teleport farther 3</t>
  </si>
  <si>
    <t>Teleport to a completely Random Space.</t>
  </si>
  <si>
    <t>teleport random</t>
  </si>
  <si>
    <t>Scroll of Vorpalize Weapon</t>
  </si>
  <si>
    <t>Choose 1 Weapon Attack Card you own. It Gains +5 Dmg and Vorpal.</t>
  </si>
  <si>
    <t>vorpalize_weapon choose dmg 5</t>
  </si>
  <si>
    <t>Choose 1 Weapon Attack Card you own. It Gains Vorpal.</t>
  </si>
  <si>
    <t>vorpalize_weapon choose</t>
  </si>
  <si>
    <t>A Random Weapon Attack Card you own Gains +5 Dmg and Vorpal.</t>
  </si>
  <si>
    <t>vorpalize_weapon random dmg 5</t>
  </si>
  <si>
    <t>A Random Weapon Attack Card you own Gains Vorpal.</t>
  </si>
  <si>
    <t>vorpalize_weapon random</t>
  </si>
  <si>
    <t>Deal 20 Magic Dmg Fire</t>
  </si>
  <si>
    <t>Gain +12 Block</t>
  </si>
  <si>
    <t>Energy Potion</t>
  </si>
  <si>
    <t>Gain +2 Energy</t>
  </si>
  <si>
    <t>EnergyPotion</t>
  </si>
  <si>
    <t>Weak Potion</t>
  </si>
  <si>
    <t>Inflict 3 Weak</t>
  </si>
  <si>
    <t>WeakPotion</t>
  </si>
  <si>
    <t>Vulnerable Potion</t>
  </si>
  <si>
    <t>Inflict 3 Vulnerable</t>
  </si>
  <si>
    <t>VulnerablePotion</t>
  </si>
  <si>
    <t>Gain +5 Defense for 1 turn</t>
  </si>
  <si>
    <t>Gain +5 Power for 1 turn</t>
  </si>
  <si>
    <t>Gain +5 Max Health and Health</t>
  </si>
  <si>
    <t>Gain +2 Defense</t>
  </si>
  <si>
    <t>Gain +2 Power</t>
  </si>
  <si>
    <t>Deal 10 Magic Dmg Fire Cleave</t>
  </si>
  <si>
    <t>Liquid Bronze</t>
  </si>
  <si>
    <t>Gain +3 Thorns</t>
  </si>
  <si>
    <t>LiquidBronze</t>
  </si>
  <si>
    <t>Str</t>
  </si>
  <si>
    <t>Dex</t>
  </si>
  <si>
    <t>Int</t>
  </si>
  <si>
    <t>Cha</t>
  </si>
  <si>
    <t>Reroll</t>
  </si>
  <si>
    <t>Skip</t>
  </si>
  <si>
    <t>FoV</t>
  </si>
  <si>
    <t>Luck</t>
  </si>
  <si>
    <t>Combat Style</t>
  </si>
  <si>
    <t>Strikes</t>
  </si>
  <si>
    <t>Defends</t>
  </si>
  <si>
    <t>Unique 1</t>
  </si>
  <si>
    <t>Unique 2</t>
  </si>
  <si>
    <t>1 Scroll and 1 Potion</t>
  </si>
  <si>
    <t>Unlock a new Item</t>
  </si>
  <si>
    <t>1 Small Chest</t>
  </si>
  <si>
    <t>Isaac's D6</t>
  </si>
  <si>
    <t>50 Gold</t>
  </si>
  <si>
    <t>1 Spell</t>
  </si>
  <si>
    <t>Spells</t>
  </si>
  <si>
    <t>Unlock a new difficulty</t>
  </si>
  <si>
    <t>1 Ironclad Card Reward</t>
  </si>
  <si>
    <t>Silent</t>
  </si>
  <si>
    <t>1 Silent Card Reward</t>
  </si>
  <si>
    <t>A deadly huntress from the foglands. Eradicates foes with daggers and poisons.</t>
  </si>
  <si>
    <t>Survivor</t>
  </si>
  <si>
    <t>Neutralize</t>
  </si>
  <si>
    <t>Cost</t>
  </si>
  <si>
    <t>Upgraded Description</t>
  </si>
  <si>
    <t>Upgraded Cost</t>
  </si>
  <si>
    <t>Accuracy</t>
  </si>
  <si>
    <t>Shivs deal +4 Dmg.</t>
  </si>
  <si>
    <t>Shivs deal +6 Dmg.</t>
  </si>
  <si>
    <t>silent, scaling</t>
  </si>
  <si>
    <t>Acrobatics</t>
  </si>
  <si>
    <t>Draw 3 Cards. Discard 1 Card.</t>
  </si>
  <si>
    <t>Draw 4 Cards. Discard 1 Card.</t>
  </si>
  <si>
    <t>silent, draw, discard</t>
  </si>
  <si>
    <t>Adrenaline</t>
  </si>
  <si>
    <t>Gain 1 Energy. Draw 2 Cards. Exhaust.</t>
  </si>
  <si>
    <t>Gain 2 Energy. Draw 2 Cards. Exhaust.</t>
  </si>
  <si>
    <t>silent, energy, draw</t>
  </si>
  <si>
    <t>After Image</t>
  </si>
  <si>
    <t>Whenever you play a Card, Gain 1 Block</t>
  </si>
  <si>
    <t>Innate. Whenever you play a Card, Gain 1 Block</t>
  </si>
  <si>
    <t>AfterImage</t>
  </si>
  <si>
    <t>silent, defense</t>
  </si>
  <si>
    <t>Alchemize</t>
  </si>
  <si>
    <t>Gain 1 Random Potion Item. Exhaust.</t>
  </si>
  <si>
    <t>silent, item</t>
  </si>
  <si>
    <t>All for One</t>
  </si>
  <si>
    <t>Attack</t>
  </si>
  <si>
    <t>Deal 10 Dmg Melee. Put all 0 cost Cards from Discard to Hand.</t>
  </si>
  <si>
    <t>Deal 14 Dmg Melee. Put all 0 cost Cards from Discard to Hand.</t>
  </si>
  <si>
    <t>AllForOne</t>
  </si>
  <si>
    <t>defect, draw, offense</t>
  </si>
  <si>
    <t>All-Out Attack</t>
  </si>
  <si>
    <t>Deal 10 Dmg Melee Cleave. Discard 1 Random Card.</t>
  </si>
  <si>
    <t>Deal 14 Dmg Melee Cleave. Discard 1 Random Card.</t>
  </si>
  <si>
    <t>All-OutAttack</t>
  </si>
  <si>
    <t>silent, offense, aoe, discard</t>
  </si>
  <si>
    <t>Anger</t>
  </si>
  <si>
    <t>Deal 6 Dmg Melee. Conjure 1 copy of this card to Discard.</t>
  </si>
  <si>
    <t>Deal 8 Dmg Melee. Conjure 1 copy of this card to Discard.</t>
  </si>
  <si>
    <t>ironclad, offense</t>
  </si>
  <si>
    <t>Armaments</t>
  </si>
  <si>
    <t>Gain +5 Block. Upgrade a Card in your hand for the rest of combat.</t>
  </si>
  <si>
    <t>Gain +5 Block. Upgrade all Cards in your hand for the rest of combat.</t>
  </si>
  <si>
    <t>ironclad, defense</t>
  </si>
  <si>
    <t>Backflip</t>
  </si>
  <si>
    <t>Gain +5 Block. Draw 2 Cards.</t>
  </si>
  <si>
    <t>Gain 8 Block. Draw 2 Cards.</t>
  </si>
  <si>
    <t>silent, defense, draw</t>
  </si>
  <si>
    <t>Backstab</t>
  </si>
  <si>
    <t>Innate. Deal 11 Dmg Melee. Exhaust.</t>
  </si>
  <si>
    <t>Innate. Deal 15 Dmg Melee. Exhaust.</t>
  </si>
  <si>
    <t>silent, offense, exhaust</t>
  </si>
  <si>
    <t>Inflict 2 Blind. 10% chance to Exhaust.</t>
  </si>
  <si>
    <t>weapon, debuff, exhaust</t>
  </si>
  <si>
    <t>Bane</t>
  </si>
  <si>
    <t>Deal 7 Dmg Melee. If the target has Poison, deal 7x2 Dmg Melee instead.</t>
  </si>
  <si>
    <t>Deal 10 Dmg Melee. If the target has Poison, deal 10x2 Dmg Melee instead.</t>
  </si>
  <si>
    <t>silent, offense, debuff</t>
  </si>
  <si>
    <t>Deal 6 Dmg Ranged. Fishing Weight.</t>
  </si>
  <si>
    <t>weapon</t>
  </si>
  <si>
    <t>Gain Barricade.</t>
  </si>
  <si>
    <t>Deal 8 Dmg Melee. Inflict 2 Vulnerable.</t>
  </si>
  <si>
    <t>Deal 10 Dmg Melee. Apply 3 Vulnerable.</t>
  </si>
  <si>
    <t>Battle Trance</t>
  </si>
  <si>
    <t>Draw 3 Cards. Gain +1 No Draw.</t>
  </si>
  <si>
    <t>Draw 4 Cards. Gain +1 No Draw.</t>
  </si>
  <si>
    <t>BattleTrance</t>
  </si>
  <si>
    <t>ironclad, draw</t>
  </si>
  <si>
    <t>Beam Cell</t>
  </si>
  <si>
    <t>Deal 3 Dmg Ranged. Inflict 1 Vulnerable.</t>
  </si>
  <si>
    <t>Deal 4 Dmg Ranged. Inflict 2 Vulnerable.</t>
  </si>
  <si>
    <t>BeamCell</t>
  </si>
  <si>
    <t>defect, offense, debuff</t>
  </si>
  <si>
    <t>Berserk</t>
  </si>
  <si>
    <t>Gain 2 Vulnerable. At the start of your turn, Gain +1 Energy.</t>
  </si>
  <si>
    <t>Gain 1 Vulnerable. At the start of your turn, Gain +1 Energy.</t>
  </si>
  <si>
    <t>ironclad, energy</t>
  </si>
  <si>
    <t>Blade Dance</t>
  </si>
  <si>
    <t>Conjure 3 Shivs to Hand.</t>
  </si>
  <si>
    <t>Conjure 4 Shivs to Hand.</t>
  </si>
  <si>
    <t>BladeDance</t>
  </si>
  <si>
    <t>silent, offense</t>
  </si>
  <si>
    <t>Deal 3 Dmg Ranged. Wealth.</t>
  </si>
  <si>
    <t>Blood for Blood</t>
  </si>
  <si>
    <t>Costs 1 less Energy for each time you lost Health this combat. Deal 18 Dmg Melee.</t>
  </si>
  <si>
    <t>Costs 1 less Energy for each time you lost Health this combat. Deal 22 Dmg Melee.</t>
  </si>
  <si>
    <t>BloodForBlood</t>
  </si>
  <si>
    <t>Deal 2x3 Dmg Ranged. Indiscriminate. 2 Infuse.</t>
  </si>
  <si>
    <t>Bloodletting</t>
  </si>
  <si>
    <t>Lose 3 Health. Gain 2 Energy.</t>
  </si>
  <si>
    <t>Lose 3 Health. Gain 3 Energy.</t>
  </si>
  <si>
    <t>Bludgeon</t>
  </si>
  <si>
    <t>Deal 32 Dmg Melee.</t>
  </si>
  <si>
    <t>Deal 42 Dmg Melee.</t>
  </si>
  <si>
    <t>Blue Pigment</t>
  </si>
  <si>
    <t>Gain +2 Arcane until end of the turn. At the end of your turn, if this is in Hand, Take 3 Dmg. Exhaust.</t>
  </si>
  <si>
    <t>BluePigment</t>
  </si>
  <si>
    <t>pigment</t>
  </si>
  <si>
    <t>Gain +5 Block. Gain 1 Blur</t>
  </si>
  <si>
    <t>Gain +8 Block. Gain 1 Blur</t>
  </si>
  <si>
    <t>Body Slam</t>
  </si>
  <si>
    <t>Deal X Dmg Melee, where X is equal to your current Block.</t>
  </si>
  <si>
    <t>BodySlam</t>
  </si>
  <si>
    <t>Boot Sequence</t>
  </si>
  <si>
    <t>Innate. Gain 10 Block. Exhaust</t>
  </si>
  <si>
    <t>Innate. Gain 13 Block. Exhaust</t>
  </si>
  <si>
    <t>BootSequence</t>
  </si>
  <si>
    <t>defect, defense, exhaust</t>
  </si>
  <si>
    <t>Boulder Dodge</t>
  </si>
  <si>
    <t>Training</t>
  </si>
  <si>
    <t>Permanently Gain +1 Intelligence and +2 Dexterity. Destroy.</t>
  </si>
  <si>
    <t>Permanently Gain +2 Intelligence and +3 Dexterity. Destroy.</t>
  </si>
  <si>
    <t>BoulderDodge</t>
  </si>
  <si>
    <t>Bouncing Flask</t>
  </si>
  <si>
    <t>Inflict 3 Poison to a Random target. Repeat 2 times.</t>
  </si>
  <si>
    <t>Inflict 3 Poison on Random target. Repeat 3 times.</t>
  </si>
  <si>
    <t>BouncingFlask</t>
  </si>
  <si>
    <t>silent, debuff</t>
  </si>
  <si>
    <t>Brutality</t>
  </si>
  <si>
    <t>At the start of your turn, Lose 1 Health and Draw 1 Card.</t>
  </si>
  <si>
    <t>Innate. At the start of your turn, Lose 1 Health and Draw 1 Card.</t>
  </si>
  <si>
    <t>Gain +1 Buffer.</t>
  </si>
  <si>
    <t>Gain +2 Buffer.</t>
  </si>
  <si>
    <t>defect, defense</t>
  </si>
  <si>
    <t>Bullet Time</t>
  </si>
  <si>
    <t>Gain +1 No Draw. All Cards in your Hand are free to play this turn.</t>
  </si>
  <si>
    <t>BulletTime</t>
  </si>
  <si>
    <t>silent, energy</t>
  </si>
  <si>
    <t>Unplayable. At the end of your turn, take 2 Dmg.</t>
  </si>
  <si>
    <t>Unplayable. At the end of your turn, take 4 Dmg.</t>
  </si>
  <si>
    <t>Burning Pact</t>
  </si>
  <si>
    <t>Exhaust 1 Card. Draw 2 Cards.</t>
  </si>
  <si>
    <t>Exhaust 1 Card. Draw 3 Cards.</t>
  </si>
  <si>
    <t>BurningPact</t>
  </si>
  <si>
    <t>ironclad, draw, exhaust</t>
  </si>
  <si>
    <t>Until the end of the turn, Gain +1 Burst.</t>
  </si>
  <si>
    <t>Until the end of the turn, Gain +2 Burst.</t>
  </si>
  <si>
    <t>Calculated Gamble</t>
  </si>
  <si>
    <t>Discard your hand, then Draw X Cards where X was the amount of cards that were Discarded. Exhaust</t>
  </si>
  <si>
    <t>Discard your hand, then Draw X Cards where X was the amount of cards that were Discarded.</t>
  </si>
  <si>
    <t>CalculatedGamble</t>
  </si>
  <si>
    <t>silent, discard, draw</t>
  </si>
  <si>
    <t>Caltrops</t>
  </si>
  <si>
    <t>Gain +5 Thorns</t>
  </si>
  <si>
    <t>Carnage</t>
  </si>
  <si>
    <t>Ethereal. Deal 20 Dmg Melee</t>
  </si>
  <si>
    <t>Ethereal. Deal 28 Dmg Melee.</t>
  </si>
  <si>
    <t>Catalyst</t>
  </si>
  <si>
    <t>Inflict Double Poison. Exhaust.</t>
  </si>
  <si>
    <t>Inflict Triple Poison. Exhaust.</t>
  </si>
  <si>
    <t>Choke</t>
  </si>
  <si>
    <t>Deal 12 Dmg Melee. Inflict 3 Choked.</t>
  </si>
  <si>
    <t>Deal 12 Dmg Melee. Inflict 5 Choked.</t>
  </si>
  <si>
    <t>silent, debuff, offense</t>
  </si>
  <si>
    <t>Clash</t>
  </si>
  <si>
    <t>Can only be played if every Card in your Hand is an Attack. Deal 14 Dmg Melee.</t>
  </si>
  <si>
    <t>Can only be played if every Card in your Hand is an Attack. Deal 18 Dmg Melee.</t>
  </si>
  <si>
    <t>Claw</t>
  </si>
  <si>
    <t>Deal 3 Dmg Melee. Increase the Dmg of ALL Claw Cards by 2 this combat.</t>
  </si>
  <si>
    <t>Deal 4 Dmg Melee. Increase the damage of ALL Claw cards by 3 this combat.</t>
  </si>
  <si>
    <t>defect, offense, scaling</t>
  </si>
  <si>
    <t>Deal 8 Dmg Melee Cleave.</t>
  </si>
  <si>
    <t>Deal 11 Dmg Melee Cleave.</t>
  </si>
  <si>
    <t>ironclad, offense, aoe</t>
  </si>
  <si>
    <t>Cloak and Dagger</t>
  </si>
  <si>
    <t>Gain 6 Block. Conjure 1 Shiv to Hand.</t>
  </si>
  <si>
    <t>Gain 6 Block. Conjure 2 Shivs to Hand.</t>
  </si>
  <si>
    <t>CloakAndDagger</t>
  </si>
  <si>
    <t>Clothesline</t>
  </si>
  <si>
    <t>Deal 12 Dmg Melee. Inflict 2 Weak.</t>
  </si>
  <si>
    <t>Deal 14 Dmg Melee. Inflict 3 Weak.</t>
  </si>
  <si>
    <t>ironclad, offense, debuff</t>
  </si>
  <si>
    <t>Clumsy</t>
  </si>
  <si>
    <t>Unplayable. Ethereal.</t>
  </si>
  <si>
    <t>randomcurse</t>
  </si>
  <si>
    <t>Roll this die.</t>
  </si>
  <si>
    <t>Roll this die. Gain +1 Reroll.</t>
  </si>
  <si>
    <t xml:space="preserve">Slice &amp; Dice </t>
  </si>
  <si>
    <t>hero, orange</t>
  </si>
  <si>
    <t>Combust</t>
  </si>
  <si>
    <t>At the end of your turn, Lose 1 Health and Deal 5 Magic Dmg Fire Ranged Cleave.</t>
  </si>
  <si>
    <t>At the end of your turn, Lose 1 Health and Deal 7 Magic Dmg Fire Ranged Cleave.</t>
  </si>
  <si>
    <t>Concentrate</t>
  </si>
  <si>
    <t>Discard 3 Cards. Gain +2 Energy.</t>
  </si>
  <si>
    <t>Discard 2 Cards. Gain +2 Energy.</t>
  </si>
  <si>
    <t>silent, discard, energy</t>
  </si>
  <si>
    <t>Inflict 6 Poison. Inflict 1 Corpse Explosion.</t>
  </si>
  <si>
    <t>Inflict 9 Poison. Inflict 1 Corpse Explosion.</t>
  </si>
  <si>
    <t>silent, debuff, aoe</t>
  </si>
  <si>
    <t>Corruption</t>
  </si>
  <si>
    <t>Skills cost 0 Energy. Whenever you play a Skill, Exhaust it.</t>
  </si>
  <si>
    <t>Crippling Cloud</t>
  </si>
  <si>
    <t>Inflict 4 Poison Cleave and 2 Weak Cleave.</t>
  </si>
  <si>
    <t>Inflict 7 Poison Cleave and 2 Weak Cleave.</t>
  </si>
  <si>
    <t>CripplingCloud</t>
  </si>
  <si>
    <t>Dabblest</t>
  </si>
  <si>
    <t>Dagger Spray</t>
  </si>
  <si>
    <t>Deal 4x2 Dmg Ranged Cleave.</t>
  </si>
  <si>
    <t>Deal 6x2 Dmg Ranged Cleave.</t>
  </si>
  <si>
    <t>DaggerSpray</t>
  </si>
  <si>
    <t>silent, offense, aoe</t>
  </si>
  <si>
    <t>Dagger Throw</t>
  </si>
  <si>
    <t>Deal 9 Dmg Ranged. Draw 1 Card. Discard 1 Card.</t>
  </si>
  <si>
    <t>Deal 12 Dmg Ranged. Draw 1 Card. Discard 1 Card.</t>
  </si>
  <si>
    <t>DaggerThrow</t>
  </si>
  <si>
    <t>silent, offense, discard, draw</t>
  </si>
  <si>
    <t>Dark Embrace</t>
  </si>
  <si>
    <t>Whenever a Card is Exhausted, Draw 1 Card.</t>
  </si>
  <si>
    <t>DarkEmbrace</t>
  </si>
  <si>
    <t>Gain +10 Block. Deal 10 Dmg Melee.</t>
  </si>
  <si>
    <t>Gain +13 Block. Deal 13 Dmg Melee.</t>
  </si>
  <si>
    <t>silent, offense, defense</t>
  </si>
  <si>
    <t>Dazed</t>
  </si>
  <si>
    <t>Ethereal.</t>
  </si>
  <si>
    <t>Deadly Poison</t>
  </si>
  <si>
    <t>Inflict 5 Poison.</t>
  </si>
  <si>
    <t>Inflict 7 Poison.</t>
  </si>
  <si>
    <t>DeadlyPoison</t>
  </si>
  <si>
    <t>Unplayable. At the end of your turn, if this is in your Hand, it deals 2 Dmg to you.</t>
  </si>
  <si>
    <t>Defend</t>
  </si>
  <si>
    <t>Gain 5 Block.</t>
  </si>
  <si>
    <t>Gain 8 Block.</t>
  </si>
  <si>
    <t>Defender</t>
  </si>
  <si>
    <t>hero, gray</t>
  </si>
  <si>
    <t>Deflect</t>
  </si>
  <si>
    <t>Gain +4 Block.</t>
  </si>
  <si>
    <t>Gain +7 Block</t>
  </si>
  <si>
    <t>Demon Form</t>
  </si>
  <si>
    <t>At the start of each turn, gain 2 Power.</t>
  </si>
  <si>
    <t>At the start of each turn, gain 3 Power.</t>
  </si>
  <si>
    <t>DemonForm</t>
  </si>
  <si>
    <t>ironclad, scaling</t>
  </si>
  <si>
    <t>6 Assassinate.</t>
  </si>
  <si>
    <t>Die Die Die</t>
  </si>
  <si>
    <t>Deal 13 Dmg Ranged Cleave. Exhaust.</t>
  </si>
  <si>
    <t>Deal 17 Dmg Ranged Cleave. Exhaust.</t>
  </si>
  <si>
    <t>DieDieDie</t>
  </si>
  <si>
    <t>silent, offense, aoe, exhaust</t>
  </si>
  <si>
    <t>Disarm</t>
  </si>
  <si>
    <t>Inflict -2 Power. Exhaust.</t>
  </si>
  <si>
    <t>Inflict -3 Power. Exhaust.</t>
  </si>
  <si>
    <t>ironclad, debuff, exhaust</t>
  </si>
  <si>
    <t>Distraction</t>
  </si>
  <si>
    <t>Conjure 1 Random Skill in Hand. You can play it for free this turn. Exhaust.</t>
  </si>
  <si>
    <t>silent, draw, random</t>
  </si>
  <si>
    <t>Dodge and Roll</t>
  </si>
  <si>
    <t>Gain +4 Block. Gain Next Turn Block equal to Block Gained.</t>
  </si>
  <si>
    <t>Gain +6 Block. Gain Next Turn Block equal to Block Gained.</t>
  </si>
  <si>
    <t>DodgeAndRoll</t>
  </si>
  <si>
    <t>Doppelganger</t>
  </si>
  <si>
    <t>X</t>
  </si>
  <si>
    <t>Gain X Next Turn Draw and Gain X Next Turn Energy. Exhaust.</t>
  </si>
  <si>
    <t>Gain X+1 Next Turn Draw and Gain X+1 Next Turn Energy. Exhaust.</t>
  </si>
  <si>
    <t>silent, draw, energy</t>
  </si>
  <si>
    <t>This turn, your next Attack is played twice.</t>
  </si>
  <si>
    <t>This turn, your next 2 Attacks are played twice.</t>
  </si>
  <si>
    <t>ironclad, energy, offense</t>
  </si>
  <si>
    <t>Doubt</t>
  </si>
  <si>
    <t>Unplayable. At the end of your turn, Gain 1 Weak.</t>
  </si>
  <si>
    <t>Dropkick</t>
  </si>
  <si>
    <t>Deal 5 Dmg Melee. If the target has Vulnerable, Gain +1 Energy and Draw 1 Card</t>
  </si>
  <si>
    <t>Deal 8 Dmg Melee. If the target has Vulnerable, Gain +1 Energy and Draw 1 Card</t>
  </si>
  <si>
    <t>ironclad, offense, draw, energy</t>
  </si>
  <si>
    <t>Druid</t>
  </si>
  <si>
    <t>Roll this die. When adding this Card to your Deck, Learn Balance.</t>
  </si>
  <si>
    <t>Roll this die. Gain +1 Reroll. When adding this Card to your Deck, Learn Balance.</t>
  </si>
  <si>
    <t>hero, red</t>
  </si>
  <si>
    <t>Dual Weild</t>
  </si>
  <si>
    <t>Choose an Attack or Power Card. Conjure 1 Copy of that Card to Hand.</t>
  </si>
  <si>
    <t>Choose an Attack or Power Card. Conjure 2 Copies of that Card to Hand.</t>
  </si>
  <si>
    <t>DualWield</t>
  </si>
  <si>
    <t>Endless Agony</t>
  </si>
  <si>
    <t>Whenever you draw this card, Conjure X in Deck where X is a copy of this card. Deal 4 Dmg Melee. Exhaust.</t>
  </si>
  <si>
    <t>Whenever you draw this card, Conjure X in Deck where X is a copy of this card. Deal 6 Dmg Melee. Exhaust.</t>
  </si>
  <si>
    <t>EndlessAgony</t>
  </si>
  <si>
    <t>Entrench</t>
  </si>
  <si>
    <t>Gain Double Block.</t>
  </si>
  <si>
    <t>Gain +1 Envenom.</t>
  </si>
  <si>
    <t>Escape Plan</t>
  </si>
  <si>
    <t>Draw 1 Card. If it was a Skill, Gain +3 Block.</t>
  </si>
  <si>
    <t>Draw 1 Card. If it was a Skill, Gain +5 Block.</t>
  </si>
  <si>
    <t>EscapePlan</t>
  </si>
  <si>
    <t>silent, draw, defense</t>
  </si>
  <si>
    <t>Eviscerate</t>
  </si>
  <si>
    <t>Costs 1 less Energy for each Discarded Card this turn. Deal 7x3 Dmg Melee.</t>
  </si>
  <si>
    <t>Costs 1 less Energy for each Discarded Card this turn. Deal 9x3 Dmg Melee.</t>
  </si>
  <si>
    <t>silent, offense, discard</t>
  </si>
  <si>
    <t>Gain +1 Evolve.</t>
  </si>
  <si>
    <t>Gain +2 Evolve.</t>
  </si>
  <si>
    <t>ironclad, draw, status</t>
  </si>
  <si>
    <t>Exhume</t>
  </si>
  <si>
    <t>Put 1 Card from your Exhaust to your Hand. Exhaust.</t>
  </si>
  <si>
    <t>ironclad, exhaust</t>
  </si>
  <si>
    <t>Expertise</t>
  </si>
  <si>
    <t>Draw X Cards where X is equal to 6 - the amount of Cards in your Hand.</t>
  </si>
  <si>
    <t>Draw X Cards where X is equal to 7 - the amount of Cards in your Hand.</t>
  </si>
  <si>
    <t>silent, draw</t>
  </si>
  <si>
    <t>Feed</t>
  </si>
  <si>
    <t>Deal 10 Dmg Melee. Infuse 3. Exhaust.</t>
  </si>
  <si>
    <t>Deal 12 Dmg Melee. Infuse 4. Exhaust.</t>
  </si>
  <si>
    <t>ironclad, offense, health, exhaust</t>
  </si>
  <si>
    <t>Gain +3 Feel No Pain.</t>
  </si>
  <si>
    <t>Gain +4 Feel No Pain.</t>
  </si>
  <si>
    <t>ironclad, defense, exhaust</t>
  </si>
  <si>
    <t>Fiend Fire</t>
  </si>
  <si>
    <t>Exhaust All Cards in Hand. Deal 7xX Dmg Ranged where X is equal to the amount of Cards Exhausted. Exhaust.</t>
  </si>
  <si>
    <t>Exhaust All Cards in Hand. Deal 10xX Dmg Ranged where X is equal to the amount of Cards Exhausted. Exhaust.</t>
  </si>
  <si>
    <t>FiendFire</t>
  </si>
  <si>
    <t>ironclad, offense, exhaust</t>
  </si>
  <si>
    <t>Fighter</t>
  </si>
  <si>
    <t>hero, yellow</t>
  </si>
  <si>
    <t>Finisher</t>
  </si>
  <si>
    <t>Deal 6xX Dmg Melee where X is equal to the amount of Attacks played this turn.</t>
  </si>
  <si>
    <t>Deal 8xX Dmg Melee where X is equal to the amount of Attacks played this turn.</t>
  </si>
  <si>
    <t>Gain +6 Fire Breathing.</t>
  </si>
  <si>
    <t>Gain +10 Fire Breathing.</t>
  </si>
  <si>
    <t>ironclad, offense, aoe, status</t>
  </si>
  <si>
    <t>Gain +12 Block. Gain +4 Flame Barrier.</t>
  </si>
  <si>
    <t>Gain +16 Block. Gain +6 Flame Barrier.</t>
  </si>
  <si>
    <t>Flechettes</t>
  </si>
  <si>
    <t>Deal 4xX Dmg Ranged where X is equal to the amount of Skills in your Hand.</t>
  </si>
  <si>
    <t>Deal 6xX Dmg Ranged where X is equal to the amount of Skills in your Hand.</t>
  </si>
  <si>
    <t>Flex</t>
  </si>
  <si>
    <t>Until the end of the turn, Gain +2 Power.</t>
  </si>
  <si>
    <t>Until the end of the turn, Gain +4 Power.</t>
  </si>
  <si>
    <t>Flying Knee</t>
  </si>
  <si>
    <t>Deal 8 Dmg Melee. Gain +1 Next Turn Energy.</t>
  </si>
  <si>
    <t>Deal 11 Dmg Melee. Gain +1 Next Turn Energy.</t>
  </si>
  <si>
    <t>FlyingKnee</t>
  </si>
  <si>
    <t>silent, offense, energy</t>
  </si>
  <si>
    <t>Footwork</t>
  </si>
  <si>
    <t>Gain +3 Defense</t>
  </si>
  <si>
    <t>Gambler</t>
  </si>
  <si>
    <t>Ghostly Armor</t>
  </si>
  <si>
    <t>Ethereal. Gain +10 Block.</t>
  </si>
  <si>
    <t>Ethereal. Gain +13 Block.</t>
  </si>
  <si>
    <t>GhostlyArmor</t>
  </si>
  <si>
    <t>Gladiator</t>
  </si>
  <si>
    <t>Glass Knife</t>
  </si>
  <si>
    <t>Deal 8x2 Dmg Melee. Decrease the Dmg of this Card by 2 this combat.</t>
  </si>
  <si>
    <t>Deal 12x2 Dmg Melee. Decrease the Dmg of this Card by 2 this combat.</t>
  </si>
  <si>
    <t>GlassKnife</t>
  </si>
  <si>
    <t>Go for the Eyes</t>
  </si>
  <si>
    <t>Deal 3 Dmg Melee. If target intends to attack, Inflict 1 Weak.</t>
  </si>
  <si>
    <t>Deal 4 Dmg Melee. If target intends to attack, Inflict 2 Weak.</t>
  </si>
  <si>
    <t>GoForTheEyes</t>
  </si>
  <si>
    <t>Grand Finale</t>
  </si>
  <si>
    <t>Can only be played if there are no cards in your draw pile. Deal 50 Dmg Ranged Cleave.</t>
  </si>
  <si>
    <t>Can only be played if there are no cards in your draw pile. Deal 60 Dmg Ranged Cleave.</t>
  </si>
  <si>
    <t>GrandFinale</t>
  </si>
  <si>
    <t>Unplayable. Destroy after completing 3 Combats.</t>
  </si>
  <si>
    <t>Havoc</t>
  </si>
  <si>
    <t>Play the top card of your Draw Pile and Exhaust it.</t>
  </si>
  <si>
    <t>Headbutt</t>
  </si>
  <si>
    <t>Deal 9 Dmg Melee. Put a Card from your Discard on the top of the Draw Pile.</t>
  </si>
  <si>
    <t>Deal 12 Dmg Melee. Put a Card from your Discard on the top of the Draw Pile.</t>
  </si>
  <si>
    <t>Healer</t>
  </si>
  <si>
    <t>Roll this die. When adding this Card to your Deck, Learn Mend.</t>
  </si>
  <si>
    <t>Roll this die. Gain +1 Reroll. When adding this Card to your Deck, Learn Mend.</t>
  </si>
  <si>
    <t>Heavy Blade</t>
  </si>
  <si>
    <t>Deal 14 Dmg Melee. Power affects this card x3 times.</t>
  </si>
  <si>
    <t>Deal 14 Dmg Melee. Power affects this card x5 times.</t>
  </si>
  <si>
    <t>HeavyBlade</t>
  </si>
  <si>
    <t>ironclad, offense, scaling</t>
  </si>
  <si>
    <t>Heel Hook</t>
  </si>
  <si>
    <t>Deal 5 Dmg Melee. If the target has Weak, Gain +1 Energy and Draw 1 Card</t>
  </si>
  <si>
    <t>Deal 8 Dmg Melee. If the target has Weak, Gain +1 Energy and Draw 1 Card</t>
  </si>
  <si>
    <t>HeelHook</t>
  </si>
  <si>
    <t>Hemokinesis</t>
  </si>
  <si>
    <t>Lose 2 Health. Deal 15 Dmg Ranged.</t>
  </si>
  <si>
    <t>Lose 2 Health. Deal 20 Dmg Ranged.</t>
  </si>
  <si>
    <t>Hologram</t>
  </si>
  <si>
    <t>Gain +3 Block. Put a Card from Discard to Hand. Exhaust.</t>
  </si>
  <si>
    <t>Gain +5 Block. Put a Card from Discard to Hand.</t>
  </si>
  <si>
    <t>defect, defense, draw, exhaust</t>
  </si>
  <si>
    <t>Immolate</t>
  </si>
  <si>
    <t>Deal 21 Magic Dmg Fire Cleave. Conjure 1 Burn to Discard.</t>
  </si>
  <si>
    <t>Deal 28 Magic Dmg Fire Cleave. Conjure 1 Burn to Discard.</t>
  </si>
  <si>
    <t>Impervious</t>
  </si>
  <si>
    <t>Gain +30 Block. Exhaust.</t>
  </si>
  <si>
    <t>Gain +40 Block. Exhaust.</t>
  </si>
  <si>
    <t>Infernal Blade</t>
  </si>
  <si>
    <t>Conjure 1 Random Attack in Hand. You can play it for free this turn. Exhaust.</t>
  </si>
  <si>
    <t>InfernalBlade</t>
  </si>
  <si>
    <t>ironclad, draw, random</t>
  </si>
  <si>
    <t>Infinite Blades</t>
  </si>
  <si>
    <t>At the start of your turn, Conjure 1 Shiv to Hand.</t>
  </si>
  <si>
    <t>Innate. At the start of your turn, Conjure 1 Shiv to Hand.</t>
  </si>
  <si>
    <t>InfiniteBlades</t>
  </si>
  <si>
    <t>Inflame</t>
  </si>
  <si>
    <t>Gain 2 Power.</t>
  </si>
  <si>
    <t>Gain 3 Power.</t>
  </si>
  <si>
    <t>Unplayable.</t>
  </si>
  <si>
    <t>Intimidate</t>
  </si>
  <si>
    <t>Inflict 1 Weak Cleave. Exhaust.</t>
  </si>
  <si>
    <t>Inflict 2 Weak Cleave. Exhaust.</t>
  </si>
  <si>
    <t>Iron Wave</t>
  </si>
  <si>
    <t>Gain +5 Block. Deal 5 Dmg Ranged.</t>
  </si>
  <si>
    <t>Gain +7 Block. Deal 7 Dmg Ranged.</t>
  </si>
  <si>
    <t>IronWave</t>
  </si>
  <si>
    <t>ironclad, offense, defense</t>
  </si>
  <si>
    <t>Roll this die. Choose a Card in your Hand, it transforms into a random Card of the rolled type.</t>
  </si>
  <si>
    <t>Jester</t>
  </si>
  <si>
    <t>Roll this die. When adding this Card to your Deck, Learn Flick.</t>
  </si>
  <si>
    <t>Roll this die. Gain +1 Reroll. When adding this Card to your Deck, Learn Flick.</t>
  </si>
  <si>
    <t>hero, blue</t>
  </si>
  <si>
    <t>Juggernaut</t>
  </si>
  <si>
    <t>Whenever you Gain Block, Deal 5 Dmg Melee to a random enemy.</t>
  </si>
  <si>
    <t>Whenever you Gain Block, Deal 7 Dmg Melee to a random enemy.</t>
  </si>
  <si>
    <t>Juggler</t>
  </si>
  <si>
    <t>Lazy</t>
  </si>
  <si>
    <t>Leap</t>
  </si>
  <si>
    <t>Gain +9 Block.</t>
  </si>
  <si>
    <t>Gain +12 Block.</t>
  </si>
  <si>
    <t>Leg Sweep</t>
  </si>
  <si>
    <t>Inflict 2 Weak. Gain 11 Block.</t>
  </si>
  <si>
    <t>Inflict 3 Weak. Gain 14 Block.</t>
  </si>
  <si>
    <t>LegSweep</t>
  </si>
  <si>
    <t>silent, debuff, defense</t>
  </si>
  <si>
    <t>Deal 5 Dmg Ranged.</t>
  </si>
  <si>
    <t>Limit Break</t>
  </si>
  <si>
    <t>Gain Double Power. Exhaust.</t>
  </si>
  <si>
    <t>Gain Double Power.</t>
  </si>
  <si>
    <t>LimitBreak</t>
  </si>
  <si>
    <t>Machine Learning</t>
  </si>
  <si>
    <t xml:space="preserve">At the start of your turn, Gain +1 Next Turn Draw. </t>
  </si>
  <si>
    <t xml:space="preserve">Innate. At the start of your turn, Gain +1 Next Turn Draw. </t>
  </si>
  <si>
    <t>MachineLearning</t>
  </si>
  <si>
    <t>defect, draw</t>
  </si>
  <si>
    <t>Mage</t>
  </si>
  <si>
    <t>Roll this die. When adding this Card to your Deck, Learn Poke.</t>
  </si>
  <si>
    <t>Roll this die. Gain +1 Reroll. When adding this Card to your Deck, Learn Poke.</t>
  </si>
  <si>
    <t>Malaise</t>
  </si>
  <si>
    <t>Inflict -X Power and Inflict X Weak. Exhaust</t>
  </si>
  <si>
    <t>Inflict -X-1 Power and Inflict X+1 Weak. Exhaust</t>
  </si>
  <si>
    <t>silent, debuff, exhaust</t>
  </si>
  <si>
    <t>Masterful Stab</t>
  </si>
  <si>
    <t>Costs 1 more Energy for each time you've lost Health this combat. Deal 12 Dmg Melee.</t>
  </si>
  <si>
    <t>Costs 1 more Energy for each time you've lost Health this combat. Deal 16 Dmg Melee.</t>
  </si>
  <si>
    <t>MasterfulStab</t>
  </si>
  <si>
    <t>Metallicize</t>
  </si>
  <si>
    <t>At the end of your turn, Gain +3 Block.</t>
  </si>
  <si>
    <t>At the end of your turn, Gain +4 Block.</t>
  </si>
  <si>
    <t>Mock Battle</t>
  </si>
  <si>
    <t>Permanently Gain +2 Strength, Dexterity, Intelligence, and Charisma. Destroy.</t>
  </si>
  <si>
    <t>MockBattle</t>
  </si>
  <si>
    <t>Mystic</t>
  </si>
  <si>
    <t>Roll this die. When adding this Card to your Deck, Learn Gaze.</t>
  </si>
  <si>
    <t>Roll this die. Gain +1 Reroll. When adding this Card to your Deck, Learn Gaze.</t>
  </si>
  <si>
    <t>Deal 3 Dmg Melee. Inflict 1 Weak.</t>
  </si>
  <si>
    <t>Deal 4 Dmg Melee. Inflict 2 Weak.</t>
  </si>
  <si>
    <t>Nightmare</t>
  </si>
  <si>
    <t>Choose a Card. Next turn, Conjure 3 copies of that Card to your Hand.</t>
  </si>
  <si>
    <t>Noxious Fumes</t>
  </si>
  <si>
    <t>At the start of each turn, Inflict 2 Poison Cleave</t>
  </si>
  <si>
    <t>At the start of each turn, Inflict 3 Poison Cleave</t>
  </si>
  <si>
    <t>NoxiousFumes</t>
  </si>
  <si>
    <t>Offering</t>
  </si>
  <si>
    <t>Lose 6 Health. Gain +2 Energy. Draw 3 Cards. Exhaust.</t>
  </si>
  <si>
    <t>Lose 6 Health. Gain +2 Energy. Draw 5 Cards. Exhaust.</t>
  </si>
  <si>
    <t>ironclad, energy, draw, exhaust</t>
  </si>
  <si>
    <t>Outmaneuver</t>
  </si>
  <si>
    <t>Gain +2 Next Turn Energy.</t>
  </si>
  <si>
    <t>Gain +3 Next Turn Energy.</t>
  </si>
  <si>
    <t>Pain</t>
  </si>
  <si>
    <t xml:space="preserve">Unplayable. If this is in Hand, Lose 1 Health when playing another Card. </t>
  </si>
  <si>
    <t>Perfected Strike</t>
  </si>
  <si>
    <t>Deal 6 Dmg Melee. Deals 2 additional damage for All of your Cards that contain "Strike".</t>
  </si>
  <si>
    <t>Deal 6 Dmg Melee. Deals 3 additional damage for All of your Cards that contain "Strike".</t>
  </si>
  <si>
    <t>PerfectedStrike</t>
  </si>
  <si>
    <t>Phantasmal Killer</t>
  </si>
  <si>
    <t>Gain +1 Double Damage.</t>
  </si>
  <si>
    <t>PhantasmalKiller</t>
  </si>
  <si>
    <t>Piercing Wail</t>
  </si>
  <si>
    <t>Inflict -6 Power Cleave and Inflict 6 Shackled Cleave. Exhaust.</t>
  </si>
  <si>
    <t>Inflict -8 Power Cleave and Inflict 8 Shackled Cleave. Exhaust.</t>
  </si>
  <si>
    <t>PiercingWail</t>
  </si>
  <si>
    <t>Poisoned Stab</t>
  </si>
  <si>
    <t>Deal 6 Dmg Melee. Inflict 3 Poison.</t>
  </si>
  <si>
    <t>Deal 8 Dmg Melee. Inflict 4 Poison.</t>
  </si>
  <si>
    <t>PoisonedStab</t>
  </si>
  <si>
    <t>Pommel Strike</t>
  </si>
  <si>
    <t>Deal 9 Dmg Melee. Draw 1 card.</t>
  </si>
  <si>
    <t>Deal 10 Dmg Melee. Draw 2 cards.</t>
  </si>
  <si>
    <t>PommelStrike</t>
  </si>
  <si>
    <t>ironclad, offense, draw</t>
  </si>
  <si>
    <t>Power Through</t>
  </si>
  <si>
    <t>Conjure 2 Wounds to Hand. Gain +15 Block.</t>
  </si>
  <si>
    <t>Conjure 2 Wounds to Hand. Gain +20 Block.</t>
  </si>
  <si>
    <t>PowerThrough</t>
  </si>
  <si>
    <t>ironclad, defense, status</t>
  </si>
  <si>
    <t>Predator</t>
  </si>
  <si>
    <t>Deal 15 Dmg Melee. Gain +2 Next Turn Draw.</t>
  </si>
  <si>
    <t>Deal 20 Dmg Melee. Gain +2 Next Turn Draw.</t>
  </si>
  <si>
    <t>Prepared</t>
  </si>
  <si>
    <t>Draw 1 Card. Discard 1 Card.</t>
  </si>
  <si>
    <t>Draw 2 Cards. Discard 2 Cards.</t>
  </si>
  <si>
    <t>Pummel</t>
  </si>
  <si>
    <t>Deal 2x4 Dmg Melee. Exhaust.</t>
  </si>
  <si>
    <t>Deal 2x5 Dmg Melee. Exhaust.</t>
  </si>
  <si>
    <t>Unplayable. At the end of your turn, if this is in Hand, Gain 1 Blind.</t>
  </si>
  <si>
    <t>PuncturedEye</t>
  </si>
  <si>
    <t>Purple Pigment</t>
  </si>
  <si>
    <t>Gain +1 Persistence until end of the turn. At the end of your turn, if this is in Hand, Take 3 Dmg. Exhaust.</t>
  </si>
  <si>
    <t>PurplePigment</t>
  </si>
  <si>
    <t>Quick Slash</t>
  </si>
  <si>
    <t>Deal 8 Dmg Melee. Draw 1 Card.</t>
  </si>
  <si>
    <t>Deal 12 Dmg Melee. Draw 1 Card.</t>
  </si>
  <si>
    <t>QuickSlash</t>
  </si>
  <si>
    <t>silent, offense, draw</t>
  </si>
  <si>
    <t>Until the end of your turn, whenever you play an Attack, Gain +3 Block.</t>
  </si>
  <si>
    <t>Until the end of your turn, whenever you play an Attack, Gain +5 Block.</t>
  </si>
  <si>
    <t>Rampage</t>
  </si>
  <si>
    <t>Deal 8 Dmg Melee. Increase the Dmg of this Card by 5 this combat.</t>
  </si>
  <si>
    <t>Deal 8 Dmg Melee. Increase the Dmg of this Card by 8 this combat.</t>
  </si>
  <si>
    <t>Ranger</t>
  </si>
  <si>
    <t>Reaper</t>
  </si>
  <si>
    <t>Deal 4 Dmg Melee Cleave Lifesteal. Exhaust.</t>
  </si>
  <si>
    <t>Deal 5 Dmg Melee Cleave Lifesteal. Exhaust.</t>
  </si>
  <si>
    <t>Reckless Charge</t>
  </si>
  <si>
    <t xml:space="preserve">Deal 7 Dmg Melee. Conjure 1 Dazed to Deck. </t>
  </si>
  <si>
    <t xml:space="preserve">Deal 10 Dmg Melee. Conjure 1 Dazed to Deck. </t>
  </si>
  <si>
    <t>RecklessCharge</t>
  </si>
  <si>
    <t>ironclad, offense, status</t>
  </si>
  <si>
    <t>Red Pigment</t>
  </si>
  <si>
    <t>Gain +2 Power until end of the turn. At the end of your turn, if this is in Hand, Take 3 Dmg. Exhaust.</t>
  </si>
  <si>
    <t>RedPigment</t>
  </si>
  <si>
    <t>Reflex</t>
  </si>
  <si>
    <t>Sly. Draw 2 Cards.</t>
  </si>
  <si>
    <t>Sly. Draw 3 Cards.</t>
  </si>
  <si>
    <t>Unplayable. At the end of your turn, if this is in Hand, Lose 1 Health for each card in Hand.</t>
  </si>
  <si>
    <t>Riddle with Holes</t>
  </si>
  <si>
    <t>Deal 3x5 Dmg Melee.</t>
  </si>
  <si>
    <t>Deal 4x5 Dmg Melee.</t>
  </si>
  <si>
    <t>RiddleWithHoles</t>
  </si>
  <si>
    <t>Runner's High</t>
  </si>
  <si>
    <t>For every 10 Health you have under Max Health, Gain +2 Max Health. Destroy.</t>
  </si>
  <si>
    <t xml:space="preserve">For every 10 Health you have under Max Health, Gain +3 Max Health. Destroy. </t>
  </si>
  <si>
    <t>Runner'sHigh</t>
  </si>
  <si>
    <t>Rupture</t>
  </si>
  <si>
    <t>Whenever you lose Health from a Card, Gain +1 Power.</t>
  </si>
  <si>
    <t>Whenever you lose Health from a Card, Gain +2 Power.</t>
  </si>
  <si>
    <t>Inflict 1 Bleed and 1 Poison.</t>
  </si>
  <si>
    <t>Searing Blow</t>
  </si>
  <si>
    <t>Deal 12 Magic Dmg Fire Melee. Sequential Upgrade Magic Dmg +3.</t>
  </si>
  <si>
    <t>SearingBlow</t>
  </si>
  <si>
    <t>Second Wind</t>
  </si>
  <si>
    <t>Exhaust all non-Attack Cards in Hand. Gain +5 Block for each Card Exhausted.</t>
  </si>
  <si>
    <t>Exhaust all non-Attack Cards in Hand. Gain +7 Block for each Card Exhausted.</t>
  </si>
  <si>
    <t>SecondWind</t>
  </si>
  <si>
    <t>Seeing Red</t>
  </si>
  <si>
    <t>Gain 2 Energy. Exhaust.</t>
  </si>
  <si>
    <t>SeeingRed</t>
  </si>
  <si>
    <t>ironclad, energy, exhaust</t>
  </si>
  <si>
    <t>Seek</t>
  </si>
  <si>
    <t>Put 1 Card from your Deck to Hand. Exhaust.</t>
  </si>
  <si>
    <t>Put 2 Cards from your Deck to Hand. Exhaust.</t>
  </si>
  <si>
    <t>defect, draw, exhaust</t>
  </si>
  <si>
    <t>Sentinel</t>
  </si>
  <si>
    <t>Gain +5 Block. If this Card is Exhausted, Gain +2 Energy.</t>
  </si>
  <si>
    <t>Gain +8 Block. If this Card is Exhausted, Gain +3 Energy.</t>
  </si>
  <si>
    <t>Setup</t>
  </si>
  <si>
    <t>Put 1 Card in your Hand on the top of the Draw Pile. It is free to play until played.</t>
  </si>
  <si>
    <t>Sever Soul</t>
  </si>
  <si>
    <t>Exhaust all non-Attack Cards in Hand. Deal 16 Dmg.</t>
  </si>
  <si>
    <t>Exhaust all non-Attack Cards in Hand. Deal 22 Dmg.</t>
  </si>
  <si>
    <t>SeverSoul</t>
  </si>
  <si>
    <t>Shame</t>
  </si>
  <si>
    <t>Unplayable. At the end of your turn, if this is in Hand, Gain 1 Frail.</t>
  </si>
  <si>
    <t>Shiv</t>
  </si>
  <si>
    <t>Deal 4 Dmg Ranged. Exhaust.</t>
  </si>
  <si>
    <t>Deal 6 Dmg Ranged. Exhaust.</t>
  </si>
  <si>
    <t>Shockwave</t>
  </si>
  <si>
    <t>Apply 3 Weak Cleave and 3 Vulnerable Cleave. Exhaust.</t>
  </si>
  <si>
    <t>Apply 5 Weak Cleave and 5 Vulnerable Cleave. Exhaust.</t>
  </si>
  <si>
    <t>Shrug It Off</t>
  </si>
  <si>
    <t>Gain 8 Block. Draw 1 Card.</t>
  </si>
  <si>
    <t>Gain 11 Block. Draw 1 card.</t>
  </si>
  <si>
    <t>ShrugItOff</t>
  </si>
  <si>
    <t>ironclad, block, defense</t>
  </si>
  <si>
    <t>Skewer</t>
  </si>
  <si>
    <t>Deal 7xX Dmg Melee.</t>
  </si>
  <si>
    <t>Deal 10xX Dmg Melee.</t>
  </si>
  <si>
    <t>Slice</t>
  </si>
  <si>
    <t>Deal 6 Dmg Melee.</t>
  </si>
  <si>
    <t>Deal 9 Dmg Melee.</t>
  </si>
  <si>
    <t>Slimed</t>
  </si>
  <si>
    <t>Draw 1 Card. Exhaust.</t>
  </si>
  <si>
    <t>Sneaky Strike</t>
  </si>
  <si>
    <t>Deal 12 Dmg Melee. If you have Discarded a Card this turn, Gain +2 Energy.</t>
  </si>
  <si>
    <t>Deal 16 Dmg Melee. If you have Discarded a Card this turn, Gain +2 Energy.</t>
  </si>
  <si>
    <t>SneakyStrike</t>
  </si>
  <si>
    <t>Soldier</t>
  </si>
  <si>
    <t>Spot Weakness</t>
  </si>
  <si>
    <t>If target enemy intends to attack, Gain +3 Power.</t>
  </si>
  <si>
    <t>If target enemy intends to attack, Gain +4 Power.</t>
  </si>
  <si>
    <t>SpotWeakness</t>
  </si>
  <si>
    <t>Storm of Steel</t>
  </si>
  <si>
    <t>Discard your Hand, then Conjure X Shivs where X was the amount of cards that were Discarded.</t>
  </si>
  <si>
    <t>Discard your Hand, then Conjure X Upgraded Shivs where X was the amount of cards that were Discarded.</t>
  </si>
  <si>
    <t>StormOfShield</t>
  </si>
  <si>
    <t>silent, discard, offense</t>
  </si>
  <si>
    <t>Strike</t>
  </si>
  <si>
    <t>Sucker Punch</t>
  </si>
  <si>
    <t>Deal 8 Dmg Melee. Inflict 1 Weak.</t>
  </si>
  <si>
    <t>Deal 10 Dmg Melee. Inflict 2 Weak.</t>
  </si>
  <si>
    <t>SuckerPunch</t>
  </si>
  <si>
    <t>Gain +8 Block. Discard 1 Card.</t>
  </si>
  <si>
    <t>Gain +11 Block. Discard 1 Card.</t>
  </si>
  <si>
    <t>silent, defense, discard</t>
  </si>
  <si>
    <t>Sweeping Beam</t>
  </si>
  <si>
    <t>Deal 6 Dmg Ranged Cleave. Draw 1 Card.</t>
  </si>
  <si>
    <t>Deal 9 Dmg Ranged Cleave. Draw 1 Card.</t>
  </si>
  <si>
    <t>SweepingBeam</t>
  </si>
  <si>
    <t>defect, offense, draw</t>
  </si>
  <si>
    <t>Sword Boomerang</t>
  </si>
  <si>
    <t>Deal 3 Dmg Ranged to a Random target. Repeat 2 times</t>
  </si>
  <si>
    <t>Deal 3 Dmg Ranged to a Random target. Repeat 3 times</t>
  </si>
  <si>
    <t>SwordBoomerang</t>
  </si>
  <si>
    <t>Tactician</t>
  </si>
  <si>
    <t>Sly. Gain +1 Energy.</t>
  </si>
  <si>
    <t>Sly. Gain +2 Energy.</t>
  </si>
  <si>
    <t>silent, energy, discard</t>
  </si>
  <si>
    <t>Target Practice</t>
  </si>
  <si>
    <t>Permanently Gain +1 Strength and +2 Charisma. Destroy.</t>
  </si>
  <si>
    <t>Permanently Gain +2 Strength and +3 Charisma. Destroy.</t>
  </si>
  <si>
    <t>TargetPractice</t>
  </si>
  <si>
    <t>Terror</t>
  </si>
  <si>
    <t>Inflict 99 Vulnerable. Exhaust.</t>
  </si>
  <si>
    <t>Thunderclap</t>
  </si>
  <si>
    <t>Deal 4 Dmg Ranged Cleave. Inflict 1 Vulnerable Cleave.</t>
  </si>
  <si>
    <t>Deal 7 Dmg Ranged Cleave. Inflict 1 Vulnerable Cleave.</t>
  </si>
  <si>
    <t>Tools of the Trade</t>
  </si>
  <si>
    <t>At the start of your turn, Draw 1 Card and Discard 1 Card.</t>
  </si>
  <si>
    <t>ToolsOfTheTrade</t>
  </si>
  <si>
    <t>True Grit</t>
  </si>
  <si>
    <t>Gain +7 Block. Exhaust a random Card in your Hand.</t>
  </si>
  <si>
    <t>Gain +7 Block. Exhaust a Card in your Hand.</t>
  </si>
  <si>
    <t>TrueGrit</t>
  </si>
  <si>
    <t>Twin Strike</t>
  </si>
  <si>
    <t>Deal 5x2 Dmg Melee.</t>
  </si>
  <si>
    <t>Deal 7x2 Dmg Melee.</t>
  </si>
  <si>
    <t>TwinStrike</t>
  </si>
  <si>
    <t>Unload</t>
  </si>
  <si>
    <t>Deal 14 Dmg Ranged. Discard All non-Attack Cards in your hand.</t>
  </si>
  <si>
    <t>Deal 18 Dmg Ranged. Discard All non-Attack Cards in your hand.</t>
  </si>
  <si>
    <t>Uppercut</t>
  </si>
  <si>
    <t>Deal 13 Dmg Melee. Inflict 1 Weak. Inflict 1 Vulnerable.</t>
  </si>
  <si>
    <t>Deal 13 Dmg Melee. Inflict 2 Weak. Inflict 2 Vulnerable.</t>
  </si>
  <si>
    <t>Veteran</t>
  </si>
  <si>
    <t>Warcry</t>
  </si>
  <si>
    <t>Draw 1 Card. Put a Card from your Hand on the top of the Draw Pile. Exhaust.</t>
  </si>
  <si>
    <t>Draw 2 Cards. Put a Card from your Hand on the top of the Draw Pile. Exhaust.</t>
  </si>
  <si>
    <t>Warden</t>
  </si>
  <si>
    <t>Gain +1 Well-Laid Plans.</t>
  </si>
  <si>
    <t>Gain +2 Well-Laid Plans.</t>
  </si>
  <si>
    <t>Whirlwind</t>
  </si>
  <si>
    <t>Deal 5xX Dmg Cleave.</t>
  </si>
  <si>
    <t>Deal 8xX Dmg Cleave.</t>
  </si>
  <si>
    <t>White Noise</t>
  </si>
  <si>
    <t>Conjure 1 Random Power in Hand. You can play it for free this turn. Exhaust.</t>
  </si>
  <si>
    <t>WhiteNoise</t>
  </si>
  <si>
    <t>defect, draw, random, exhaust</t>
  </si>
  <si>
    <t>Wild Strike</t>
  </si>
  <si>
    <t>Deal 12 Dmg Melee. Conjure 1 Wound to Draw.</t>
  </si>
  <si>
    <t>Deal 17 Dmg Melee. Conjure 1 Wound to Draw.</t>
  </si>
  <si>
    <t>WildStrike</t>
  </si>
  <si>
    <t>Wound</t>
  </si>
  <si>
    <t>Wraith Form</t>
  </si>
  <si>
    <t>Gain +2 Intangible. At the start of the turn, Lose 1 Defense.</t>
  </si>
  <si>
    <t>Gain +3 Intangible. At the start of the turn, Lose 1 Defense.</t>
  </si>
  <si>
    <t>WraithForm</t>
  </si>
  <si>
    <t>Writhe</t>
  </si>
  <si>
    <t>Unplayable. Innate.</t>
  </si>
  <si>
    <t>Yellow Pigment</t>
  </si>
  <si>
    <t>Gain +2 Defense until end of the turn. At the end of your turn, if this is in Hand, Take 3 Dmg. Exhaust.</t>
  </si>
  <si>
    <t>YellowPigment</t>
  </si>
  <si>
    <t>Effects</t>
  </si>
  <si>
    <t>↑ Description</t>
  </si>
  <si>
    <t>↑ Effects</t>
  </si>
  <si>
    <t>↑ Cost</t>
  </si>
  <si>
    <t>Keywords</t>
  </si>
  <si>
    <t>Element</t>
  </si>
  <si>
    <t>boost_cards:tag=shiv:dmg:4</t>
  </si>
  <si>
    <t>boost_cards:tag=shiv:dmg:6</t>
  </si>
  <si>
    <t>draw:3; discard:1</t>
  </si>
  <si>
    <t>draw:4; discard:1</t>
  </si>
  <si>
    <t>gain_energy:1; draw:2</t>
  </si>
  <si>
    <t>gain_energy:2; draw:2</t>
  </si>
  <si>
    <t>on_card_played:gain:block:1</t>
  </si>
  <si>
    <t>gain_loot:potion:1</t>
  </si>
  <si>
    <t>silent, item, exhaust</t>
  </si>
  <si>
    <t>Deal 10 Dmg Melee. Put all 0-cost Cards from your discard pile into your hand.</t>
  </si>
  <si>
    <t>dmg:10:melee; recall:cost=0</t>
  </si>
  <si>
    <t>Deal 14 Dmg Melee. Put all 0-cost Cards from your discard pile into your hand.</t>
  </si>
  <si>
    <t>dmg:14:melee; recall:cost=0</t>
  </si>
  <si>
    <t>Poke, Medium</t>
  </si>
  <si>
    <t>Deal 10 Dmg Melee Cleave. Discard 1 Card at random.</t>
  </si>
  <si>
    <t>dmg:10:melee:cleave; discard:1:random</t>
  </si>
  <si>
    <t>Deal 14 Dmg Melee Cleave. Discard 1 Card at random.</t>
  </si>
  <si>
    <t>dmg:14:melee:cleave; discard:1:random</t>
  </si>
  <si>
    <t>Nova, Small</t>
  </si>
  <si>
    <t>dmg:6:melee; conjure:self:discard</t>
  </si>
  <si>
    <t>dmg:8:melee; conjure:self:discard</t>
  </si>
  <si>
    <t>Poke, Small</t>
  </si>
  <si>
    <t>gain:block:5; upgrade_hand:1</t>
  </si>
  <si>
    <t>gain:block:5; upgrade_hand:all</t>
  </si>
  <si>
    <t>gain:block:5; draw:2</t>
  </si>
  <si>
    <t>gain:block:8; draw:2</t>
  </si>
  <si>
    <t>dmg:11:melee</t>
  </si>
  <si>
    <t>dmg:15:melee</t>
  </si>
  <si>
    <t>Innate, Exhaust</t>
  </si>
  <si>
    <t>inflict:blind:2; chance:10:exhaust_self</t>
  </si>
  <si>
    <t>Swing, Medium</t>
  </si>
  <si>
    <t>weapon, debuff, exhaust, blind</t>
  </si>
  <si>
    <t>Deal 7 Dmg Melee. If the target is Poisoned, deal 7 Dmg Melee again.</t>
  </si>
  <si>
    <t>dmg:7:melee; dmg:7:melee:if_status=poison</t>
  </si>
  <si>
    <t>Deal 10 Dmg Melee. If the target is Poisoned, deal 10 Dmg Melee again.</t>
  </si>
  <si>
    <t>dmg:10:melee; dmg:10:melee:if_status=poison</t>
  </si>
  <si>
    <t>silent, offense, poison, debuff</t>
  </si>
  <si>
    <t>dmg:6:ranged</t>
  </si>
  <si>
    <t>Projectile, Medium</t>
  </si>
  <si>
    <t>Block is not removed at the start of your turn.</t>
  </si>
  <si>
    <t>keep_block</t>
  </si>
  <si>
    <t>ironclad, defense, block</t>
  </si>
  <si>
    <t>dmg:8:melee; inflict:vulnerable:2</t>
  </si>
  <si>
    <t>dmg:10:melee; inflict:vulnerable:3</t>
  </si>
  <si>
    <t>Smash, Medium</t>
  </si>
  <si>
    <t>Draw 3 Cards. Gain 1 No Draw.</t>
  </si>
  <si>
    <t>draw:3; gain:no_draw:1</t>
  </si>
  <si>
    <t>Draw 4 Cards. Gain 1 No Draw.</t>
  </si>
  <si>
    <t>draw:4; gain:no_draw:1</t>
  </si>
  <si>
    <t>dmg:3:ranged; inflict:vulnerable:1</t>
  </si>
  <si>
    <t>dmg:4:ranged; inflict:vulnerable:2</t>
  </si>
  <si>
    <t>Beam</t>
  </si>
  <si>
    <t>conjure:shiv:hand:3</t>
  </si>
  <si>
    <t>conjure:shiv:hand:4</t>
  </si>
  <si>
    <t>dmg:3:ranged</t>
  </si>
  <si>
    <t>cost_reduce:per=hp_losses; dmg:18:melee</t>
  </si>
  <si>
    <t>cost_reduce:per=hp_losses; dmg:22:melee</t>
  </si>
  <si>
    <t>Deal 2x3 Magic Dmg Ranged. Indiscriminate. 2 Infuse.</t>
  </si>
  <si>
    <t>dmg:2x3:ranged:infuse=2</t>
  </si>
  <si>
    <t>Auto_aoe, target=random, Small</t>
  </si>
  <si>
    <t>lose_hp:3; gain_energy:2</t>
  </si>
  <si>
    <t>lose_hp:3; gain_energy:3</t>
  </si>
  <si>
    <t>dmg:32:melee</t>
  </si>
  <si>
    <t>dmg:42:melee</t>
  </si>
  <si>
    <t>Smash, Large</t>
  </si>
  <si>
    <t>Gain +5 Block. Gain 1 Blur.</t>
  </si>
  <si>
    <t>gain:block:5; gain:blur:1</t>
  </si>
  <si>
    <t>Gain +8 Block. Gain 1 Blur.</t>
  </si>
  <si>
    <t>gain:block:8; gain:blur:1</t>
  </si>
  <si>
    <t>Deal Melee Dmg equal to your Block.</t>
  </si>
  <si>
    <t>dmg:block:melee</t>
  </si>
  <si>
    <t>Smash, Small</t>
  </si>
  <si>
    <t>gain:block:10</t>
  </si>
  <si>
    <t>gain:block:13</t>
  </si>
  <si>
    <t>inflict:poison:3:times=3</t>
  </si>
  <si>
    <t>inflict:poison:3:times=4</t>
  </si>
  <si>
    <t>Bounce</t>
  </si>
  <si>
    <t>silent, debuff, poison</t>
  </si>
  <si>
    <t>gain:no_draw:1; free_hand</t>
  </si>
  <si>
    <t>eot: dmg:2:self</t>
  </si>
  <si>
    <t>status</t>
  </si>
  <si>
    <t>exhaust:1; draw:2</t>
  </si>
  <si>
    <t>exhaust:1; draw:3</t>
  </si>
  <si>
    <t>This turn, your next Skill is played twice.</t>
  </si>
  <si>
    <t>gain:burst:1</t>
  </si>
  <si>
    <t>This turn, your next 2 Skills are played twice.</t>
  </si>
  <si>
    <t>gain:burst:2</t>
  </si>
  <si>
    <t>Discard your Hand, then Draw X Cards where X was the amount of cards that were Discarded. Exhaust.</t>
  </si>
  <si>
    <t>discard:all; draw:count=discarded; exhaust_self</t>
  </si>
  <si>
    <t>Discard your Hand, then Draw X Cards where X was the amount of cards that were Discarded.</t>
  </si>
  <si>
    <t>discard:all; draw:count=discarded</t>
  </si>
  <si>
    <t>Ethereal. Deal 20 Dmg Melee.</t>
  </si>
  <si>
    <t>dmg:20:melee</t>
  </si>
  <si>
    <t>dmg:28:melee</t>
  </si>
  <si>
    <t>Double the target's Poison. Exhaust.</t>
  </si>
  <si>
    <t>multiply:poison:2</t>
  </si>
  <si>
    <t>Triple the target's Poison. Exhaust.</t>
  </si>
  <si>
    <t>multiply:poison:3</t>
  </si>
  <si>
    <t>silent, debuff, poison, exhaust</t>
  </si>
  <si>
    <t>dmg:12:melee; inflict:choked:3</t>
  </si>
  <si>
    <t>dmg:12:melee; inflict:choked:5</t>
  </si>
  <si>
    <t>Deal 14 Dmg Melee. Does nothing if you have any non-Attack Cards in Hand.</t>
  </si>
  <si>
    <t>dmg:14:melee:if_hand=all_attacks</t>
  </si>
  <si>
    <t>Deal 18 Dmg Melee. Does nothing if you have any non-Attack Cards in Hand.</t>
  </si>
  <si>
    <t>dmg:18:melee:if_hand=all_attacks</t>
  </si>
  <si>
    <t>Swing, Small</t>
  </si>
  <si>
    <t>dmg:3:melee; boost_cards:id=claw:dmg:2</t>
  </si>
  <si>
    <t>dmg:4:melee; boost_cards:id=claw:dmg:3</t>
  </si>
  <si>
    <t>dmg:8:melee:cleave</t>
  </si>
  <si>
    <t>dmg:11:melee:cleave</t>
  </si>
  <si>
    <t>Swing, Large</t>
  </si>
  <si>
    <t>ironclad, aoe, cleave, offense</t>
  </si>
  <si>
    <t>gain:block:6; conjure:shiv:hand</t>
  </si>
  <si>
    <t>gain:block:6; conjure:shiv:hand:2</t>
  </si>
  <si>
    <t>Deal 12 Dmg Melee. Apply 2 Weak.</t>
  </si>
  <si>
    <t>dmg:12:melee; inflict:weak:2</t>
  </si>
  <si>
    <t>Deal 14 Dmg Melee. Apply 3 Weak.</t>
  </si>
  <si>
    <t>dmg:14:melee; inflict:weak:3</t>
  </si>
  <si>
    <t>Unplayable, Ethereal</t>
  </si>
  <si>
    <t>Discard 3 Cards. Gain 2 Energy.</t>
  </si>
  <si>
    <t>discard:3; gain_energy:2</t>
  </si>
  <si>
    <t>Discard 2 Cards. Gain 2 Energy.</t>
  </si>
  <si>
    <t>discard:2; gain_energy:2</t>
  </si>
  <si>
    <t>silent, resource</t>
  </si>
  <si>
    <t>inflict:poison:6; inflict:corpse_explosion:1</t>
  </si>
  <si>
    <t>inflict:poison:9; inflict:corpse_explosion:1</t>
  </si>
  <si>
    <t>Homing, Medium, explosive</t>
  </si>
  <si>
    <t>silent, debuff, poison, aoe</t>
  </si>
  <si>
    <t>Apply 4 Poison and 2 Weak to ALL Enemies. Exhaust.</t>
  </si>
  <si>
    <t>inflict:poison:4:cleave; inflict:weak:2:cleave</t>
  </si>
  <si>
    <t>Apply 7 Poison and 3 Weak to ALL Enemies. Exhaust.</t>
  </si>
  <si>
    <t>inflict:poison:7:cleave; inflict:weak:3:cleave</t>
  </si>
  <si>
    <t>Nova, Medium</t>
  </si>
  <si>
    <t>silent, poison, debuff, aoe</t>
  </si>
  <si>
    <t>dmg:4x2:ranged:cleave</t>
  </si>
  <si>
    <t>dmg:6x2:ranged:cleave</t>
  </si>
  <si>
    <t>Projectile, Medium, spread=4</t>
  </si>
  <si>
    <t>dmg:9:ranged;draw:1;discard:1</t>
  </si>
  <si>
    <t>dmg:12:ranged;draw:1;discard:1</t>
  </si>
  <si>
    <t>gain:block:10; dmg:10:melee</t>
  </si>
  <si>
    <t>gain:block:13; dmg:13:melee</t>
  </si>
  <si>
    <t>Ethereal. Unplayable.</t>
  </si>
  <si>
    <t>inflict:poison:5</t>
  </si>
  <si>
    <t>inflict:poison:7</t>
  </si>
  <si>
    <t>Defend (Ironclad)</t>
  </si>
  <si>
    <t>gain:block:5</t>
  </si>
  <si>
    <t>gain:block:8</t>
  </si>
  <si>
    <t>DefendIronclad</t>
  </si>
  <si>
    <t>defend</t>
  </si>
  <si>
    <t>Defend (Silent)</t>
  </si>
  <si>
    <t>DefendSilent</t>
  </si>
  <si>
    <t>gain:block:4</t>
  </si>
  <si>
    <t>Gain +7 Block.</t>
  </si>
  <si>
    <t>gain:block:7</t>
  </si>
  <si>
    <t>Deal 5 Dmg. Finesse.</t>
  </si>
  <si>
    <t>dmg:5:melee</t>
  </si>
  <si>
    <t>dmg:13:ranged:cleave</t>
  </si>
  <si>
    <t>dmg:17:ranged:cleave</t>
  </si>
  <si>
    <t>Projectile, Medium, spread=8</t>
  </si>
  <si>
    <t>inflict:power:-2</t>
  </si>
  <si>
    <t>inflict:power:-3</t>
  </si>
  <si>
    <t>conjure_random:skill:hand:free</t>
  </si>
  <si>
    <t>Gain +4 Block. Gain +4 Next Turn Block.</t>
  </si>
  <si>
    <t>gain:block:4; gain:next_turn_block:4</t>
  </si>
  <si>
    <t>Gain +6 Block. Gain +6 Next Turn Block.</t>
  </si>
  <si>
    <t>gain:block:6; gain:next_turn_block:6</t>
  </si>
  <si>
    <t>Gain X Next Turn Draw and X Next Turn Energy. Exhaust.</t>
  </si>
  <si>
    <t>gain:next_turn_draw:X; gain:next_turn_energy:X</t>
  </si>
  <si>
    <t>Gain X+1 Next Turn Draw and X+1 Next Turn Energy. Exhaust.</t>
  </si>
  <si>
    <t>gain:next_turn_draw:X+1; gain:next_turn_energy:X+1</t>
  </si>
  <si>
    <t>gain:double_tap:1</t>
  </si>
  <si>
    <t>gain:double_tap:2</t>
  </si>
  <si>
    <t>eot: inflict:weak:1:self</t>
  </si>
  <si>
    <t>Deal 5 Dmg Melee. If the target has Vulnerable, Gain +1 Energy and Draw 1 Card.</t>
  </si>
  <si>
    <t>dmg:5:melee; if_target:vulnerable:gain_energy:1; if_target:vulnerable:draw:1</t>
  </si>
  <si>
    <t>Deal 8 Dmg Melee. If the target has Vulnerable, Gain +1 Energy and Draw 1 Card.</t>
  </si>
  <si>
    <t>dmg:8:melee; if_target:vulnerable:gain_energy:1; if_target:vulnerable:draw:1</t>
  </si>
  <si>
    <t>copy_from_hand:1:attack_or_power</t>
  </si>
  <si>
    <t>copy_from_hand:2:attack_or_power</t>
  </si>
  <si>
    <t>Whenever you draw this card, Conjure 1 copy of this card to Hand. Deal 4 Dmg Ranged. Exhaust.</t>
  </si>
  <si>
    <t>dmg:4:ranged; drawn: conjure:self:hand</t>
  </si>
  <si>
    <t>Whenever you draw this card, Conjure 1 copy of this card to Hand. Deal 6 Dmg Ranged. Exhaust.</t>
  </si>
  <si>
    <t>dmg:6:ranged; drawn: conjure:self:hand</t>
  </si>
  <si>
    <t>double:block</t>
  </si>
  <si>
    <t>Whenever you deal unblocked Attack Dmg, Inflict 1 Poison.</t>
  </si>
  <si>
    <t>on_unblocked_attack:inflict:poison:1</t>
  </si>
  <si>
    <t>silent, poison, offense</t>
  </si>
  <si>
    <t>draw:1:skill_block=3</t>
  </si>
  <si>
    <t>draw:1:skill_block=5</t>
  </si>
  <si>
    <t>Costs 1 less Energy for each Card you Discarded this turn. Deal 7x3 Dmg Melee.</t>
  </si>
  <si>
    <t>cost_reduce:per=discards_this_turn; dmg:7x3:melee</t>
  </si>
  <si>
    <t>Costs 1 less Energy for each Card you Discarded this turn. Deal 9x3 Dmg Melee.</t>
  </si>
  <si>
    <t>cost_reduce:per=discards_this_turn; dmg:9x3:melee</t>
  </si>
  <si>
    <t>Whenever you Draw a Status Card, Draw 1 Card.</t>
  </si>
  <si>
    <t>on_status_drawn:draw:1</t>
  </si>
  <si>
    <t>Whenever you Draw a Status Card, Draw 2 Cards.</t>
  </si>
  <si>
    <t>on_status_drawn:draw:2</t>
  </si>
  <si>
    <t>exhume:1</t>
  </si>
  <si>
    <t>Draw Cards until you have 6 Cards in your Hand.</t>
  </si>
  <si>
    <t>draw:to=6</t>
  </si>
  <si>
    <t>Draw Cards until you have 7 Cards in your Hand.</t>
  </si>
  <si>
    <t>draw:to=7</t>
  </si>
  <si>
    <t>Deal 10 Dmg Melee. If Fatal, raise your Max HP by 3. Exhaust.</t>
  </si>
  <si>
    <t>dmg:10:melee:infuse=3</t>
  </si>
  <si>
    <t>Deal 12 Dmg Melee. If Fatal, raise your Max HP by 4. Exhaust.</t>
  </si>
  <si>
    <t>dmg:12:melee:infuse=4</t>
  </si>
  <si>
    <t>Whenever a Card is Exhausted, Gain 3 Block.</t>
  </si>
  <si>
    <t>on_card_exhausted:gain:block:3</t>
  </si>
  <si>
    <t>Whenever a Card is Exhausted, Gain 4 Block.</t>
  </si>
  <si>
    <t>on_card_exhausted:gain:block:4</t>
  </si>
  <si>
    <t>Exhaust all other Cards in your Hand. Deal 7 Dmg Ranged for each Card Exhausted. Exhaust.</t>
  </si>
  <si>
    <t>exhaust:all; dmg:7:ranged:hits=exhausted</t>
  </si>
  <si>
    <t>Exhaust all other Cards in your Hand. Deal 10 Dmg Ranged for each Card Exhausted. Exhaust.</t>
  </si>
  <si>
    <t>exhaust:all; dmg:10:ranged:hits=exhausted</t>
  </si>
  <si>
    <t>Deal 6 Dmg Melee for each Attack played this turn.</t>
  </si>
  <si>
    <t>dmg:6:melee:per=attacks_this_turn</t>
  </si>
  <si>
    <t>Deal 8 Dmg Melee for each Attack played this turn.</t>
  </si>
  <si>
    <t>dmg:8:melee:per=attacks_this_turn</t>
  </si>
  <si>
    <t>silent, offense, scaling</t>
  </si>
  <si>
    <t>Whenever you Draw a Status or Curse Card, Deal 6 Magic Dmg to ALL Enemies.</t>
  </si>
  <si>
    <t>on_status_or_curse_drawn:dmg:6:magic:cleave</t>
  </si>
  <si>
    <t>Whenever you Draw a Status or Curse Card, Deal 10 Magic Dmg to ALL Enemies.</t>
  </si>
  <si>
    <t>on_status_or_curse_drawn:dmg:10:magic:cleave</t>
  </si>
  <si>
    <t>Gain +12 Block. Until your next turn, enemies that hit you take 4 Magic Dmg Fire and gain 1 Burn per contact.</t>
  </si>
  <si>
    <t>gain:block:12; gain:flame_barrier:4; on_hit_by_attack:dmg:4:magic:until=turn_end</t>
  </si>
  <si>
    <t>Gain +16 Block. Until your next turn, enemies that hit you take 6 Magic Dmg Fire and gain 1 Burn per contact.</t>
  </si>
  <si>
    <t>gain:block:16; gain:flame_barrier:6; on_hit_by_attack:dmg:6:magic:until=turn_end</t>
  </si>
  <si>
    <t>Deal 4 Dmg Ranged for each Skill in your Hand.</t>
  </si>
  <si>
    <t>dmg:4:ranged:hits=skills_in_hand</t>
  </si>
  <si>
    <t>Deal 6 Dmg Ranged for each Skill in your Hand.</t>
  </si>
  <si>
    <t>dmg:6:ranged:hits=skills_in_hand</t>
  </si>
  <si>
    <t>Gain 2 Power. At the end of your turn, lose 2 Power.</t>
  </si>
  <si>
    <t>gain:power:2:temp</t>
  </si>
  <si>
    <t>Gain 4 Power. At the end of your turn, lose 4 Power.</t>
  </si>
  <si>
    <t>gain:power:4:temp</t>
  </si>
  <si>
    <t>Deal 8 Dmg Melee. Gain 1 Next Turn Energy.</t>
  </si>
  <si>
    <t>dmg:8:melee; gain:next_turn_energy:1</t>
  </si>
  <si>
    <t>Deal 11 Dmg Melee. Gain 1 Next Turn Energy.</t>
  </si>
  <si>
    <t>dmg:11:melee; gain:next_turn_energy:1</t>
  </si>
  <si>
    <t>Ethereal. Gain 10 Block.</t>
  </si>
  <si>
    <t>Ethereal. Gain 13 Block.</t>
  </si>
  <si>
    <t>Deal 8x2 Dmg Ranged. Decrease the Dmg of this Card by 2 this combat.</t>
  </si>
  <si>
    <t>dmg:8x2:ranged; boost_cards:id=glass_knife:dmg:-2</t>
  </si>
  <si>
    <t>Deal 12x2 Dmg Ranged. Decrease the Dmg of this Card by 2 this combat.</t>
  </si>
  <si>
    <t>dmg:12x2:ranged; boost_cards:id=glass_knife:dmg:-2</t>
  </si>
  <si>
    <t>Deal 3 Dmg Melee. If the target intends to Attack, Inflict 1 Weak.</t>
  </si>
  <si>
    <t>dmg:3:melee; inflict:weak:1:if_intent=attack</t>
  </si>
  <si>
    <t>Deal 4 Dmg Melee. If the target intends to Attack, Inflict 2 Weak.</t>
  </si>
  <si>
    <t>dmg:4:melee; inflict:weak:2:if_intent=attack</t>
  </si>
  <si>
    <t>Deal 50 Dmg Ranged Cleave. Does nothing if there are any Cards in your Draw Pile.</t>
  </si>
  <si>
    <t>dmg:50:ranged:cleave:if_draw=empty</t>
  </si>
  <si>
    <t>Deal 60 Dmg Ranged Cleave. Does nothing if there are any Cards in your Draw Pile.</t>
  </si>
  <si>
    <t>dmg:60:ranged:cleave:if_draw=empty</t>
  </si>
  <si>
    <t>Nova, Large</t>
  </si>
  <si>
    <t>Unplayable. Eternal.</t>
  </si>
  <si>
    <t>Unplayable, Eternal</t>
  </si>
  <si>
    <t>Unplayable. Destroy after completing 3 Games beaten.</t>
  </si>
  <si>
    <t>lifecycle: destroy_after:3:games_beaten</t>
  </si>
  <si>
    <t>autoplay_top:exhaust</t>
  </si>
  <si>
    <t>dmg:9:melee; topdeck:1:from=discard</t>
  </si>
  <si>
    <t>dmg:12:melee; topdeck:1:from=discard</t>
  </si>
  <si>
    <t>dmg:14:melee; power_multiplier:3</t>
  </si>
  <si>
    <t>dmg:14:melee; power_multiplier:5</t>
  </si>
  <si>
    <t>Deal 5 Dmg Melee. If the target has Weak, Gain +1 Energy and Draw 1 Card.</t>
  </si>
  <si>
    <t>dmg:5:melee; if_target:weak:gain_energy:1; if_target:weak:draw:1</t>
  </si>
  <si>
    <t>Deal 8 Dmg Melee. If the target has Weak, Gain +1 Energy and Draw 1 Card.</t>
  </si>
  <si>
    <t>dmg:8:melee; if_target:weak:gain_energy:1; if_target:weak:draw:1</t>
  </si>
  <si>
    <t>silent, offense, draw, energy</t>
  </si>
  <si>
    <t>lose_hp:2; dmg:15:ranged</t>
  </si>
  <si>
    <t>lose_hp:2; dmg:20:ranged</t>
  </si>
  <si>
    <t>ironclad, offense, health</t>
  </si>
  <si>
    <t>Gain +3 Block. Put a Card from your Discard Pile to your Hand. Exhaust.</t>
  </si>
  <si>
    <t>gain:block:3; retrieve:1:from=discard; exhaust_self</t>
  </si>
  <si>
    <t>Gain +5 Block. Put a Card from your Discard Pile to your Hand.</t>
  </si>
  <si>
    <t>gain:block:5; retrieve:1:from=discard</t>
  </si>
  <si>
    <t>dmg:21:magic:cleave; conjure:burn:discard</t>
  </si>
  <si>
    <t>dmg:28:magic:cleave; conjure:burn:discard</t>
  </si>
  <si>
    <t>Auto_aoe, target=nearest, Large</t>
  </si>
  <si>
    <t>gain:block:30</t>
  </si>
  <si>
    <t>gain:block:40</t>
  </si>
  <si>
    <t>conjure_random:attack:hand:free</t>
  </si>
  <si>
    <t>gain:power:2</t>
  </si>
  <si>
    <t>gain:power:3</t>
  </si>
  <si>
    <t>inflict:weak:1:cleave</t>
  </si>
  <si>
    <t>inflict:weak:2:cleave</t>
  </si>
  <si>
    <t>gain:block:5; dmg:5:ranged</t>
  </si>
  <si>
    <t>gain:block:7; dmg:7:ranged</t>
  </si>
  <si>
    <t>Projectile, Medium, crescent, pierce</t>
  </si>
  <si>
    <t>gain:block:9</t>
  </si>
  <si>
    <t>gain:block:12</t>
  </si>
  <si>
    <t>Inflict 2 Weak. Gain +11 Block.</t>
  </si>
  <si>
    <t>inflict:weak:2; gain:block:11</t>
  </si>
  <si>
    <t>Inflict 3 Weak. Gain +14 Block.</t>
  </si>
  <si>
    <t>inflict:weak:3; gain:block:14</t>
  </si>
  <si>
    <t>Deal 12 Dmg Ranged.</t>
  </si>
  <si>
    <t>dmg:12:ranged</t>
  </si>
  <si>
    <t>Projectile, Medium, Explosive</t>
  </si>
  <si>
    <t>double:power; exhaust_self</t>
  </si>
  <si>
    <t>double:power</t>
  </si>
  <si>
    <t>Deal 1x3 Dmg Ranged.</t>
  </si>
  <si>
    <t>dmg:1x3:ranged</t>
  </si>
  <si>
    <t>Inflict -X Power and X Weak. Exhaust.</t>
  </si>
  <si>
    <t>inflict:power:-X; inflict:weak:X</t>
  </si>
  <si>
    <t>Inflict -X-1 Power and X+1 Weak. Exhaust.</t>
  </si>
  <si>
    <t>inflict:power:-X-1; inflict:weak:X+1</t>
  </si>
  <si>
    <t>dmg:12:melee; cost_increase:per=hp_losses</t>
  </si>
  <si>
    <t>dmg:16:melee; cost_increase:per=hp_losses</t>
  </si>
  <si>
    <t>dmg:3:melee; inflict:weak:1</t>
  </si>
  <si>
    <t>dmg:4:melee; inflict:weak:2</t>
  </si>
  <si>
    <t>Choose a Card in your Hand. Next turn, Conjure 3 copies of that Card to your Hand.</t>
  </si>
  <si>
    <t>nightmare:3</t>
  </si>
  <si>
    <t>lose_hp:6; gain_energy:2; draw:3</t>
  </si>
  <si>
    <t>lose_hp:6; gain_energy:2; draw:5</t>
  </si>
  <si>
    <t>gain:next_turn_energy:2</t>
  </si>
  <si>
    <t>gain:next_turn_energy:3</t>
  </si>
  <si>
    <t>on_play_other: lose_hp:1</t>
  </si>
  <si>
    <t>dmg:6:melee:bonus=2:per_name=strike</t>
  </si>
  <si>
    <t>dmg:6:melee:bonus=3:per_name=strike</t>
  </si>
  <si>
    <t>gain:double_damage:1</t>
  </si>
  <si>
    <t>Inflict -6 Power Cleave and 6 Shackled Cleave. Exhaust.</t>
  </si>
  <si>
    <t>inflict:power:-6:cleave; inflict:shackled:6:cleave</t>
  </si>
  <si>
    <t>Inflict -8 Power Cleave and 8 Shackled Cleave. Exhaust.</t>
  </si>
  <si>
    <t>inflict:power:-8:cleave; inflict:shackled:8:cleave</t>
  </si>
  <si>
    <t>dmg:6:melee; inflict:poison:3</t>
  </si>
  <si>
    <t>dmg:8:melee; inflict:poison:4</t>
  </si>
  <si>
    <t>dmg:9:melee; draw:1</t>
  </si>
  <si>
    <t>dmg:10:melee; draw:2</t>
  </si>
  <si>
    <t>ironclad, strike, offense, draw</t>
  </si>
  <si>
    <t>conjure:wound:hand:2; gain:block:15</t>
  </si>
  <si>
    <t>conjure:wound:hand:2; gain:block:20</t>
  </si>
  <si>
    <t>Deal 15 Dmg Melee. Gain 2 Next Turn Draw.</t>
  </si>
  <si>
    <t>dmg:15:melee; gain:next_turn_draw:2</t>
  </si>
  <si>
    <t>Deal 20 Dmg Melee. Gain 2 Next Turn Draw.</t>
  </si>
  <si>
    <t>dmg:20:melee; gain:next_turn_draw:2</t>
  </si>
  <si>
    <t>draw:1; discard:1</t>
  </si>
  <si>
    <t>draw:2; discard:2</t>
  </si>
  <si>
    <t>Innate. At the end of your turn, put a copy of this card on top of your draw pile. Exhaust.</t>
  </si>
  <si>
    <t>eot: conjure:self:draw_top</t>
  </si>
  <si>
    <t>dmg:2x4:melee</t>
  </si>
  <si>
    <t>dmg:2x5:melee</t>
  </si>
  <si>
    <t>eot: inflict:blind:1:self</t>
  </si>
  <si>
    <t>dmg:8:melee; draw:1</t>
  </si>
  <si>
    <t>dmg:12:melee; draw:1</t>
  </si>
  <si>
    <t>gain:rage:3; on_attack_played:gain:block:3:until=turn_end</t>
  </si>
  <si>
    <t>gain:rage:5; on_attack_played:gain:block:5:until=turn_end</t>
  </si>
  <si>
    <t>dmg:8:melee; boost_cards:id=rampage:dmg:5</t>
  </si>
  <si>
    <t>dmg:8:melee; boost_cards:id=rampage:dmg:8</t>
  </si>
  <si>
    <t>dmg:4:melee:cleave</t>
  </si>
  <si>
    <t>dmg:5:melee:cleave</t>
  </si>
  <si>
    <t>Exhaust, Lifesteal</t>
  </si>
  <si>
    <t>Deal 7 Dmg Melee. Conjure 1 Dazed to Deck.</t>
  </si>
  <si>
    <t>dmg:7:melee; conjure:dazed:draw</t>
  </si>
  <si>
    <t>Deal 10 Dmg Melee. Conjure 1 Dazed to Deck.</t>
  </si>
  <si>
    <t>dmg:10:melee; conjure:dazed:draw</t>
  </si>
  <si>
    <t>draw:2</t>
  </si>
  <si>
    <t>draw:3</t>
  </si>
  <si>
    <t>eot: lose_hp:1:per_card_in_hand</t>
  </si>
  <si>
    <t>dmg:3x5:melee</t>
  </si>
  <si>
    <t>dmg:4x5:melee</t>
  </si>
  <si>
    <t>inflict:bleed:1; inflict:poison:1</t>
  </si>
  <si>
    <t>weapon, debuff, bleed, poison</t>
  </si>
  <si>
    <t>Deal 12 Dmg Fire Melee. Sequential Upgrade Dmg +3.</t>
  </si>
  <si>
    <t>dmg:12:melee; sequential_upgrade:3</t>
  </si>
  <si>
    <t>exhaust:all:non_attack; gain:block:5:per=exhausted</t>
  </si>
  <si>
    <t>exhaust:all:non_attack; gain:block:7:per=exhausted</t>
  </si>
  <si>
    <t>gain_energy:2</t>
  </si>
  <si>
    <t>Put 1 Card from your Draw Pile to your Hand. Exhaust.</t>
  </si>
  <si>
    <t>retrieve:1:from=draw</t>
  </si>
  <si>
    <t>Put 2 Cards from your Draw Pile to your Hand. Exhaust.</t>
  </si>
  <si>
    <t>retrieve:2:from=draw</t>
  </si>
  <si>
    <t>gain:block:5; exhausted: gain_energy:2</t>
  </si>
  <si>
    <t>gain:block:8; exhausted: gain_energy:3</t>
  </si>
  <si>
    <t>Put a Card from your Hand on top of the Draw Pile. It is free to play until played.</t>
  </si>
  <si>
    <t>topdeck:1:free=until_played</t>
  </si>
  <si>
    <t>Exhaust all non-Attack Cards in Hand. Deal 16 Dmg Melee.</t>
  </si>
  <si>
    <t>exhaust:all:non_attack; dmg:16:melee</t>
  </si>
  <si>
    <t>Exhaust all non-Attack Cards in Hand. Deal 22 Dmg Melee.</t>
  </si>
  <si>
    <t>exhaust:all:non_attack; dmg:22:melee</t>
  </si>
  <si>
    <t>eot: inflict:frail:1:self</t>
  </si>
  <si>
    <t>dmg:4:ranged</t>
  </si>
  <si>
    <t>shiv</t>
  </si>
  <si>
    <t>inflict:weak:3:cleave; inflict:vulnerable:3:cleave</t>
  </si>
  <si>
    <t>inflict:weak:5:cleave; inflict:vulnerable:5:cleave</t>
  </si>
  <si>
    <t>gain:block:8; draw:1</t>
  </si>
  <si>
    <t>gain:block:11; draw:1</t>
  </si>
  <si>
    <t>dmg:7xX:melee</t>
  </si>
  <si>
    <t>dmg:10xX:melee</t>
  </si>
  <si>
    <t>Poke, Large</t>
  </si>
  <si>
    <t>dmg:6:melee</t>
  </si>
  <si>
    <t>dmg:9:melee</t>
  </si>
  <si>
    <t>draw:1</t>
  </si>
  <si>
    <t>dmg:12:melee; if_counter:discards_this_turn:gain_energy:2</t>
  </si>
  <si>
    <t>dmg:16:melee; if_counter:discards_this_turn:gain_energy:2</t>
  </si>
  <si>
    <t>if_intent:attack:gain:power:3</t>
  </si>
  <si>
    <t>if_intent:attack:gain:power:4</t>
  </si>
  <si>
    <t>discard:all; conjure:shiv:hand:count=discarded</t>
  </si>
  <si>
    <t>discard:all; conjure:shiv+:hand:count=discarded</t>
  </si>
  <si>
    <t>Strike (Ironclad)</t>
  </si>
  <si>
    <t>StrikeIronclad</t>
  </si>
  <si>
    <t>strike</t>
  </si>
  <si>
    <t>Strike (Silent)</t>
  </si>
  <si>
    <t>StrikeSilent</t>
  </si>
  <si>
    <t>dmg:8:melee; inflict:weak:1</t>
  </si>
  <si>
    <t>dmg:10:melee; inflict:weak:2</t>
  </si>
  <si>
    <t>gain:block:8; discard:1</t>
  </si>
  <si>
    <t>gain:block:11; discard:1</t>
  </si>
  <si>
    <t>dmg:6:ranged:cleave;draw:1</t>
  </si>
  <si>
    <t>dmg:9:ranged:cleave;draw:1</t>
  </si>
  <si>
    <t>Beam, sweep</t>
  </si>
  <si>
    <t>Deal 3 Dmg Ranged to a Random target. Repeat 2 times.</t>
  </si>
  <si>
    <t>dmg:3x3:ranged</t>
  </si>
  <si>
    <t>Deal 3 Dmg Ranged to a Random target. Repeat 3 times.</t>
  </si>
  <si>
    <t>dmg:3x4:ranged</t>
  </si>
  <si>
    <t>Boomerang</t>
  </si>
  <si>
    <t>gain_energy:1</t>
  </si>
  <si>
    <t>inflict:vulnerable:99</t>
  </si>
  <si>
    <t>Deal 4 Dmg Ranged Electric Cleave. Inflict 1 Vulnerable Cleave.</t>
  </si>
  <si>
    <t>dmg:4:ranged:cleave; inflict:vulnerable:1:cleave</t>
  </si>
  <si>
    <t>Deal 7 Dmg Ranged Electric Cleave. Inflict 1 Vulnerable Cleave.</t>
  </si>
  <si>
    <t>dmg:7:ranged:cleave; inflict:vulnerable:1:cleave</t>
  </si>
  <si>
    <t>Smite, target=all</t>
  </si>
  <si>
    <t>ironclad, aoe, cleave, electric, offense, debuff</t>
  </si>
  <si>
    <t>gain:block:7; exhaust:1:random</t>
  </si>
  <si>
    <t>gain:block:7; exhaust:1</t>
  </si>
  <si>
    <t>dmg:5x2:melee</t>
  </si>
  <si>
    <t>dmg:7x2:melee</t>
  </si>
  <si>
    <t>ironclad, strike, offense</t>
  </si>
  <si>
    <t>dmg:14:ranged; discard:all:non_attack</t>
  </si>
  <si>
    <t>dmg:18:ranged; discard:all:non_attack</t>
  </si>
  <si>
    <t>dmg:13:melee; inflict:weak:1; inflict:vulnerable:1</t>
  </si>
  <si>
    <t>dmg:13:melee; inflict:weak:2; inflict:vulnerable:2</t>
  </si>
  <si>
    <t>draw:1; topdeck:1</t>
  </si>
  <si>
    <t>draw:2; topdeck:1</t>
  </si>
  <si>
    <t>At the end of your turn, choose up to 1 Card in your hand to Retain.</t>
  </si>
  <si>
    <t>on_turn_ended:retain:1</t>
  </si>
  <si>
    <t>At the end of your turn, choose up to 2 Cards in your hand to Retain.</t>
  </si>
  <si>
    <t>on_turn_ended:retain:2</t>
  </si>
  <si>
    <t>silent, draw, retain</t>
  </si>
  <si>
    <t>Deal 5xX Dmg Melee Cleave.</t>
  </si>
  <si>
    <t>dmg:5xX:melee:cleave</t>
  </si>
  <si>
    <t>Deal 8xX Dmg Melee Cleave.</t>
  </si>
  <si>
    <t>dmg:8xX:melee:cleave</t>
  </si>
  <si>
    <t>conjure_random:power:hand:free</t>
  </si>
  <si>
    <t>defect, draw, random</t>
  </si>
  <si>
    <t>dmg:12:melee; conjure:wound:draw</t>
  </si>
  <si>
    <t>dmg:17:melee; conjure:wound:draw</t>
  </si>
  <si>
    <t>Gain 2 Intangible. At the start of your turn, lose 1 Defense.</t>
  </si>
  <si>
    <t>gain:intangible:2; on_turn_started:gain:defense:-1</t>
  </si>
  <si>
    <t>Gain 3 Intangible. At the start of your turn, lose 1 Defense.</t>
  </si>
  <si>
    <t>gain:intangible:3; on_turn_started:gain:defense:-1</t>
  </si>
  <si>
    <t>Requirement 1</t>
  </si>
  <si>
    <t>Requirement 2</t>
  </si>
  <si>
    <t>Visual</t>
  </si>
  <si>
    <t>King Bomber</t>
  </si>
  <si>
    <t>Any Crown Item</t>
  </si>
  <si>
    <t>Gains: Gain 5-9 Gold on an enemy hit.</t>
  </si>
  <si>
    <t>gold_on_hit:5:9</t>
  </si>
  <si>
    <t>imgswap:KingBomber</t>
  </si>
  <si>
    <t>Preferred Target</t>
  </si>
  <si>
    <t>Add X Y to Z</t>
  </si>
  <si>
    <t>Target gives X number of Y card to your Z (Deck, Hand, or Discard)</t>
  </si>
  <si>
    <t>Alter</t>
  </si>
  <si>
    <t>Alter target into X with the same Health as the original target, but Max Health of X</t>
  </si>
  <si>
    <t>Self</t>
  </si>
  <si>
    <t>Assassinate</t>
  </si>
  <si>
    <t>Kill an enemy with at least X health left</t>
  </si>
  <si>
    <t>Block</t>
  </si>
  <si>
    <t>Give target X block, X amount of damage a target can take before it affects their health</t>
  </si>
  <si>
    <t>Ally/Self</t>
  </si>
  <si>
    <t>Cleanse</t>
  </si>
  <si>
    <t>Removes X stacks of all debuff statuses</t>
  </si>
  <si>
    <t>Conjure X Y to Z</t>
  </si>
  <si>
    <t>Create X number of Y named Cards to your Z (Hand, Discard, Exhaust, Discard)</t>
  </si>
  <si>
    <t>Consume X in Y for Z</t>
  </si>
  <si>
    <t>Steal X from the player's Y(Deck, Hand, Discard, Any) and then destroy it permanently and then Get z status if succesfully stolen and destroyed</t>
  </si>
  <si>
    <t>Dmg</t>
  </si>
  <si>
    <t>Deals X damage to target</t>
  </si>
  <si>
    <t>Get</t>
  </si>
  <si>
    <t>Give X status to self</t>
  </si>
  <si>
    <t>Heal</t>
  </si>
  <si>
    <t>Give target X health</t>
  </si>
  <si>
    <t>Inflict</t>
  </si>
  <si>
    <t>Inflict X status to target</t>
  </si>
  <si>
    <t>Learn</t>
  </si>
  <si>
    <t>Add X Spell to your Spellbook</t>
  </si>
  <si>
    <t>Lose</t>
  </si>
  <si>
    <t>Target loses X status Y times (# or All)</t>
  </si>
  <si>
    <t>Magic Dmg</t>
  </si>
  <si>
    <t>Deals X Magic damage to target. Magic Damage can Have Different Elements (Fire).</t>
  </si>
  <si>
    <t>Intelligence</t>
  </si>
  <si>
    <t>Mana</t>
  </si>
  <si>
    <t>Gain X Mana</t>
  </si>
  <si>
    <t>Target Loses X Health (not Melee or Ranged)</t>
  </si>
  <si>
    <t>Gains X rerolls</t>
  </si>
  <si>
    <t>Spawn X Y</t>
  </si>
  <si>
    <t>Spawn X number of Y where X is the number of creatures and Y is the name of a creature. If used by enemies, the new enemy will have the Unknown intent showing "Spawning"</t>
  </si>
  <si>
    <t>Steal X in Y</t>
  </si>
  <si>
    <t>Enemy Steals X Card from the player's Y(Deck, Hand, Discard, Any) for the duration of the battle</t>
  </si>
  <si>
    <t>Vitality</t>
  </si>
  <si>
    <t>Gain X Max Health</t>
  </si>
  <si>
    <t>Bonus</t>
  </si>
  <si>
    <t>Abyss</t>
  </si>
  <si>
    <t>Assassinate X, where X is half of the target's Maximum Health</t>
  </si>
  <si>
    <t>Balance</t>
  </si>
  <si>
    <t>1 Magic Dmg Cleave Ranged and Gain 1 Health</t>
  </si>
  <si>
    <t>Bind</t>
  </si>
  <si>
    <t>Target gains 1 Buffer</t>
  </si>
  <si>
    <t>Blaze</t>
  </si>
  <si>
    <t>13 Magic Dmg Fire Ranged</t>
  </si>
  <si>
    <t>1 Magic Dmg Fire Ranged Overload</t>
  </si>
  <si>
    <t>Crush</t>
  </si>
  <si>
    <t>3 Dmg to leftmost and rightmost enemy</t>
  </si>
  <si>
    <t>Flick</t>
  </si>
  <si>
    <t>1 Magic Dmg Engage Ranged</t>
  </si>
  <si>
    <t>Gaze</t>
  </si>
  <si>
    <t>Harvest</t>
  </si>
  <si>
    <t>Assassinate 1, then Gain 3 mana</t>
  </si>
  <si>
    <t>Infinity</t>
  </si>
  <si>
    <t>Assassinate X, where X is the target's Maximum Health</t>
  </si>
  <si>
    <t>Mend</t>
  </si>
  <si>
    <t>Set friendly target's Health to 10</t>
  </si>
  <si>
    <t>Miasma</t>
  </si>
  <si>
    <t>1 Magic Dmg Poison Ranged Cleave</t>
  </si>
  <si>
    <t>Poke</t>
  </si>
  <si>
    <t>1 Magic Dmg Ranged</t>
  </si>
  <si>
    <t>Poultice</t>
  </si>
  <si>
    <t>Gain 2 Health</t>
  </si>
  <si>
    <t>Remedy</t>
  </si>
  <si>
    <t>Gain 2 Health and Cleanse 1</t>
  </si>
  <si>
    <t>Scald</t>
  </si>
  <si>
    <t>2 Magic Dmg Water Ranged to all damaged enemies</t>
  </si>
  <si>
    <t>Scorch</t>
  </si>
  <si>
    <t>1 Magic Dmg Fire Cleave Ranged</t>
  </si>
  <si>
    <t>Sprout</t>
  </si>
  <si>
    <t>Gain 3 Health</t>
  </si>
  <si>
    <t>Zap</t>
  </si>
  <si>
    <t>Assassinate 2</t>
  </si>
  <si>
    <t>Types</t>
  </si>
  <si>
    <t>Hellfish</t>
  </si>
  <si>
    <t>hellfish</t>
  </si>
  <si>
    <t>Knucklehead</t>
  </si>
  <si>
    <t>knucklehead</t>
  </si>
  <si>
    <t>Scyllascion</t>
  </si>
  <si>
    <t>scyllascion</t>
  </si>
  <si>
    <t>Slavug</t>
  </si>
  <si>
    <t>slavug</t>
  </si>
  <si>
    <t>Chrustacean</t>
  </si>
  <si>
    <t>chrustacean</t>
  </si>
  <si>
    <t>Flameater</t>
  </si>
  <si>
    <t>flameater</t>
  </si>
  <si>
    <t>Chlam</t>
  </si>
  <si>
    <t>chlam</t>
  </si>
  <si>
    <t>Charp</t>
  </si>
  <si>
    <t>charp</t>
  </si>
  <si>
    <t>Seamare</t>
  </si>
  <si>
    <t>seamare</t>
  </si>
  <si>
    <t>Gupp</t>
  </si>
  <si>
    <t>gupp</t>
  </si>
  <si>
    <t>Scuffer</t>
  </si>
  <si>
    <t>scuffer</t>
  </si>
  <si>
    <t>Stonewhal</t>
  </si>
  <si>
    <t>stonewhal</t>
  </si>
  <si>
    <t>Mati</t>
  </si>
  <si>
    <t>mati</t>
  </si>
  <si>
    <t>Projelly</t>
  </si>
  <si>
    <t>projelly</t>
  </si>
  <si>
    <t>Voidskate</t>
  </si>
  <si>
    <t>voidskate</t>
  </si>
  <si>
    <t>Trout</t>
  </si>
  <si>
    <t>trout</t>
  </si>
  <si>
    <t>Bass</t>
  </si>
  <si>
    <t>bass</t>
  </si>
  <si>
    <t>Sturgeon</t>
  </si>
  <si>
    <t>sturgeon</t>
  </si>
  <si>
    <t>Minnow</t>
  </si>
  <si>
    <t>minnow</t>
  </si>
  <si>
    <t>Crab</t>
  </si>
  <si>
    <t>crab</t>
  </si>
  <si>
    <t>Salmon</t>
  </si>
  <si>
    <t>salmon</t>
  </si>
  <si>
    <t>Tuna</t>
  </si>
  <si>
    <t>tuna</t>
  </si>
  <si>
    <t>Blowfish</t>
  </si>
  <si>
    <t>blowfish</t>
  </si>
  <si>
    <t>Octopus</t>
  </si>
  <si>
    <t>octopus</t>
  </si>
  <si>
    <t>Squid</t>
  </si>
  <si>
    <t>squid</t>
  </si>
  <si>
    <t>Swordfish</t>
  </si>
  <si>
    <t>swordfish</t>
  </si>
  <si>
    <t>Lobster</t>
  </si>
  <si>
    <t>lobster</t>
  </si>
  <si>
    <t>Scorching Sunfish</t>
  </si>
  <si>
    <t>scorching-sunfish</t>
  </si>
  <si>
    <t>Ice Bream</t>
  </si>
  <si>
    <t>Icey</t>
  </si>
  <si>
    <t>ice-bream</t>
  </si>
  <si>
    <t>Mudfish</t>
  </si>
  <si>
    <t>mudfish</t>
  </si>
  <si>
    <t>Bitty Baitfish</t>
  </si>
  <si>
    <t>bitty-baitfish</t>
  </si>
  <si>
    <t>Sweetish Fish</t>
  </si>
  <si>
    <t>sweetish-fish</t>
  </si>
  <si>
    <t>Runty Guppy</t>
  </si>
  <si>
    <t>runty-guppy</t>
  </si>
  <si>
    <t>Smolt Fry</t>
  </si>
  <si>
    <t>smolt-fry</t>
  </si>
  <si>
    <t>Needlenosed Squirt</t>
  </si>
  <si>
    <t>needlenosed-squirt</t>
  </si>
  <si>
    <t>Jiffy</t>
  </si>
  <si>
    <t>jiffy</t>
  </si>
  <si>
    <t>Goldfish</t>
  </si>
  <si>
    <t>goldfish</t>
  </si>
  <si>
    <t>Styxeon</t>
  </si>
  <si>
    <t>styxeon</t>
  </si>
  <si>
    <t>Pattern</t>
  </si>
  <si>
    <t>Lemurian</t>
  </si>
  <si>
    <t>Stagger 33%</t>
  </si>
  <si>
    <t>Always: 75% 6 Magic Dmg Fire / 25% 9 Dmg Melee</t>
  </si>
  <si>
    <t>Stone Golem</t>
  </si>
  <si>
    <t>Turn 1: Unknown Intent ("Charging") | Turn 2: 50% 20 Dmg Ranged / 50% 10 Dmg Melee 3 Vulnerable | Next: Repeat</t>
  </si>
  <si>
    <t>StoneGolem</t>
  </si>
  <si>
    <t>Elder Lemurian</t>
  </si>
  <si>
    <t>Always: 50% 3x5 Dmg Ranged / 50% 8 Magic Dmg Fire 5 Burn</t>
  </si>
  <si>
    <t>ElderLemurian</t>
  </si>
  <si>
    <t>Always: 75% Unknown Intent ("Wandering") / 25% 6 Dmg Melee</t>
  </si>
  <si>
    <t>When Defeated, 60% Spawn Pacer / 40% Spawn Gusher</t>
  </si>
  <si>
    <t>Always: 6 Dmg Melee</t>
  </si>
  <si>
    <t>Always: 75% Unknown Intent ("Wandering") / 25% 6 Dmg Ranged</t>
  </si>
  <si>
    <t>Double Vis</t>
  </si>
  <si>
    <t>Always: 10 Dmg Overload Ranged</t>
  </si>
  <si>
    <t>DoubleVis</t>
  </si>
  <si>
    <t>Tainted Pooter</t>
  </si>
  <si>
    <t>When Defeated, Strength Save 15 or take 3 Dmg</t>
  </si>
  <si>
    <t>Turn 1: 5x4 Dmg Ranged | Turn 2: 5x2 Dmg Ranged</t>
  </si>
  <si>
    <t>TaintedPooter</t>
  </si>
  <si>
    <t>Always: 50% 5 Dmg Melee / 50% Add 1 random Pigment Status card to draw pile</t>
  </si>
  <si>
    <t>Mud Lung</t>
  </si>
  <si>
    <t>Always: 58% 6 Dmg Melee / 42% Consume 1 random Pigment Status card in Any for 3 Power, 8 Block</t>
  </si>
  <si>
    <t>MudLung</t>
  </si>
  <si>
    <t>Mungling Mud Lung</t>
  </si>
  <si>
    <t>Pigment Rich / Multi Attack 2 / When Defeated, 50% chance to Spawn Mung</t>
  </si>
  <si>
    <t>Always: 41% 6 Dmg Melee /  29% Consume 1 random Pigment Status card in Any for 3 Power, 8 Block / 30% 4 Pain, Spawn Mungie</t>
  </si>
  <si>
    <t>MunglingMudLung</t>
  </si>
  <si>
    <t>Mungie</t>
  </si>
  <si>
    <t>Always: 3 Dmg Melee</t>
  </si>
  <si>
    <t>Pigment Rich / Forgetful / Barricade</t>
  </si>
  <si>
    <t>Always: 41% 3 Dmg Ranged, 3 Oiled / 41% 15 Dmg Ranged, 16 Block / 18% Alter Revola (Standing), Gain 2 Enfeebled</t>
  </si>
  <si>
    <t>Revola (Standing)</t>
  </si>
  <si>
    <t>Always: 77% 9 Dmg Melee, Inflict 3 Ruptured, 20 Block, Alter Revola, Lose All Frail / 23% Unknown Intent ("Stood up too fast, got a headrush")</t>
  </si>
  <si>
    <t>RevolaStanding</t>
  </si>
  <si>
    <t>Skinning Homunculus</t>
  </si>
  <si>
    <t>Formless / When another ally takes Melee Dmg, Add 1 Enfeebled Overload to Intent</t>
  </si>
  <si>
    <t>Always: 43% 10 Dmg Ranged OverloadExceptLeft / 43% 10 Dmg Ranged OverloadExceptRight / 14% 40 Dmg Ranged, 35 Pain</t>
  </si>
  <si>
    <t>SkinningHomunculus</t>
  </si>
  <si>
    <t>Hobgoblin</t>
  </si>
  <si>
    <t>Always: D8 Dmg Melee</t>
  </si>
  <si>
    <t>Aquator</t>
  </si>
  <si>
    <t>Rust / Rerollable</t>
  </si>
  <si>
    <t>Always: D6x3 Dmg Melee</t>
  </si>
  <si>
    <t>Troll</t>
  </si>
  <si>
    <t>Always: D8x2+D6x2 Dmg Melee</t>
  </si>
  <si>
    <t>Immune to Burn, Rerollable</t>
  </si>
  <si>
    <t>Always: 50% D6x6 Dmg Ranged, 5 Burn / 50% D8x2+D10x3 Dmg Melee</t>
  </si>
  <si>
    <t>dragon</t>
  </si>
  <si>
    <t>Turn 1: Gain 3 Ritual | Next: 6 Dmg Melee</t>
  </si>
  <si>
    <t>Turn 1: Inflict 6 Confused | Next: 60% 8 Dmg Melee 2 Vulnerable / 40% 15 Dmg Melee</t>
  </si>
  <si>
    <t>Always: 30 + (Turn Number - 1 x 10) Dmg Melee</t>
  </si>
  <si>
    <t>Bones</t>
  </si>
  <si>
    <t>When Defeated, 5 Dmg to it's adjacent allies</t>
  </si>
  <si>
    <t>Always: 60% 8 Dmg Melee / 40% 6 Dmg Melee</t>
  </si>
  <si>
    <t>Fanatic</t>
  </si>
  <si>
    <t>Always: 33.3% 20 Dmg Melee, 20 Pain / 33.3% 15 Dmg Melee, 15 Pain / 33.4% 10 Dmg Melee, 10 Pain</t>
  </si>
  <si>
    <t>Spiker</t>
  </si>
  <si>
    <t>3 Thorns</t>
  </si>
  <si>
    <t>Always: 60% 15 Dmg Melee / 40% 10 Dmg Ranged, Gain 1 Thorns</t>
  </si>
  <si>
    <t>Turn 1: 11 Dmg Melee | Next: 45% Get 3 Power, 6 Block / 30% 7 Dmg Melee, 6 Block / 25% 11 Dmg Melee</t>
  </si>
  <si>
    <t>Always: 75% Determined(5-7) Dmg Melee / 25% Gain 3 Power</t>
  </si>
  <si>
    <t>Always: 75% Determined(5-7) Dmg Melee / 25% Inflict 2 Weak</t>
  </si>
  <si>
    <t>Always: 30% 11 Dmg Ranged, Add 2 Slimed to Discard / 40% 16 Dmg Melee / 30% Inflict 2 Weak</t>
  </si>
  <si>
    <t>Always: 30% 7 Dmg Ranged, Add 1 Slimed to Discard / 40% 10 Dmg Melee / 30% Inflict 1 Weak</t>
  </si>
  <si>
    <t>Always: 50% 3 Dmg Melee / 50% Inflict 1 Weak</t>
  </si>
  <si>
    <t>Always: 30% 16 Dmg Melee, Add 2 Slimed to Discard / 70% Inflict 2 Frail</t>
  </si>
  <si>
    <t>Always: 30% 8 Dmg Melee, Add 1 Slimed to Discard / 70% Inflict 1 Frail</t>
  </si>
  <si>
    <t>Always: 5 Dmg Melee</t>
  </si>
  <si>
    <t>Scary</t>
  </si>
  <si>
    <t>Always: 50% Inflict 10 Doom / 50% Inflict 2 Fear</t>
  </si>
  <si>
    <t>undead, ghost</t>
  </si>
  <si>
    <t>Fly</t>
  </si>
  <si>
    <t>Always: 2 Dmg Melee</t>
  </si>
  <si>
    <t>Glyph</t>
  </si>
  <si>
    <t>Min Floor</t>
  </si>
  <si>
    <t>Spawn Weight</t>
  </si>
  <si>
    <t>Intents</t>
  </si>
  <si>
    <t>hobgoblin</t>
  </si>
  <si>
    <t>h</t>
  </si>
  <si>
    <t>0.5,0.45,0.3</t>
  </si>
  <si>
    <t>60% 4-9</t>
  </si>
  <si>
    <t>club @ 1 icon=x shape poke small | Club | dmg:1d8</t>
  </si>
  <si>
    <t>Rattlesnake</t>
  </si>
  <si>
    <t>rattlesnake</t>
  </si>
  <si>
    <t>r</t>
  </si>
  <si>
    <t>0.6,0.5,0.35</t>
  </si>
  <si>
    <t>60% 5-10</t>
  </si>
  <si>
    <t>bite @ 1 icon=x shape poke small | Bite | dmg:2d8 ; inflict:weak:1</t>
  </si>
  <si>
    <t>Sewer Rat</t>
  </si>
  <si>
    <t>sewer_rat</t>
  </si>
  <si>
    <t>rodent</t>
  </si>
  <si>
    <t>0.5,0.45,0.4</t>
  </si>
  <si>
    <t>40% 1-4</t>
  </si>
  <si>
    <t>bite @ 1 icon=x shape poke small | Bite | dmg:1d3</t>
  </si>
  <si>
    <t>Snake</t>
  </si>
  <si>
    <t>s</t>
  </si>
  <si>
    <t>0.4,0.6,0.4</t>
  </si>
  <si>
    <t>50% 3-8</t>
  </si>
  <si>
    <t>bite @ 1 icon=x shape poke small | Bite | dmg:1d8</t>
  </si>
  <si>
    <t>troll</t>
  </si>
  <si>
    <t>T</t>
  </si>
  <si>
    <t>0.4,0.5,0.45</t>
  </si>
  <si>
    <t>90% 12-24</t>
  </si>
  <si>
    <t>maul @ 1 icon=x shape poke small | Maul | dmg:1d8 ; dmg:1d8 ; dmg:2d6</t>
  </si>
  <si>
    <t>Regeneration 5 Permanent</t>
  </si>
  <si>
    <t>Sides</t>
  </si>
  <si>
    <t>Side 1</t>
  </si>
  <si>
    <t>Side 2</t>
  </si>
  <si>
    <t>Side 3</t>
  </si>
  <si>
    <t>Side 4</t>
  </si>
  <si>
    <t>Side 5</t>
  </si>
  <si>
    <t>Side 6</t>
  </si>
  <si>
    <t>Deal 3 Dmg Melee, Cantrip</t>
  </si>
  <si>
    <t>Take 3 Dmg, Cantrip</t>
  </si>
  <si>
    <t>Deal 3 Dmg Melee Cleave</t>
  </si>
  <si>
    <t>Gain +3 Mana</t>
  </si>
  <si>
    <t>Deal 12 Dmg Melee</t>
  </si>
  <si>
    <t>Deal 9 Dmg Melee</t>
  </si>
  <si>
    <t>Gain +15 Block</t>
  </si>
  <si>
    <t>Gain +9 Block</t>
  </si>
  <si>
    <t>Gain +6 Block</t>
  </si>
  <si>
    <t>Deal 3 Dmg Melee</t>
  </si>
  <si>
    <t>Gain +3 Block</t>
  </si>
  <si>
    <t xml:space="preserve">Deal 6 Dmg Melee.  Increase the Dmg of this Side by 3 this combat. </t>
  </si>
  <si>
    <t xml:space="preserve">Gain +6 Block. Increase the Block of this Side by 3 this combat. </t>
  </si>
  <si>
    <t>Gain +2 Mana</t>
  </si>
  <si>
    <t>Gain +2 Health, Cleanse 2</t>
  </si>
  <si>
    <t>Deal 6 Dmg Melee</t>
  </si>
  <si>
    <t>Deal 15 Dmg Melee</t>
  </si>
  <si>
    <t>Deal 1 Dmg Melee</t>
  </si>
  <si>
    <t>Deal 6 Dmg Melee Engage</t>
  </si>
  <si>
    <t>Deal 3 Dmg Melee Engage</t>
  </si>
  <si>
    <t>Deal 6 Dmg Melee, Gain +6 Block</t>
  </si>
  <si>
    <t>Gain +1 Mana</t>
  </si>
  <si>
    <t>Gain +4 Health</t>
  </si>
  <si>
    <t>Random Attack, Skill, or Power that is free to play this combat, Mandatory</t>
  </si>
  <si>
    <t>Random Power, Mandatory</t>
  </si>
  <si>
    <t>Random Skill, Mandatory</t>
  </si>
  <si>
    <t>Random Attack, Mandatory</t>
  </si>
  <si>
    <t>Random Status, Mandatory</t>
  </si>
  <si>
    <t>Random Curse, Mandatory</t>
  </si>
  <si>
    <t>Gain +1 Reroll, Cantrip</t>
  </si>
  <si>
    <t>Gain +1 Mana, Single Use</t>
  </si>
  <si>
    <t>Gain +1 Buffer</t>
  </si>
  <si>
    <t>Deal 6 Dmg Melee, Cantrip</t>
  </si>
  <si>
    <t>Gain +3 Block, Gain +1 Health, Gain +1 Mana</t>
  </si>
  <si>
    <t>Gain +1 Health, Gain +1 Mana</t>
  </si>
  <si>
    <t>Deal 6 Dmg Ranged Engage</t>
  </si>
  <si>
    <t>Deal 3 Dmg Ranged Cleave</t>
  </si>
  <si>
    <t>Deal 6 Dmg Ranged</t>
  </si>
  <si>
    <t>Original</t>
  </si>
  <si>
    <t>Link</t>
  </si>
  <si>
    <t>Fiend Folio: Reheated</t>
  </si>
  <si>
    <t>fiend-folio-reheated</t>
  </si>
  <si>
    <t>Downfall</t>
  </si>
  <si>
    <t>downfall</t>
  </si>
  <si>
    <t>Pokermon</t>
  </si>
  <si>
    <t>pokermon</t>
  </si>
  <si>
    <t>Risk of Rain: Starstorm</t>
  </si>
  <si>
    <t>starstorm</t>
  </si>
  <si>
    <t>Risk of Rain 2: Starstorm 2</t>
  </si>
  <si>
    <t>risk-of-rain-2-starstorm-2</t>
  </si>
  <si>
    <t>Balatro: Cryptid</t>
  </si>
  <si>
    <t>balatro-cryptid</t>
  </si>
  <si>
    <t>Bunco</t>
  </si>
  <si>
    <t>https://firch.github.io/BuncoWeb/</t>
  </si>
  <si>
    <t>Charmed</t>
  </si>
  <si>
    <t>When landed on, get Curse of Affection scaled by difficulty</t>
  </si>
  <si>
    <t>Devilish</t>
  </si>
  <si>
    <t>When landed on, lose +5 health</t>
  </si>
  <si>
    <t>When landed on, gain +5 health</t>
  </si>
  <si>
    <t>When landed on, get Curse of the Hunter scaled by difficulty</t>
  </si>
  <si>
    <t>Portal</t>
  </si>
  <si>
    <t>Creates a portal connection on a game space. When more than one portal exists, those games become directly connected to each other</t>
  </si>
  <si>
    <t>Shielded</t>
  </si>
  <si>
    <t>When landed on, get Curse of Obstruction scaled by difficulty</t>
  </si>
  <si>
    <t>Shocked</t>
  </si>
  <si>
    <t>When landed on, get Curse of the Dazed scaled by difficulty</t>
  </si>
  <si>
    <t>Soaked</t>
  </si>
  <si>
    <t>When landed on, get Curse of the Damp scaled by difficulty</t>
  </si>
  <si>
    <t>Stinky</t>
  </si>
  <si>
    <t>Games marked as "stinky" are deprioritized in selections, they appear last in the game choice list unless they're the only option available</t>
  </si>
  <si>
    <t>Timed</t>
  </si>
  <si>
    <t>When landed on, get Curse of Haste scaled by difficulty</t>
  </si>
  <si>
    <t>Stat</t>
  </si>
  <si>
    <t>Duration</t>
  </si>
  <si>
    <t>Curse of Devotion I</t>
  </si>
  <si>
    <t>Until 2 Games Beaten</t>
  </si>
  <si>
    <t>Every time you reset a run, lose 5 health. Add a random Curse to your Deck.</t>
  </si>
  <si>
    <t>Manual</t>
  </si>
  <si>
    <t>Curse of Devotion II</t>
  </si>
  <si>
    <t>Every time you reset a run, lose 10 health. Add a random Curse to your Deck.</t>
  </si>
  <si>
    <t>Curse of Devotion III</t>
  </si>
  <si>
    <t>Every time you reset a run, lose 15 health. Add a random Curse to your Deck.</t>
  </si>
  <si>
    <t>Curse of Greed I</t>
  </si>
  <si>
    <t>Every time you skip an upgrade/item choice in game, lose 5 Health. Add Doubt to your Deck.</t>
  </si>
  <si>
    <t>Curse of Greed II</t>
  </si>
  <si>
    <t>Every time you skip an upgrade/item choice in game, lose 10 Health. Add Doubt to your Deck.</t>
  </si>
  <si>
    <t>Curse of Greed III</t>
  </si>
  <si>
    <t>Every time you skip an upgrade/item choice in game, lose 15 Health. Add Doubt to your Deck.</t>
  </si>
  <si>
    <t>Curse of Impulse I</t>
  </si>
  <si>
    <t>Until 1 Game Beaten</t>
  </si>
  <si>
    <t>When given options for upgrades/items, if you don't take the option that is the topmost, the leftmost, or what the cursor is set to, lose 5 Health. Add Regret to Deck.</t>
  </si>
  <si>
    <t>Curse of Impulse II</t>
  </si>
  <si>
    <t>Curse of Impulse III</t>
  </si>
  <si>
    <t>Until 3 Games Beaten</t>
  </si>
  <si>
    <t>Curse of Haste I</t>
  </si>
  <si>
    <t>If you don't beat the next game within 4 hours, lose 5 Health. Add a random Curse to your Deck.</t>
  </si>
  <si>
    <t>Curse of Haste II</t>
  </si>
  <si>
    <t>If you don't beat the next game within 3 hours, lose 5 Health. Add a random Curse to your Deck.</t>
  </si>
  <si>
    <t>Curse of Haste III</t>
  </si>
  <si>
    <t>If you don't beat the next game within 2 hours, lose 5 Health. Add a random Curse to your Deck.</t>
  </si>
  <si>
    <t>Curse of Blindness I</t>
  </si>
  <si>
    <t>Until 1 Game Beaten w/ Effect</t>
  </si>
  <si>
    <t>You must randomly choose your starting Character/Loadout. Add a random Curse to your Deck.</t>
  </si>
  <si>
    <t>Curse of Blindness II</t>
  </si>
  <si>
    <t>Until 2 Games Beaten w/ Effect</t>
  </si>
  <si>
    <t>Curse of Blindness III</t>
  </si>
  <si>
    <t>Until 3 Games Beaten w/ Effect</t>
  </si>
  <si>
    <t>Curse of Frugality I</t>
  </si>
  <si>
    <t>Until 1 Shop Item Bought</t>
  </si>
  <si>
    <t>Everything in Shops cost 5 more Gold. Add a random Curse to your Deck.</t>
  </si>
  <si>
    <t>Auto</t>
  </si>
  <si>
    <t>Curse of Frugality II</t>
  </si>
  <si>
    <t>Everything in Shops cost 10 more Gold. Add a random Curse to your Deck.</t>
  </si>
  <si>
    <t>Curse of Frugality III</t>
  </si>
  <si>
    <t>Everything in Shops cost 15 more Gold. Add a random Curse to your Deck.</t>
  </si>
  <si>
    <t>Curse of Shroud I</t>
  </si>
  <si>
    <t>Until 1 Space Choice Chosen</t>
  </si>
  <si>
    <t>Space Choices contain one less option. Add a random Curse to your Deck.</t>
  </si>
  <si>
    <t>Curse of Shroud II</t>
  </si>
  <si>
    <t>Until 2 Space Choice Chosen</t>
  </si>
  <si>
    <t>Curse of Shroud III</t>
  </si>
  <si>
    <t>Until 3 Space Choices Chosen</t>
  </si>
  <si>
    <t>Curse of Hubris I</t>
  </si>
  <si>
    <t>You must raise the difficulty once if possible. Add a random Curse to your Deck.</t>
  </si>
  <si>
    <t>Curse of Hubris II</t>
  </si>
  <si>
    <t>You must raise the difficulty twice if possible. Add a random Curse to your Deck.</t>
  </si>
  <si>
    <t>Curse of Hubris III</t>
  </si>
  <si>
    <t>You must raise the difficulty three times if possible. Add a random Curse to your Deck.</t>
  </si>
  <si>
    <t>Curse of Vulnerability I</t>
  </si>
  <si>
    <t>Until 1 Curse Obtained</t>
  </si>
  <si>
    <t>If you were to get a Curse, Get another of the same exact Curse.</t>
  </si>
  <si>
    <t>Curse of Vulnerability II</t>
  </si>
  <si>
    <t>Until 2 Curses Obtained</t>
  </si>
  <si>
    <t>Curse of Vulnerability III</t>
  </si>
  <si>
    <t>Until 3 Curses Obtained</t>
  </si>
  <si>
    <t>Curse of Weakness I</t>
  </si>
  <si>
    <t>Until 1 Combat Beaten</t>
  </si>
  <si>
    <t>Start the next Combat with 3 Weak.</t>
  </si>
  <si>
    <t>Curse of Weakness II</t>
  </si>
  <si>
    <t>Until 2 Combats Beaten</t>
  </si>
  <si>
    <t>Curse of Weakness III</t>
  </si>
  <si>
    <t>Until 3 Combats Beaten</t>
  </si>
  <si>
    <t>Curse of the Failure I</t>
  </si>
  <si>
    <t>Until 1 is rolled</t>
  </si>
  <si>
    <t>When you roll a 1 on any roll (before adding to the roll), Fail the roll no matter what and take 5 damage. It can't be rerolled. Add Clumsy to your Deck.</t>
  </si>
  <si>
    <t>Curse of the Failure II</t>
  </si>
  <si>
    <t>Curse of the Failure III</t>
  </si>
  <si>
    <t>Curse of Guilt I</t>
  </si>
  <si>
    <t>If you killed any innocents, lose 5 health. Add Guilty to your Deck.</t>
  </si>
  <si>
    <t>Curse of Guilt II</t>
  </si>
  <si>
    <t>Curse of Guilt III</t>
  </si>
  <si>
    <t>Curse of the Dazed I</t>
  </si>
  <si>
    <t>If the next game you beat isn't instead beaten twice, take 5 Damage. Add a random Curse to your Deck.</t>
  </si>
  <si>
    <t>Curse of the Dazed II</t>
  </si>
  <si>
    <t>Curse of the Dazed III</t>
  </si>
  <si>
    <t>Curse of Affection I</t>
  </si>
  <si>
    <t>After beating a game, if you would give it an 8+ out of 10, then Gain 5 Health. If not, lose 5 Health. Add a random Curse to your Deck.</t>
  </si>
  <si>
    <t>Curse of Affection II</t>
  </si>
  <si>
    <t>After beating a game, if you would give it an 8+ out of 10, then Gain 5 Health. If not, lose 10 Health. Add a random Curse to your Deck.</t>
  </si>
  <si>
    <t>Curse of Affection III</t>
  </si>
  <si>
    <t>After beating a game, if you would give it an 8+ out of 10, then Gain 5 Health. If not, lose 15 Health. Add a random Curse to your Deck.</t>
  </si>
  <si>
    <t>Curse of the Hunter I</t>
  </si>
  <si>
    <t>If you beat a game without getting an achievement, then take 5 damage. Add Injury to your Deck.</t>
  </si>
  <si>
    <t>Curse of the Hunter II</t>
  </si>
  <si>
    <t>Curse of the Hunter III</t>
  </si>
  <si>
    <t>Curse of Obstruction I</t>
  </si>
  <si>
    <t>All enemies Gain +3 Plated Armor at the start of combat.</t>
  </si>
  <si>
    <t>Curse of Obstruction II</t>
  </si>
  <si>
    <t>All enemies Gain +5 Plated Armor at the start of combat.</t>
  </si>
  <si>
    <t>Curse of Obstruction III</t>
  </si>
  <si>
    <t>All enemies Gain +7 Plated Armor at the start of combat.</t>
  </si>
  <si>
    <t>Curse of the Damp I</t>
  </si>
  <si>
    <t>If the player doesn’t touch water in the game, take 3 damage. Add a random Curse to your Deck.</t>
  </si>
  <si>
    <t>Curse of the Damp II</t>
  </si>
  <si>
    <t>Curse of the Damp III</t>
  </si>
  <si>
    <t>Curse of Decay I</t>
  </si>
  <si>
    <t>Until 1 Passive Item Obtained</t>
  </si>
  <si>
    <t>Whenever the player gets a passive item, downgrade it. Add Decay to your Deck.</t>
  </si>
  <si>
    <t>Curse of Decay II</t>
  </si>
  <si>
    <t>Until 2 Passive Items Obtained</t>
  </si>
  <si>
    <t>Curse of Decay III</t>
  </si>
  <si>
    <t>Until 3 Passive Items Obtained</t>
  </si>
  <si>
    <t>Curse of Misfortune I</t>
  </si>
  <si>
    <t>1 Roll</t>
  </si>
  <si>
    <t>Gain Disadvantage on the next roll. Add Clumsy to your Deck.</t>
  </si>
  <si>
    <t>Curse of Misfortune II</t>
  </si>
  <si>
    <t>2 Rolls</t>
  </si>
  <si>
    <t>Curse of Misfortune III</t>
  </si>
  <si>
    <t>3 Rolls</t>
  </si>
  <si>
    <t>Curse of Ocular Trauma I</t>
  </si>
  <si>
    <t>You are unable to wear headgear if possible. Add Punctured Eye to your Deck.</t>
  </si>
  <si>
    <t>Curse of Ocular Trauma II</t>
  </si>
  <si>
    <t>Curse of Ocular Trauma III</t>
  </si>
  <si>
    <t>Beat a boss with 1 Health left</t>
  </si>
  <si>
    <t>Defeat 15 Skeletons</t>
  </si>
  <si>
    <t>Defeat 15 Zombies</t>
  </si>
  <si>
    <t>Defeat an enemy with a ball</t>
  </si>
  <si>
    <t>Obtain a mushroom</t>
  </si>
  <si>
    <t>Pet a pet</t>
  </si>
  <si>
    <t>Trade Health for resources</t>
  </si>
  <si>
    <t>Unlock a new Character</t>
  </si>
  <si>
    <t>Worship an altar</t>
  </si>
  <si>
    <t>Beat a run without moving</t>
  </si>
  <si>
    <t>Beat a run without spending currency</t>
  </si>
  <si>
    <t>Beat a run without taking damage</t>
  </si>
  <si>
    <t>Beat the "True" ending of a game</t>
  </si>
  <si>
    <t>Defeat a boss in 1 second or less/1 turn</t>
  </si>
  <si>
    <t>Get an achievement that only 10% of players or less have gotten</t>
  </si>
  <si>
    <t>Beat 3 Action Roguelikes</t>
  </si>
  <si>
    <t>Normal</t>
  </si>
  <si>
    <t>Beat 3 Deckbuilder Roguelikes</t>
  </si>
  <si>
    <t>Beat 3 different roguelikes in one day</t>
  </si>
  <si>
    <t>Beat 3 Strategy Roguelikes</t>
  </si>
  <si>
    <t>Beat a run without meta progression</t>
  </si>
  <si>
    <t>Complete a daily/weekly challenge run</t>
  </si>
  <si>
    <t>Deal damage equal to your block</t>
  </si>
  <si>
    <t>Defeat a boss without taking damage</t>
  </si>
  <si>
    <t>Defeat a magic boss with a gun</t>
  </si>
  <si>
    <t>Double your max health in a run</t>
  </si>
  <si>
    <t>Enchant an item to +5 or higher</t>
  </si>
  <si>
    <t>Get 10 achievements in 1 run</t>
  </si>
  <si>
    <t>Have a character reach "level 30"</t>
  </si>
  <si>
    <t>Have an enemy defeat 3 enemies</t>
  </si>
  <si>
    <t>Obtain 5 max tier items in one run</t>
  </si>
  <si>
    <t>Permanently remove 5 cards from your deck and win a run</t>
  </si>
  <si>
    <t>Ressurect yourself 3 times in one run and win</t>
  </si>
  <si>
    <t>Succesfully steal an item from a shop</t>
  </si>
  <si>
    <t>Tame an enemy</t>
  </si>
  <si>
    <t>Visit and beat the same game twice in one playthrough</t>
  </si>
  <si>
    <t>Beat a game you have gotten 100% achievements on</t>
  </si>
  <si>
    <t>Use elements to your advantage</t>
  </si>
  <si>
    <t>Steal 3 times in one game</t>
  </si>
  <si>
    <t>Get 100%+ crit chance</t>
  </si>
  <si>
    <t>Lane</t>
  </si>
  <si>
    <t>Stack</t>
  </si>
  <si>
    <t>Action X</t>
  </si>
  <si>
    <t>Action Y</t>
  </si>
  <si>
    <t>Strategy X</t>
  </si>
  <si>
    <t>Strategy Y</t>
  </si>
  <si>
    <t>Deckbuilder X</t>
  </si>
  <si>
    <t>Deckbuilder Y</t>
  </si>
  <si>
    <t>Traditional X</t>
  </si>
  <si>
    <t>Traditional Y</t>
  </si>
  <si>
    <t>Rank key</t>
  </si>
  <si>
    <t>Owned rank key</t>
  </si>
  <si>
    <t>Influencer yr</t>
  </si>
  <si>
    <t>Influencee yr</t>
  </si>
  <si>
    <t>Span (yrs)</t>
  </si>
  <si>
    <t>Doomvas</t>
  </si>
  <si>
    <t>Destroy a painting</t>
  </si>
  <si>
    <t>art</t>
  </si>
  <si>
    <t>Khidr</t>
  </si>
  <si>
    <t>Poke an eye</t>
  </si>
  <si>
    <t>Cauldron</t>
  </si>
  <si>
    <t>pot</t>
  </si>
  <si>
    <t>Reptile Trinket</t>
  </si>
  <si>
    <t>Whenever you drink or throw a potion, Gain +3 Strength until the end of the next combat</t>
  </si>
  <si>
    <t>ReptileTrinket</t>
  </si>
  <si>
    <t>White Beast Statue</t>
  </si>
  <si>
    <t>WhiteBeastStatue</t>
  </si>
  <si>
    <t>Gain +1 Potion at the end of combat</t>
  </si>
  <si>
    <t>Gain +5 Potions</t>
  </si>
  <si>
    <t>statue</t>
  </si>
  <si>
    <t>Gain +6 Gold</t>
  </si>
  <si>
    <t>Ripple Basin</t>
  </si>
  <si>
    <t>RippleBasin</t>
  </si>
  <si>
    <t>If you lose a run before completing any goals, Gain +1 Temporary Shield</t>
  </si>
  <si>
    <t>item_acquired: gain_potion 5</t>
  </si>
  <si>
    <t>item_acquired: gain_gold 6</t>
  </si>
  <si>
    <t>potion_used: apply_status strength 3 games=1</t>
  </si>
  <si>
    <t>run_lost if_goals=0: gain_stat shields 1</t>
  </si>
  <si>
    <t>game_beaten: gain_potion 1</t>
  </si>
  <si>
    <t>Trample</t>
  </si>
  <si>
    <t>When moving forward, it wil push other units to the side or behind it to go forward</t>
  </si>
  <si>
    <t>Grid Range</t>
  </si>
  <si>
    <t>Variables</t>
  </si>
  <si>
    <t>Summoner</t>
  </si>
  <si>
    <t>Nested Spawner</t>
  </si>
  <si>
    <t>Amount, Enemy Type</t>
  </si>
  <si>
    <t>Necromancy</t>
  </si>
  <si>
    <t>Fireproof</t>
  </si>
  <si>
    <t>Resistance</t>
  </si>
  <si>
    <t>Amount</t>
  </si>
  <si>
    <t>Stacks</t>
  </si>
  <si>
    <t>Tanky</t>
  </si>
  <si>
    <t>On Death, Splits into X number of Y type Enemies</t>
  </si>
  <si>
    <t>Melee Ally Buff</t>
  </si>
  <si>
    <t>If there is an Enemy present, this Enemy will use it's turn and movement to move towards the nearest Enemy and if in contact, will X amount of Y Status to them</t>
  </si>
  <si>
    <t>Amount, Status Type</t>
  </si>
  <si>
    <t>Degradation</t>
  </si>
  <si>
    <t>Invisibility</t>
  </si>
  <si>
    <t>Amount, Goods</t>
  </si>
  <si>
    <t>Theft</t>
  </si>
  <si>
    <t>Predatory Scent</t>
  </si>
  <si>
    <t>Defensive Stance</t>
  </si>
  <si>
    <t>Will not move or attack on it's first turn, but every turn after that it Gains +1 Strength</t>
  </si>
  <si>
    <t>Will Gain X Dexterity on it's first turn instead of moving or attacking</t>
  </si>
  <si>
    <t>Melee Ally Buff (1, Speed)</t>
  </si>
  <si>
    <t>Immobile</t>
  </si>
  <si>
    <t>Can Attack from X tiles away</t>
  </si>
  <si>
    <t>Cannot Move</t>
  </si>
  <si>
    <t>Ranged (N/A), Immobile</t>
  </si>
  <si>
    <t>Hexer</t>
  </si>
  <si>
    <t>When this Enemy attacks and deals damage, it will Destroy X amount of random obtained Loot</t>
  </si>
  <si>
    <t>Lacerator</t>
  </si>
  <si>
    <t>Death</t>
  </si>
  <si>
    <t>Will die at the end of X amount of combats</t>
  </si>
  <si>
    <t>Will take an extra turn if the player doesn't complete a status goal if they have one</t>
  </si>
  <si>
    <t>Spawns invisible to the player and will become visible again when it attacks</t>
  </si>
  <si>
    <t>Spawns with X More Max Health</t>
  </si>
  <si>
    <t>Will not move, but each turn will Summon X Enemies that was previously defeated in the row in front of them in that lane if there is space and gives the Undead type to Enemies Summoned</t>
  </si>
  <si>
    <t>Spawns with X Speed</t>
  </si>
  <si>
    <t>Will not move, but each turn will Summon X number of Y type enemies in the row in front of them in that lane if there is space</t>
  </si>
  <si>
    <t>Cannot be Burned</t>
  </si>
  <si>
    <t>Tanky (8), Fading (3)</t>
  </si>
  <si>
    <t>Illusionist</t>
  </si>
  <si>
    <t>Will spend it's first turn Summoning X amount of Y Enemies and gives the Illusion Ability to Enemies Summoned</t>
  </si>
  <si>
    <t>Illusion</t>
  </si>
  <si>
    <t>Will die when it's Illusionist does</t>
  </si>
  <si>
    <t>Split (2, slime tag)</t>
  </si>
  <si>
    <t>Haste (1)</t>
  </si>
  <si>
    <t>Guillatina</t>
  </si>
  <si>
    <t>Undying</t>
  </si>
  <si>
    <t>On Death, will revive at the rightmost column at the start of the next combat X times</t>
  </si>
  <si>
    <t>Bolster</t>
  </si>
  <si>
    <t>Bolster (3, Speed)</t>
  </si>
  <si>
    <t>Block damage done to a friendly unit</t>
  </si>
  <si>
    <t>Grants X amount of X Status to all other Enemies and Bosses until death</t>
  </si>
  <si>
    <t>Bolster (1, Dexterity)</t>
  </si>
  <si>
    <t>Ranged (3)</t>
  </si>
  <si>
    <t>Nested Spawner (1, fly tag)</t>
  </si>
  <si>
    <t>Maggot</t>
  </si>
  <si>
    <t>Defeat an infested or rotted enemy</t>
  </si>
  <si>
    <t>fly</t>
  </si>
  <si>
    <t>Aftermath</t>
  </si>
  <si>
    <t>On Death, will Add X Tile Effect to the Tile it died on</t>
  </si>
  <si>
    <t>Tile Effect</t>
  </si>
  <si>
    <t>Aftermath (Fire)</t>
  </si>
  <si>
    <t>Necromancy (1)</t>
  </si>
  <si>
    <t>Defensive Stance (2)</t>
  </si>
  <si>
    <t>Devour Whole</t>
  </si>
  <si>
    <t>Ranged (4)</t>
  </si>
  <si>
    <t>Ruthless</t>
  </si>
  <si>
    <t>Ranged (N/A)</t>
  </si>
  <si>
    <t>Infliction</t>
  </si>
  <si>
    <t>When this Enemy attacks and deals damage, it will Apply X amount of Y Status to the Player</t>
  </si>
  <si>
    <t>Infliction (1, Burn)</t>
  </si>
  <si>
    <t>Infliction (2, Burn)</t>
  </si>
  <si>
    <t>Ranged (2), Fireproof, Infliction (1, Burn)</t>
  </si>
  <si>
    <t>Ranged (1)</t>
  </si>
  <si>
    <t>Trample, Undying (2)</t>
  </si>
  <si>
    <t>Ranged (2)</t>
  </si>
  <si>
    <t>Hexer (2)</t>
  </si>
  <si>
    <t>Will attack enemies in front of it to make space to hit the player</t>
  </si>
  <si>
    <t>When this Enemy attacks and deals damage, the target is eaten and dies, including the plaer</t>
  </si>
  <si>
    <t>Ruthless, Devour Whole</t>
  </si>
  <si>
    <t>Illusionist (1, Random Medium)</t>
  </si>
  <si>
    <t>Theft (1, Item), Agile</t>
  </si>
  <si>
    <t>Theft (2, Gold), Agile</t>
  </si>
  <si>
    <t>At the start of combat, Gain +1 Temporary Shield</t>
  </si>
  <si>
    <t>Phases</t>
  </si>
  <si>
    <t>Feat/Feat/Bounty</t>
  </si>
  <si>
    <t>Guillotina, Guillotina2, Guillotina3</t>
  </si>
  <si>
    <t>Agile</t>
  </si>
  <si>
    <t>Can move diagonally if necessary</t>
  </si>
  <si>
    <t>When this Enemy attacks and deals damage, it will give the player X amount of random curses</t>
  </si>
  <si>
    <t>When this Enemy attacks and deals damage, it will give the player the Injury curse</t>
  </si>
  <si>
    <t>While attacking and dealing damage, it will steal X amount of Y(Gold, Items, Loot) until defeated in which it will drop stolen goods on the battlefield, and then will start moving to the right and if they reach the last column they disappear</t>
  </si>
  <si>
    <t>Not rolled with the other scrolls: 10% of every loot drop is this one instead.</t>
  </si>
  <si>
    <t>C:\Users\Owner\Documents\Roguelike Roguelike\Roguelikes\Cataclysm Bright Nights.lnk</t>
  </si>
  <si>
    <t>C:\Users\Owner\Documents\Roguelike Roguelike\Roguelikes\Cataclysm Dark Days Ahead.lnk</t>
  </si>
  <si>
    <t>C:\Users\Owner\Documents\Roguelike Roguelike\Roguelikes\Cataclysm The Last Generation.lnk</t>
  </si>
  <si>
    <t>goal "{X} or all bosses were beaten without getting hit" -&gt; gain_chest reward {X}</t>
  </si>
  <si>
    <t>clause "you must beat {X} or all bosses without getting hit"</t>
  </si>
  <si>
    <t>goal "the difficulty is increased {X} [time|times] or as much as possible" -&gt; gain_chest reward {X}; gain_stat bash 1</t>
  </si>
  <si>
    <t>clause "the difficulty must be increased {X} [time|times] or as much as possible"</t>
  </si>
  <si>
    <t>Gain +1 Max Health and +1 Loot</t>
  </si>
  <si>
    <t>System 1</t>
  </si>
  <si>
    <t>Subsystem 1</t>
  </si>
  <si>
    <t>System 2</t>
  </si>
  <si>
    <t>Subsystem 2</t>
  </si>
  <si>
    <t>System 3</t>
  </si>
  <si>
    <t>Subsystem 3</t>
  </si>
  <si>
    <t>Item</t>
  </si>
  <si>
    <t>Max Health</t>
  </si>
  <si>
    <t>Icon Image</t>
  </si>
  <si>
    <t>Slay_the_Spire_Ironclad_Rare</t>
  </si>
  <si>
    <t>Isaac_Major_Arcana</t>
  </si>
  <si>
    <t>V - The Hierophant</t>
  </si>
  <si>
    <t>VI - The Lovers</t>
  </si>
  <si>
    <t>VITheLovers</t>
  </si>
  <si>
    <t>IX - The Hermit</t>
  </si>
  <si>
    <t>IXTheHermit</t>
  </si>
  <si>
    <t>XIV - Temperance</t>
  </si>
  <si>
    <t>XIVTemperance</t>
  </si>
  <si>
    <t>Spawn a Blood Donation Machine</t>
  </si>
  <si>
    <t>0 - The Fool</t>
  </si>
  <si>
    <t>0TheFool</t>
  </si>
  <si>
    <t>Teleport to the Starting Game</t>
  </si>
  <si>
    <t>Balatro_Playing_Cards</t>
  </si>
  <si>
    <t>Isaac_Playing_Cards</t>
  </si>
  <si>
    <t>2 of Clubs</t>
  </si>
  <si>
    <t>Double your Bombs, if you have no Bombs then Gain +2</t>
  </si>
  <si>
    <t>2 of Diamonds</t>
  </si>
  <si>
    <t>Double your Gold, if you have no Gold Gain +2 Gold</t>
  </si>
  <si>
    <t>2OfDiamonds</t>
  </si>
  <si>
    <t>2OfClubs</t>
  </si>
  <si>
    <t>2 of Hearts</t>
  </si>
  <si>
    <t>2OfHearts</t>
  </si>
  <si>
    <t>Double your Health</t>
  </si>
  <si>
    <t>Queen of Hearts</t>
  </si>
  <si>
    <t>Gain from +1 to +20 Health</t>
  </si>
  <si>
    <t>QueenOfHearts</t>
  </si>
  <si>
    <t>Ancient Recall</t>
  </si>
  <si>
    <t>Gain +3 Random Cards</t>
  </si>
  <si>
    <t>AncientRecall</t>
  </si>
  <si>
    <t>Isaac_MTG_Cards</t>
  </si>
  <si>
    <t>? Card</t>
  </si>
  <si>
    <t>Copy the effect of a selected Usable Item in your inventory</t>
  </si>
  <si>
    <t>teleport_type deckbuilder</t>
  </si>
  <si>
    <t>VTheHierophant</t>
  </si>
  <si>
    <t>spawn_object blood_donation_machine</t>
  </si>
  <si>
    <t>teleport_start</t>
  </si>
  <si>
    <t>double_stat bombs floor=2</t>
  </si>
  <si>
    <t>double_stat gold floor=2</t>
  </si>
  <si>
    <t>double_stat hp</t>
  </si>
  <si>
    <t>gain_hp 1-20</t>
  </si>
  <si>
    <t>gain_loot card 3</t>
  </si>
  <si>
    <t>copy_item</t>
  </si>
  <si>
    <t>QuestionMarkCard</t>
  </si>
  <si>
    <t>Pill</t>
  </si>
  <si>
    <t>Trigger1</t>
  </si>
  <si>
    <t>Trigger 2</t>
  </si>
  <si>
    <t>Enemy Spawn</t>
  </si>
  <si>
    <t>Trigger 3</t>
  </si>
  <si>
    <t>Combat Start</t>
  </si>
  <si>
    <t>Damage Taken</t>
  </si>
  <si>
    <t>Bomb Use</t>
  </si>
  <si>
    <t>Health Amount</t>
  </si>
  <si>
    <t>Bomb Amount</t>
  </si>
  <si>
    <t>Combat End</t>
  </si>
  <si>
    <t>Pills</t>
  </si>
  <si>
    <t>Pill Amount</t>
  </si>
  <si>
    <t>Potions</t>
  </si>
  <si>
    <t>Node</t>
  </si>
  <si>
    <t>Otainable</t>
  </si>
  <si>
    <t>Chest</t>
  </si>
  <si>
    <t>Boss Chest</t>
  </si>
  <si>
    <t>Item Amount</t>
  </si>
  <si>
    <t>Potion Amount</t>
  </si>
  <si>
    <t>Enemy Defeat</t>
  </si>
  <si>
    <t>Starter, Chest</t>
  </si>
  <si>
    <t>On Level Up</t>
  </si>
  <si>
    <t>Subsystem</t>
  </si>
  <si>
    <t>Bomb Size</t>
  </si>
  <si>
    <t>Up</t>
  </si>
  <si>
    <t>Down</t>
  </si>
  <si>
    <t>Item Use</t>
  </si>
  <si>
    <t>Enemy Variety</t>
  </si>
  <si>
    <t>Loot Use</t>
  </si>
  <si>
    <t>Event: Golden Idol</t>
  </si>
  <si>
    <t>Object: Blood Donation Machine</t>
  </si>
  <si>
    <t>Tile</t>
  </si>
  <si>
    <t>Node Type</t>
  </si>
  <si>
    <t>Item: Landmines</t>
  </si>
  <si>
    <t>Object</t>
  </si>
  <si>
    <t>Enemy Max Health</t>
  </si>
  <si>
    <t>Fire Tile</t>
  </si>
  <si>
    <t>Unit</t>
  </si>
  <si>
    <t>Friendly Unit Spawn</t>
  </si>
  <si>
    <t>Enemy Movement</t>
  </si>
  <si>
    <t>Dir 1</t>
  </si>
  <si>
    <t>Dir 2</t>
  </si>
  <si>
    <t>Dir 3</t>
  </si>
  <si>
    <t>Groups</t>
  </si>
  <si>
    <t>Loot Copy</t>
  </si>
  <si>
    <t>Collectables</t>
  </si>
  <si>
    <t>Items</t>
  </si>
  <si>
    <t>Loot Amount</t>
  </si>
  <si>
    <t>Goals</t>
  </si>
  <si>
    <t>Object Use</t>
  </si>
  <si>
    <t>Game Completion</t>
  </si>
  <si>
    <t>Object Spawn</t>
  </si>
  <si>
    <t>Gold Use</t>
  </si>
  <si>
    <t>Object Use, Bomb Use</t>
  </si>
  <si>
    <t>Resource</t>
  </si>
  <si>
    <t>Shields</t>
  </si>
  <si>
    <t>Objects</t>
  </si>
  <si>
    <t>Enemies</t>
  </si>
  <si>
    <t>Enemy Defeat; Game Completion</t>
  </si>
  <si>
    <t>Shop Purchase</t>
  </si>
  <si>
    <t>Pill Preference</t>
  </si>
  <si>
    <t>Grid Height</t>
  </si>
  <si>
    <t>Grid Width</t>
  </si>
  <si>
    <t>Strength on Player</t>
  </si>
  <si>
    <t>Strength on Enemy</t>
  </si>
  <si>
    <t>Health Lost</t>
  </si>
  <si>
    <t>Chest; Character Start: Poe Ratcho</t>
  </si>
  <si>
    <t>Potion Quaff</t>
  </si>
  <si>
    <t>Game Loss</t>
  </si>
  <si>
    <t>Game Choices</t>
  </si>
  <si>
    <t>Pre-Combat Enemy Visibility</t>
  </si>
  <si>
    <t>Potion Copy</t>
  </si>
  <si>
    <t>On Transmute Gain</t>
  </si>
  <si>
    <t>Web</t>
  </si>
  <si>
    <t>Gain +1 Bomb and Bombs Apply the Fire Tile</t>
  </si>
  <si>
    <t>Gain +1 Bomb and Bombs Apply the Web Tile</t>
  </si>
  <si>
    <t>Apply +1 Stun to enemies who enter or start their turn on this tile</t>
  </si>
  <si>
    <t>Until Triggered</t>
  </si>
  <si>
    <t>Each Turn</t>
  </si>
  <si>
    <t>Skip their turn</t>
  </si>
  <si>
    <t>Apply +1 Stun to a target Enemy</t>
  </si>
  <si>
    <t>50% chance to take 1 Damage when attacking</t>
  </si>
  <si>
    <t>On Trigger</t>
  </si>
  <si>
    <t>Web Tile</t>
  </si>
  <si>
    <t>Item: Blood Bombs, Brimstone Bombs, Hot Bombs, Sticky Bombs; Character Start: Isaac</t>
  </si>
  <si>
    <t>Speed on Player</t>
  </si>
  <si>
    <t>Chest Size</t>
  </si>
  <si>
    <t>Dexterity on Player</t>
  </si>
  <si>
    <t>Charges</t>
  </si>
  <si>
    <t>Wands</t>
  </si>
  <si>
    <t>Wand Use</t>
  </si>
  <si>
    <t>Greater Item Choice</t>
  </si>
  <si>
    <t>Wand of Nothing</t>
  </si>
  <si>
    <t>Non-Directional</t>
  </si>
  <si>
    <t>Ray</t>
  </si>
  <si>
    <t>Wand of Fire</t>
  </si>
  <si>
    <t>Spawn 1 Random Enemy to the Board</t>
  </si>
  <si>
    <t>Wand of Create Monster</t>
  </si>
  <si>
    <t>item_acquired: gain_stat bombs 1; bomb_tile web</t>
  </si>
  <si>
    <t>demand "not heal intentionally" else -&gt; take_damage 3</t>
  </si>
  <si>
    <t>bonus "you didn't intentionally heal" -&gt; gain_chest reward {X}</t>
  </si>
  <si>
    <t>recoil +1 chance=50</t>
  </si>
  <si>
    <t>Gain "You must beat a game twice in a row to set it as Completed or take 5 Damage. This lasts for X games."</t>
  </si>
  <si>
    <t>demand "beat a game twice in a row to set it as Completed" else -&gt; take_damage 5</t>
  </si>
  <si>
    <t>bonus "you beat the game twice in a row" -&gt; gain_chest reward {X}</t>
  </si>
  <si>
    <t>skip_turn</t>
  </si>
  <si>
    <t>obtain_item any</t>
  </si>
  <si>
    <t>apply_status burn 3 target=enemy; apply_tile fire</t>
  </si>
  <si>
    <t>enemy_enters: apply_status stun 1; enemy_turn_start: apply_status stun 1</t>
  </si>
  <si>
    <t>https://bsky.app/profile/vfqd.itch.io/post/3mjfbk36e6k22</t>
  </si>
  <si>
    <t>Luck Be a Landlord</t>
  </si>
  <si>
    <t>https://store.steampowered.com/app/4075620/Combolands_Roguelike_Citybuilder/</t>
  </si>
  <si>
    <t>combolands</t>
  </si>
  <si>
    <t>Combolands</t>
  </si>
  <si>
    <t>PengPong</t>
  </si>
  <si>
    <t>pengpong</t>
  </si>
  <si>
    <t>https://store.steampowered.com/app/2766910/PengPong/</t>
  </si>
  <si>
    <t>https://store.epicgames.com/news/pengpong-s-hockey-pinball-chaos-was-the-result-of-a-game-jam?lang=vi</t>
  </si>
  <si>
    <t>https://www.ign.com/articles/city-of-balls-was-the-original-title-and-somehow-ball-x-pit-got-even-weirder-from-there</t>
  </si>
  <si>
    <t>Wand of Invisibility</t>
  </si>
  <si>
    <t>Wand of Haste Monster</t>
  </si>
  <si>
    <t>Wand of Magic Missile</t>
  </si>
  <si>
    <t>Wand of Cancellation</t>
  </si>
  <si>
    <t>Wand of Polymorph</t>
  </si>
  <si>
    <t>Wand of Death</t>
  </si>
  <si>
    <t>Wand of Teleportation</t>
  </si>
  <si>
    <t>Apply +3 Burn to any Unit on target Tile and apply the Fire Tile to this Tile</t>
  </si>
  <si>
    <t>Target Unit becomes invisible</t>
  </si>
  <si>
    <t>Target Unit Gains +1 Speed</t>
  </si>
  <si>
    <t>Target Unit takes 1 Damage</t>
  </si>
  <si>
    <t>Target Unit loses it's ability</t>
  </si>
  <si>
    <t>Target Unit becomes a random Enemy of the same difficulty</t>
  </si>
  <si>
    <t>Target Unit is instantly killed</t>
  </si>
  <si>
    <t>Target Unit is transported to a random Tile</t>
  </si>
  <si>
    <t>Wand of Plenty</t>
  </si>
  <si>
    <t>Target Unit is split into two of the same Units with half Max Health if possible</t>
  </si>
  <si>
    <t>Gain "If beaten while the difficulty is increased X times or as much as possible, Gain a [chest reward] and 1 Bash"</t>
  </si>
  <si>
    <t>cancel_abilities</t>
  </si>
  <si>
    <t>kill</t>
  </si>
  <si>
    <t>apply_status speed 1 target=enemy</t>
  </si>
  <si>
    <t>grant_ability invisibility</t>
  </si>
  <si>
    <t>deal_damage 1</t>
  </si>
  <si>
    <t>split</t>
  </si>
  <si>
    <t>polymorph</t>
  </si>
  <si>
    <t>teleport</t>
  </si>
  <si>
    <t>Infliction(1, Stun)</t>
  </si>
  <si>
    <t>Predatory Scent, Infliction(1, Bleed)</t>
  </si>
  <si>
    <t>Monkey</t>
  </si>
  <si>
    <t>Defeat an enemy that latches on to you</t>
  </si>
  <si>
    <t>monkey</t>
  </si>
  <si>
    <t>Atomic Kitten</t>
  </si>
  <si>
    <t>Defeat a radiated enemy</t>
  </si>
  <si>
    <t>AtomicKitten</t>
  </si>
  <si>
    <t>cat, radiation</t>
  </si>
  <si>
    <t>Steal a soul</t>
  </si>
  <si>
    <t>Drain</t>
  </si>
  <si>
    <t>Amount, Stats</t>
  </si>
  <si>
    <t>When this Enemy attacks and deals damage, decrease by X the player's Y(Max Health, Luck, Scramble, Bash, Dash, Transmute)</t>
  </si>
  <si>
    <t>Entry Summon</t>
  </si>
  <si>
    <t>Instead of moving or attacking on it's first turn, it will Summon X amount of Y Enemies to a random adjacent tile</t>
  </si>
  <si>
    <t>Drain (2, Max Health), Entry Summon (1, skeleton tag)</t>
  </si>
  <si>
    <t>Cop Bot</t>
  </si>
  <si>
    <t>Defy an officer of the law</t>
  </si>
  <si>
    <t>CopBot</t>
  </si>
  <si>
    <t>robot, cop</t>
  </si>
  <si>
    <t>Gains "and if the goal was completed twice, Gain a [chest reward]"</t>
  </si>
  <si>
    <t>https://store.steampowered.com/app/4195110/Ultrapool/</t>
  </si>
  <si>
    <t>Ultrapool</t>
  </si>
  <si>
    <t>ultrapool</t>
  </si>
  <si>
    <t>Guntouchables</t>
  </si>
  <si>
    <t>guntouchables</t>
  </si>
  <si>
    <t>https://store.steampowered.com/app/2543510/GUNTOUCHABLES/</t>
  </si>
  <si>
    <t>https://rogueliker.com/guntouchables-interview/ and also talked about nuclear throne in the discord</t>
  </si>
  <si>
    <t>C:\Users\Owner\Documents\Roguelike Roguelike\Roguelikes\GUNTOUCHABLES.url</t>
  </si>
  <si>
    <t>Echo Form</t>
  </si>
  <si>
    <t>EchoForm</t>
  </si>
  <si>
    <t>Slay_the_Spire_Defect_Rare</t>
  </si>
  <si>
    <t>Card Use</t>
  </si>
  <si>
    <t>Item Copy</t>
  </si>
  <si>
    <t>Card Amount</t>
  </si>
  <si>
    <t>Temporary Shield Amount</t>
  </si>
  <si>
    <t>Shield Amount</t>
  </si>
  <si>
    <t>Teleport Nearby Hub</t>
  </si>
  <si>
    <t>Teleport Random Deckbuilder</t>
  </si>
  <si>
    <t>Scroll Use</t>
  </si>
  <si>
    <t>Identification</t>
  </si>
  <si>
    <t>Enemy Amount</t>
  </si>
  <si>
    <t>Stun on Enemy</t>
  </si>
  <si>
    <t>Teleport Random Close</t>
  </si>
  <si>
    <t>Item Pickup</t>
  </si>
  <si>
    <t>Burn on Player</t>
  </si>
  <si>
    <t>Burn on Enemy</t>
  </si>
  <si>
    <t>Tiles</t>
  </si>
  <si>
    <t>Random Charges</t>
  </si>
  <si>
    <t>Pill Use</t>
  </si>
  <si>
    <t>Gain a Random Curse and Forget 1 random Identified Loot</t>
  </si>
  <si>
    <t>add_curse random; forget loot 1</t>
  </si>
  <si>
    <t>Scroll</t>
  </si>
  <si>
    <t>Potion</t>
  </si>
  <si>
    <t>Wand</t>
  </si>
  <si>
    <t>System 4</t>
  </si>
  <si>
    <t>Subsystem 4</t>
  </si>
  <si>
    <t>Trigger 4</t>
  </si>
  <si>
    <t>Dir 4</t>
  </si>
  <si>
    <t>Good Dir</t>
  </si>
  <si>
    <t>Gain +3 Burn</t>
  </si>
  <si>
    <t>apply_status burn 3 player</t>
  </si>
  <si>
    <t>Apply the Fire tile and Apply +3 Burn to everything in a 3x3 area centered on this tile</t>
  </si>
  <si>
    <t>apply_tile fire area=3x3; apply_status burn 3 area=3x3</t>
  </si>
  <si>
    <t>Potion Throw</t>
  </si>
  <si>
    <t>Shield on Enemy</t>
  </si>
  <si>
    <t>Speed on Enemy</t>
  </si>
  <si>
    <t>Dexterity on Enemy</t>
  </si>
  <si>
    <t>Enemy Health</t>
  </si>
  <si>
    <t>Enemy Ability</t>
  </si>
  <si>
    <t>Enemy Position</t>
  </si>
  <si>
    <t>Event: Arcade Room</t>
  </si>
  <si>
    <t>Event: Arcade Room; Loot: XIV - Temperance</t>
  </si>
  <si>
    <t>Buff on Enemy</t>
  </si>
  <si>
    <t>Enemy Turn</t>
  </si>
  <si>
    <t>Debuff on Player</t>
  </si>
  <si>
    <t>Enemy Visibility</t>
  </si>
  <si>
    <t>Enemy Range</t>
  </si>
  <si>
    <t>Teleport Start Game</t>
  </si>
  <si>
    <t>Enemy Passive</t>
  </si>
  <si>
    <t>Enemy Attack</t>
  </si>
  <si>
    <t>Run</t>
  </si>
  <si>
    <t>End Run</t>
  </si>
  <si>
    <t>Goal Amount</t>
  </si>
  <si>
    <t>On Player Debuff</t>
  </si>
  <si>
    <t>Enemy Damage</t>
  </si>
  <si>
    <t>Shield Absorption</t>
  </si>
  <si>
    <t>Item: Anchor, Ripple Basin; Card: Barricade, V - The Hierophant; Pill: Balls of Steel; Potion: Block Potion</t>
  </si>
  <si>
    <t>Shield Absorb</t>
  </si>
  <si>
    <t>Lost Game</t>
  </si>
  <si>
    <t>Item: Hot Bombs, Red Candle, Staff of Flame; Potion: Fire Potion; Scroll: Scroll of Fire; Wand: Wand of Fire; Enemy Ability: Aftermath</t>
  </si>
  <si>
    <t>Tile Step</t>
  </si>
  <si>
    <t>Item: Sticky Bombs</t>
  </si>
  <si>
    <t>Enemy Goal</t>
  </si>
  <si>
    <t>Opens With</t>
  </si>
  <si>
    <t>Ranwid the Elder</t>
  </si>
  <si>
    <t>gold&gt;=2 and potions&gt;=1 and relics&gt;=1</t>
  </si>
  <si>
    <t>RanwidTheElder</t>
  </si>
  <si>
    <t>You are approached by the oldest person you have ever seen. “We meet once more... it's me, Ranwid!” You do not know this man.</t>
  </si>
  <si>
    <t>Give 2 Gold</t>
  </si>
  <si>
    <t>“Mag.. nificent...” Ranwid mumbles while chewing the gold.</t>
  </si>
  <si>
    <t>needs gold 2; lose_gold 2; gain_random_item 1</t>
  </si>
  <si>
    <t>Give &lt;potion&gt;</t>
  </si>
  <si>
    <t>“Exquisite...” Glup glup glup. He downs the &lt;potion&gt; in one go.</t>
  </si>
  <si>
    <t>lose_potion; gain_random_item 1</t>
  </si>
  <si>
    <t>Give &lt;relic&gt;</t>
  </si>
  <si>
    <t>“Exemplary...” Ranwid observes the relic studiously for several minutes... Then eats the &lt;relic&gt;.</t>
  </si>
  <si>
    <t>lose_relic; gain_random_item 2</t>
  </si>
  <si>
    <t>Potion Lab</t>
  </si>
  <si>
    <t>PotionLab</t>
  </si>
  <si>
    <t>offer_loot potion 3</t>
  </si>
  <si>
    <t>Golden Monkey</t>
  </si>
  <si>
    <t>GoldenMonkey</t>
  </si>
  <si>
    <t>Touch the Golden Monkey</t>
  </si>
  <si>
    <t>gain_stat luck 1; add_curse random</t>
  </si>
  <si>
    <t>We Meet Again!</t>
  </si>
  <si>
    <t>gold&gt;=2</t>
  </si>
  <si>
    <t>WeMeetAgain</t>
  </si>
  <si>
    <t>“We meet again!” A cheery disheveled fellow approaches you gleefully. You do not know this man. “It's me, Ranwid! Have any goods for me today? The usual? A fella like me can't make it alone, you know?” You eye him suspiciously and consider your options...</t>
  </si>
  <si>
    <t>Ranwid: “Exquisite! Was feeling parched.” Glup glup glup. He downs the potion in one go and lets out a satisfied burp. He rummages around his various pockets... Ranwid: “Here, look what I've got for you today! Take it take it!”</t>
  </si>
  <si>
    <t>Ranwid: “Magnificent! This will be quite handy if I run into those mask wearing hoodlums again.” He rummages around his various pockets... Ranwid: “Here, look what I've got for you today! Take it take it!”</t>
  </si>
  <si>
    <t>Give &lt;card&gt;</t>
  </si>
  <si>
    <t>Ranwid: “Exemplary! I shall study this further in my chambers.” He rummages around his various pockets... Ranwid: “Here, look what I've got for you today! Take it take it!”</t>
  </si>
  <si>
    <t>lose_card uncommon+; gain_random_item 1</t>
  </si>
  <si>
    <t>Ranwid: “Aaaaagghh!! What a jerk you are sometimes!” He runs away.</t>
  </si>
  <si>
    <t>The Woman in Blue</t>
  </si>
  <si>
    <t>gold&gt;=3</t>
  </si>
  <si>
    <t>TheWomanInBlue</t>
  </si>
  <si>
    <t>From the darkness, an arm pulls you into a small shop. As your eyes adjust, you see a pale woman in sharp clothes gesturing towards a wall of potions. Pale Woman: “Buy a potion. Now!” she states.</t>
  </si>
  <si>
    <t>Buy 1 Potion</t>
  </si>
  <si>
    <t>Pale Woman: “Good. Now leave.” You exit the shop cautiously.</t>
  </si>
  <si>
    <t>needs gold 1; lose_gold 1; gain_potion 1</t>
  </si>
  <si>
    <t>Buy 2 Potions</t>
  </si>
  <si>
    <t>needs gold 2; lose_gold 2; gain_potion 2</t>
  </si>
  <si>
    <t>Buy 3 Potions</t>
  </si>
  <si>
    <t>needs gold 3; lose_gold 3; gain_potion 3</t>
  </si>
  <si>
    <t>WHAM. Her gloved fist collides with your face, nearly knocking you off your feet. Pale Woman: “Get out before I litter the floor with your guts.” You take her word and exit with your guts still safely in your body.</t>
  </si>
  <si>
    <t>order-automatica</t>
  </si>
  <si>
    <t>https://store.steampowered.com/app/2105840/Order_Automatica/</t>
  </si>
  <si>
    <t>https://x.com/Mickanio/status/1555411757409001472</t>
  </si>
  <si>
    <t>C:\Users\Owner\Documents\Roguelike Roguelike\Roguelikes\Mystery Chronicle One Way Heroics.url</t>
  </si>
  <si>
    <t>Dragon Fruit</t>
  </si>
  <si>
    <t>DragonFruit</t>
  </si>
  <si>
    <t>Lucky Fysh</t>
  </si>
  <si>
    <t>Whenever you obtain any amount of gold, Gain +1 Max Health</t>
  </si>
  <si>
    <t>Whenever you obtain a Card, Gain +1 Gold</t>
  </si>
  <si>
    <t>LuckyFysh</t>
  </si>
  <si>
    <t>Cadence of Hyrule</t>
  </si>
  <si>
    <t>cadence-of-hyrule</t>
  </si>
  <si>
    <t>gold_gained: gain_max_hp 1</t>
  </si>
  <si>
    <t>card_obtained: gain_gold 1</t>
  </si>
  <si>
    <t>Curse of Pirates</t>
  </si>
  <si>
    <t>curse-of-pirates</t>
  </si>
  <si>
    <t>https://store.steampowered.com/app/3484940/Curse_of_Pirates/</t>
  </si>
  <si>
    <t>Order Automatica</t>
  </si>
  <si>
    <t>Gasoline</t>
  </si>
  <si>
    <t>Whenever an Enemy is defeated, Add the Fire Tile Effect to the Tile it died on</t>
  </si>
  <si>
    <t>Infusion</t>
  </si>
  <si>
    <t>Every time you defeat an Enemy, Gain +1 Empty Max Health</t>
  </si>
  <si>
    <t>Gain +4 Empty Max Health</t>
  </si>
  <si>
    <t>Rejuvenation Rack</t>
  </si>
  <si>
    <t>Double the effect of all Healing</t>
  </si>
  <si>
    <t>RejuvenationRack</t>
  </si>
  <si>
    <t>death_tile fire</t>
  </si>
  <si>
    <t>enemy_killed: gain_empty_max_hp 1</t>
  </si>
  <si>
    <t>heal_multiplier: 2</t>
  </si>
  <si>
    <t>Dragon Quest Heroes: Torneko‘s Mystery Dungeon Classic HD</t>
  </si>
  <si>
    <t>https://store.steampowered.com/app/4027450/Dragon_Quest_Heroes_Tornekos_Mystery_Dungeon_Classic_HD/</t>
  </si>
  <si>
    <t>Wanderburg</t>
  </si>
  <si>
    <t>wanderburg</t>
  </si>
  <si>
    <t>https://store.steampowered.com/app/3624140/Wanderburg/</t>
  </si>
  <si>
    <t>https://games.gg/news/wanderburg-trailers-drive-150k-steam-wishlists/</t>
  </si>
  <si>
    <t>https://nintendoeverything.com/interview-sparklite-dev-on-zelda-inspirations-art-style-possible-post-launch-additions-more/</t>
  </si>
  <si>
    <t>Sparklite</t>
  </si>
  <si>
    <t>sparklite</t>
  </si>
  <si>
    <t>https://store.steampowered.com/app/943140/Sparklite/</t>
  </si>
  <si>
    <t>https://x.com/Handmancers/status/2038942935211798568?s=20</t>
  </si>
  <si>
    <t>Handmancers</t>
  </si>
  <si>
    <t>handmancers</t>
  </si>
  <si>
    <t>https://store.steampowered.com/app/2423290/Handmancers/</t>
  </si>
  <si>
    <t>dragon-quest-heroes-tornekos-mystery-dungeon-classic-hd</t>
  </si>
  <si>
    <t>Censer</t>
  </si>
  <si>
    <t>Fanny Pack</t>
  </si>
  <si>
    <t>50% chance to spawn 1 random loot on the grid when losing health</t>
  </si>
  <si>
    <t>wearable, bag</t>
  </si>
  <si>
    <t>FannyPack</t>
  </si>
  <si>
    <t>health_lost: 50% chance drop_loot 1</t>
  </si>
  <si>
    <t>C:\Users\Owner\Documents\Roguelike Roguelike\Roguelikes\Spellmasons.url</t>
  </si>
  <si>
    <t>https://store.steampowered.com/app/1618380?snr=5000_5100__</t>
  </si>
  <si>
    <t>C:\Users\Owner\Documents\Roguelike Roguelike\Roguelikes\Lost in Random The Eternal Die.url</t>
  </si>
  <si>
    <t>https://store.steampowered.com/app/2564520/Lost_in_Random_The_Eternal_Die/</t>
  </si>
  <si>
    <t>C:\Users\Owner\Documents\Roguelike Roguelike\Roguelikes\Dungeons of Blood and Dream.url</t>
  </si>
  <si>
    <t>https://store.steampowered.com/app/2488590/Dungeons_of_Blood_and_Dream/</t>
  </si>
  <si>
    <t>C:\Users\Owner\Documents\Roguelike Roguelike\Roguelikes\Rabbit and Steel.url</t>
  </si>
  <si>
    <t>https://store.steampowered.com/app/2132850/Rabbit_and_Steel/</t>
  </si>
  <si>
    <t>Bullat</t>
  </si>
  <si>
    <t>Shoot down a flying enemy</t>
  </si>
  <si>
    <t>bullet</t>
  </si>
  <si>
    <t>bat, bullet</t>
  </si>
  <si>
    <t>King Bullat</t>
  </si>
  <si>
    <t>KingBullat</t>
  </si>
  <si>
    <t>Fungun</t>
  </si>
  <si>
    <t>Shoot a mushroom</t>
  </si>
  <si>
    <t>Resourceful Rat</t>
  </si>
  <si>
    <t>Beat a mini-game inside of a game</t>
  </si>
  <si>
    <t>ResourcefulRat</t>
  </si>
  <si>
    <t>rat</t>
  </si>
  <si>
    <t>Chrome Pyramid</t>
  </si>
  <si>
    <t>Get an achievement 5% or less of players have gotten</t>
  </si>
  <si>
    <t>ChromePyramid</t>
  </si>
  <si>
    <t>Floating Eye</t>
  </si>
  <si>
    <t>FloatingEye</t>
  </si>
  <si>
    <t>Taunt at someone</t>
  </si>
  <si>
    <t>Gremlin Nob</t>
  </si>
  <si>
    <t>GremlinNob</t>
  </si>
  <si>
    <t>The Needle</t>
  </si>
  <si>
    <t>TheNeedle</t>
  </si>
  <si>
    <t>Destroy a wall</t>
  </si>
  <si>
    <t>Wallmonger</t>
  </si>
  <si>
    <t>2x3</t>
  </si>
  <si>
    <t>The Rainmaker</t>
  </si>
  <si>
    <t>Take a shower</t>
  </si>
  <si>
    <t>TheRainmaker</t>
  </si>
  <si>
    <t>The One Who Waits</t>
  </si>
  <si>
    <t>Enter or Create a religion</t>
  </si>
  <si>
    <t>TheOneWhoWaits</t>
  </si>
  <si>
    <t>Chubs&amp;Nubs</t>
  </si>
  <si>
    <t>Chubs &amp; Nubs</t>
  </si>
  <si>
    <t>Eat something smelly</t>
  </si>
  <si>
    <t>dog</t>
  </si>
  <si>
    <t>https://steamcommunity.com/app/1721110/discussions/0/600775708393865281/</t>
  </si>
  <si>
    <t>Abyssus</t>
  </si>
  <si>
    <t>abyssus</t>
  </si>
  <si>
    <t>https://store.steampowered.com/app/1721110/Abyssus/</t>
  </si>
  <si>
    <t>https://www.youtube.com/watch?v=5xuW5r3ww6Y</t>
  </si>
  <si>
    <t>Reignbreaker</t>
  </si>
  <si>
    <t>reignbreaker</t>
  </si>
  <si>
    <t>https://store.steampowered.com/app/2129810/Reignbreaker/</t>
  </si>
  <si>
    <t>C:\Users\Owner\Documents\Roguelike Roguelike\Roguelikes\Abyssus.url</t>
  </si>
  <si>
    <t>C:\Users\Owner\Documents\Roguelike Roguelike\Roguelikes\Reignbreaker.url</t>
  </si>
  <si>
    <t>https://www.reddit.com/r/Games/comments/1v0h3jp/pass_the_fear_playmud_studio_gungeonlike_with/</t>
  </si>
  <si>
    <t>Pass the Fear</t>
  </si>
  <si>
    <t>pass-the-fear</t>
  </si>
  <si>
    <t>https://store.steampowered.com/app/3561220/Pass_the_Fear/</t>
  </si>
  <si>
    <t>https://www.youtube.com/watch?v=4M-9B0RWQF8</t>
  </si>
  <si>
    <t>Rangedrifter</t>
  </si>
  <si>
    <t>https://www.reddit.com/r/roguelikedev/comments/1tbz50j/hello_made_a_3d_asciisprite_roguelike_called/</t>
  </si>
  <si>
    <t>rangedrifter</t>
  </si>
  <si>
    <t>https://store.steampowered.com/app/4595710/Rangedrifter/</t>
  </si>
  <si>
    <t>https://youtu.be/pkhzUQ39ts4</t>
  </si>
  <si>
    <t>Rig Riot</t>
  </si>
  <si>
    <t>rig-riot</t>
  </si>
  <si>
    <t>https://store.steampowered.com/app/3180340/RIG_Riot/</t>
  </si>
  <si>
    <t>The Loopler</t>
  </si>
  <si>
    <t>the-loopler</t>
  </si>
  <si>
    <t>https://store.steampowered.com/app/4150860/The_Loopler/</t>
  </si>
  <si>
    <t>https://www.reddit.com/r/IndieDev/comments/1ow9lo4/my_first_game_on_steam_is_finally_out_shard_squad/</t>
  </si>
  <si>
    <t>https://store.steampowered.com/app/3363560/Shard_Squad/</t>
  </si>
  <si>
    <t>Shard Squad</t>
  </si>
  <si>
    <t>shard-squad</t>
  </si>
  <si>
    <t>Pokémon Survivor Burst</t>
  </si>
  <si>
    <t>pokemon-survivor-burst</t>
  </si>
  <si>
    <t>C:\Users\Owner\Documents\Roguelike Roguelike\Roguelikes\Pokemon Survivor Burst.lnk</t>
  </si>
  <si>
    <t>https://www.pokecommunity.com/threads/pok%C3%A9mon-survivor-burst-multi-languages.543514/</t>
  </si>
  <si>
    <t>https://www.youtube.com/watch?v=L0Yg-sCCPEo</t>
  </si>
  <si>
    <t>Shroom and Gloom</t>
  </si>
  <si>
    <t>shroom-and-gloom</t>
  </si>
  <si>
    <t>https://store.steampowered.com/app/3271280/Shroom_and_Gloom/</t>
  </si>
  <si>
    <t>https://www.reddit.com/r/indiegames/comments/1sc54y5/batomon_showdown_a_casual_autobattler_inspired_by/</t>
  </si>
  <si>
    <t>Batomon Showdown</t>
  </si>
  <si>
    <t>batomon-showdown</t>
  </si>
  <si>
    <t>https://store.steampowered.com/app/4557380/Batomon_Showdown/</t>
  </si>
  <si>
    <t>Deep Rock Galactic: Rogue Core</t>
  </si>
  <si>
    <t>deep-rock-galactic-rogue-core</t>
  </si>
  <si>
    <t>https://store.steampowered.com/app/2605790/Deep_Rock_Galactic_Rogue_Core/</t>
  </si>
  <si>
    <t>https://www.gamereactor.eu/trading-rock-and-stone-for-rogue-and-like-deep-rock-galactic-rogue-core-interview-with-ghost-ship-games-1721543/</t>
  </si>
  <si>
    <t xml:space="preserve">mentions hades in discord a lot and check folder also here https://www.theastronauts.com/2022/10/redesigning-one-witchfire-feature/ </t>
  </si>
  <si>
    <t>https://steamcommunity.com/app/4283360/discussions/0/842879193508271024/#c842879193508275230</t>
  </si>
  <si>
    <t>Legionbound</t>
  </si>
  <si>
    <t>legionbound</t>
  </si>
  <si>
    <t>https://store.steampowered.com/app/4283360/Legionbound/</t>
  </si>
  <si>
    <t>https://x.com/CodeRed_dev/status/1925987988565074114?s=20</t>
  </si>
  <si>
    <t>Tinker Shot</t>
  </si>
  <si>
    <t>tinker-shot</t>
  </si>
  <si>
    <t>https://store.steampowered.com/app/3351280/Tinker_Shot/</t>
  </si>
  <si>
    <t>Fetus</t>
  </si>
  <si>
    <t>Find a baby</t>
  </si>
  <si>
    <t>Stem Cat</t>
  </si>
  <si>
    <t>Defeat an enemy that clones itself</t>
  </si>
  <si>
    <t>StemCat</t>
  </si>
  <si>
    <t>Skeleton Cat</t>
  </si>
  <si>
    <t>Restless Remains</t>
  </si>
  <si>
    <t>On Health depletion, will leave a corpse with 1 Max Health that will revive in it's current tile on game completion unless fully defeated</t>
  </si>
  <si>
    <t>Defeat a skeleton animal</t>
  </si>
  <si>
    <t>cat, undead, skeleton</t>
  </si>
  <si>
    <t>SkeletonCat</t>
  </si>
  <si>
    <t>Caveman Woman</t>
  </si>
  <si>
    <t>Witness a birth</t>
  </si>
  <si>
    <t>baby</t>
  </si>
  <si>
    <t>CavemanWoman</t>
  </si>
  <si>
    <t>Entry Summon (1, baby tag)</t>
  </si>
  <si>
    <t>Defeat a headless enemy</t>
  </si>
  <si>
    <t>Gain +1 Random Card</t>
  </si>
  <si>
    <t>Kernel Hearts</t>
  </si>
  <si>
    <t>kernel-hearts</t>
  </si>
  <si>
    <t>https://store.steampowered.com/app/2902170/Kernel_Hearts/</t>
  </si>
  <si>
    <t>https://www.youtube.com/shorts/VHSBsCiZ148</t>
  </si>
  <si>
    <t>https://x.com/DrivingRogue/status/2084622846303625448?s=20</t>
  </si>
  <si>
    <t>Driving Rogue</t>
  </si>
  <si>
    <t>driving-rogue</t>
  </si>
  <si>
    <t>https://store.steampowered.com/app/3088700/Driving_Rogue/</t>
  </si>
  <si>
    <t>https://x.com/NaiiveStudio/status/1986888642565193932?s=20</t>
  </si>
  <si>
    <t>Insider Trading</t>
  </si>
  <si>
    <t>insider-trading</t>
  </si>
  <si>
    <t>https://store.steampowered.com/app/3166810/Insider_Trading/</t>
  </si>
  <si>
    <t>https://youtu.be/O8FIzwdfuzs</t>
  </si>
  <si>
    <t>Lexispell</t>
  </si>
  <si>
    <t>lexispell</t>
  </si>
  <si>
    <t>https://store.steampowered.com/app/4053960/Lexispell/</t>
  </si>
  <si>
    <t>death: apply_tile Y</t>
  </si>
  <si>
    <t>passive: move_diagonal</t>
  </si>
  <si>
    <t>passive: aura_status Y X</t>
  </si>
  <si>
    <t>first_turn: gain_status dexterity X</t>
  </si>
  <si>
    <t>hit: destroy_loot X</t>
  </si>
  <si>
    <t>hit: devour</t>
  </si>
  <si>
    <t>hit: drain_stat Y X</t>
  </si>
  <si>
    <t>first_turn: summon_adjacent X Y</t>
  </si>
  <si>
    <t>spawn: set_fades X</t>
  </si>
  <si>
    <t>passive: immune burn</t>
  </si>
  <si>
    <t>spawn: gain_status speed X</t>
  </si>
  <si>
    <t>hit: add_curse random X</t>
  </si>
  <si>
    <t>death: dies_with_illusionist</t>
  </si>
  <si>
    <t>first_turn: summon_brood X Y illusion</t>
  </si>
  <si>
    <t>passive: no_move</t>
  </si>
  <si>
    <t>hit: apply_status Y X</t>
  </si>
  <si>
    <t>spawn: hide</t>
  </si>
  <si>
    <t>hit: add_curse injury 1</t>
  </si>
  <si>
    <t>turn: buff_nearest_ally Y X</t>
  </si>
  <si>
    <t>turn: summon_lane X defeated undead</t>
  </si>
  <si>
    <t>turn: summon_lane X Y</t>
  </si>
  <si>
    <t>passive: extra_turn_on_unmet_status_goal</t>
  </si>
  <si>
    <t>passive: reach X</t>
  </si>
  <si>
    <t>first_turn: idle; turn: gain_status strength 1 free</t>
  </si>
  <si>
    <t>passive: strike_through</t>
  </si>
  <si>
    <t>death: summon_here X Y</t>
  </si>
  <si>
    <t>spawn: gain_max_health X</t>
  </si>
  <si>
    <t>hit: steal Y X; passive: flee_when_carrying</t>
  </si>
  <si>
    <t>passive: push_through</t>
  </si>
  <si>
    <t>spawn: set_revives X; death: revive_next_game</t>
  </si>
  <si>
    <t>death: leave_corpse 1 revive=game_end</t>
  </si>
  <si>
    <t>Gain "If beaten in 1+(1/2)^(X-2) hours or less, Gain a [chest reward] and 1 Dash"</t>
  </si>
  <si>
    <t>Owner Sheet</t>
  </si>
  <si>
    <t>Owner</t>
  </si>
  <si>
    <t>Owner Detail</t>
  </si>
  <si>
    <t>Relation</t>
  </si>
  <si>
    <t>Count</t>
  </si>
  <si>
    <t>enemy</t>
  </si>
  <si>
    <t>has</t>
  </si>
  <si>
    <t>boss</t>
  </si>
  <si>
    <t>The Insatiable</t>
  </si>
  <si>
    <t>Eat a living creature</t>
  </si>
  <si>
    <t>phase 1 of 3</t>
  </si>
  <si>
    <t>Throw a body part</t>
  </si>
  <si>
    <t>phase 2 of 3</t>
  </si>
  <si>
    <t>Defeat a rotten enemy</t>
  </si>
  <si>
    <t>phase 3 of 3</t>
  </si>
  <si>
    <t>character</t>
  </si>
  <si>
    <t>curse</t>
  </si>
  <si>
    <t>on player</t>
  </si>
  <si>
    <t>modifies</t>
  </si>
  <si>
    <t>If beaten in 1+(1/2)^(X-2) hours or less</t>
  </si>
  <si>
    <t>If beaten while the difficulty is increased X times or as much as possible</t>
  </si>
  <si>
    <t>beat a game twice in a row to set it as Completed</t>
  </si>
  <si>
    <t>Defeat 2 skeletons with a ball</t>
  </si>
  <si>
    <t>Defeat 3 skeletons with a ball</t>
  </si>
  <si>
    <t>Obtain a key</t>
  </si>
  <si>
    <t>beat a game while not healing intentionally</t>
  </si>
  <si>
    <t>beat a game while skipping or trashing X items/upgrades</t>
  </si>
  <si>
    <t>Ticked</t>
  </si>
  <si>
    <t>any time</t>
  </si>
  <si>
    <t>game beaten</t>
  </si>
  <si>
    <t>Defeat 5 skeletons</t>
  </si>
  <si>
    <t>Defeat 3 bugs</t>
  </si>
  <si>
    <t>Defeat 3 goblins</t>
  </si>
  <si>
    <t>Defeat 3 spiders</t>
  </si>
  <si>
    <t>Defeat a God</t>
  </si>
  <si>
    <t>Beat a game while having collected 3 different types of currency</t>
  </si>
  <si>
    <t>Beat a game while having crafted or combined a spell or weapon</t>
  </si>
  <si>
    <t>Beat a game with the help of a God</t>
  </si>
  <si>
    <t>Beat a game while being stinky</t>
  </si>
  <si>
    <t>Beat a game while having muted the game</t>
  </si>
  <si>
    <t>Beat a game while having made a friend</t>
  </si>
  <si>
    <t>Beat a game while having made a Faustian bargain</t>
  </si>
  <si>
    <t>Beat a game while having used sorrow or self-inflicted pain as a weapon</t>
  </si>
  <si>
    <t>Beat a game without backtracking</t>
  </si>
  <si>
    <t>Beat a game without purposefully healing</t>
  </si>
  <si>
    <t>Beat a game without spending currency</t>
  </si>
  <si>
    <t>Beat a game without using a weapon</t>
  </si>
  <si>
    <t>Beat a game without using magic</t>
  </si>
  <si>
    <t>Beat a game without using melee attacks</t>
  </si>
  <si>
    <t>Beat a game without using metal armor</t>
  </si>
  <si>
    <t>Beat a game without eating any food</t>
  </si>
  <si>
    <t>Beat a game while only using 1 hand</t>
  </si>
  <si>
    <t xml:space="preserve">Beat a game while only taking the first option offered when taking reward options </t>
  </si>
  <si>
    <t>Have 6 Guns at once</t>
  </si>
  <si>
    <t>Shoot down 2 flying enemies</t>
  </si>
  <si>
    <t>beat a game while getting X achievements</t>
  </si>
  <si>
    <t>if X or all bosses were beaten without getting hit when beating a game</t>
  </si>
  <si>
    <t>Perfect a game by beating it without losing</t>
  </si>
  <si>
    <t>Beat a game while having selected a random starting build</t>
  </si>
  <si>
    <t>Beat a game while only taking the first option offered when taking reward options</t>
  </si>
  <si>
    <t>Eat a living creature/Throw a body part/Defeat a rotten enemy</t>
  </si>
  <si>
    <t>Gain "You must beat a game while skipping or trashing X items/upgrades or take 3 Damage."</t>
  </si>
  <si>
    <t>Gains "or instead beat a game while skipping or trashing 4-X items/upgrades"</t>
  </si>
  <si>
    <t>Gain "if X or all bosses were beaten without getting hit when beating a game, Gain a [chest reward]"</t>
  </si>
  <si>
    <t>Gains "and you must beat X or all bosses without getting hit in the run you complete the goal in"</t>
  </si>
  <si>
    <t>Gain "You must beat a game while getting X achievements or take 3 Damage."</t>
  </si>
  <si>
    <t>Gains "and if you get X achievements in the run you complete the goal in, Gain a [chest reward]"</t>
  </si>
  <si>
    <t>Gains "and the goal must be completed 1+(1/2)^(X-2) hours or less into that run"</t>
  </si>
  <si>
    <t>clause "the game must be beaten in {1+(1/2)^(X-2):hours} or less"</t>
  </si>
  <si>
    <t>Gains "and the difficulty must be increased X times or as much as possible in the run you complete the goal in"</t>
  </si>
  <si>
    <t>Gain "You must beat a game while not healing intentionally or take 3 Damage. This lasts for X games."</t>
  </si>
  <si>
    <t>Gains "and if you didn't intentionally heal in the run you complete the goal in, Gain a [chest reward]"</t>
  </si>
  <si>
    <t>Teleport to the nearest Shop</t>
  </si>
  <si>
    <t>teleport_shop</t>
  </si>
  <si>
    <t>Legend of Dungeon</t>
  </si>
  <si>
    <t>legend-of-dungeon</t>
  </si>
  <si>
    <t>https://store.steampowered.com/app/238280/Legend_of_Dungeon/</t>
  </si>
  <si>
    <t>Stolen Realm Survivors</t>
  </si>
  <si>
    <t>stolen-realm-survivors</t>
  </si>
  <si>
    <t>https://store.steampowered.com/app/3228580/Stolen_Realm_Survivors/</t>
  </si>
  <si>
    <t>Pyrene</t>
  </si>
  <si>
    <t>pyrene</t>
  </si>
  <si>
    <t>https://store.steampowered.com/app/2468100/Pyrene/</t>
  </si>
  <si>
    <t>Space Prison</t>
  </si>
  <si>
    <t>space-prison</t>
  </si>
  <si>
    <t>https://store.steampowered.com/app/1865930/Space_Prison/</t>
  </si>
  <si>
    <t>Anomaly Collapse</t>
  </si>
  <si>
    <t>anomaly-collapse</t>
  </si>
  <si>
    <t>https://store.steampowered.com/app/2082410/Anomaly_Collapse/</t>
  </si>
  <si>
    <t>Trash of the Titans</t>
  </si>
  <si>
    <t>trash-of-the-titans</t>
  </si>
  <si>
    <t>https://store.steampowered.com/app/2450400/Trash_of_the_Titans/</t>
  </si>
  <si>
    <t>Pebble Knights</t>
  </si>
  <si>
    <t>pebble-knights</t>
  </si>
  <si>
    <t>https://store.steampowered.com/app/3087930/Pebble_Knights/</t>
  </si>
  <si>
    <t>https://www.reddit.com/r/roguelikes/comments/13qgts/new_roguelike_legend_of_dungeon_inspired_by_my/</t>
  </si>
  <si>
    <t>https://www.reddit.com/r/roguelites/comments/1t6eumj/we_spent_2_years_making_a_coop_action_roguelite/</t>
  </si>
  <si>
    <t>https://www.indiedb.com/news/dev-blog-10-references-and-pop-culture-in-space-prison</t>
  </si>
  <si>
    <t>https://www.facebook.com/groups/132728896890594/posts/2551615688335224/</t>
  </si>
  <si>
    <t>https://www.reddit.com/r/Games/comments/17dw9zh/trash_of_the_titans_tabagain_its_into_the_breach/</t>
  </si>
  <si>
    <t>https://www.reddit.com/r/IndieGaming/comments/1h0xiwq/been_working_on_pebble_knights_a_mix_of_survival/</t>
  </si>
  <si>
    <t>C:\Users\Owner\Documents\Roguelike Roguelike\Roguelikes\Tyrant's Realm.url</t>
  </si>
  <si>
    <t>C:\Users\Owner\Documents\Roguelike Roguelike\Roguelikes\CleanFall.url</t>
  </si>
  <si>
    <t>https://store.steampowered.com/app/2769780/CleanFall/</t>
  </si>
  <si>
    <t>C:\Users\Owner\Documents\Roguelike Roguelike\Roguelikes\SuperTaxCity.url</t>
  </si>
  <si>
    <t>https://store.steampowered.com/app/2881800/SuperTaxCity/</t>
  </si>
  <si>
    <t>C:\Users\Owner\Documents\Roguelike Roguelike\Roguelikes\The Royal Writ.url</t>
  </si>
  <si>
    <t>C:\Users\Owner\Documents\Roguelike Roguelike\Roguelikes\Turnbound.url</t>
  </si>
  <si>
    <t>C:\Users\Owner\Documents\Roguelike Roguelike\Roguelikes\Hand of Fate 2.url</t>
  </si>
  <si>
    <t>https://store.steampowered.com/app/456670/Hand_of_Fate_2/</t>
  </si>
  <si>
    <t>C:\Users\Owner\Documents\Roguelike Roguelike\Roguelikes\Sandwalkers.url</t>
  </si>
  <si>
    <t>C:\Users\Owner\Documents\Roguelike Roguelike\Roguelikes\Batomon Showdown.url</t>
  </si>
  <si>
    <t>C:\Users\Owner\Documents\Roguelike Roguelike\Roguelikes\Backpack Battles.url</t>
  </si>
  <si>
    <t>https://store.steampowered.com/app/2427700/Backpack_Battles/</t>
  </si>
  <si>
    <t>The Magus Circle</t>
  </si>
  <si>
    <t>https://store.steampowered.com/app/2796640/The_Magus_Circle/</t>
  </si>
  <si>
    <t>the-magus-circle</t>
  </si>
  <si>
    <t>Chaos the Clown</t>
  </si>
  <si>
    <t>ChaosTheClown</t>
  </si>
  <si>
    <t>Burnt Penny</t>
  </si>
  <si>
    <t>BurntPenny</t>
  </si>
  <si>
    <t>Bloody Penny</t>
  </si>
  <si>
    <t>BloodyPenny</t>
  </si>
  <si>
    <t>Counterfeit Penny</t>
  </si>
  <si>
    <t>coin, blood</t>
  </si>
  <si>
    <t>CounterfeitPenny</t>
  </si>
  <si>
    <t>Charged Penny</t>
  </si>
  <si>
    <t>ChargedPenny</t>
  </si>
  <si>
    <t>Swallowed Penny</t>
  </si>
  <si>
    <t>SwallowedPenny</t>
  </si>
  <si>
    <t>Wooden Cross</t>
  </si>
  <si>
    <t>WoodenCross</t>
  </si>
  <si>
    <t>Hairpin</t>
  </si>
  <si>
    <t>IV - The Emperor</t>
  </si>
  <si>
    <t>Spawn a random Boss from the current Game Type and Difficulty Tier</t>
  </si>
  <si>
    <t>IVTheEmperor</t>
  </si>
  <si>
    <t>Endless Nameless</t>
  </si>
  <si>
    <t>EndlessNameless</t>
  </si>
  <si>
    <t>Isaac's Fork</t>
  </si>
  <si>
    <t>IsaacsFork</t>
  </si>
  <si>
    <t>Goat Hoof</t>
  </si>
  <si>
    <t>GoatHoof</t>
  </si>
  <si>
    <t>Blueprint</t>
  </si>
  <si>
    <t>Rocket</t>
  </si>
  <si>
    <t>Deck of Cards</t>
  </si>
  <si>
    <t>Gain +1 Card</t>
  </si>
  <si>
    <t>DeckOfCards</t>
  </si>
  <si>
    <t>Trading Card</t>
  </si>
  <si>
    <t>TradingCard</t>
  </si>
  <si>
    <t>To the Moon</t>
  </si>
  <si>
    <t>ToTheMoon</t>
  </si>
  <si>
    <t>item_used: gain_card 1</t>
  </si>
  <si>
    <t>bank_shields</t>
  </si>
  <si>
    <t>copy_right</t>
  </si>
  <si>
    <t>shop_entered: gain_stat scramble 1</t>
  </si>
  <si>
    <t>echo_first_loot 1</t>
  </si>
  <si>
    <t>spawn_boss</t>
  </si>
  <si>
    <t>game_won: gain_gold 1 plus=counter; enemy_killed if_boss: bump 2</t>
  </si>
  <si>
    <t>game_won: gain_gold 1 per=3 of=gold</t>
  </si>
  <si>
    <t>card_binned once_per_game: gain_gold 2</t>
  </si>
  <si>
    <t>gold_gained: 25% chance gain_hp 1</t>
  </si>
  <si>
    <t>gold_gained: 25% chance gain_stat bombs 1</t>
  </si>
  <si>
    <t>gold_gained: 16% chance charge_random 1</t>
  </si>
  <si>
    <t>gold_gained: 50% chance gain_gold 1</t>
  </si>
  <si>
    <t>loot_used: 25% chance drop_copy</t>
  </si>
  <si>
    <t>passive_status: speed 1</t>
  </si>
  <si>
    <t>boss_spawned: charge_random full</t>
  </si>
  <si>
    <t>game_won: 25% chance gain_hp 1</t>
  </si>
  <si>
    <t>Potion Belt</t>
  </si>
  <si>
    <t>Protective Purse</t>
  </si>
  <si>
    <t>4x1</t>
  </si>
  <si>
    <t>The first time a potion is consumed while inside this bag, Gain +1 Random Buff. Every 4 Potions consumed in this bag removes a random Debuff on the player.</t>
  </si>
  <si>
    <t>PotionBelt</t>
  </si>
  <si>
    <t>ProtectivePurse</t>
  </si>
  <si>
    <t>Leather Bag</t>
  </si>
  <si>
    <t>LeatherBag</t>
  </si>
  <si>
    <t>loot_used if_loot=potion if_in_bag once_per_game: gain_random_buff 1; loot_used if_loot=potion if_in_bag every=4: remove_random_debuff 1</t>
  </si>
  <si>
    <t>Broccoli</t>
  </si>
  <si>
    <t>Cupcake</t>
  </si>
  <si>
    <t>food, sweets</t>
  </si>
  <si>
    <t>Cheese</t>
  </si>
  <si>
    <t>food, dairy</t>
  </si>
  <si>
    <t>Carrot</t>
  </si>
  <si>
    <t>Holdall</t>
  </si>
  <si>
    <t>Charge</t>
  </si>
  <si>
    <t>heat</t>
  </si>
  <si>
    <t>Heat</t>
  </si>
  <si>
    <t>Charged</t>
  </si>
  <si>
    <t>25% chance to Gain +1 Health when gaining Gold</t>
  </si>
  <si>
    <t>25% chance to Gain +1 Bomb when gaining Gold</t>
  </si>
  <si>
    <t>50% chance to Gain +1 Gold when gaining Gold</t>
  </si>
  <si>
    <t>Whenever you use a loot, 25% chance to spawn a duplicate of that loot on the board</t>
  </si>
  <si>
    <t>25% chance to Gain +1 Health when Completing a Game</t>
  </si>
  <si>
    <t>Gain +1 Gold when losing Health</t>
  </si>
  <si>
    <t xml:space="preserve">At the start of combat, Gain +1 Temporary Shield </t>
  </si>
  <si>
    <t xml:space="preserve">Whenever you complete a game, Gain +1 Gold. Increase Gold payout by 2 when you defeat a boss. </t>
  </si>
  <si>
    <t>Whenever you complete a game, Gain +1 Gold for each 3 Gold you have.</t>
  </si>
  <si>
    <t>Once per game, Gain +2 Gold when trashing a card</t>
  </si>
  <si>
    <t>The first loot you use each game plays an additional copy</t>
  </si>
  <si>
    <t>Whenever you enter a shop, Gain +1 Scramble</t>
  </si>
  <si>
    <t>Copy the effect of the loot to the right of this if possible</t>
  </si>
  <si>
    <t>When a game resolves, unspent Temporary Shields become Shields</t>
  </si>
  <si>
    <t>Whenever you defeat an enemy, Gain +1 Charge. On 6 Charges, Gain +2 Luck</t>
  </si>
  <si>
    <t xml:space="preserve">Whenever you defeat an enemy, Gain +1 Charge. On 3 Charges, Lose 1 Random Debuff </t>
  </si>
  <si>
    <t>Whenever you defeat an enemy, Gain +1 Charge. On 4 Charges, Gain +5 Empty Max Health and Gain +1 Random Buff</t>
  </si>
  <si>
    <t>Whenever you defeat an enemy, Gain +1 Charge. On 6 Charges, Gain +5 Health and Gain +1 Buff to the one you have the most of</t>
  </si>
  <si>
    <t>Whenever you defeat an enemy, Gain +1 Charge. On 4 Charges, Gain +3 Temporary Shield</t>
  </si>
  <si>
    <t>When Loot inside this bag would Gain +1 Charge, it has a +10% chance to Gain +1 Charge</t>
  </si>
  <si>
    <t>At the start of combat, Gain +1 Temporary Shield for every 2 Unidentified Loot in this bag</t>
  </si>
  <si>
    <t>Hero Sword</t>
  </si>
  <si>
    <t>Be a hero</t>
  </si>
  <si>
    <t>Aim</t>
  </si>
  <si>
    <t>Area</t>
  </si>
  <si>
    <t>front</t>
  </si>
  <si>
    <t>stun 1</t>
  </si>
  <si>
    <t>HeroSword</t>
  </si>
  <si>
    <t>Stankus' Toothpick</t>
  </si>
  <si>
    <t>Every Weapon adjacent to this Gains +1 Stun</t>
  </si>
  <si>
    <t>Every 2 Food adjacent to this weapon gives this +1 Stun</t>
  </si>
  <si>
    <t>StankusToothpick</t>
  </si>
  <si>
    <t>Attack an enemy with food</t>
  </si>
  <si>
    <t>Wooden Sword</t>
  </si>
  <si>
    <t>WoodenSword</t>
  </si>
  <si>
    <t>Defeat an enemy with wooden gear on</t>
  </si>
  <si>
    <t>Weapons above and below Gain +1 Stun</t>
  </si>
  <si>
    <t>food, vegetable, garlic</t>
  </si>
  <si>
    <t>stone, whetstone</t>
  </si>
  <si>
    <t>Any Item or Trinket with "whetstone"</t>
  </si>
  <si>
    <t>Outcome</t>
  </si>
  <si>
    <t>Any Item or Trinket with "garlic"</t>
  </si>
  <si>
    <t>Hero Longsword</t>
  </si>
  <si>
    <t>3x1</t>
  </si>
  <si>
    <t>stun 2</t>
  </si>
  <si>
    <t>Every Weapon adjacent to this Gains +2 Stun</t>
  </si>
  <si>
    <t>HeroLongsword</t>
  </si>
  <si>
    <t>3x2</t>
  </si>
  <si>
    <t>Any 2 Items or Trinkets with "whetstone"</t>
  </si>
  <si>
    <t>Consume All</t>
  </si>
  <si>
    <t>any</t>
  </si>
  <si>
    <t>plus</t>
  </si>
  <si>
    <t>Explode an enemy with a cannon ball</t>
  </si>
  <si>
    <t>Consume None</t>
  </si>
  <si>
    <t>Any Item or Trinket with "crown"</t>
  </si>
  <si>
    <t>KingBomber</t>
  </si>
  <si>
    <t>enemy_killed charges=6: gain_stat luck 2</t>
  </si>
  <si>
    <t>enemy_killed charges=3: remove_random_debuff 1</t>
  </si>
  <si>
    <t>16% chance to Gain +1 Charge to a random Chargeable Item or Loot when gaining Gold</t>
  </si>
  <si>
    <t>enemy_killed charges=4: gain_empty_max_hp 5; gain_random_buff 1</t>
  </si>
  <si>
    <t>enemy_killed charges=6: gain_hp 5; gain_top_buff 1</t>
  </si>
  <si>
    <t>enemy_killed charges=4: gain_stat shields 3</t>
  </si>
  <si>
    <t>Fully Charge a random Chargeable Item or Loot when a Boss spawns</t>
  </si>
  <si>
    <t>weapon_stun +1 dirs=up,down</t>
  </si>
  <si>
    <t>Gain +3 Charges for random Chargeable Items and Loot</t>
  </si>
  <si>
    <t>Fully Charge 3 Random Chargeable Items and Loot</t>
  </si>
  <si>
    <t>Passive Effect</t>
  </si>
  <si>
    <t>weapon_stun +2 dirs=adjacent</t>
  </si>
  <si>
    <t>weapon_stun +1 dirs=adjacent</t>
  </si>
  <si>
    <t>Gain +1 Gold for each enemy Stunned with this weapon</t>
  </si>
  <si>
    <t>weapon_stunned if_self: gain_gold 1</t>
  </si>
  <si>
    <t>stun_per_food +1 per=2</t>
  </si>
  <si>
    <t>charge_bonus 10%</t>
  </si>
  <si>
    <t>game_selected: gain_stat shields 1 per=2 of=unidentified_in_bag</t>
  </si>
  <si>
    <t>Beat a game while having defeated a vampire</t>
  </si>
  <si>
    <t>Enemies in the 2 leftmost columns take no extra turns</t>
  </si>
  <si>
    <t>Adjacent Weapons trigger an extra time</t>
  </si>
  <si>
    <t>Lightning Ring</t>
  </si>
  <si>
    <t>random</t>
  </si>
  <si>
    <t>Defeat an enemy with a lightning bolt</t>
  </si>
  <si>
    <t>LightningRing</t>
  </si>
  <si>
    <t>ring, lightning</t>
  </si>
  <si>
    <t>Thunder Loop</t>
  </si>
  <si>
    <t>ThunderLoop</t>
  </si>
  <si>
    <t>stun 2, push right 1</t>
  </si>
  <si>
    <t>Starting loadout</t>
  </si>
  <si>
    <t>1 random joker card</t>
  </si>
  <si>
    <t>tarot</t>
  </si>
  <si>
    <t>playing_card</t>
  </si>
  <si>
    <t>joker</t>
  </si>
  <si>
    <t>1 random wand</t>
  </si>
  <si>
    <t>Gains +1 Replay after each use (Max 4 times)</t>
  </si>
  <si>
    <t>Whip</t>
  </si>
  <si>
    <t>Defeat a vampire</t>
  </si>
  <si>
    <t>Any Item or Trinket with "heart"</t>
  </si>
  <si>
    <t>Bloody Tear</t>
  </si>
  <si>
    <t>Gain +1 Health for each enemy hit</t>
  </si>
  <si>
    <t>BloodyTear</t>
  </si>
  <si>
    <t>Dicevaders</t>
  </si>
  <si>
    <t>dicevaders</t>
  </si>
  <si>
    <t>https://store.steampowered.com/app/3917700/Dicevaders/</t>
  </si>
  <si>
    <t>Gain +1 Bomb. Bombs now apply 1 Stun to all rows in the 4 cardinal directions</t>
  </si>
  <si>
    <t>front_column_slow 2</t>
  </si>
  <si>
    <t>weapon_retrigger +1 dirs=adjacent</t>
  </si>
  <si>
    <t>weapon_hit if_self: gain_hp 1</t>
  </si>
  <si>
    <t>replay_on_use +1 max=4</t>
  </si>
  <si>
    <t>https://www.youtube.com/watch?v=uKyeo6l_pAQ</t>
  </si>
  <si>
    <t>C:\Users\Owner\Documents\Roguelike Roguelike\Roguelikes\Army of Ruin.url</t>
  </si>
  <si>
    <t>https://store.steampowered.com/app/1918040/Army_of_Ruin/</t>
  </si>
  <si>
    <t>C:\Users\Owner\Documents\Roguelike Roguelike\Roguelikes\Chess Survivors.url</t>
  </si>
  <si>
    <t>C:\Users\Owner\Documents\Roguelike Roguelike\Roguelikes\Eldritch.url</t>
  </si>
  <si>
    <t>C:\Users\Owner\Documents\Roguelike Roguelike\Roguelikes\Flick Shot Rogues.url</t>
  </si>
  <si>
    <t>https://store.steampowered.com/app/2427450/Flick_Shot_Rogues/</t>
  </si>
  <si>
    <t>C:\Users\Owner\Documents\Roguelike Roguelike\Roguelikes\Pixel Dungeon.url</t>
  </si>
  <si>
    <t>C:\Users\Owner\Documents\Roguelike Roguelike\Roguelikes\Plinbo.url</t>
  </si>
  <si>
    <t>C:\Users\Owner\Documents\Roguelike Roguelike\Roguelikes\Sky Rogue.url</t>
  </si>
  <si>
    <t>C:\Users\Owner\Documents\Roguelike Roguelike\Roguelikes\Space Prison.url</t>
  </si>
  <si>
    <t>C:\Users\Owner\Documents\Roguelike Roguelike\Roguelikes\Sparklite.url</t>
  </si>
  <si>
    <t>Star Renegades</t>
  </si>
  <si>
    <t>star-renegades</t>
  </si>
  <si>
    <t>C:\Users\Owner\Documents\Roguelike Roguelike\Roguelikes\Star Renegades.url</t>
  </si>
  <si>
    <t>https://store.steampowered.com/app/651670/Star_Renegades/</t>
  </si>
  <si>
    <t>C:\Users\Owner\Documents\Roguelike Roguelike\Roguelikes\Stories from the Outbreak.url</t>
  </si>
  <si>
    <t>https://store.steampowered.com/app/1968630/Stories_from_the_Outbreak/</t>
  </si>
  <si>
    <t>C:\Users\Owner\Documents\Roguelike Roguelike\Roguelikes\Sword of the Necromancer.url</t>
  </si>
  <si>
    <t>C:\Users\Owner\Documents\Roguelike Roguelike\Roguelikes\The Last Game.url</t>
  </si>
  <si>
    <t>C:\Users\Owner\Documents\Roguelike Roguelike\Roguelikes\Tower Fortress.url</t>
  </si>
  <si>
    <t>C:\Users\Owner\Documents\Roguelike Roguelike\Roguelikes\Trials of Fire.url</t>
  </si>
  <si>
    <t>https://youtu.be/_Ner8cAfsBg</t>
  </si>
  <si>
    <t>C:\Users\Owner\Documents\Roguelike Roguelike\Roguelikes\Skull Horde.url</t>
  </si>
  <si>
    <t>https://store.steampowered.com/app/3199360/Skull_Horde/</t>
  </si>
  <si>
    <t>C:\Users\Owner\Documents\Roguelike Roguelike\Roguelikes\Cats &amp; Dice.url</t>
  </si>
  <si>
    <t>C:\Users\Owner\Documents\Roguelike Roguelike\Roguelikes\Shape of Dreams.url</t>
  </si>
  <si>
    <t>https://store.steampowered.com/app/2444750/Shape_of_Dreams/</t>
  </si>
  <si>
    <t>C:\Users\Owner\Documents\Roguelike Roguelike\Roguelikes\33 Immortals.url</t>
  </si>
  <si>
    <t>https://www.inven.co.kr/webzine/news/?news=194987</t>
  </si>
  <si>
    <t>https://rogueliker.com/footgun-underground-interview/</t>
  </si>
  <si>
    <t>https://cheerfulghost.com/jdodson/posts/1590/interview-with-death-road-to-canada-s-kepa-auwae</t>
  </si>
  <si>
    <t>https://toogytime.wordpress.com/2014/12/16/toogy-talk-crawl-an-interview-with-barney-cumming-of-powerhoof/</t>
  </si>
  <si>
    <t>https://www.pentadact.com/2015-09-25-natural-numbers-in-game-design/</t>
  </si>
  <si>
    <t>https://steamcommunity.com/games/1000010/announcements/detail/1712958942358263915</t>
  </si>
  <si>
    <t>https://steamcommunity.com/games/3123120/announcements/detail/502834694432228039</t>
  </si>
  <si>
    <t>https://steamcommunity.com/games/2835570/announcements/detail/4181107834755509907</t>
  </si>
  <si>
    <t>https://cliqist.com/2015/01/30/children-morta-interview/#</t>
  </si>
  <si>
    <t>https://www.gamesradar.com/modern-roguelikes-are-in-great-shape-but-where-does-the-genre-go-next/</t>
  </si>
  <si>
    <t>https://steamcommunity.com/games/3066570/announcements/detail/4356754561281185320</t>
  </si>
  <si>
    <t>https://steamcommunity.com/games/3923750/announcements/detail/503962497384974869</t>
  </si>
  <si>
    <t>https://steamcommunity.com/games/1619520/announcements/detail/3692434297316940519</t>
  </si>
  <si>
    <t>https://steamcommunity.com/games/1123770/announcements/detail/1697231221626410268</t>
  </si>
  <si>
    <t>https://www.nintendolife.com/news/2021/02/feature_curse_of_the_dead_gods_devs_on_early_access_switch_challenges_and_hades_comparisons</t>
  </si>
  <si>
    <t>https://steamcommunity.com/games/1637320/announcements/detail/4673137508062083951</t>
  </si>
  <si>
    <t>https://steamcommunity.com/games/2342950/announcements/detail/3801662447199262264</t>
  </si>
  <si>
    <t>https://steamcommunity.com/games/2342950/announcements/detail/524208404882784298</t>
  </si>
  <si>
    <t>https://steamcommunity.com/games/1914580/announcements/detail/3096792662638547858</t>
  </si>
  <si>
    <t>https://steamcommunity.com/games/2068280/announcements/detail/5301322539098227375</t>
  </si>
  <si>
    <t>https://steamcommunity.com/games/2105840/announcements/detail/670626757615813587</t>
  </si>
  <si>
    <t>https://steamcommunity.com/games/2105840/announcements/detail/526488742956893954</t>
  </si>
  <si>
    <t>https://steamcommunity.com/games/262790/announcements/detail/1694779751808309596</t>
  </si>
  <si>
    <t>https://steamcommunity.com/games/692890/announcements/detail/4599817768902300278</t>
  </si>
  <si>
    <t>https://steamcommunity.com/games/1494560/announcements/detail/4187858160655360600</t>
  </si>
  <si>
    <t>https://steamcommunity.com/games/2067920/announcements/detail/3908626109457877555</t>
  </si>
  <si>
    <t>Runic Survivor</t>
  </si>
  <si>
    <t>runic-survivor</t>
  </si>
  <si>
    <t>https://store.steampowered.com/app/2116920/Runic_Survivor/</t>
  </si>
  <si>
    <t>https://steamcommunity.com/games/1732090/announcements/detail/3328736922033412095</t>
  </si>
  <si>
    <t>https://steamcommunity.com/games/1227280/announcements/detail/4522268823003961902</t>
  </si>
  <si>
    <t>Slime 3k: Demake</t>
  </si>
  <si>
    <t>slime-3k-demake</t>
  </si>
  <si>
    <t>C:\Users\Owner\Documents\Roguelike Roguelike\Roguelikes\Slime3kDemake.lnk</t>
  </si>
  <si>
    <t>https://steamcommunity.com/games/1105670/announcements/detail/2996568545566483264</t>
  </si>
  <si>
    <t>https://steamcommunity.com/games/2088570/announcements/detail/6770639657665738311</t>
  </si>
  <si>
    <t>https://steamcommunity.com/games/2066020/announcements/detail/538872373928001896</t>
  </si>
  <si>
    <t>https://steamcommunity.com/app/3228590/discussions/0/591779267908673222/#c591779267908675739</t>
  </si>
  <si>
    <t>https://www.gamespark.jp/article/2025/07/24/155340.html</t>
  </si>
  <si>
    <t>https://v.daum.net/v/pIwu8NNfMg?f=p</t>
  </si>
  <si>
    <t>https://www.gamecast-blog.com/archives/66001023.html</t>
  </si>
  <si>
    <t>https://www.gamespark.jp/article/2025/12/23/160936.html</t>
  </si>
  <si>
    <t>https://bbs.ruliweb.com/news/read/152932</t>
  </si>
  <si>
    <t>https://dtf.ru/gamedev/141739-otzyvy-i-obshenie-na-meropriyatiyah-uchat-luchshe-lyubyh-kursov-beseda-s-avtorom-rogalika-despots-game</t>
  </si>
  <si>
    <t>Despot's Game</t>
  </si>
  <si>
    <t>Despotism 3k</t>
  </si>
  <si>
    <t>https://store.steampowered.com/app/699920/Despotism_3k/</t>
  </si>
  <si>
    <t>despotism-3k</t>
  </si>
  <si>
    <t>https://www.gamespark.jp/article/2026/05/10/166209.html</t>
  </si>
  <si>
    <t>https://www.gamedeveloper.com/business/paper-heroes-colm-larkin-and-guild-of-dungeoneering</t>
  </si>
  <si>
    <t>https://www.gamedeveloper.com/design/road-to-the-igf-spry-fox-s-and-wild-shadow-studios-i-realm-of-the-mad-god-i-</t>
  </si>
  <si>
    <t>https://rpgcodex.net/content.php?id=8133</t>
  </si>
  <si>
    <t>https://reviewfix.com/2018/08/review-fix-exclusive-inside-caves-of-qud/</t>
  </si>
  <si>
    <t>https://www.theyoungfolks.com/video-games/154551/interview-joris-dormans-details-the-gameplay-and-story-of-unexplored-2/</t>
  </si>
  <si>
    <t>https://www.gamegrin.com/articles/developer-interview-neon-abyss-2-veewo-games/</t>
  </si>
  <si>
    <t>https://www.gamespark.jp/article/2023/02/15/127110.html</t>
  </si>
  <si>
    <t>https://www.gamedeveloper.com/design/-play-86-interview-with-adom-creator-dr-thomas-biskup</t>
  </si>
  <si>
    <t>https://itch.io/t/9805/immortal-redneck-the-definitive-redneck-fps-roguelite</t>
  </si>
  <si>
    <t>https://reviewfix.com/2018/03/review-fix-exclusive-inside-immortal-redneck/</t>
  </si>
  <si>
    <t>https://www.engadget.com/2013-08-15-wasteland-kings-is-vlambeers-next-big-little-game.html</t>
  </si>
  <si>
    <t>https://web.archive.org/web/20250319160658/https://www.whatsitlike.com.au/interview-with-tiago-zaidan-vampire-hunters/</t>
  </si>
  <si>
    <t>https://nichegamer.com/patch-quest-interview/</t>
  </si>
  <si>
    <t>https://valleesdeletrange.wordpress.com/2026/03/09/sol-cesto-le-bandit-manchot-et-ses-deux-tetes-entretien-avec-chariospirale-et-docgeraud/</t>
  </si>
  <si>
    <t>https://spacemyfriend.itch.io/cavity-busters</t>
  </si>
  <si>
    <t>https://www.rpgsite.net/interview/20000-brian-bucklew-caves-of-qud-interview-expansions-switch-port-unity-controller-support-coffee</t>
  </si>
  <si>
    <t>https://www.quartertothree.com/fp/2013/07/30/ten-things-you-should-know-about-sunless-sea/</t>
  </si>
  <si>
    <t>https://www.gamedeveloper.com/game-platforms/playing-catch-up-i-castle-of-the-winds-i-rick-saada</t>
  </si>
  <si>
    <t>https://newsletter.gamediscover.co/p/how-sulfur-sold-50k-real-fast-and</t>
  </si>
  <si>
    <t>Sulfur</t>
  </si>
  <si>
    <t>C:\Users\Owner\Documents\Roguelike Roguelike\Roguelikes\Runic.url</t>
  </si>
  <si>
    <t>C:\Users\Owner\Documents\Roguelike Roguelike\Roguelikes\Infinite Space III Sea of Stars.url</t>
  </si>
  <si>
    <t>https://www.gamedeveloper.com/design/building-i-enter-the-gungeon-i-s-dungeon-climbing-spin-off-i-exit-the-gungeon-i-</t>
  </si>
  <si>
    <t>https://howtomarketagame.com/2025/08/13/gnomes-tower-defense-with-10-month-dev-time-hits-367484/</t>
  </si>
  <si>
    <t>https://steamcommunity.com/games/981430/announcements/detail/3728349046587300862</t>
  </si>
  <si>
    <t>https://rubberchickengames.com/2014/10/14/entrevista-a-terri-vellmann-criador-de-heavy-bullets/</t>
  </si>
  <si>
    <t>https://www.gamedeveloper.com/production/prototyping-i-let-s-revolution-i-transforming-i-minesweeper-i-into-a-turn-based-strategy-roguelike</t>
  </si>
  <si>
    <t>https://www.thegamer.com/moonlighter-2-the-endless-vault-preview-inteview-hades-inspired/</t>
  </si>
  <si>
    <t xml:space="preserve">Moonlighter 2: The Endless Vault </t>
  </si>
  <si>
    <t>https://gamingbolt.com/morbid-metal-interview-shapeshifting-level-design-combat-and-more</t>
  </si>
  <si>
    <t>https://www.gamesradar.com/games/roguelike/a-4000-hour-final-fantasy-14-diehard-made-his-own-mmo-raid-infused-roguelike-and-its-tearing-it-up-on-steam-beating-the-4-year-sales-of-his-last-game-in-24-hours/</t>
  </si>
  <si>
    <t>https://www.screenhype.co.uk/undermine-2-interview-thorium-entertainment-exclusive/</t>
  </si>
  <si>
    <t>https://steamcommunity.com/games/2400160/announcements/detail/4686648941196507636</t>
  </si>
  <si>
    <t>Proof</t>
  </si>
  <si>
    <t>torneko_s_great_adventure_mystery_dungeon---baroque</t>
  </si>
  <si>
    <t>https://nervetower.neocities.org/int_yonemitsu_ps</t>
  </si>
  <si>
    <t>rogue---baroque</t>
  </si>
  <si>
    <t>spelunky_classic---cardinal_quest</t>
  </si>
  <si>
    <t>https://www.indiegamemag.com/ido-yehieli-interview-nephews-and-niches/</t>
  </si>
  <si>
    <t>desktop_dungeons---cardinal_quest</t>
  </si>
  <si>
    <t>brogue---cardinal_quest</t>
  </si>
  <si>
    <t>into_the_breach---cobalt_core</t>
  </si>
  <si>
    <t>hades---cobalt_core</t>
  </si>
  <si>
    <t>https://turnbasedlovers.com/10-turns-interview/with-cobalt-core-devs/</t>
  </si>
  <si>
    <t>https://rpgcodex.net/content.php?id=102</t>
  </si>
  <si>
    <t>ancient_domains_of_mystery---gearhead</t>
  </si>
  <si>
    <t>https://shmuplations.com/chunsoft30th/</t>
  </si>
  <si>
    <t>nethack---mystery_dungeon_2_shiren_the_wanderer</t>
  </si>
  <si>
    <t>hades---shadowveil_legend_of_the_five_rings</t>
  </si>
  <si>
    <t>brotato---stolen_realm_survivors</t>
  </si>
  <si>
    <t>https://www.demonlore.com/</t>
  </si>
  <si>
    <t>diablo---demonlore</t>
  </si>
  <si>
    <t>ftl---heading_out</t>
  </si>
  <si>
    <t>https://tech4gamers.com/heading-out-interview/</t>
  </si>
  <si>
    <t>https://crpgaddict.blogspot.com/2011/05/omega-everything-is-reference.html</t>
  </si>
  <si>
    <t>rogue---omega</t>
  </si>
  <si>
    <t>diablo---vagante</t>
  </si>
  <si>
    <t>https://turtlefoxgames.itch.io/talented/devlog/354683/devlog-17-experimentation</t>
  </si>
  <si>
    <t>vampire_survivors---talented</t>
  </si>
  <si>
    <t>100_rogues---quest_of_dungeons</t>
  </si>
  <si>
    <t>20_minutes_till_dawn---disfigure</t>
  </si>
  <si>
    <t>20_minutes_till_dawn---rogue_command</t>
  </si>
  <si>
    <t>20_minutes_till_dawn---slime_3k_rise_against_despot</t>
  </si>
  <si>
    <t>20_minutes_till_dawn---star_survivor</t>
  </si>
  <si>
    <t>868_hack---order_automatica</t>
  </si>
  <si>
    <t>9_kings---tiny_auto_knights</t>
  </si>
  <si>
    <t>across_the_obelisk---the_royal_writ</t>
  </si>
  <si>
    <t>ancient_domains_of_mystery---frozen_depths</t>
  </si>
  <si>
    <t>ancient_domains_of_mystery---gearhead_caramel</t>
  </si>
  <si>
    <t>ancient_domains_of_mystery---hyperrogue</t>
  </si>
  <si>
    <t>ancient_domains_of_mystery---keeperrl</t>
  </si>
  <si>
    <t>ancient_domains_of_mystery---lambdarogue_the_book_of_stars</t>
  </si>
  <si>
    <t>ancient_domains_of_mystery---moonring</t>
  </si>
  <si>
    <t>ancient_domains_of_mystery---powder</t>
  </si>
  <si>
    <t>ancient_domains_of_mystery---shadow_of_the_wyrm</t>
  </si>
  <si>
    <t>ancient_domains_of_mystery---soulash</t>
  </si>
  <si>
    <t>ancient_domains_of_mystery---sproggiwood</t>
  </si>
  <si>
    <t>angband---cardinal_quest</t>
  </si>
  <si>
    <t>angband---crablike</t>
  </si>
  <si>
    <t>angband---diablo</t>
  </si>
  <si>
    <t>angband---lambdarogue_the_book_of_stars</t>
  </si>
  <si>
    <t>angband---powder</t>
  </si>
  <si>
    <t>angband---sil</t>
  </si>
  <si>
    <t>angband---the_ground_gives_way</t>
  </si>
  <si>
    <t>angband---zangband</t>
  </si>
  <si>
    <t>angband---zmangband</t>
  </si>
  <si>
    <t>angband---zorbus</t>
  </si>
  <si>
    <t>astronarch---the_last_flame</t>
  </si>
  <si>
    <t>atomicrops---pesticide_not_required</t>
  </si>
  <si>
    <t>azure_dreams---sword_of_the_necromancer</t>
  </si>
  <si>
    <t>backpack_battles---he_is_coming</t>
  </si>
  <si>
    <t>backpack_battles---knightica</t>
  </si>
  <si>
    <t>backpack_battles---lootplot</t>
  </si>
  <si>
    <t>backpack_battles---oaken_tower</t>
  </si>
  <si>
    <t>backpack_battles---rogue_voltage</t>
  </si>
  <si>
    <t>backpack_battles---tiny_auto_knights</t>
  </si>
  <si>
    <t>backpack_hero---backpack_battles</t>
  </si>
  <si>
    <t>backpack_hero---barda</t>
  </si>
  <si>
    <t>backpack_hero---footgun_underground</t>
  </si>
  <si>
    <t>backpack_hero---god_of_weapons</t>
  </si>
  <si>
    <t>backpack_hero---rogue_voltage</t>
  </si>
  <si>
    <t>backpack_hero---spin_hero</t>
  </si>
  <si>
    <t>bad_north---tabletop_tavern</t>
  </si>
  <si>
    <t>bad_north---wanderburg</t>
  </si>
  <si>
    <t>balatro---aotenjo_infinite_hands</t>
  </si>
  <si>
    <t>balatro---beyond_words</t>
  </si>
  <si>
    <t>balatro---bingle_bingle</t>
  </si>
  <si>
    <t>balatro---cats_dice</t>
  </si>
  <si>
    <t>balatro---chosen_garden</t>
  </si>
  <si>
    <t>balatro---cloverpit</t>
  </si>
  <si>
    <t>balatro---clutchtime_basketball_deckbuilder</t>
  </si>
  <si>
    <t>balatro---combolands</t>
  </si>
  <si>
    <t>balatro---cropdeck</t>
  </si>
  <si>
    <t>balatro---dead_finger_dice</t>
  </si>
  <si>
    <t>balatro---dicealot</t>
  </si>
  <si>
    <t>balatro---driving_rogue</t>
  </si>
  <si>
    <t>balatro---drop_duchy</t>
  </si>
  <si>
    <t>balatro---drop_pockets</t>
  </si>
  <si>
    <t>balatro---gambonanza</t>
  </si>
  <si>
    <t>balatro---glyphica_typing_survival</t>
  </si>
  <si>
    <t>balatro---how_many_dudes</t>
  </si>
  <si>
    <t>balatro---insider_trading</t>
  </si>
  <si>
    <t>balatro---lootplot</t>
  </si>
  <si>
    <t>balatro---lucky_shot</t>
  </si>
  <si>
    <t>balatro---omelet_you_cook</t>
  </si>
  <si>
    <t>balatro---passant_a_chess_roguelike</t>
  </si>
  <si>
    <t>balatro---pegs_x_stickers</t>
  </si>
  <si>
    <t>balatro---pip_my_dice</t>
  </si>
  <si>
    <t>balatro---raccoin_coin_pusher_roguelike</t>
  </si>
  <si>
    <t>balatro---replicat</t>
  </si>
  <si>
    <t>balatro---rogue_factory</t>
  </si>
  <si>
    <t>balatro---rollscape</t>
  </si>
  <si>
    <t>balatro---roulette_hero</t>
  </si>
  <si>
    <t>balatro---runeborn</t>
  </si>
  <si>
    <t>balatro---runeveil</t>
  </si>
  <si>
    <t>balatro---schism</t>
  </si>
  <si>
    <t>balatro---slot_or_not</t>
  </si>
  <si>
    <t>balatro---sodaman</t>
  </si>
  <si>
    <t>balatro---steve_s_warehouse_physics_roguelike_chaos</t>
  </si>
  <si>
    <t>balatro---the_loopler</t>
  </si>
  <si>
    <t>balatro---the_royal_writ</t>
  </si>
  <si>
    <t>balatro---tic_tactic</t>
  </si>
  <si>
    <t>balatro---ultrapool</t>
  </si>
  <si>
    <t>balatro---word_play</t>
  </si>
  <si>
    <t>ballionaire---dicevaders</t>
  </si>
  <si>
    <t>ballionaire---omelet_you_cook</t>
  </si>
  <si>
    <t>battle_brothers---the_last_spell</t>
  </si>
  <si>
    <t>boneraiser_minions---star_survivor</t>
  </si>
  <si>
    <t>book_of_demons---hellcard</t>
  </si>
  <si>
    <t>brogue---escape_the_mad_empire</t>
  </si>
  <si>
    <t>brogue---labyrinth_of_legendary_loot</t>
  </si>
  <si>
    <t>brogue---moonring</t>
  </si>
  <si>
    <t>brogue---pixel_dungeon</t>
  </si>
  <si>
    <t>brogue---rift_wizard</t>
  </si>
  <si>
    <t>brogue---rogue_fp</t>
  </si>
  <si>
    <t>brogue---space_grunts</t>
  </si>
  <si>
    <t>brogue---unexplored</t>
  </si>
  <si>
    <t>brotato---arms_of_god</t>
  </si>
  <si>
    <t>brotato---astro_prospector</t>
  </si>
  <si>
    <t>brotato---cluckmech_oasis</t>
  </si>
  <si>
    <t>brotato---footgun_underground</t>
  </si>
  <si>
    <t>brotato---heretic_s_fork</t>
  </si>
  <si>
    <t>brotato---how_many_dudes</t>
  </si>
  <si>
    <t>brotato---kill_the_music</t>
  </si>
  <si>
    <t>brotato---maid_survivors_little_angels</t>
  </si>
  <si>
    <t>brotato---noobs_are_coming</t>
  </si>
  <si>
    <t>brotato---pebble_knights</t>
  </si>
  <si>
    <t>brotato---pesticide_not_required</t>
  </si>
  <si>
    <t>brotato---shape_shifter_formations</t>
  </si>
  <si>
    <t>brotato---slime_3k_rise_against_despot</t>
  </si>
  <si>
    <t>brotato---star_survivor</t>
  </si>
  <si>
    <t>brotato---voids_vigil</t>
  </si>
  <si>
    <t>buckshot_roulette---cloverpit</t>
  </si>
  <si>
    <t>castle_of_the_winds---dungeonmans</t>
  </si>
  <si>
    <t>castlevaniarl---zmangband</t>
  </si>
  <si>
    <t>cataclysm_dark_days_ahead---cataclysm_bright_nights</t>
  </si>
  <si>
    <t>cataclysm---cataclysm_dark_days_ahead</t>
  </si>
  <si>
    <t>caveblazers---wildfrost</t>
  </si>
  <si>
    <t>caves_of_qud---approaching_infinity</t>
  </si>
  <si>
    <t>children_of_morta---astral_ascent</t>
  </si>
  <si>
    <t>children_of_morta---teenage_mutant_ninja_turtles_splintered_fate</t>
  </si>
  <si>
    <t>cloverpit---don_t_let_it_starve</t>
  </si>
  <si>
    <t>cogmind---mainframe_defenders</t>
  </si>
  <si>
    <t>cogmind---the_doors_of_trithius</t>
  </si>
  <si>
    <t>crab_champions---vellum</t>
  </si>
  <si>
    <t>crypt_of_the_necrodancer---20xx</t>
  </si>
  <si>
    <t>crypt_of_the_necrodancer---bpm_bullets_per_minute</t>
  </si>
  <si>
    <t>crypt_of_the_necrodancer---demon_lord_just_a_block</t>
  </si>
  <si>
    <t>crypt_of_the_necrodancer---guidus</t>
  </si>
  <si>
    <t>crypt_of_the_necrodancer---hyperrogue</t>
  </si>
  <si>
    <t>crypt_of_the_necrodancer---kill_the_music</t>
  </si>
  <si>
    <t>crypt_of_the_necrodancer---shogun_showdown</t>
  </si>
  <si>
    <t>cult_of_the_lamb---cinderia</t>
  </si>
  <si>
    <t>cult_of_the_lamb---garden_of_witches</t>
  </si>
  <si>
    <t>cupiclaw---raccoin_coin_pusher_roguelike</t>
  </si>
  <si>
    <t>curious_expedition---insurmountable</t>
  </si>
  <si>
    <t>curious_expedition---sandwalkers</t>
  </si>
  <si>
    <t>curse_of_the_dead_gods---netherworld_covenant</t>
  </si>
  <si>
    <t>dark_devotion---astral_ascent</t>
  </si>
  <si>
    <t>darkest_dungeon---across_the_obelisk</t>
  </si>
  <si>
    <t>darkest_dungeon---anomaly_collapse</t>
  </si>
  <si>
    <t>darkest_dungeon---as_we_descend</t>
  </si>
  <si>
    <t>darkest_dungeon---chrono_ark</t>
  </si>
  <si>
    <t>darkest_dungeon---curse_of_the_dead_gods</t>
  </si>
  <si>
    <t>darkest_dungeon---deck_of_ashes</t>
  </si>
  <si>
    <t>darkest_dungeon---deep_sky_derelicts</t>
  </si>
  <si>
    <t>darkest_dungeon---die_for_the_lich</t>
  </si>
  <si>
    <t>darkest_dungeon---dungeon_rushers</t>
  </si>
  <si>
    <t>darkest_dungeon---escape_the_mad_empire</t>
  </si>
  <si>
    <t>darkest_dungeon---gordian_quest</t>
  </si>
  <si>
    <t>darkest_dungeon---hades</t>
  </si>
  <si>
    <t>darkest_dungeon---iratus_lord_of_the_dead</t>
  </si>
  <si>
    <t>darkest_dungeon---luck_loot</t>
  </si>
  <si>
    <t>darkest_dungeon---nadir</t>
  </si>
  <si>
    <t>darkest_dungeon---sandwalkers</t>
  </si>
  <si>
    <t>darkest_dungeon---shadowveil_legend_of_the_five_rings</t>
  </si>
  <si>
    <t>darkest_dungeon---shogun_showdown</t>
  </si>
  <si>
    <t>darkest_dungeon---slay_the_spire</t>
  </si>
  <si>
    <t>darkest_dungeon---tinyfolks</t>
  </si>
  <si>
    <t>darkest_dungeon---voice_of_belldona</t>
  </si>
  <si>
    <t>dave_the_diver---dive_or_die_children_of_rain</t>
  </si>
  <si>
    <t>dead_cells---absolum</t>
  </si>
  <si>
    <t>dead_cells---aethermancer</t>
  </si>
  <si>
    <t>dead_cells---an_amazing_wizard</t>
  </si>
  <si>
    <t>dead_cells---astral_ascent</t>
  </si>
  <si>
    <t>dead_cells---atomic_owl</t>
  </si>
  <si>
    <t>dead_cells---battle_shapers</t>
  </si>
  <si>
    <t>dead_cells---devil_slayer_raksasi</t>
  </si>
  <si>
    <t>dead_cells---dreamscaper</t>
  </si>
  <si>
    <t>dead_cells---dunjungle</t>
  </si>
  <si>
    <t>dead_cells---fury_unleashed</t>
  </si>
  <si>
    <t>dead_cells---galactic_glitch</t>
  </si>
  <si>
    <t>dead_cells---hades</t>
  </si>
  <si>
    <t>dead_cells---katanaut</t>
  </si>
  <si>
    <t>dead_cells---neon_abyss</t>
  </si>
  <si>
    <t>dead_cells---reality_break</t>
  </si>
  <si>
    <t>dead_cells---scourgebringer</t>
  </si>
  <si>
    <t>dead_cells---space_gladiators</t>
  </si>
  <si>
    <t>dead_cells---teenage_mutant_ninja_turtles_splintered_fate</t>
  </si>
  <si>
    <t>dead_cells---the_rogue_prince_of_persia</t>
  </si>
  <si>
    <t>dead_cells---tyrant_s_realm</t>
  </si>
  <si>
    <t>dead_cells---undermine</t>
  </si>
  <si>
    <t>dead_cells---windblown</t>
  </si>
  <si>
    <t>death_must_die---everything_is_crab</t>
  </si>
  <si>
    <t>death_must_die---jotunnslayer_hordes_of_hel</t>
  </si>
  <si>
    <t>death_must_die---sodaman</t>
  </si>
  <si>
    <t>death_must_die---the_spell_brigade</t>
  </si>
  <si>
    <t>death_roads_tournament---fogpiercer</t>
  </si>
  <si>
    <t>deep_rock_galactic_survivor---ball_x_pit</t>
  </si>
  <si>
    <t>deep_rock_galactic_survivor---hand_of_fate_hordes</t>
  </si>
  <si>
    <t>deep_rock_galactic_survivor---the_spell_brigade</t>
  </si>
  <si>
    <t>deep_sky_derelicts---death_roads_tournament</t>
  </si>
  <si>
    <t>demoncrawl---broomsweeper</t>
  </si>
  <si>
    <t>desktop_dungeons---lost_for_swords</t>
  </si>
  <si>
    <t>despot_s_game---skull_horde</t>
  </si>
  <si>
    <t>diablo---arms_of_god</t>
  </si>
  <si>
    <t>diablo---book_of_demons</t>
  </si>
  <si>
    <t>diablo---cardinal_quest</t>
  </si>
  <si>
    <t>diablo---crawl</t>
  </si>
  <si>
    <t>diablo---curse_of_the_dead_gods</t>
  </si>
  <si>
    <t>diablo---dark_light_survivor</t>
  </si>
  <si>
    <t>diablo---dungeonmans</t>
  </si>
  <si>
    <t>diablo---escape_the_mad_empire</t>
  </si>
  <si>
    <t>diablo---god_of_weapons</t>
  </si>
  <si>
    <t>diablo---gordian_quest</t>
  </si>
  <si>
    <t>diablo---hell_clock</t>
  </si>
  <si>
    <t>diablo---lambdarogue_the_book_of_stars</t>
  </si>
  <si>
    <t>diablo---mewgenics</t>
  </si>
  <si>
    <t>diablo---our_darker_purpose</t>
  </si>
  <si>
    <t>diablo---picayune_dreams</t>
  </si>
  <si>
    <t>diablo---powder</t>
  </si>
  <si>
    <t>diablo---stolen_realm_survivors</t>
  </si>
  <si>
    <t>diablo---sword_of_the_stars_the_pit</t>
  </si>
  <si>
    <t>diablo---voin</t>
  </si>
  <si>
    <t>dicey_dungeons---backpack_hero</t>
  </si>
  <si>
    <t>dicey_dungeons---dice_fold</t>
  </si>
  <si>
    <t>dicey_dungeons---dicealot</t>
  </si>
  <si>
    <t>dicey_dungeons---die_for_the_lich</t>
  </si>
  <si>
    <t>dicey_dungeons---dog_witch</t>
  </si>
  <si>
    <t>dicey_dungeons---dungeon_clawler</t>
  </si>
  <si>
    <t>dicey_dungeons---words_can_kill</t>
  </si>
  <si>
    <t>dome_keeper---choo_choo_survivor</t>
  </si>
  <si>
    <t>dome_keeper---cleanfall</t>
  </si>
  <si>
    <t>dome_keeper---feed_the_deep</t>
  </si>
  <si>
    <t>dome_keeper---monsters_are_coming</t>
  </si>
  <si>
    <t>dome_keeper---wall_world</t>
  </si>
  <si>
    <t>don_t_starve---our_darker_purpose</t>
  </si>
  <si>
    <t>don_t_starve---road_not_taken</t>
  </si>
  <si>
    <t>don_t_starve---the_flame_in_the_flood</t>
  </si>
  <si>
    <t>doomrl---cataclysm</t>
  </si>
  <si>
    <t>doomrl---frozen_depths</t>
  </si>
  <si>
    <t>doomrl---infra_arcana</t>
  </si>
  <si>
    <t>doomrl---quasimorph</t>
  </si>
  <si>
    <t>doomrl---space_grunts</t>
  </si>
  <si>
    <t>dota_auto_chess---super_auto_pets</t>
  </si>
  <si>
    <t>dota_auto_chess---teamfight_tactics</t>
  </si>
  <si>
    <t>downwell---exit_the_gungeon</t>
  </si>
  <si>
    <t>downwell---gonner</t>
  </si>
  <si>
    <t>downwell---lone_ruin</t>
  </si>
  <si>
    <t>downwell---riptale</t>
  </si>
  <si>
    <t>downwell---scourgebringer</t>
  </si>
  <si>
    <t>downwell---tower_fortress</t>
  </si>
  <si>
    <t>downwell---tumbleseed</t>
  </si>
  <si>
    <t>dream_quest---dicey_dungeons</t>
  </si>
  <si>
    <t>dream_quest---monster_slayers</t>
  </si>
  <si>
    <t>dungeon_clawler---roulette_dungeon</t>
  </si>
  <si>
    <t>dungeon_crawl_stone_soup---desktop_dungeons</t>
  </si>
  <si>
    <t>dungeon_crawl_stone_soup---dungeonmans</t>
  </si>
  <si>
    <t>dungeon_crawl_stone_soup---golden_krone_hotel</t>
  </si>
  <si>
    <t>dungeon_crawl_stone_soup---path_of_achra</t>
  </si>
  <si>
    <t>dungeon_crawl_stone_soup---touhou_crawl</t>
  </si>
  <si>
    <t>dungeon_crawl_stone_soup---vagante</t>
  </si>
  <si>
    <t>dungeonmans---tangledeep</t>
  </si>
  <si>
    <t>dungeons_of_dredmor---i_am_overburdened</t>
  </si>
  <si>
    <t>dungeons_of_dredmor---quest_of_dungeons</t>
  </si>
  <si>
    <t>dungeons_of_dredmor---the_doors_of_trithius</t>
  </si>
  <si>
    <t>dwarf_fortress---caves_of_qud</t>
  </si>
  <si>
    <t>dwarf_fortress---keeperrl</t>
  </si>
  <si>
    <t>dwarf_fortress---soulash_2</t>
  </si>
  <si>
    <t>dwarf_fortress---the_doors_of_trithius</t>
  </si>
  <si>
    <t>dwarf_fortress---warsim_the_realm_of_aslona</t>
  </si>
  <si>
    <t>dwarf_fortress---wayward</t>
  </si>
  <si>
    <t>elden_ring_nightreign---serpent_s_gaze</t>
  </si>
  <si>
    <t>ember_knights---vellum</t>
  </si>
  <si>
    <t>enter_the_gungeon---abandoned_archive</t>
  </si>
  <si>
    <t>enter_the_gungeon---ak_xolotl</t>
  </si>
  <si>
    <t>enter_the_gungeon---astro_prospector</t>
  </si>
  <si>
    <t>enter_the_gungeon---atomicrops</t>
  </si>
  <si>
    <t>enter_the_gungeon---brutal_orchestra</t>
  </si>
  <si>
    <t>enter_the_gungeon---cavity_busters</t>
  </si>
  <si>
    <t>enter_the_gungeon---escape_the_mad_empire</t>
  </si>
  <si>
    <t>enter_the_gungeon---galactic_glitch</t>
  </si>
  <si>
    <t>enter_the_gungeon---going_under</t>
  </si>
  <si>
    <t>enter_the_gungeon---gunfire_reborn</t>
  </si>
  <si>
    <t>enter_the_gungeon---hades</t>
  </si>
  <si>
    <t>enter_the_gungeon---immortal_redneck</t>
  </si>
  <si>
    <t>enter_the_gungeon---lake_of_creatures</t>
  </si>
  <si>
    <t>enter_the_gungeon---necrobouncer</t>
  </si>
  <si>
    <t>enter_the_gungeon---neon_abyss</t>
  </si>
  <si>
    <t>enter_the_gungeon---odinfall</t>
  </si>
  <si>
    <t>enter_the_gungeon---pathogenic</t>
  </si>
  <si>
    <t>enter_the_gungeon---ram_random_access_mayhem</t>
  </si>
  <si>
    <t>enter_the_gungeon---roboquest</t>
  </si>
  <si>
    <t>enter_the_gungeon---sword_of_the_necromancer</t>
  </si>
  <si>
    <t>enter_the_gungeon---the_unliving</t>
  </si>
  <si>
    <t>enter_the_gungeon---tombstar</t>
  </si>
  <si>
    <t>enter_the_gungeon---undermine</t>
  </si>
  <si>
    <t>fatal_labyrinth---dragon_crystal</t>
  </si>
  <si>
    <t>fights_in_tight_spaces---fogpiercer</t>
  </si>
  <si>
    <t>flerp---centipede_gun</t>
  </si>
  <si>
    <t>for_the_king---sandwalkers</t>
  </si>
  <si>
    <t>forward_escape_the_fold---dice_fold</t>
  </si>
  <si>
    <t>ftl---abandon_ship</t>
  </si>
  <si>
    <t>ftl---arcanium_rise_of_akhan</t>
  </si>
  <si>
    <t>ftl---breachway</t>
  </si>
  <si>
    <t>ftl---broomsweeper</t>
  </si>
  <si>
    <t>ftl---convoy</t>
  </si>
  <si>
    <t>ftl---death_roads_tournament</t>
  </si>
  <si>
    <t>ftl---death_skid_marks</t>
  </si>
  <si>
    <t>ftl---deep_sky_derelicts</t>
  </si>
  <si>
    <t>ftl---dicefolk</t>
  </si>
  <si>
    <t>ftl---for_the_warp</t>
  </si>
  <si>
    <t>ftl---guild_of_dungeoneering</t>
  </si>
  <si>
    <t>ftl---has_been_heroes</t>
  </si>
  <si>
    <t>ftl---heat_signature</t>
  </si>
  <si>
    <t>ftl---insurmountable</t>
  </si>
  <si>
    <t>ftl---into_the_breach</t>
  </si>
  <si>
    <t>ftl---nowhere_prophet</t>
  </si>
  <si>
    <t>ftl---nuclear_throne</t>
  </si>
  <si>
    <t>ftl---one_step_from_eden</t>
  </si>
  <si>
    <t>ftl---our_darker_purpose</t>
  </si>
  <si>
    <t>ftl---renowned_explorers_international_society</t>
  </si>
  <si>
    <t>ftl---road_not_taken</t>
  </si>
  <si>
    <t>ftl---rogue_voltage</t>
  </si>
  <si>
    <t>ftl---shape_of_dreams</t>
  </si>
  <si>
    <t>ftl---slay_the_spire</t>
  </si>
  <si>
    <t>ftl---slice_dice</t>
  </si>
  <si>
    <t>ftl---sparklite</t>
  </si>
  <si>
    <t>ftl---switchcars</t>
  </si>
  <si>
    <t>ftl---terraformers</t>
  </si>
  <si>
    <t>ftl---tower_tactics_liberation</t>
  </si>
  <si>
    <t>ftl---trials_of_fire</t>
  </si>
  <si>
    <t>ftl---void_bastards</t>
  </si>
  <si>
    <t>griftlands---zoeti</t>
  </si>
  <si>
    <t>guild_of_dungeoneering---deck_of_ashes</t>
  </si>
  <si>
    <t>gunfire_reborn---abyssus</t>
  </si>
  <si>
    <t>gunfire_reborn---brew</t>
  </si>
  <si>
    <t>gunfire_reborn---deep_rock_galactic_rogue_core</t>
  </si>
  <si>
    <t>gunfire_reborn---vellum</t>
  </si>
  <si>
    <t>hack---ancient_domains_of_mystery</t>
  </si>
  <si>
    <t>hack---dwarf_fortress</t>
  </si>
  <si>
    <t>hack---gearhead</t>
  </si>
  <si>
    <t>hack---gearhead_caramel</t>
  </si>
  <si>
    <t>hack---lost_labyrinth</t>
  </si>
  <si>
    <t>hack---nethack</t>
  </si>
  <si>
    <t>hack_em---zmangband</t>
  </si>
  <si>
    <t>hades---an_amazing_wizard</t>
  </si>
  <si>
    <t>hades---asgard_s_fall_viking_survivors</t>
  </si>
  <si>
    <t>hades---astral_ascent</t>
  </si>
  <si>
    <t>hades---battle_shapers</t>
  </si>
  <si>
    <t>hades---blooddome99</t>
  </si>
  <si>
    <t>hades---brew</t>
  </si>
  <si>
    <t>hades---cinderia</t>
  </si>
  <si>
    <t>hades---curse_of_pirates</t>
  </si>
  <si>
    <t>hades---curse_of_the_dead_gods</t>
  </si>
  <si>
    <t>hades---death_must_die</t>
  </si>
  <si>
    <t>hades---demon_lord_just_a_block</t>
  </si>
  <si>
    <t>hades---dreamscaper</t>
  </si>
  <si>
    <t>hades---dunjungle</t>
  </si>
  <si>
    <t>hades---forward_escape_the_fold</t>
  </si>
  <si>
    <t>hades---garden_of_witches</t>
  </si>
  <si>
    <t>hades---going_under</t>
  </si>
  <si>
    <t>hades---hell_maiden</t>
  </si>
  <si>
    <t>hades---kill_the_music</t>
  </si>
  <si>
    <t>hades---lost_in_random_the_eternal_die</t>
  </si>
  <si>
    <t>hades---masks_of_the_void_origins</t>
  </si>
  <si>
    <t>hades---moonlighter_2_the_endless_vault</t>
  </si>
  <si>
    <t>hades---netherworld_covenant</t>
  </si>
  <si>
    <t>hades---putrid_shot_ultra</t>
  </si>
  <si>
    <t>hades---rabbit_and_steel</t>
  </si>
  <si>
    <t>hades---reality_break</t>
  </si>
  <si>
    <t>hades---realm_of_ink</t>
  </si>
  <si>
    <t>hades---serpent_s_gaze</t>
  </si>
  <si>
    <t>hades---ship_of_fools</t>
  </si>
  <si>
    <t>hades---soulstone_survivors</t>
  </si>
  <si>
    <t>hades---spiritfall</t>
  </si>
  <si>
    <t>hades---sworn</t>
  </si>
  <si>
    <t>hades---tape_to_tape</t>
  </si>
  <si>
    <t>hades---teenage_mutant_ninja_turtles_splintered_fate</t>
  </si>
  <si>
    <t>hades---the_unliving</t>
  </si>
  <si>
    <t>hades---tiny_rogues</t>
  </si>
  <si>
    <t>hades---vellum</t>
  </si>
  <si>
    <t>hades---witchfire</t>
  </si>
  <si>
    <t>hades---zet_zillions</t>
  </si>
  <si>
    <t>halls_of_torment---hell_maiden</t>
  </si>
  <si>
    <t>halls_of_torment---jotunnslayer_hordes_of_hel</t>
  </si>
  <si>
    <t>halls_of_torment---shard_squad</t>
  </si>
  <si>
    <t>halls_of_torment---slime_3k_rise_against_despot</t>
  </si>
  <si>
    <t>hand_of_fate---inkshade</t>
  </si>
  <si>
    <t>heroes_of_hammerwatch---escape_the_mad_empire</t>
  </si>
  <si>
    <t>heroes_of_hammerwatch---tower_factory</t>
  </si>
  <si>
    <t>hoplite---hyperrogue</t>
  </si>
  <si>
    <t>hoplite---let_s_revolution</t>
  </si>
  <si>
    <t>incursion---the_ground_gives_way</t>
  </si>
  <si>
    <t>inscryption---backpack_hero</t>
  </si>
  <si>
    <t>inscryption---buckshot_roulette</t>
  </si>
  <si>
    <t>inscryption---cobalt_core</t>
  </si>
  <si>
    <t>inscryption---dicealot</t>
  </si>
  <si>
    <t>inscryption---from_the_top</t>
  </si>
  <si>
    <t>inscryption---inkshade</t>
  </si>
  <si>
    <t>inscryption---lethal_dungeon</t>
  </si>
  <si>
    <t>inscryption---master_of_piece</t>
  </si>
  <si>
    <t>inscryption---my_card_is_better_than_your_card</t>
  </si>
  <si>
    <t>inscryption---pocket_crystal_league</t>
  </si>
  <si>
    <t>inscryption---sol_cesto</t>
  </si>
  <si>
    <t>inscryption---the_royal_writ</t>
  </si>
  <si>
    <t>into_the_breach---alina_of_the_arena</t>
  </si>
  <si>
    <t>into_the_breach---anomaly_collapse</t>
  </si>
  <si>
    <t>into_the_breach---backpack_hero</t>
  </si>
  <si>
    <t>into_the_breach---cell_command</t>
  </si>
  <si>
    <t>into_the_breach---cropdeck</t>
  </si>
  <si>
    <t>into_the_breach---dead_weight</t>
  </si>
  <si>
    <t>into_the_breach---death_roads_tournament</t>
  </si>
  <si>
    <t>into_the_breach---dicefolk</t>
  </si>
  <si>
    <t>into_the_breach---dome_keeper</t>
  </si>
  <si>
    <t>into_the_breach---dungeon_drafters</t>
  </si>
  <si>
    <t>into_the_breach---fogpiercer</t>
  </si>
  <si>
    <t>into_the_breach---master_of_piece</t>
  </si>
  <si>
    <t>into_the_breach---metal_slug_tactics</t>
  </si>
  <si>
    <t>into_the_breach---pawnbarian</t>
  </si>
  <si>
    <t>into_the_breach---rogue_voltage</t>
  </si>
  <si>
    <t>into_the_breach---shogun_showdown</t>
  </si>
  <si>
    <t>into_the_breach---swordship</t>
  </si>
  <si>
    <t>into_the_breach---the_last_spell</t>
  </si>
  <si>
    <t>into_the_breach---trash_of_the_titans</t>
  </si>
  <si>
    <t>iter_vehemens_ad_necem---catacomb_kids</t>
  </si>
  <si>
    <t>kingdom_new_lands---dome_keeper</t>
  </si>
  <si>
    <t>kingdom_new_lands---drill_core</t>
  </si>
  <si>
    <t>larn---castle_of_the_winds</t>
  </si>
  <si>
    <t>linley_s_dungeon_crawl---dungeon_crawl_stone_soup</t>
  </si>
  <si>
    <t>linley_s_dungeon_crawl---strange_adventures_in_infinite_space</t>
  </si>
  <si>
    <t>loop_hero---rungore</t>
  </si>
  <si>
    <t>loot_rascals---order_automatica</t>
  </si>
  <si>
    <t>lost_for_swords---slot_dungeons</t>
  </si>
  <si>
    <t>lost_labyrinth---i_am_overburdened</t>
  </si>
  <si>
    <t>luck_be_a_landlord---aotenjo_infinite_hands</t>
  </si>
  <si>
    <t>luck_be_a_landlord---backpack_hero</t>
  </si>
  <si>
    <t>luck_be_a_landlord---balatro</t>
  </si>
  <si>
    <t>luck_be_a_landlord---ballionaire</t>
  </si>
  <si>
    <t>luck_be_a_landlord---bingle_bingle</t>
  </si>
  <si>
    <t>luck_be_a_landlord---broomsweeper</t>
  </si>
  <si>
    <t>luck_be_a_landlord---chosen_garden</t>
  </si>
  <si>
    <t>luck_be_a_landlord---combolands</t>
  </si>
  <si>
    <t>luck_be_a_landlord---crop_rotation</t>
  </si>
  <si>
    <t>luck_be_a_landlord---cupiclaw</t>
  </si>
  <si>
    <t>luck_be_a_landlord---dicevaders</t>
  </si>
  <si>
    <t>luck_be_a_landlord---dog_and_goblin</t>
  </si>
  <si>
    <t>luck_be_a_landlord---dungeons_degenerate_gamblers</t>
  </si>
  <si>
    <t>luck_be_a_landlord---node_crown</t>
  </si>
  <si>
    <t>luck_be_a_landlord---omelet_you_cook</t>
  </si>
  <si>
    <t>luck_be_a_landlord---plinko_panic</t>
  </si>
  <si>
    <t>luck_be_a_landlord---roulette_hero</t>
  </si>
  <si>
    <t>luck_be_a_landlord---slot_dungeons</t>
  </si>
  <si>
    <t>luck_be_a_landlord---spin_hero</t>
  </si>
  <si>
    <t>luck_be_a_landlord---steve_s_warehouse_physics_roguelike_chaos</t>
  </si>
  <si>
    <t>luck_be_a_landlord---super_tax_city</t>
  </si>
  <si>
    <t>magic_survival---holocure_save_the_fans</t>
  </si>
  <si>
    <t>magic_survival---spirit_hunters_infinite_horde</t>
  </si>
  <si>
    <t>magic_survival---vampire_survivors</t>
  </si>
  <si>
    <t>magicraft---astro_prospector</t>
  </si>
  <si>
    <t>monster_gate---dungeon_drafters</t>
  </si>
  <si>
    <t>monster_slayers---deck_of_ashes</t>
  </si>
  <si>
    <t>monster_train---aotenjo_infinite_hands</t>
  </si>
  <si>
    <t>monster_train---cross_blitz</t>
  </si>
  <si>
    <t>monster_train---dicealot</t>
  </si>
  <si>
    <t>monster_train---dicefolk</t>
  </si>
  <si>
    <t>monster_train---inscryption</t>
  </si>
  <si>
    <t>monster_train---master_of_piece</t>
  </si>
  <si>
    <t>monster_train---rogue_command</t>
  </si>
  <si>
    <t>monster_train---ship_of_fools</t>
  </si>
  <si>
    <t>monster_train---the_royal_writ</t>
  </si>
  <si>
    <t>monster_train---tower_escape</t>
  </si>
  <si>
    <t>monster_train---wildfrost</t>
  </si>
  <si>
    <t>moonlighter---masks_of_the_void_origins</t>
  </si>
  <si>
    <t>moria---angband</t>
  </si>
  <si>
    <t>moria---diablo</t>
  </si>
  <si>
    <t>moria---powder</t>
  </si>
  <si>
    <t>muck---lort</t>
  </si>
  <si>
    <t>mystery_dungeon_2_shiren_the_wanderer---100_rogues</t>
  </si>
  <si>
    <t>mystery_dungeon_2_shiren_the_wanderer---crown_trick</t>
  </si>
  <si>
    <t>mystery_dungeon_2_shiren_the_wanderer---dungeon_drafters</t>
  </si>
  <si>
    <t>mystery_dungeon_2_shiren_the_wanderer---house_of_necrosis</t>
  </si>
  <si>
    <t>mystery_dungeon_2_shiren_the_wanderer---slot_dungeons</t>
  </si>
  <si>
    <t>mystery_dungeon_2_shiren_the_wanderer---tangledeep</t>
  </si>
  <si>
    <t>nethack---ancient_domains_of_mystery</t>
  </si>
  <si>
    <t>nethack---barony</t>
  </si>
  <si>
    <t>nethack---castle_of_the_winds</t>
  </si>
  <si>
    <t>nethack---diablo</t>
  </si>
  <si>
    <t>nethack---dragonslayer</t>
  </si>
  <si>
    <t>nethack---dungeons_of_dredmor</t>
  </si>
  <si>
    <t>nethack---fear_hunger</t>
  </si>
  <si>
    <t>nethack---frozen_depths</t>
  </si>
  <si>
    <t>nethack---haque</t>
  </si>
  <si>
    <t>nethack---hyperrogue</t>
  </si>
  <si>
    <t>nethack---iter_vehemens_ad_necem</t>
  </si>
  <si>
    <t>nethack---keeperrl</t>
  </si>
  <si>
    <t>nethack---lambdarogue_the_book_of_stars</t>
  </si>
  <si>
    <t>nethack---linley_s_dungeon_crawl</t>
  </si>
  <si>
    <t>nethack---lost_flame</t>
  </si>
  <si>
    <t>nethack---moonring</t>
  </si>
  <si>
    <t>nethack---overworld</t>
  </si>
  <si>
    <t>nethack---pathos_nethack_codex</t>
  </si>
  <si>
    <t>nethack---powder</t>
  </si>
  <si>
    <t>nethack---ragnarok</t>
  </si>
  <si>
    <t>nethack---realm_of_the_mad_god</t>
  </si>
  <si>
    <t>nethack---slash_em</t>
  </si>
  <si>
    <t>nethack---spelunky_classic</t>
  </si>
  <si>
    <t>nethack---strange_adventures_in_infinite_space</t>
  </si>
  <si>
    <t>nethack---sword_of_the_stars_the_pit</t>
  </si>
  <si>
    <t>nethack---unexplored</t>
  </si>
  <si>
    <t>nethack---wazhack</t>
  </si>
  <si>
    <t>node_farm---node_crown</t>
  </si>
  <si>
    <t>noita---magicraft</t>
  </si>
  <si>
    <t>noita---pathogenic</t>
  </si>
  <si>
    <t>noita---sulfur</t>
  </si>
  <si>
    <t>noita---tinker_shot</t>
  </si>
  <si>
    <t>nova_drift---star_survivor</t>
  </si>
  <si>
    <t>nubby_s_number_factory---dicevaders</t>
  </si>
  <si>
    <t>nubby_s_number_factory---pegs_x_stickers</t>
  </si>
  <si>
    <t>nuclear_throne---abyssus</t>
  </si>
  <si>
    <t>nuclear_throne---ak_xolotl</t>
  </si>
  <si>
    <t>nuclear_throne---astro_prospector</t>
  </si>
  <si>
    <t>nuclear_throne---atomicrops</t>
  </si>
  <si>
    <t>nuclear_throne---blazing_beaks</t>
  </si>
  <si>
    <t>nuclear_throne---children_of_morta</t>
  </si>
  <si>
    <t>nuclear_throne---dead_estate</t>
  </si>
  <si>
    <t>nuclear_throne---enter_the_gungeon</t>
  </si>
  <si>
    <t>nuclear_throne---gonner</t>
  </si>
  <si>
    <t>nuclear_throne---guntouchables</t>
  </si>
  <si>
    <t>nuclear_throne---lone_ruin</t>
  </si>
  <si>
    <t>nuclear_throne---necrobouncer</t>
  </si>
  <si>
    <t>nuclear_throne---odinfall</t>
  </si>
  <si>
    <t>nuclear_throne---one_step_from_eden</t>
  </si>
  <si>
    <t>nuclear_throne---ram_random_access_mayhem</t>
  </si>
  <si>
    <t>nuclear_throne---repetendium</t>
  </si>
  <si>
    <t>nuclear_throne---rocket_rats</t>
  </si>
  <si>
    <t>nuclear_throne---spellmasons</t>
  </si>
  <si>
    <t>nuclear_throne---streets_of_rogue</t>
  </si>
  <si>
    <t>nuclear_throne---voidigo</t>
  </si>
  <si>
    <t>oaken_tower---batomon_showdown</t>
  </si>
  <si>
    <t>omega---castle_of_the_winds</t>
  </si>
  <si>
    <t>omega---caves_of_qud</t>
  </si>
  <si>
    <t>omega---shadow_of_the_wyrm</t>
  </si>
  <si>
    <t>patch_quest---k_domon_hyper_auto_battlers</t>
  </si>
  <si>
    <t>peglin---arrogue</t>
  </si>
  <si>
    <t>peglin---dungeon_clawler</t>
  </si>
  <si>
    <t>peglin---footgun_underground</t>
  </si>
  <si>
    <t>peglin---kill_the_brickman</t>
  </si>
  <si>
    <t>peglin---pegs_x_stickers</t>
  </si>
  <si>
    <t>peglin---rogue_voltage</t>
  </si>
  <si>
    <t>peglin---rune_dice</t>
  </si>
  <si>
    <t>peglin---steve_s_warehouse_physics_roguelike_chaos</t>
  </si>
  <si>
    <t>pok_mon_mystery_dungeon_red_and_blue_rescue_team---paper_animal_adventure</t>
  </si>
  <si>
    <t>ragnarok---hyperrogue</t>
  </si>
  <si>
    <t>ravenswatch---shape_of_dreams</t>
  </si>
  <si>
    <t>realm_of_the_mad_god---33_immortals</t>
  </si>
  <si>
    <t>realm_of_the_mad_god---talented</t>
  </si>
  <si>
    <t>renowned_explorers_international_society---worlds_upon_the_wind</t>
  </si>
  <si>
    <t>returnal---morbid_metal</t>
  </si>
  <si>
    <t>returnal---swapmeat</t>
  </si>
  <si>
    <t>revita---tiny_rogues</t>
  </si>
  <si>
    <t>rift_wizard---path_of_achra</t>
  </si>
  <si>
    <t>riptale---scourgebringer</t>
  </si>
  <si>
    <t>risk_of_rain---dead_cells</t>
  </si>
  <si>
    <t>risk_of_rain---in_celebration_of_violence</t>
  </si>
  <si>
    <t>risk_of_rain---putrid_shot_ultra</t>
  </si>
  <si>
    <t>risk_of_rain---shape_of_dreams</t>
  </si>
  <si>
    <t>risk_of_rain---synthetik_legion_rising</t>
  </si>
  <si>
    <t>risk_of_rain---wildfrost</t>
  </si>
  <si>
    <t>risk_of_rain_2---dark_light_survivor</t>
  </si>
  <si>
    <t>risk_of_rain_2---deep_rock_galactic_rogue_core</t>
  </si>
  <si>
    <t>risk_of_rain_2---everything_is_crab</t>
  </si>
  <si>
    <t>risk_of_rain_2---lort</t>
  </si>
  <si>
    <t>risk_of_rain_2---megabonk</t>
  </si>
  <si>
    <t>risk_of_rain_2---morbid_metal</t>
  </si>
  <si>
    <t>risk_of_rain_2---serpent_s_gaze</t>
  </si>
  <si>
    <t>risk_of_rain_2---shape_shifter_formations</t>
  </si>
  <si>
    <t>risk_of_rain_2---soulstone_survivors</t>
  </si>
  <si>
    <t>risk_of_rain_2---swapmeat</t>
  </si>
  <si>
    <t>risk_of_rain_2---vellum</t>
  </si>
  <si>
    <t>roboquest---abyssus</t>
  </si>
  <si>
    <t>roboquest---brew</t>
  </si>
  <si>
    <t>roboquest---deadzone_rogue</t>
  </si>
  <si>
    <t>roboquest---deep_rock_galactic_rogue_core</t>
  </si>
  <si>
    <t>roboquest---swapmeat</t>
  </si>
  <si>
    <t>rogue---868_hack</t>
  </si>
  <si>
    <t>rogue---ancient_domains_of_mystery</t>
  </si>
  <si>
    <t>rogue---brogue</t>
  </si>
  <si>
    <t>rogue---cave_noire</t>
  </si>
  <si>
    <t>rogue---crypt_of_the_necrodancer</t>
  </si>
  <si>
    <t>rogue---fatal_labyrinth</t>
  </si>
  <si>
    <t>rogue---golden_light</t>
  </si>
  <si>
    <t>rogue---hyperrogue</t>
  </si>
  <si>
    <t>rogue---infra_arcana</t>
  </si>
  <si>
    <t>rogue---larn</t>
  </si>
  <si>
    <t>rogue---legend_of_dungeon</t>
  </si>
  <si>
    <t>rogue---moria</t>
  </si>
  <si>
    <t>rogue---quasimorph</t>
  </si>
  <si>
    <t>rogue---ragnarok</t>
  </si>
  <si>
    <t>rogue---rogue_hearts_dungeon</t>
  </si>
  <si>
    <t>rogue---rogue_fp</t>
  </si>
  <si>
    <t>rogue---rogue_s_tale</t>
  </si>
  <si>
    <t>rogue---sword_of_the_stars_the_pit</t>
  </si>
  <si>
    <t>rogue---the_dungeon_rpg</t>
  </si>
  <si>
    <t>rogue---toejam_earl</t>
  </si>
  <si>
    <t>rogue---torneko_s_great_adventure_mystery_dungeon</t>
  </si>
  <si>
    <t>rogue---unexplored</t>
  </si>
  <si>
    <t>rogue_legacy---children_of_morta</t>
  </si>
  <si>
    <t>rogue_legacy---crypt_of_the_necrodancer</t>
  </si>
  <si>
    <t>rogue_legacy---dunjungle</t>
  </si>
  <si>
    <t>rogue_legacy---flinthook</t>
  </si>
  <si>
    <t>rogue_legacy---fury_unleashed</t>
  </si>
  <si>
    <t>rogue_legacy---hades</t>
  </si>
  <si>
    <t>rogue_legacy---immortal_redneck</t>
  </si>
  <si>
    <t>rogue_legacy---moonlighter</t>
  </si>
  <si>
    <t>rogue_legacy---nordic_ashes_survivors_of_ragnarok</t>
  </si>
  <si>
    <t>rogue_legacy---space_gladiators</t>
  </si>
  <si>
    <t>rogue_legacy---sparklite</t>
  </si>
  <si>
    <t>rogue_legacy---sundered</t>
  </si>
  <si>
    <t>rogue_legacy---undermine</t>
  </si>
  <si>
    <t>rogue_tower---nordhold</t>
  </si>
  <si>
    <t>rogue_tower---tower_dominion</t>
  </si>
  <si>
    <t>rogue_genesia---star_survivor</t>
  </si>
  <si>
    <t>roguebook---dicefolk</t>
  </si>
  <si>
    <t>roll---rollscape</t>
  </si>
  <si>
    <t>runic_survivor---star_survivor</t>
  </si>
  <si>
    <t>scourgebringer---galactic_glitch</t>
  </si>
  <si>
    <t>shattered_pixel_dungeon---lost_for_swords</t>
  </si>
  <si>
    <t>shogun_showdown---tic_tactic</t>
  </si>
  <si>
    <t>shoot_first---nuclear_throne</t>
  </si>
  <si>
    <t>shotgun_king_the_final_checkmate---bingle_bingle</t>
  </si>
  <si>
    <t>shotgun_king_the_final_checkmate---order_automatica</t>
  </si>
  <si>
    <t>skul_the_hero_slayer---realm_of_ink</t>
  </si>
  <si>
    <t>slash_em---hack_em</t>
  </si>
  <si>
    <t>slay_the_spire---a_la_card</t>
  </si>
  <si>
    <t>slay_the_spire---alina_of_the_arena</t>
  </si>
  <si>
    <t>slay_the_spire---aotenjo_infinite_hands</t>
  </si>
  <si>
    <t>slay_the_spire---arcanium_rise_of_akhan</t>
  </si>
  <si>
    <t>slay_the_spire---arrogue</t>
  </si>
  <si>
    <t>slay_the_spire---as_we_descend</t>
  </si>
  <si>
    <t>slay_the_spire---astrea_six_sided_oracles</t>
  </si>
  <si>
    <t>slay_the_spire---atomicrops</t>
  </si>
  <si>
    <t>slay_the_spire---backpack_hero</t>
  </si>
  <si>
    <t>slay_the_spire---barda</t>
  </si>
  <si>
    <t>slay_the_spire---bella_wants_blood</t>
  </si>
  <si>
    <t>slay_the_spire---beneath_oresa</t>
  </si>
  <si>
    <t>slay_the_spire---bounty_of_one</t>
  </si>
  <si>
    <t>slay_the_spire---brawl_tactics_origins</t>
  </si>
  <si>
    <t>slay_the_spire---breach_wanderers</t>
  </si>
  <si>
    <t>slay_the_spire---breachway</t>
  </si>
  <si>
    <t>slay_the_spire---broomsweeper</t>
  </si>
  <si>
    <t>slay_the_spire---chaos_zero_nightmare</t>
  </si>
  <si>
    <t>slay_the_spire---chrono_ark</t>
  </si>
  <si>
    <t>slay_the_spire---cobalt_core</t>
  </si>
  <si>
    <t>slay_the_spire---commander_quest</t>
  </si>
  <si>
    <t>slay_the_spire---core_defense</t>
  </si>
  <si>
    <t>slay_the_spire---cropdeck</t>
  </si>
  <si>
    <t>slay_the_spire---cross_blitz</t>
  </si>
  <si>
    <t>slay_the_spire---crush_the_industry</t>
  </si>
  <si>
    <t>slay_the_spire---deck_of_ashes</t>
  </si>
  <si>
    <t>slay_the_spire---decktamer</t>
  </si>
  <si>
    <t>slay_the_spire---deepest_chamber_resurrection</t>
  </si>
  <si>
    <t>slay_the_spire---demonic_mahjong</t>
  </si>
  <si>
    <t>slay_the_spire---dice_fold</t>
  </si>
  <si>
    <t>slay_the_spire---dice_legends</t>
  </si>
  <si>
    <t>slay_the_spire---dicealot</t>
  </si>
  <si>
    <t>slay_the_spire---dicefolk</t>
  </si>
  <si>
    <t>slay_the_spire---diceomancer</t>
  </si>
  <si>
    <t>slay_the_spire---die_for_the_lich</t>
  </si>
  <si>
    <t>slay_the_spire---die_in_the_dungeon</t>
  </si>
  <si>
    <t>slay_the_spire---dimensionals</t>
  </si>
  <si>
    <t>slay_the_spire---dog_witch</t>
  </si>
  <si>
    <t>slay_the_spire---dungeon_clawler</t>
  </si>
  <si>
    <t>slay_the_spire---emberward</t>
  </si>
  <si>
    <t>slay_the_spire---everything_is_crab</t>
  </si>
  <si>
    <t>slay_the_spire---fogpiercer</t>
  </si>
  <si>
    <t>slay_the_spire---for_the_warp</t>
  </si>
  <si>
    <t>slay_the_spire---forward_escape_the_fold</t>
  </si>
  <si>
    <t>slay_the_spire---gordian_quest</t>
  </si>
  <si>
    <t>slay_the_spire---hades</t>
  </si>
  <si>
    <t>slay_the_spire---handmancers</t>
  </si>
  <si>
    <t>slay_the_spire---hell_maiden</t>
  </si>
  <si>
    <t>slay_the_spire---hellcard</t>
  </si>
  <si>
    <t>slay_the_spire---inscryption</t>
  </si>
  <si>
    <t>slay_the_spire---into_the_grid</t>
  </si>
  <si>
    <t>slay_the_spire---iratus_lord_of_the_dead</t>
  </si>
  <si>
    <t>slay_the_spire---k_domon_hyper_auto_battlers</t>
  </si>
  <si>
    <t>slay_the_spire---knock_on_the_coffin_lid</t>
  </si>
  <si>
    <t>slay_the_spire---lost_for_swords</t>
  </si>
  <si>
    <t>slay_the_spire---lost_in_fantaland</t>
  </si>
  <si>
    <t>slay_the_spire---luck_loot</t>
  </si>
  <si>
    <t>slay_the_spire---luck_be_a_landlord</t>
  </si>
  <si>
    <t>slay_the_spire---master_of_piece</t>
  </si>
  <si>
    <t>slay_the_spire---monmusu_gladiator</t>
  </si>
  <si>
    <t>slay_the_spire---montabi</t>
  </si>
  <si>
    <t>slay_the_spire---mortal_sin</t>
  </si>
  <si>
    <t>slay_the_spire---nadir</t>
  </si>
  <si>
    <t>slay_the_spire---node_crown</t>
  </si>
  <si>
    <t>slay_the_spire---nordhold</t>
  </si>
  <si>
    <t>slay_the_spire---one_step_from_eden</t>
  </si>
  <si>
    <t>slay_the_spire---pawnbarian</t>
  </si>
  <si>
    <t>slay_the_spire---peglin</t>
  </si>
  <si>
    <t>slay_the_spire---pluto</t>
  </si>
  <si>
    <t>slay_the_spire---pokelike</t>
  </si>
  <si>
    <t>slay_the_spire---replicat</t>
  </si>
  <si>
    <t>slay_the_spire---right_and_down</t>
  </si>
  <si>
    <t>slay_the_spire---ring_of_pain</t>
  </si>
  <si>
    <t>slay_the_spire---rogue_command</t>
  </si>
  <si>
    <t>slay_the_spire---rogue_voltage</t>
  </si>
  <si>
    <t>slay_the_spire---rogue_genesia</t>
  </si>
  <si>
    <t>slay_the_spire---roulette_hero</t>
  </si>
  <si>
    <t>slay_the_spire---runeveil</t>
  </si>
  <si>
    <t>slay_the_spire---rungore</t>
  </si>
  <si>
    <t>slay_the_spire---seedborne_soldiers</t>
  </si>
  <si>
    <t>slay_the_spire---shadowveil_legend_of_the_five_rings</t>
  </si>
  <si>
    <t>slay_the_spire---shogun_showdown</t>
  </si>
  <si>
    <t>slay_the_spire---slice_dice</t>
  </si>
  <si>
    <t>slay_the_spire---slot_dungeons</t>
  </si>
  <si>
    <t>slay_the_spire---slot_or_not</t>
  </si>
  <si>
    <t>slay_the_spire---spin_hero</t>
  </si>
  <si>
    <t>slay_the_spire---spiritfall</t>
  </si>
  <si>
    <t>slay_the_spire---starvaders</t>
  </si>
  <si>
    <t>slay_the_spire---super_bullet_break</t>
  </si>
  <si>
    <t>slay_the_spire---tabletop_tavern</t>
  </si>
  <si>
    <t>slay_the_spire---tainted_grail_conquest</t>
  </si>
  <si>
    <t>slay_the_spire---talespinner</t>
  </si>
  <si>
    <t>slay_the_spire---the_last_flame</t>
  </si>
  <si>
    <t>slay_the_spire---the_last_spell</t>
  </si>
  <si>
    <t>slay_the_spire---the_ouroboros_king</t>
  </si>
  <si>
    <t>slay_the_spire---the_royal_writ</t>
  </si>
  <si>
    <t>slay_the_spire---the_spirit_lift</t>
  </si>
  <si>
    <t>slay_the_spire---tic_tactic</t>
  </si>
  <si>
    <t>slay_the_spire---tinker_shot</t>
  </si>
  <si>
    <t>slay_the_spire---tower_escape</t>
  </si>
  <si>
    <t>slay_the_spire---tower_tactics_liberation</t>
  </si>
  <si>
    <t>slay_the_spire---vault_of_the_void</t>
  </si>
  <si>
    <t>slay_the_spire---voice_of_belldona</t>
  </si>
  <si>
    <t>slay_the_spire---warriors_abyss</t>
  </si>
  <si>
    <t>slay_the_spire---wildfrost</t>
  </si>
  <si>
    <t>slay_the_spire---witch_s_apocalyptic_journey</t>
  </si>
  <si>
    <t>slay_the_spire---words_can_kill</t>
  </si>
  <si>
    <t>slay_the_spire---zet_zillions</t>
  </si>
  <si>
    <t>slay_the_spire---zoeti</t>
  </si>
  <si>
    <t>slice_dice---cats_dice</t>
  </si>
  <si>
    <t>slice_dice---luck_loot</t>
  </si>
  <si>
    <t>slice_dice---order_automatica</t>
  </si>
  <si>
    <t>slime_3k_rise_against_despot---skull_horde</t>
  </si>
  <si>
    <t>snkrx---centipede_gun</t>
  </si>
  <si>
    <t>snkrx---lone_ruin</t>
  </si>
  <si>
    <t>snkrx---node_crown</t>
  </si>
  <si>
    <t>snkrx---pebble_knights</t>
  </si>
  <si>
    <t>snkrx---stackflow</t>
  </si>
  <si>
    <t>soulstone_survivors---slime_3k_rise_against_despot</t>
  </si>
  <si>
    <t>soulstone_survivors---star_survivor</t>
  </si>
  <si>
    <t>spellbook_demonslayers---star_survivor</t>
  </si>
  <si>
    <t>spelunky_classic---barony</t>
  </si>
  <si>
    <t>spelunky_classic---blazing_beaks</t>
  </si>
  <si>
    <t>spelunky_classic---catacomb_kids</t>
  </si>
  <si>
    <t>spelunky_classic---caveblazers</t>
  </si>
  <si>
    <t>spelunky_classic---cleanfall</t>
  </si>
  <si>
    <t>spelunky_classic---coin_crypt</t>
  </si>
  <si>
    <t>spelunky_classic---crypt_of_the_necrodancer</t>
  </si>
  <si>
    <t>spelunky_classic---dicefolk</t>
  </si>
  <si>
    <t>spelunky_classic---downwell</t>
  </si>
  <si>
    <t>spelunky_classic---dunjungle</t>
  </si>
  <si>
    <t>spelunky_classic---eldritch</t>
  </si>
  <si>
    <t>spelunky_classic---enter_the_gungeon</t>
  </si>
  <si>
    <t>spelunky_classic---feed_the_deep</t>
  </si>
  <si>
    <t>spelunky_classic---flinthook</t>
  </si>
  <si>
    <t>spelunky_classic---going_under</t>
  </si>
  <si>
    <t>spelunky_classic---gonner</t>
  </si>
  <si>
    <t>spelunky_classic---guild_of_dungeoneering</t>
  </si>
  <si>
    <t>spelunky_classic---hades</t>
  </si>
  <si>
    <t>spelunky_classic---heavy_bullets</t>
  </si>
  <si>
    <t>spelunky_classic---immortal_redneck</t>
  </si>
  <si>
    <t>spelunky_classic---mana_spark</t>
  </si>
  <si>
    <t>spelunky_classic---mr_sun_s_hatbox</t>
  </si>
  <si>
    <t>spelunky_classic---noita</t>
  </si>
  <si>
    <t>spelunky_classic---nuclear_throne</t>
  </si>
  <si>
    <t>spelunky_classic---realm_of_the_mad_god</t>
  </si>
  <si>
    <t>spelunky_classic---rogue_legacy</t>
  </si>
  <si>
    <t>spelunky_classic---sky_rogue</t>
  </si>
  <si>
    <t>spelunky_classic---spirits_abyss</t>
  </si>
  <si>
    <t>spelunky_classic---streets_of_rogue</t>
  </si>
  <si>
    <t>spelunky_classic---switchcars</t>
  </si>
  <si>
    <t>spelunky_classic---tumbleseed</t>
  </si>
  <si>
    <t>spelunky_classic---vagante</t>
  </si>
  <si>
    <t>spelunky_classic---wildfrost</t>
  </si>
  <si>
    <t>sproggiwood---youdanji</t>
  </si>
  <si>
    <t>star_of_providence---scourgebringer</t>
  </si>
  <si>
    <t>stoneshard---escape_the_mad_empire</t>
  </si>
  <si>
    <t>stoneshard---the_last_spell</t>
  </si>
  <si>
    <t>super_auto_pets---backpack_battles</t>
  </si>
  <si>
    <t>super_auto_pets---k_domon_hyper_auto_battlers</t>
  </si>
  <si>
    <t>super_auto_pets---knightica</t>
  </si>
  <si>
    <t>super_auto_pets---lunchbreak_tactics</t>
  </si>
  <si>
    <t>super_auto_pets---merge_maestro</t>
  </si>
  <si>
    <t>super_auto_pets---nubby_s_number_factory</t>
  </si>
  <si>
    <t>super_auto_pets---oaken_tower</t>
  </si>
  <si>
    <t>super_auto_pets---order_automatica</t>
  </si>
  <si>
    <t>super_auto_pets---roulette_hero</t>
  </si>
  <si>
    <t>super_auto_pets---tiny_auto_knights</t>
  </si>
  <si>
    <t>super_auto_pets---ultrapool</t>
  </si>
  <si>
    <t>super_house_of_dead_ninjas---gonner</t>
  </si>
  <si>
    <t>super_tax_city---node_crown</t>
  </si>
  <si>
    <t>sword_of_fargoal---rogue_wizards</t>
  </si>
  <si>
    <t>tales_of_maj_eyal---labyrinth_of_legendary_loot</t>
  </si>
  <si>
    <t>tales_of_maj_eyal---tangledeep</t>
  </si>
  <si>
    <t>tangledeep---labyrinth_of_legendary_loot</t>
  </si>
  <si>
    <t>teamfight_tactics---batomon_showdown</t>
  </si>
  <si>
    <t>teamfight_tactics---dwarves_glory_death_and_loot</t>
  </si>
  <si>
    <t>teamfight_tactics---knightica</t>
  </si>
  <si>
    <t>teamfight_tactics---seedborne_soldiers</t>
  </si>
  <si>
    <t>teamfight_tactics---the_bazaar</t>
  </si>
  <si>
    <t>teamfight_tactics---tiny_auto_knights</t>
  </si>
  <si>
    <t>the_bazaar---batomon_showdown</t>
  </si>
  <si>
    <t>the_bazaar---oaken_tower</t>
  </si>
  <si>
    <t>the_binding_of_isaac---20xx</t>
  </si>
  <si>
    <t>the_binding_of_isaac---a_robot_named_fight</t>
  </si>
  <si>
    <t>the_binding_of_isaac---an_amazing_wizard</t>
  </si>
  <si>
    <t>the_binding_of_isaac---blazing_beaks</t>
  </si>
  <si>
    <t>the_binding_of_isaac---brutal_orchestra</t>
  </si>
  <si>
    <t>the_binding_of_isaac---cavity_busters</t>
  </si>
  <si>
    <t>the_binding_of_isaac---children_of_morta</t>
  </si>
  <si>
    <t>the_binding_of_isaac---crawl</t>
  </si>
  <si>
    <t>the_binding_of_isaac---crypt_of_the_necrodancer</t>
  </si>
  <si>
    <t>the_binding_of_isaac---dead_cells</t>
  </si>
  <si>
    <t>the_binding_of_isaac---dead_estate</t>
  </si>
  <si>
    <t>the_binding_of_isaac---devil_slayer_raksasi</t>
  </si>
  <si>
    <t>the_binding_of_isaac---dice_a_million</t>
  </si>
  <si>
    <t>the_binding_of_isaac---dreamscaper</t>
  </si>
  <si>
    <t>the_binding_of_isaac---dungeons_of_blood_and_dream</t>
  </si>
  <si>
    <t>the_binding_of_isaac---enter_the_gungeon</t>
  </si>
  <si>
    <t>the_binding_of_isaac---full_mojo_rampage</t>
  </si>
  <si>
    <t>the_binding_of_isaac---going_under</t>
  </si>
  <si>
    <t>the_binding_of_isaac---golden_light</t>
  </si>
  <si>
    <t>the_binding_of_isaac---hades</t>
  </si>
  <si>
    <t>the_binding_of_isaac---has_been_heroes</t>
  </si>
  <si>
    <t>the_binding_of_isaac---lake_of_creatures</t>
  </si>
  <si>
    <t>the_binding_of_isaac---lost_flame</t>
  </si>
  <si>
    <t>the_binding_of_isaac---mana_spark</t>
  </si>
  <si>
    <t>the_binding_of_isaac---masks_of_the_void_origins</t>
  </si>
  <si>
    <t>the_binding_of_isaac---moonlighter</t>
  </si>
  <si>
    <t>the_binding_of_isaac---neon_abyss</t>
  </si>
  <si>
    <t>the_binding_of_isaac---noobs_are_coming</t>
  </si>
  <si>
    <t>the_binding_of_isaac---nordic_ashes_survivors_of_ragnarok</t>
  </si>
  <si>
    <t>the_binding_of_isaac---nova_drift</t>
  </si>
  <si>
    <t>the_binding_of_isaac---nubby_s_number_factory</t>
  </si>
  <si>
    <t>the_binding_of_isaac---nuclear_throne</t>
  </si>
  <si>
    <t>the_binding_of_isaac---our_darker_purpose</t>
  </si>
  <si>
    <t>the_binding_of_isaac---paper_planet</t>
  </si>
  <si>
    <t>the_binding_of_isaac---pathogenic</t>
  </si>
  <si>
    <t>the_binding_of_isaac---pronoun_palace</t>
  </si>
  <si>
    <t>the_binding_of_isaac---rampage_knights</t>
  </si>
  <si>
    <t>the_binding_of_isaac---revita</t>
  </si>
  <si>
    <t>the_binding_of_isaac---rogue_legacy</t>
  </si>
  <si>
    <t>the_binding_of_isaac---schism</t>
  </si>
  <si>
    <t>the_binding_of_isaac---ship_of_fools</t>
  </si>
  <si>
    <t>the_binding_of_isaac---space_gladiators</t>
  </si>
  <si>
    <t>the_binding_of_isaac---sparklite</t>
  </si>
  <si>
    <t>the_binding_of_isaac---star_of_providence</t>
  </si>
  <si>
    <t>the_binding_of_isaac---streets_of_rogue</t>
  </si>
  <si>
    <t>the_binding_of_isaac---switchcars</t>
  </si>
  <si>
    <t>the_binding_of_isaac---talented</t>
  </si>
  <si>
    <t>the_binding_of_isaac---the_last_game</t>
  </si>
  <si>
    <t>the_binding_of_isaac---the_void_rains_upon_her_heart</t>
  </si>
  <si>
    <t>the_binding_of_isaac---tombstar</t>
  </si>
  <si>
    <t>the_binding_of_isaac---tower_of_guns</t>
  </si>
  <si>
    <t>the_binding_of_isaac---tumbleseed</t>
  </si>
  <si>
    <t>the_binding_of_isaac---undermine</t>
  </si>
  <si>
    <t>the_binding_of_isaac---wildfrost</t>
  </si>
  <si>
    <t>the_binding_of_isaac---wizardchess</t>
  </si>
  <si>
    <t>the_dungeon_rpg---eternal_quest</t>
  </si>
  <si>
    <t>the_ground_gives_way---zmangband</t>
  </si>
  <si>
    <t>the_legend_of_bum_bo---brutal_orchestra</t>
  </si>
  <si>
    <t>the_legend_of_bum_bo---pronoun_palace</t>
  </si>
  <si>
    <t>tiny_rogues---the_last_game</t>
  </si>
  <si>
    <t>torneko_the_last_hope---fushigi_no_gensoukyou</t>
  </si>
  <si>
    <t>torneko_s_great_adventure_mystery_dungeon---dave_the_diver</t>
  </si>
  <si>
    <t>torneko_s_great_adventure_mystery_dungeon---house_of_necrosis</t>
  </si>
  <si>
    <t>torneko_s_great_adventure_mystery_dungeon---mistrogue_mist_and_the_living_dungeons</t>
  </si>
  <si>
    <t>torneko_s_great_adventure_mystery_dungeon---monster_girls_and_the_mysterious_adventure</t>
  </si>
  <si>
    <t>torneko_s_great_adventure_mystery_dungeon---the_world_is_your_weapon</t>
  </si>
  <si>
    <t>unexplored---moonring</t>
  </si>
  <si>
    <t>unreal_world---soulash</t>
  </si>
  <si>
    <t>vampire_survivors---arms_of_god</t>
  </si>
  <si>
    <t>vampire_survivors---army_of_ruin</t>
  </si>
  <si>
    <t>vampire_survivors---astro_prospector</t>
  </si>
  <si>
    <t>vampire_survivors---ball_x_pit</t>
  </si>
  <si>
    <t>vampire_survivors---curse_of_pirates</t>
  </si>
  <si>
    <t>vampire_survivors---dark_light_survivor</t>
  </si>
  <si>
    <t>vampire_survivors---disfigure</t>
  </si>
  <si>
    <t>vampire_survivors---fish_fear_me</t>
  </si>
  <si>
    <t>vampire_survivors---genome_guardian</t>
  </si>
  <si>
    <t>vampire_survivors---glyphica_typing_survival</t>
  </si>
  <si>
    <t>vampire_survivors---greedland</t>
  </si>
  <si>
    <t>vampire_survivors---gunlocked</t>
  </si>
  <si>
    <t>vampire_survivors---hell_maiden</t>
  </si>
  <si>
    <t>vampire_survivors---holocure_save_the_fans</t>
  </si>
  <si>
    <t>vampire_survivors---jotunnslayer_hordes_of_hel</t>
  </si>
  <si>
    <t>vampire_survivors---kill_the_music</t>
  </si>
  <si>
    <t>vampire_survivors---legionbound</t>
  </si>
  <si>
    <t>vampire_survivors---megabonk</t>
  </si>
  <si>
    <t>vampire_survivors---monsters_are_coming</t>
  </si>
  <si>
    <t>vampire_survivors---mortal_sin</t>
  </si>
  <si>
    <t>vampire_survivors---nimrods</t>
  </si>
  <si>
    <t>vampire_survivors---nubby_s_number_factory</t>
  </si>
  <si>
    <t>vampire_survivors---pesticide_not_required</t>
  </si>
  <si>
    <t>vampire_survivors---rogue_factory</t>
  </si>
  <si>
    <t>vampire_survivors---rogue_genesia</t>
  </si>
  <si>
    <t>vampire_survivors---slime_3k_rise_against_despot</t>
  </si>
  <si>
    <t>vampire_survivors---sodaman</t>
  </si>
  <si>
    <t>vampire_survivors---soulstone_survivors</t>
  </si>
  <si>
    <t>vampire_survivors---stolen_realm_survivors</t>
  </si>
  <si>
    <t>vampire_survivors---swarm_grinder</t>
  </si>
  <si>
    <t>vampire_survivors---the_magus_circle</t>
  </si>
  <si>
    <t>vampire_survivors---time_survivors</t>
  </si>
  <si>
    <t>vampire_survivors---tower_factory</t>
  </si>
  <si>
    <t>vampire_survivors---vampire_hunters</t>
  </si>
  <si>
    <t>vampire_survivors---vital_shell</t>
  </si>
  <si>
    <t>vampire_survivors---void_scrappers</t>
  </si>
  <si>
    <t>vampire_survivors---wanderburg</t>
  </si>
  <si>
    <t>vampire_survivors---whisker_squadron_survivor</t>
  </si>
  <si>
    <t>void_scrappers---star_survivor</t>
  </si>
  <si>
    <t>weird_worlds_return_to_infinite_space---ftl</t>
  </si>
  <si>
    <t>wildfrost---decktamer</t>
  </si>
  <si>
    <t>witchfire---deep_rock_galactic_rogue_core</t>
  </si>
  <si>
    <t>witchfire---voin</t>
  </si>
  <si>
    <t>wizard_of_legend---abandoned_archive</t>
  </si>
  <si>
    <t>wizard_of_legend---astral_ascent</t>
  </si>
  <si>
    <t>wizard_of_legend---hades</t>
  </si>
  <si>
    <t>wizard_of_legend---putrid_shot_ultra</t>
  </si>
  <si>
    <t>zangband---cthangband</t>
  </si>
  <si>
    <t>zangband---tales_of_maj_eyal</t>
  </si>
  <si>
    <t>zangband---zmangband</t>
  </si>
  <si>
    <t>ziggurat---immortal_redneck</t>
  </si>
  <si>
    <t>ziggurat---vellum</t>
  </si>
  <si>
    <t>hades---undermine_2</t>
  </si>
  <si>
    <t>wildfrost---hungry_horrors</t>
  </si>
  <si>
    <t>balatro---hungry_horrors</t>
  </si>
  <si>
    <t>slay_the_spire---hungry_horrors</t>
  </si>
  <si>
    <t>vampire_survivors---tiny_rogues</t>
  </si>
  <si>
    <t>https://creators.spotify.com/pod/profile/openindie/episodes/29---Pixlpunk---Tiny-Rogues---RubyDev---Austria-e2ainqm/a-aafpjfq</t>
  </si>
  <si>
    <t>diablo---tiny_rogues</t>
  </si>
  <si>
    <t>enter_the_gungeon---tiny_rogues</t>
  </si>
  <si>
    <t>nuclear_throne---tiny_rogues</t>
  </si>
  <si>
    <t>the_binding_of_isaac---tiny_rogues</t>
  </si>
  <si>
    <t>hades---super_fantasy_kingdom</t>
  </si>
  <si>
    <t>loop_hero---super_fantasy_kingdom</t>
  </si>
  <si>
    <t>20_minutes_till_dawn---pengpong</t>
  </si>
  <si>
    <t>aethermancer---montabi</t>
  </si>
  <si>
    <t>ball_x_pit---pengpong</t>
  </si>
  <si>
    <t>brotato---pengpong</t>
  </si>
  <si>
    <t>cloverpit---pengpong</t>
  </si>
  <si>
    <t>deep_rock_galactic_survivor---pengpong</t>
  </si>
  <si>
    <t>megabonk---pengpong</t>
  </si>
  <si>
    <t>the_binding_of_isaac---pengpong</t>
  </si>
  <si>
    <t>peglin---cult_of_pin</t>
  </si>
  <si>
    <t>balatro---cult_of_pin</t>
  </si>
  <si>
    <t>don_t_starve_together---hungry_horrors</t>
  </si>
  <si>
    <t>pok_rogue---montabi</t>
  </si>
  <si>
    <t>slay_the_spire---tape_to_tape</t>
  </si>
  <si>
    <t>the_binding_of_isaac---tape_to_tape</t>
  </si>
  <si>
    <t>https://www.shacknews.com/article/135007/tape-to-tape-interview-with-lead-game-designer-hugo-julien</t>
  </si>
  <si>
    <t>https://www.gamemeca.com/en/view.php?gid=1778935</t>
  </si>
  <si>
    <t>https://www.indiegamesdeveloper.com/showcases-and-interviews/developer-interview/noisy-head-games-interview-beyond-the-long-night/</t>
  </si>
  <si>
    <t>hades---beyond_the_long_night</t>
  </si>
  <si>
    <t>ftl---beyond_the_long_night</t>
  </si>
  <si>
    <t>desktop_dungeons---i_am_overburdened</t>
  </si>
  <si>
    <t>https://www.gamedeveloper.com/business/i-am-overburdened-recap-and-numbers</t>
  </si>
  <si>
    <t>https://youtu.be/6jw72rP6Zmk</t>
  </si>
  <si>
    <t>slay_the_spire---undermine</t>
  </si>
  <si>
    <t>brotato---gnomes</t>
  </si>
  <si>
    <t>loop_hero---gnomes</t>
  </si>
  <si>
    <t>tiny_rogues---gnomes</t>
  </si>
  <si>
    <t>ancient_domains_of_mystery---crablike</t>
  </si>
  <si>
    <t>ftl---crying_suns</t>
  </si>
  <si>
    <t>darkest_dungeon---corpse_keeper</t>
  </si>
  <si>
    <t>the_binding_of_isaac---conan_chop_chop</t>
  </si>
  <si>
    <t>powder---100_rogues</t>
  </si>
  <si>
    <t>dicey_dungeons---archon_soul</t>
  </si>
  <si>
    <t>slay_the_spire---archon_soul</t>
  </si>
  <si>
    <t>toejam_earl---baldi_s_basics_plus</t>
  </si>
  <si>
    <t>the_binding_of_isaac---beyond_the_long_night</t>
  </si>
  <si>
    <t>enter_the_gungeon---beyond_the_long_night</t>
  </si>
  <si>
    <t>dungeon_crawl_stone_soup---cataclysm</t>
  </si>
  <si>
    <t>ftl---cultist_simulator</t>
  </si>
  <si>
    <t>gunfire_reborn---darkblade_ascent</t>
  </si>
  <si>
    <t>hades---darkblade_ascent</t>
  </si>
  <si>
    <t>nethack---deep_dungeons_of_doom</t>
  </si>
  <si>
    <t>balatro---dogpile</t>
  </si>
  <si>
    <t>uma_musume_pretty_derby---drapline</t>
  </si>
  <si>
    <t>linley_s_dungeon_crawl---frozen_depths</t>
  </si>
  <si>
    <t>ftl---hand_of_fate</t>
  </si>
  <si>
    <t>powder---haque</t>
  </si>
  <si>
    <t>azure_dreams---haque</t>
  </si>
  <si>
    <t>angband---infra_arcana</t>
  </si>
  <si>
    <t>diablo---jotunnslayer_hordes_of_hel</t>
  </si>
  <si>
    <t>into_the_breach---let_s_revolution</t>
  </si>
  <si>
    <t>slay_the_spire---magicraft</t>
  </si>
  <si>
    <t>the_binding_of_isaac---magicraft</t>
  </si>
  <si>
    <t>ftl---monstrum</t>
  </si>
  <si>
    <t>spelunky_classic---monstrum</t>
  </si>
  <si>
    <t>the_binding_of_isaac---monstrum</t>
  </si>
  <si>
    <t>delver---rangedrifter</t>
  </si>
  <si>
    <t>dead_cells---roboquest</t>
  </si>
  <si>
    <t>gunfire_reborn---roboquest</t>
  </si>
  <si>
    <t>nuclear_throne---roboquest</t>
  </si>
  <si>
    <t>hades---metallic_child</t>
  </si>
  <si>
    <t>dead_cells---metal_unit</t>
  </si>
  <si>
    <t>linley_s_dungeon_crawl---powder</t>
  </si>
  <si>
    <t>https://web.archive.org/web/20230609153941/https://www.thecgview.com/p/roboquest-developer-interview</t>
  </si>
  <si>
    <t>ancient_domains_of_mystery---rogue_empire</t>
  </si>
  <si>
    <t>tales_of_maj_eyal---rogue_empire</t>
  </si>
  <si>
    <t>inkbound---monster_train_2</t>
  </si>
  <si>
    <t>https://steamcommunity.com/games/2742830/announcements/detail/572625355297261274</t>
  </si>
  <si>
    <t>https://www.reddit.com/r/pcgaming/comments/1ix1kj1/comment/meiosvh/</t>
  </si>
  <si>
    <t>diablo---runeborn</t>
  </si>
  <si>
    <t>darkest_dungeon---runeborn</t>
  </si>
  <si>
    <t>maritime, crab</t>
  </si>
  <si>
    <t>battle_brothers---legend_of_keepers_career_of_a_dungeon_manager</t>
  </si>
  <si>
    <t>darkest_dungeon---legend_of_keepers_career_of_a_dungeon_manager</t>
  </si>
  <si>
    <t>for_the_king---legend_of_keepers_career_of_a_dungeon_manager</t>
  </si>
  <si>
    <t>slay_the_spire---legend_of_keepers_career_of_a_dungeon_manager</t>
  </si>
  <si>
    <t>dungreed---sephiria</t>
  </si>
  <si>
    <t>noita---sephiria</t>
  </si>
  <si>
    <t>diablo---sephiria</t>
  </si>
  <si>
    <t>hades---sephiria</t>
  </si>
  <si>
    <t>dungeon_crawl_stone_soup---zmangband</t>
  </si>
  <si>
    <t>balatro---zoominoes</t>
  </si>
  <si>
    <t>slay_the_spire---winnie_s_hole</t>
  </si>
  <si>
    <t>super_auto_pets---winnie_s_hole</t>
  </si>
  <si>
    <t>https://www.youtube.com/watch?v=cX-tottt9i0</t>
  </si>
  <si>
    <t>loop_hero---winnie_s_hole</t>
  </si>
  <si>
    <t>powder---wayward</t>
  </si>
  <si>
    <t>brogue---warpvector</t>
  </si>
  <si>
    <t>ftl---warpvector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</si>
</sst>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charset val="1"/>
    </font>
    <font>
      <u/>
      <sz val="11"/>
      <color theme="10"/>
      <name val="Calibri"/>
      <family val="2"/>
      <charset val="1"/>
    </font>
    <font>
      <sz val="10"/>
      <name val="Arial"/>
    </font>
    <font>
      <b/>
      <sz val="10"/>
      <name val="Arial"/>
    </font>
    <font>
      <b/>
      <sz val="10"/>
      <color rgb="FF1D1812"/>
      <name val="Arial"/>
    </font>
    <font>
      <b/>
      <sz val="16"/>
      <color rgb="FF1D1812"/>
      <name val="Arial"/>
    </font>
    <font>
      <i/>
      <sz val="10"/>
      <color rgb="FF5F5340"/>
      <name val="Arial"/>
    </font>
    <font>
      <sz val="10"/>
      <color rgb="FF5F5340"/>
      <name val="Arial"/>
    </font>
    <font>
      <b/>
      <sz val="10"/>
      <color rgb="FFC0392B"/>
      <name val="Arial"/>
    </font>
    <font>
      <sz val="8"/>
      <name val="Calibri"/>
      <family val="2"/>
      <charset val="1"/>
    </font>
  </fonts>
  <fills count="5">
    <fill>
      <patternFill patternType="none"/>
    </fill>
    <fill>
      <patternFill patternType="gray125"/>
    </fill>
    <fill>
      <patternFill patternType="solid">
        <fgColor theme="4" tint="0.79989013336588644"/>
        <bgColor rgb="FFCCFFFF"/>
      </patternFill>
    </fill>
    <fill>
      <patternFill patternType="solid">
        <fgColor rgb="FFEDE3D0"/>
      </patternFill>
    </fill>
    <fill>
      <patternFill patternType="solid">
        <fgColor rgb="FFF7F2E8"/>
      </patternFill>
    </fill>
  </fills>
  <borders count="5">
    <border>
      <left/>
      <right/>
      <top/>
      <bottom/>
      <diagonal/>
    </border>
    <border>
      <left/>
      <right/>
      <top style="thin">
        <color theme="4" tint="0.39988402966399123"/>
      </top>
      <bottom style="thin">
        <color theme="4" tint="0.39988402966399123"/>
      </bottom>
      <diagonal/>
    </border>
    <border>
      <left style="thin">
        <color theme="4" tint="0.39988402966399123"/>
      </left>
      <right/>
      <top style="thin">
        <color theme="4" tint="0.39988402966399123"/>
      </top>
      <bottom/>
      <diagonal/>
    </border>
    <border>
      <left/>
      <right/>
      <top style="thin">
        <color theme="4" tint="0.39988402966399123"/>
      </top>
      <bottom/>
      <diagonal/>
    </border>
    <border>
      <left style="thin">
        <color rgb="FFBFAE8C"/>
      </left>
      <right style="thin">
        <color rgb="FFBFAE8C"/>
      </right>
      <top style="thin">
        <color rgb="FFBFAE8C"/>
      </top>
      <bottom style="thin">
        <color rgb="FFBFAE8C"/>
      </bottom>
      <diagonal/>
    </border>
  </borders>
  <cellStyleXfs count="2">
    <xf numFmtId="0" fontId="0" fillId="0" borderId="0"/>
    <xf numFmtId="0" fontId="1" fillId="0" borderId="0"/>
  </cellStyleXfs>
  <cellXfs count="26">
    <xf numFmtId="0" fontId="0" fillId="0" borderId="0" xfId="0"/>
    <xf numFmtId="0" fontId="1" fillId="0" borderId="0" xfId="0" applyFont="1"/>
    <xf numFmtId="0" fontId="0" fillId="0" borderId="1" xfId="0" applyBorder="1"/>
    <xf numFmtId="0" fontId="0" fillId="0" borderId="0" xfId="0" applyAlignment="1">
      <alignment wrapText="1"/>
    </xf>
    <xf numFmtId="0" fontId="0" fillId="2" borderId="0" xfId="0" applyFill="1"/>
    <xf numFmtId="0" fontId="0" fillId="0" borderId="2" xfId="0" applyBorder="1"/>
    <xf numFmtId="0" fontId="0" fillId="0" borderId="3" xfId="0" applyBorder="1"/>
    <xf numFmtId="0" fontId="0" fillId="2" borderId="3" xfId="0" applyFill="1" applyBorder="1"/>
    <xf numFmtId="0" fontId="0" fillId="0" borderId="0" xfId="0" applyAlignment="1">
      <alignment vertical="top" wrapText="1"/>
    </xf>
    <xf numFmtId="1" fontId="0" fillId="0" borderId="0" xfId="0" applyNumberFormat="1"/>
    <xf numFmtId="0" fontId="1" fillId="0" borderId="0" xfId="1"/>
    <xf numFmtId="0" fontId="2" fillId="0" borderId="0" xfId="0" applyFont="1"/>
    <xf numFmtId="0" fontId="5" fillId="0" borderId="0" xfId="0" applyFont="1"/>
    <xf numFmtId="0" fontId="6" fillId="0" borderId="0" xfId="0" applyFont="1"/>
    <xf numFmtId="0" fontId="4" fillId="3" borderId="4" xfId="0" applyFont="1" applyFill="1" applyBorder="1" applyAlignment="1">
      <alignment horizontal="center" vertical="center" wrapText="1"/>
    </xf>
    <xf numFmtId="0" fontId="3" fillId="0" borderId="4" xfId="0" applyFont="1" applyBorder="1"/>
    <xf numFmtId="0" fontId="2" fillId="4" borderId="4" xfId="0" applyFont="1" applyFill="1" applyBorder="1"/>
    <xf numFmtId="0" fontId="7" fillId="0" borderId="4" xfId="0" applyFont="1" applyBorder="1"/>
    <xf numFmtId="9" fontId="0" fillId="0" borderId="0" xfId="0" applyNumberFormat="1"/>
    <xf numFmtId="9" fontId="2" fillId="4" borderId="4" xfId="0" applyNumberFormat="1" applyFont="1" applyFill="1" applyBorder="1"/>
    <xf numFmtId="2" fontId="2" fillId="4" borderId="4" xfId="0" applyNumberFormat="1" applyFont="1" applyFill="1" applyBorder="1"/>
    <xf numFmtId="0" fontId="3" fillId="0" borderId="0" xfId="0" applyFont="1"/>
    <xf numFmtId="9" fontId="3" fillId="0" borderId="0" xfId="0" applyNumberFormat="1" applyFont="1"/>
    <xf numFmtId="0" fontId="8" fillId="4" borderId="4" xfId="0" applyFont="1" applyFill="1" applyBorder="1"/>
    <xf numFmtId="164" fontId="2" fillId="4" borderId="4" xfId="0" applyNumberFormat="1" applyFont="1" applyFill="1" applyBorder="1"/>
    <xf numFmtId="0" fontId="0" fillId="4" borderId="4" xfId="0" applyFill="1" applyBorder="1"/>
  </cellXfs>
  <cellStyles count="2">
    <cellStyle name="Hyperlink" xfId="1" builtinId="8"/>
    <cellStyle name="Normal" xfId="0" builtinId="0"/>
  </cellStyles>
  <dxfs count="2">
    <dxf>
      <numFmt numFmtId="0" formatCode="General"/>
    </dxf>
    <dxf>
      <font>
        <strike val="0"/>
        <condense val="0"/>
        <extend val="0"/>
        <outline val="0"/>
        <shadow val="0"/>
        <vertAlign val="baseline"/>
        <sz val="11"/>
        <color rgb="FF000000"/>
        <name val="Arial"/>
        <family val="2"/>
      </font>
      <alignment horizontal="general" vertical="cent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Games per release year — owned against the whole sheet</a:t>
            </a:r>
          </a:p>
        </c:rich>
      </c:tx>
      <c:overlay val="1"/>
    </c:title>
    <c:autoTitleDeleted val="0"/>
    <c:plotArea>
      <c:layout/>
      <c:barChart>
        <c:barDir val="col"/>
        <c:grouping val="clustered"/>
        <c:varyColors val="1"/>
        <c:ser>
          <c:idx val="0"/>
          <c:order val="0"/>
          <c:tx>
            <c:strRef>
              <c:f>'Map Analysis'!$W$4</c:f>
              <c:strCache>
                <c:ptCount val="1"/>
                <c:pt idx="0">
                  <c:v>Games</c:v>
                </c:pt>
              </c:strCache>
            </c:strRef>
          </c:tx>
          <c:spPr>
            <a:ln>
              <a:prstDash val="solid"/>
            </a:ln>
          </c:spPr>
          <c:invertIfNegative val="1"/>
          <c:cat>
            <c:numRef>
              <c:f>'Map Analysis'!$V$5:$V$53</c:f>
              <c:numCache>
                <c:formatCode>General</c:formatCode>
                <c:ptCount val="49"/>
                <c:pt idx="0">
                  <c:v>1978</c:v>
                </c:pt>
                <c:pt idx="1">
                  <c:v>1979</c:v>
                </c:pt>
                <c:pt idx="2">
                  <c:v>1980</c:v>
                </c:pt>
                <c:pt idx="3">
                  <c:v>1981</c:v>
                </c:pt>
                <c:pt idx="4">
                  <c:v>1982</c:v>
                </c:pt>
                <c:pt idx="5">
                  <c:v>1983</c:v>
                </c:pt>
                <c:pt idx="6">
                  <c:v>1984</c:v>
                </c:pt>
                <c:pt idx="7">
                  <c:v>1985</c:v>
                </c:pt>
                <c:pt idx="8">
                  <c:v>1986</c:v>
                </c:pt>
                <c:pt idx="9">
                  <c:v>1987</c:v>
                </c:pt>
                <c:pt idx="10">
                  <c:v>1988</c:v>
                </c:pt>
                <c:pt idx="11">
                  <c:v>1989</c:v>
                </c:pt>
                <c:pt idx="12">
                  <c:v>1990</c:v>
                </c:pt>
                <c:pt idx="13">
                  <c:v>1991</c:v>
                </c:pt>
                <c:pt idx="14">
                  <c:v>1992</c:v>
                </c:pt>
                <c:pt idx="15">
                  <c:v>1993</c:v>
                </c:pt>
                <c:pt idx="16">
                  <c:v>1994</c:v>
                </c:pt>
                <c:pt idx="17">
                  <c:v>1995</c:v>
                </c:pt>
                <c:pt idx="18">
                  <c:v>1996</c:v>
                </c:pt>
                <c:pt idx="19">
                  <c:v>1997</c:v>
                </c:pt>
                <c:pt idx="20">
                  <c:v>1998</c:v>
                </c:pt>
                <c:pt idx="21">
                  <c:v>1999</c:v>
                </c:pt>
                <c:pt idx="22">
                  <c:v>2000</c:v>
                </c:pt>
                <c:pt idx="23">
                  <c:v>2001</c:v>
                </c:pt>
                <c:pt idx="24">
                  <c:v>2002</c:v>
                </c:pt>
                <c:pt idx="25">
                  <c:v>2003</c:v>
                </c:pt>
                <c:pt idx="26">
                  <c:v>2004</c:v>
                </c:pt>
                <c:pt idx="27">
                  <c:v>2005</c:v>
                </c:pt>
                <c:pt idx="28">
                  <c:v>2006</c:v>
                </c:pt>
                <c:pt idx="29">
                  <c:v>2007</c:v>
                </c:pt>
                <c:pt idx="30">
                  <c:v>2008</c:v>
                </c:pt>
                <c:pt idx="31">
                  <c:v>2009</c:v>
                </c:pt>
                <c:pt idx="32">
                  <c:v>2010</c:v>
                </c:pt>
                <c:pt idx="33">
                  <c:v>2011</c:v>
                </c:pt>
                <c:pt idx="34">
                  <c:v>2012</c:v>
                </c:pt>
                <c:pt idx="35">
                  <c:v>2013</c:v>
                </c:pt>
                <c:pt idx="36">
                  <c:v>2014</c:v>
                </c:pt>
                <c:pt idx="37">
                  <c:v>2015</c:v>
                </c:pt>
                <c:pt idx="38">
                  <c:v>2016</c:v>
                </c:pt>
                <c:pt idx="39">
                  <c:v>2017</c:v>
                </c:pt>
                <c:pt idx="40">
                  <c:v>2018</c:v>
                </c:pt>
                <c:pt idx="41">
                  <c:v>2019</c:v>
                </c:pt>
                <c:pt idx="42">
                  <c:v>2020</c:v>
                </c:pt>
                <c:pt idx="43">
                  <c:v>2021</c:v>
                </c:pt>
                <c:pt idx="44">
                  <c:v>2022</c:v>
                </c:pt>
                <c:pt idx="45">
                  <c:v>2023</c:v>
                </c:pt>
                <c:pt idx="46">
                  <c:v>2024</c:v>
                </c:pt>
                <c:pt idx="47">
                  <c:v>2025</c:v>
                </c:pt>
                <c:pt idx="48">
                  <c:v>2026</c:v>
                </c:pt>
              </c:numCache>
            </c:numRef>
          </c:cat>
          <c:val>
            <c:numRef>
              <c:f>'Map Analysis'!$W$5:$W$53</c:f>
              <c:numCache>
                <c:formatCode>General</c:formatCode>
                <c:ptCount val="49"/>
                <c:pt idx="0">
                  <c:v>1</c:v>
                </c:pt>
                <c:pt idx="1">
                  <c:v>0</c:v>
                </c:pt>
                <c:pt idx="2">
                  <c:v>1</c:v>
                </c:pt>
                <c:pt idx="3">
                  <c:v>0</c:v>
                </c:pt>
                <c:pt idx="4">
                  <c:v>1</c:v>
                </c:pt>
                <c:pt idx="5">
                  <c:v>1</c:v>
                </c:pt>
                <c:pt idx="6">
                  <c:v>1</c:v>
                </c:pt>
                <c:pt idx="7">
                  <c:v>0</c:v>
                </c:pt>
                <c:pt idx="8">
                  <c:v>1</c:v>
                </c:pt>
                <c:pt idx="9">
                  <c:v>3</c:v>
                </c:pt>
                <c:pt idx="10">
                  <c:v>0</c:v>
                </c:pt>
                <c:pt idx="11">
                  <c:v>0</c:v>
                </c:pt>
                <c:pt idx="12">
                  <c:v>3</c:v>
                </c:pt>
                <c:pt idx="13">
                  <c:v>2</c:v>
                </c:pt>
                <c:pt idx="14">
                  <c:v>2</c:v>
                </c:pt>
                <c:pt idx="15">
                  <c:v>2</c:v>
                </c:pt>
                <c:pt idx="16">
                  <c:v>3</c:v>
                </c:pt>
                <c:pt idx="17">
                  <c:v>2</c:v>
                </c:pt>
                <c:pt idx="18">
                  <c:v>2</c:v>
                </c:pt>
                <c:pt idx="19">
                  <c:v>2</c:v>
                </c:pt>
                <c:pt idx="20">
                  <c:v>5</c:v>
                </c:pt>
                <c:pt idx="21">
                  <c:v>1</c:v>
                </c:pt>
                <c:pt idx="22">
                  <c:v>2</c:v>
                </c:pt>
                <c:pt idx="23">
                  <c:v>3</c:v>
                </c:pt>
                <c:pt idx="24">
                  <c:v>6</c:v>
                </c:pt>
                <c:pt idx="25">
                  <c:v>3</c:v>
                </c:pt>
                <c:pt idx="26">
                  <c:v>2</c:v>
                </c:pt>
                <c:pt idx="27">
                  <c:v>3</c:v>
                </c:pt>
                <c:pt idx="28">
                  <c:v>8</c:v>
                </c:pt>
                <c:pt idx="29">
                  <c:v>7</c:v>
                </c:pt>
                <c:pt idx="30">
                  <c:v>4</c:v>
                </c:pt>
                <c:pt idx="31">
                  <c:v>2</c:v>
                </c:pt>
                <c:pt idx="32">
                  <c:v>14</c:v>
                </c:pt>
                <c:pt idx="33">
                  <c:v>6</c:v>
                </c:pt>
                <c:pt idx="34">
                  <c:v>11</c:v>
                </c:pt>
                <c:pt idx="35">
                  <c:v>13</c:v>
                </c:pt>
                <c:pt idx="36">
                  <c:v>23</c:v>
                </c:pt>
                <c:pt idx="37">
                  <c:v>21</c:v>
                </c:pt>
                <c:pt idx="38">
                  <c:v>15</c:v>
                </c:pt>
                <c:pt idx="39">
                  <c:v>32</c:v>
                </c:pt>
                <c:pt idx="40">
                  <c:v>23</c:v>
                </c:pt>
                <c:pt idx="41">
                  <c:v>39</c:v>
                </c:pt>
                <c:pt idx="42">
                  <c:v>51</c:v>
                </c:pt>
                <c:pt idx="43">
                  <c:v>44</c:v>
                </c:pt>
                <c:pt idx="44">
                  <c:v>70</c:v>
                </c:pt>
                <c:pt idx="45">
                  <c:v>97</c:v>
                </c:pt>
                <c:pt idx="46">
                  <c:v>100</c:v>
                </c:pt>
                <c:pt idx="47">
                  <c:v>155</c:v>
                </c:pt>
                <c:pt idx="48">
                  <c:v>108</c:v>
                </c:pt>
              </c:numCache>
            </c:numRef>
          </c:val>
          <c:extLst>
            <c:ext xmlns:c16="http://schemas.microsoft.com/office/drawing/2014/chart" uri="{C3380CC4-5D6E-409C-BE32-E72D297353CC}">
              <c16:uniqueId val="{00000000-186A-49FE-BBEC-F25283EC654B}"/>
            </c:ext>
          </c:extLst>
        </c:ser>
        <c:ser>
          <c:idx val="1"/>
          <c:order val="1"/>
          <c:tx>
            <c:strRef>
              <c:f>'Map Analysis'!$X$4</c:f>
              <c:strCache>
                <c:ptCount val="1"/>
                <c:pt idx="0">
                  <c:v>Owned</c:v>
                </c:pt>
              </c:strCache>
            </c:strRef>
          </c:tx>
          <c:spPr>
            <a:ln>
              <a:prstDash val="solid"/>
            </a:ln>
          </c:spPr>
          <c:invertIfNegative val="1"/>
          <c:cat>
            <c:numRef>
              <c:f>'Map Analysis'!$V$5:$V$53</c:f>
              <c:numCache>
                <c:formatCode>General</c:formatCode>
                <c:ptCount val="49"/>
                <c:pt idx="0">
                  <c:v>1978</c:v>
                </c:pt>
                <c:pt idx="1">
                  <c:v>1979</c:v>
                </c:pt>
                <c:pt idx="2">
                  <c:v>1980</c:v>
                </c:pt>
                <c:pt idx="3">
                  <c:v>1981</c:v>
                </c:pt>
                <c:pt idx="4">
                  <c:v>1982</c:v>
                </c:pt>
                <c:pt idx="5">
                  <c:v>1983</c:v>
                </c:pt>
                <c:pt idx="6">
                  <c:v>1984</c:v>
                </c:pt>
                <c:pt idx="7">
                  <c:v>1985</c:v>
                </c:pt>
                <c:pt idx="8">
                  <c:v>1986</c:v>
                </c:pt>
                <c:pt idx="9">
                  <c:v>1987</c:v>
                </c:pt>
                <c:pt idx="10">
                  <c:v>1988</c:v>
                </c:pt>
                <c:pt idx="11">
                  <c:v>1989</c:v>
                </c:pt>
                <c:pt idx="12">
                  <c:v>1990</c:v>
                </c:pt>
                <c:pt idx="13">
                  <c:v>1991</c:v>
                </c:pt>
                <c:pt idx="14">
                  <c:v>1992</c:v>
                </c:pt>
                <c:pt idx="15">
                  <c:v>1993</c:v>
                </c:pt>
                <c:pt idx="16">
                  <c:v>1994</c:v>
                </c:pt>
                <c:pt idx="17">
                  <c:v>1995</c:v>
                </c:pt>
                <c:pt idx="18">
                  <c:v>1996</c:v>
                </c:pt>
                <c:pt idx="19">
                  <c:v>1997</c:v>
                </c:pt>
                <c:pt idx="20">
                  <c:v>1998</c:v>
                </c:pt>
                <c:pt idx="21">
                  <c:v>1999</c:v>
                </c:pt>
                <c:pt idx="22">
                  <c:v>2000</c:v>
                </c:pt>
                <c:pt idx="23">
                  <c:v>2001</c:v>
                </c:pt>
                <c:pt idx="24">
                  <c:v>2002</c:v>
                </c:pt>
                <c:pt idx="25">
                  <c:v>2003</c:v>
                </c:pt>
                <c:pt idx="26">
                  <c:v>2004</c:v>
                </c:pt>
                <c:pt idx="27">
                  <c:v>2005</c:v>
                </c:pt>
                <c:pt idx="28">
                  <c:v>2006</c:v>
                </c:pt>
                <c:pt idx="29">
                  <c:v>2007</c:v>
                </c:pt>
                <c:pt idx="30">
                  <c:v>2008</c:v>
                </c:pt>
                <c:pt idx="31">
                  <c:v>2009</c:v>
                </c:pt>
                <c:pt idx="32">
                  <c:v>2010</c:v>
                </c:pt>
                <c:pt idx="33">
                  <c:v>2011</c:v>
                </c:pt>
                <c:pt idx="34">
                  <c:v>2012</c:v>
                </c:pt>
                <c:pt idx="35">
                  <c:v>2013</c:v>
                </c:pt>
                <c:pt idx="36">
                  <c:v>2014</c:v>
                </c:pt>
                <c:pt idx="37">
                  <c:v>2015</c:v>
                </c:pt>
                <c:pt idx="38">
                  <c:v>2016</c:v>
                </c:pt>
                <c:pt idx="39">
                  <c:v>2017</c:v>
                </c:pt>
                <c:pt idx="40">
                  <c:v>2018</c:v>
                </c:pt>
                <c:pt idx="41">
                  <c:v>2019</c:v>
                </c:pt>
                <c:pt idx="42">
                  <c:v>2020</c:v>
                </c:pt>
                <c:pt idx="43">
                  <c:v>2021</c:v>
                </c:pt>
                <c:pt idx="44">
                  <c:v>2022</c:v>
                </c:pt>
                <c:pt idx="45">
                  <c:v>2023</c:v>
                </c:pt>
                <c:pt idx="46">
                  <c:v>2024</c:v>
                </c:pt>
                <c:pt idx="47">
                  <c:v>2025</c:v>
                </c:pt>
                <c:pt idx="48">
                  <c:v>2026</c:v>
                </c:pt>
              </c:numCache>
            </c:numRef>
          </c:cat>
          <c:val>
            <c:numRef>
              <c:f>'Map Analysis'!$X$5:$X$53</c:f>
              <c:numCache>
                <c:formatCode>General</c:formatCode>
                <c:ptCount val="49"/>
                <c:pt idx="0">
                  <c:v>1</c:v>
                </c:pt>
                <c:pt idx="1">
                  <c:v>0</c:v>
                </c:pt>
                <c:pt idx="2">
                  <c:v>1</c:v>
                </c:pt>
                <c:pt idx="3">
                  <c:v>0</c:v>
                </c:pt>
                <c:pt idx="4">
                  <c:v>0</c:v>
                </c:pt>
                <c:pt idx="5">
                  <c:v>1</c:v>
                </c:pt>
                <c:pt idx="6">
                  <c:v>1</c:v>
                </c:pt>
                <c:pt idx="7">
                  <c:v>0</c:v>
                </c:pt>
                <c:pt idx="8">
                  <c:v>1</c:v>
                </c:pt>
                <c:pt idx="9">
                  <c:v>3</c:v>
                </c:pt>
                <c:pt idx="10">
                  <c:v>0</c:v>
                </c:pt>
                <c:pt idx="11">
                  <c:v>0</c:v>
                </c:pt>
                <c:pt idx="12">
                  <c:v>3</c:v>
                </c:pt>
                <c:pt idx="13">
                  <c:v>2</c:v>
                </c:pt>
                <c:pt idx="14">
                  <c:v>2</c:v>
                </c:pt>
                <c:pt idx="15">
                  <c:v>1</c:v>
                </c:pt>
                <c:pt idx="16">
                  <c:v>3</c:v>
                </c:pt>
                <c:pt idx="17">
                  <c:v>2</c:v>
                </c:pt>
                <c:pt idx="18">
                  <c:v>2</c:v>
                </c:pt>
                <c:pt idx="19">
                  <c:v>2</c:v>
                </c:pt>
                <c:pt idx="20">
                  <c:v>4</c:v>
                </c:pt>
                <c:pt idx="21">
                  <c:v>1</c:v>
                </c:pt>
                <c:pt idx="22">
                  <c:v>2</c:v>
                </c:pt>
                <c:pt idx="23">
                  <c:v>2</c:v>
                </c:pt>
                <c:pt idx="24">
                  <c:v>5</c:v>
                </c:pt>
                <c:pt idx="25">
                  <c:v>2</c:v>
                </c:pt>
                <c:pt idx="26">
                  <c:v>2</c:v>
                </c:pt>
                <c:pt idx="27">
                  <c:v>3</c:v>
                </c:pt>
                <c:pt idx="28">
                  <c:v>8</c:v>
                </c:pt>
                <c:pt idx="29">
                  <c:v>6</c:v>
                </c:pt>
                <c:pt idx="30">
                  <c:v>3</c:v>
                </c:pt>
                <c:pt idx="31">
                  <c:v>2</c:v>
                </c:pt>
                <c:pt idx="32">
                  <c:v>7</c:v>
                </c:pt>
                <c:pt idx="33">
                  <c:v>3</c:v>
                </c:pt>
                <c:pt idx="34">
                  <c:v>5</c:v>
                </c:pt>
                <c:pt idx="35">
                  <c:v>8</c:v>
                </c:pt>
                <c:pt idx="36">
                  <c:v>14</c:v>
                </c:pt>
                <c:pt idx="37">
                  <c:v>14</c:v>
                </c:pt>
                <c:pt idx="38">
                  <c:v>13</c:v>
                </c:pt>
                <c:pt idx="39">
                  <c:v>21</c:v>
                </c:pt>
                <c:pt idx="40">
                  <c:v>16</c:v>
                </c:pt>
                <c:pt idx="41">
                  <c:v>27</c:v>
                </c:pt>
                <c:pt idx="42">
                  <c:v>43</c:v>
                </c:pt>
                <c:pt idx="43">
                  <c:v>38</c:v>
                </c:pt>
                <c:pt idx="44">
                  <c:v>57</c:v>
                </c:pt>
                <c:pt idx="45">
                  <c:v>77</c:v>
                </c:pt>
                <c:pt idx="46">
                  <c:v>59</c:v>
                </c:pt>
                <c:pt idx="47">
                  <c:v>78</c:v>
                </c:pt>
                <c:pt idx="48">
                  <c:v>18</c:v>
                </c:pt>
              </c:numCache>
            </c:numRef>
          </c:val>
          <c:extLst>
            <c:ext xmlns:c16="http://schemas.microsoft.com/office/drawing/2014/chart" uri="{C3380CC4-5D6E-409C-BE32-E72D297353CC}">
              <c16:uniqueId val="{00000001-186A-49FE-BBEC-F25283EC654B}"/>
            </c:ext>
          </c:extLst>
        </c:ser>
        <c:dLbls>
          <c:showLegendKey val="0"/>
          <c:showVal val="0"/>
          <c:showCatName val="0"/>
          <c:showSerName val="0"/>
          <c:showPercent val="0"/>
          <c:showBubbleSize val="0"/>
        </c:dLbls>
        <c:gapWidth val="6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Games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Connections by influencer's year</a:t>
            </a:r>
          </a:p>
        </c:rich>
      </c:tx>
      <c:overlay val="1"/>
    </c:title>
    <c:autoTitleDeleted val="0"/>
    <c:plotArea>
      <c:layout/>
      <c:barChart>
        <c:barDir val="col"/>
        <c:grouping val="clustered"/>
        <c:varyColors val="1"/>
        <c:ser>
          <c:idx val="0"/>
          <c:order val="0"/>
          <c:tx>
            <c:strRef>
              <c:f>'Map Analysis'!$Y$4</c:f>
              <c:strCache>
                <c:ptCount val="1"/>
                <c:pt idx="0">
                  <c:v>Connections</c:v>
                </c:pt>
              </c:strCache>
            </c:strRef>
          </c:tx>
          <c:spPr>
            <a:ln>
              <a:prstDash val="solid"/>
            </a:ln>
          </c:spPr>
          <c:invertIfNegative val="1"/>
          <c:cat>
            <c:numRef>
              <c:f>'Map Analysis'!$V$5:$V$53</c:f>
              <c:numCache>
                <c:formatCode>General</c:formatCode>
                <c:ptCount val="49"/>
                <c:pt idx="0">
                  <c:v>1978</c:v>
                </c:pt>
                <c:pt idx="1">
                  <c:v>1979</c:v>
                </c:pt>
                <c:pt idx="2">
                  <c:v>1980</c:v>
                </c:pt>
                <c:pt idx="3">
                  <c:v>1981</c:v>
                </c:pt>
                <c:pt idx="4">
                  <c:v>1982</c:v>
                </c:pt>
                <c:pt idx="5">
                  <c:v>1983</c:v>
                </c:pt>
                <c:pt idx="6">
                  <c:v>1984</c:v>
                </c:pt>
                <c:pt idx="7">
                  <c:v>1985</c:v>
                </c:pt>
                <c:pt idx="8">
                  <c:v>1986</c:v>
                </c:pt>
                <c:pt idx="9">
                  <c:v>1987</c:v>
                </c:pt>
                <c:pt idx="10">
                  <c:v>1988</c:v>
                </c:pt>
                <c:pt idx="11">
                  <c:v>1989</c:v>
                </c:pt>
                <c:pt idx="12">
                  <c:v>1990</c:v>
                </c:pt>
                <c:pt idx="13">
                  <c:v>1991</c:v>
                </c:pt>
                <c:pt idx="14">
                  <c:v>1992</c:v>
                </c:pt>
                <c:pt idx="15">
                  <c:v>1993</c:v>
                </c:pt>
                <c:pt idx="16">
                  <c:v>1994</c:v>
                </c:pt>
                <c:pt idx="17">
                  <c:v>1995</c:v>
                </c:pt>
                <c:pt idx="18">
                  <c:v>1996</c:v>
                </c:pt>
                <c:pt idx="19">
                  <c:v>1997</c:v>
                </c:pt>
                <c:pt idx="20">
                  <c:v>1998</c:v>
                </c:pt>
                <c:pt idx="21">
                  <c:v>1999</c:v>
                </c:pt>
                <c:pt idx="22">
                  <c:v>2000</c:v>
                </c:pt>
                <c:pt idx="23">
                  <c:v>2001</c:v>
                </c:pt>
                <c:pt idx="24">
                  <c:v>2002</c:v>
                </c:pt>
                <c:pt idx="25">
                  <c:v>2003</c:v>
                </c:pt>
                <c:pt idx="26">
                  <c:v>2004</c:v>
                </c:pt>
                <c:pt idx="27">
                  <c:v>2005</c:v>
                </c:pt>
                <c:pt idx="28">
                  <c:v>2006</c:v>
                </c:pt>
                <c:pt idx="29">
                  <c:v>2007</c:v>
                </c:pt>
                <c:pt idx="30">
                  <c:v>2008</c:v>
                </c:pt>
                <c:pt idx="31">
                  <c:v>2009</c:v>
                </c:pt>
                <c:pt idx="32">
                  <c:v>2010</c:v>
                </c:pt>
                <c:pt idx="33">
                  <c:v>2011</c:v>
                </c:pt>
                <c:pt idx="34">
                  <c:v>2012</c:v>
                </c:pt>
                <c:pt idx="35">
                  <c:v>2013</c:v>
                </c:pt>
                <c:pt idx="36">
                  <c:v>2014</c:v>
                </c:pt>
                <c:pt idx="37">
                  <c:v>2015</c:v>
                </c:pt>
                <c:pt idx="38">
                  <c:v>2016</c:v>
                </c:pt>
                <c:pt idx="39">
                  <c:v>2017</c:v>
                </c:pt>
                <c:pt idx="40">
                  <c:v>2018</c:v>
                </c:pt>
                <c:pt idx="41">
                  <c:v>2019</c:v>
                </c:pt>
                <c:pt idx="42">
                  <c:v>2020</c:v>
                </c:pt>
                <c:pt idx="43">
                  <c:v>2021</c:v>
                </c:pt>
                <c:pt idx="44">
                  <c:v>2022</c:v>
                </c:pt>
                <c:pt idx="45">
                  <c:v>2023</c:v>
                </c:pt>
                <c:pt idx="46">
                  <c:v>2024</c:v>
                </c:pt>
                <c:pt idx="47">
                  <c:v>2025</c:v>
                </c:pt>
                <c:pt idx="48">
                  <c:v>2026</c:v>
                </c:pt>
              </c:numCache>
            </c:numRef>
          </c:cat>
          <c:val>
            <c:numRef>
              <c:f>'Map Analysis'!$Y$5:$Y$53</c:f>
              <c:numCache>
                <c:formatCode>General</c:formatCode>
                <c:ptCount val="49"/>
                <c:pt idx="0">
                  <c:v>0</c:v>
                </c:pt>
                <c:pt idx="1">
                  <c:v>0</c:v>
                </c:pt>
                <c:pt idx="2">
                  <c:v>29</c:v>
                </c:pt>
                <c:pt idx="3">
                  <c:v>0</c:v>
                </c:pt>
                <c:pt idx="4">
                  <c:v>1</c:v>
                </c:pt>
                <c:pt idx="5">
                  <c:v>3</c:v>
                </c:pt>
                <c:pt idx="6">
                  <c:v>6</c:v>
                </c:pt>
                <c:pt idx="7">
                  <c:v>0</c:v>
                </c:pt>
                <c:pt idx="8">
                  <c:v>1</c:v>
                </c:pt>
                <c:pt idx="9">
                  <c:v>39</c:v>
                </c:pt>
                <c:pt idx="10">
                  <c:v>0</c:v>
                </c:pt>
                <c:pt idx="11">
                  <c:v>0</c:v>
                </c:pt>
                <c:pt idx="12">
                  <c:v>12</c:v>
                </c:pt>
                <c:pt idx="13">
                  <c:v>2</c:v>
                </c:pt>
                <c:pt idx="14">
                  <c:v>2</c:v>
                </c:pt>
                <c:pt idx="15">
                  <c:v>22</c:v>
                </c:pt>
                <c:pt idx="16">
                  <c:v>21</c:v>
                </c:pt>
                <c:pt idx="17">
                  <c:v>14</c:v>
                </c:pt>
                <c:pt idx="18">
                  <c:v>30</c:v>
                </c:pt>
                <c:pt idx="19">
                  <c:v>4</c:v>
                </c:pt>
                <c:pt idx="20">
                  <c:v>12</c:v>
                </c:pt>
                <c:pt idx="21">
                  <c:v>2</c:v>
                </c:pt>
                <c:pt idx="22">
                  <c:v>4</c:v>
                </c:pt>
                <c:pt idx="23">
                  <c:v>3</c:v>
                </c:pt>
                <c:pt idx="24">
                  <c:v>11</c:v>
                </c:pt>
                <c:pt idx="25">
                  <c:v>4</c:v>
                </c:pt>
                <c:pt idx="26">
                  <c:v>0</c:v>
                </c:pt>
                <c:pt idx="27">
                  <c:v>7</c:v>
                </c:pt>
                <c:pt idx="28">
                  <c:v>18</c:v>
                </c:pt>
                <c:pt idx="29">
                  <c:v>4</c:v>
                </c:pt>
                <c:pt idx="30">
                  <c:v>46</c:v>
                </c:pt>
                <c:pt idx="31">
                  <c:v>9</c:v>
                </c:pt>
                <c:pt idx="32">
                  <c:v>21</c:v>
                </c:pt>
                <c:pt idx="33">
                  <c:v>78</c:v>
                </c:pt>
                <c:pt idx="34">
                  <c:v>45</c:v>
                </c:pt>
                <c:pt idx="35">
                  <c:v>37</c:v>
                </c:pt>
                <c:pt idx="36">
                  <c:v>15</c:v>
                </c:pt>
                <c:pt idx="37">
                  <c:v>79</c:v>
                </c:pt>
                <c:pt idx="38">
                  <c:v>38</c:v>
                </c:pt>
                <c:pt idx="39">
                  <c:v>158</c:v>
                </c:pt>
                <c:pt idx="40">
                  <c:v>75</c:v>
                </c:pt>
                <c:pt idx="41">
                  <c:v>103</c:v>
                </c:pt>
                <c:pt idx="42">
                  <c:v>61</c:v>
                </c:pt>
                <c:pt idx="43">
                  <c:v>176</c:v>
                </c:pt>
                <c:pt idx="44">
                  <c:v>78</c:v>
                </c:pt>
                <c:pt idx="45">
                  <c:v>95</c:v>
                </c:pt>
                <c:pt idx="46">
                  <c:v>21</c:v>
                </c:pt>
                <c:pt idx="47">
                  <c:v>12</c:v>
                </c:pt>
                <c:pt idx="48">
                  <c:v>1</c:v>
                </c:pt>
              </c:numCache>
            </c:numRef>
          </c:val>
          <c:extLst>
            <c:ext xmlns:c16="http://schemas.microsoft.com/office/drawing/2014/chart" uri="{C3380CC4-5D6E-409C-BE32-E72D297353CC}">
              <c16:uniqueId val="{00000000-8AA8-4279-B028-BC32F2CE80B8}"/>
            </c:ext>
          </c:extLst>
        </c:ser>
        <c:dLbls>
          <c:showLegendKey val="0"/>
          <c:showVal val="0"/>
          <c:showCatName val="0"/>
          <c:showSerName val="0"/>
          <c:showPercent val="0"/>
          <c:showBubbleSize val="0"/>
        </c:dLbls>
        <c:gapWidth val="6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Connections</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Degree distribution — how connected is a typical game?</a:t>
            </a:r>
          </a:p>
        </c:rich>
      </c:tx>
      <c:overlay val="1"/>
    </c:title>
    <c:autoTitleDeleted val="0"/>
    <c:plotArea>
      <c:layout/>
      <c:barChart>
        <c:barDir val="col"/>
        <c:grouping val="clustered"/>
        <c:varyColors val="1"/>
        <c:ser>
          <c:idx val="0"/>
          <c:order val="0"/>
          <c:tx>
            <c:strRef>
              <c:f>'Map Analysis'!$F$4</c:f>
              <c:strCache>
                <c:ptCount val="1"/>
                <c:pt idx="0">
                  <c:v>Games</c:v>
                </c:pt>
              </c:strCache>
            </c:strRef>
          </c:tx>
          <c:spPr>
            <a:ln>
              <a:prstDash val="solid"/>
            </a:ln>
          </c:spPr>
          <c:invertIfNegative val="1"/>
          <c:cat>
            <c:strRef>
              <c:f>'Map Analysis'!$E$5:$E$13</c:f>
              <c:strCache>
                <c:ptCount val="9"/>
                <c:pt idx="0">
                  <c:v>0</c:v>
                </c:pt>
                <c:pt idx="1">
                  <c:v>1</c:v>
                </c:pt>
                <c:pt idx="2">
                  <c:v>2</c:v>
                </c:pt>
                <c:pt idx="3">
                  <c:v>3</c:v>
                </c:pt>
                <c:pt idx="4">
                  <c:v>4</c:v>
                </c:pt>
                <c:pt idx="5">
                  <c:v>5</c:v>
                </c:pt>
                <c:pt idx="6">
                  <c:v>6-9</c:v>
                </c:pt>
                <c:pt idx="7">
                  <c:v>10-24</c:v>
                </c:pt>
                <c:pt idx="8">
                  <c:v>25+</c:v>
                </c:pt>
              </c:strCache>
            </c:strRef>
          </c:cat>
          <c:val>
            <c:numRef>
              <c:f>'Map Analysis'!$F$5:$F$13</c:f>
              <c:numCache>
                <c:formatCode>General</c:formatCode>
                <c:ptCount val="9"/>
                <c:pt idx="0">
                  <c:v>59</c:v>
                </c:pt>
                <c:pt idx="1">
                  <c:v>329</c:v>
                </c:pt>
                <c:pt idx="2">
                  <c:v>210</c:v>
                </c:pt>
                <c:pt idx="3">
                  <c:v>128</c:v>
                </c:pt>
                <c:pt idx="4">
                  <c:v>63</c:v>
                </c:pt>
                <c:pt idx="5">
                  <c:v>30</c:v>
                </c:pt>
                <c:pt idx="6">
                  <c:v>38</c:v>
                </c:pt>
                <c:pt idx="7">
                  <c:v>21</c:v>
                </c:pt>
                <c:pt idx="8">
                  <c:v>17</c:v>
                </c:pt>
              </c:numCache>
            </c:numRef>
          </c:val>
          <c:extLst>
            <c:ext xmlns:c16="http://schemas.microsoft.com/office/drawing/2014/chart" uri="{C3380CC4-5D6E-409C-BE32-E72D297353CC}">
              <c16:uniqueId val="{00000000-8AAD-469A-846D-58F6B3D84DAE}"/>
            </c:ext>
          </c:extLst>
        </c:ser>
        <c:ser>
          <c:idx val="1"/>
          <c:order val="1"/>
          <c:tx>
            <c:strRef>
              <c:f>'Map Analysis'!$G$4</c:f>
              <c:strCache>
                <c:ptCount val="1"/>
                <c:pt idx="0">
                  <c:v>Owned</c:v>
                </c:pt>
              </c:strCache>
            </c:strRef>
          </c:tx>
          <c:spPr>
            <a:ln>
              <a:prstDash val="solid"/>
            </a:ln>
          </c:spPr>
          <c:invertIfNegative val="1"/>
          <c:cat>
            <c:strRef>
              <c:f>'Map Analysis'!$E$5:$E$13</c:f>
              <c:strCache>
                <c:ptCount val="9"/>
                <c:pt idx="0">
                  <c:v>0</c:v>
                </c:pt>
                <c:pt idx="1">
                  <c:v>1</c:v>
                </c:pt>
                <c:pt idx="2">
                  <c:v>2</c:v>
                </c:pt>
                <c:pt idx="3">
                  <c:v>3</c:v>
                </c:pt>
                <c:pt idx="4">
                  <c:v>4</c:v>
                </c:pt>
                <c:pt idx="5">
                  <c:v>5</c:v>
                </c:pt>
                <c:pt idx="6">
                  <c:v>6-9</c:v>
                </c:pt>
                <c:pt idx="7">
                  <c:v>10-24</c:v>
                </c:pt>
                <c:pt idx="8">
                  <c:v>25+</c:v>
                </c:pt>
              </c:strCache>
            </c:strRef>
          </c:cat>
          <c:val>
            <c:numRef>
              <c:f>'Map Analysis'!$G$5:$G$13</c:f>
              <c:numCache>
                <c:formatCode>General</c:formatCode>
                <c:ptCount val="9"/>
                <c:pt idx="0">
                  <c:v>34</c:v>
                </c:pt>
                <c:pt idx="1">
                  <c:v>199</c:v>
                </c:pt>
                <c:pt idx="2">
                  <c:v>118</c:v>
                </c:pt>
                <c:pt idx="3">
                  <c:v>91</c:v>
                </c:pt>
                <c:pt idx="4">
                  <c:v>38</c:v>
                </c:pt>
                <c:pt idx="5">
                  <c:v>16</c:v>
                </c:pt>
                <c:pt idx="6">
                  <c:v>29</c:v>
                </c:pt>
                <c:pt idx="7">
                  <c:v>21</c:v>
                </c:pt>
                <c:pt idx="8">
                  <c:v>17</c:v>
                </c:pt>
              </c:numCache>
            </c:numRef>
          </c:val>
          <c:extLst>
            <c:ext xmlns:c16="http://schemas.microsoft.com/office/drawing/2014/chart" uri="{C3380CC4-5D6E-409C-BE32-E72D297353CC}">
              <c16:uniqueId val="{00000001-8AAD-469A-846D-58F6B3D84DAE}"/>
            </c:ext>
          </c:extLst>
        </c:ser>
        <c:dLbls>
          <c:showLegendKey val="0"/>
          <c:showVal val="0"/>
          <c:showCatName val="0"/>
          <c:showSerName val="0"/>
          <c:showPercent val="0"/>
          <c:showBubbleSize val="0"/>
        </c:dLbls>
        <c:gapWidth val="60"/>
        <c:axId val="10"/>
        <c:axId val="100"/>
      </c:barChart>
      <c:catAx>
        <c:axId val="10"/>
        <c:scaling>
          <c:orientation val="minMax"/>
        </c:scaling>
        <c:delete val="1"/>
        <c:axPos val="b"/>
        <c:title>
          <c:tx>
            <c:rich>
              <a:bodyPr/>
              <a:lstStyle/>
              <a:p>
                <a:pPr>
                  <a:defRPr/>
                </a:pPr>
                <a:r>
                  <a:rPr lang="en-US"/>
                  <a:t>Connections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Games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Games by genre — owned against the whole sheet</a:t>
            </a:r>
          </a:p>
        </c:rich>
      </c:tx>
      <c:overlay val="1"/>
    </c:title>
    <c:autoTitleDeleted val="0"/>
    <c:plotArea>
      <c:layout/>
      <c:barChart>
        <c:barDir val="col"/>
        <c:grouping val="clustered"/>
        <c:varyColors val="1"/>
        <c:ser>
          <c:idx val="0"/>
          <c:order val="0"/>
          <c:tx>
            <c:strRef>
              <c:f>'Map Analysis'!$J$4</c:f>
              <c:strCache>
                <c:ptCount val="1"/>
                <c:pt idx="0">
                  <c:v>Games</c:v>
                </c:pt>
              </c:strCache>
            </c:strRef>
          </c:tx>
          <c:spPr>
            <a:ln>
              <a:prstDash val="solid"/>
            </a:ln>
          </c:spPr>
          <c:invertIfNegative val="1"/>
          <c:cat>
            <c:strRef>
              <c:f>'Map Analysis'!$I$5:$I$8</c:f>
              <c:strCache>
                <c:ptCount val="4"/>
                <c:pt idx="0">
                  <c:v>Action</c:v>
                </c:pt>
                <c:pt idx="1">
                  <c:v>Strategy</c:v>
                </c:pt>
                <c:pt idx="2">
                  <c:v>Deckbuilder</c:v>
                </c:pt>
                <c:pt idx="3">
                  <c:v>Traditional</c:v>
                </c:pt>
              </c:strCache>
            </c:strRef>
          </c:cat>
          <c:val>
            <c:numRef>
              <c:f>'Map Analysis'!$J$5:$J$8</c:f>
              <c:numCache>
                <c:formatCode>General</c:formatCode>
                <c:ptCount val="4"/>
                <c:pt idx="0">
                  <c:v>386</c:v>
                </c:pt>
                <c:pt idx="1">
                  <c:v>157</c:v>
                </c:pt>
                <c:pt idx="2">
                  <c:v>186</c:v>
                </c:pt>
                <c:pt idx="3">
                  <c:v>166</c:v>
                </c:pt>
              </c:numCache>
            </c:numRef>
          </c:val>
          <c:extLst>
            <c:ext xmlns:c16="http://schemas.microsoft.com/office/drawing/2014/chart" uri="{C3380CC4-5D6E-409C-BE32-E72D297353CC}">
              <c16:uniqueId val="{00000000-40E6-492E-9824-0A5E0D78E45E}"/>
            </c:ext>
          </c:extLst>
        </c:ser>
        <c:ser>
          <c:idx val="1"/>
          <c:order val="1"/>
          <c:tx>
            <c:strRef>
              <c:f>'Map Analysis'!$K$4</c:f>
              <c:strCache>
                <c:ptCount val="1"/>
                <c:pt idx="0">
                  <c:v>Owned</c:v>
                </c:pt>
              </c:strCache>
            </c:strRef>
          </c:tx>
          <c:spPr>
            <a:ln>
              <a:prstDash val="solid"/>
            </a:ln>
          </c:spPr>
          <c:invertIfNegative val="1"/>
          <c:cat>
            <c:strRef>
              <c:f>'Map Analysis'!$I$5:$I$8</c:f>
              <c:strCache>
                <c:ptCount val="4"/>
                <c:pt idx="0">
                  <c:v>Action</c:v>
                </c:pt>
                <c:pt idx="1">
                  <c:v>Strategy</c:v>
                </c:pt>
                <c:pt idx="2">
                  <c:v>Deckbuilder</c:v>
                </c:pt>
                <c:pt idx="3">
                  <c:v>Traditional</c:v>
                </c:pt>
              </c:strCache>
            </c:strRef>
          </c:cat>
          <c:val>
            <c:numRef>
              <c:f>'Map Analysis'!$K$5:$K$8</c:f>
              <c:numCache>
                <c:formatCode>General</c:formatCode>
                <c:ptCount val="4"/>
                <c:pt idx="0">
                  <c:v>258</c:v>
                </c:pt>
                <c:pt idx="1">
                  <c:v>100</c:v>
                </c:pt>
                <c:pt idx="2">
                  <c:v>99</c:v>
                </c:pt>
                <c:pt idx="3">
                  <c:v>106</c:v>
                </c:pt>
              </c:numCache>
            </c:numRef>
          </c:val>
          <c:extLst>
            <c:ext xmlns:c16="http://schemas.microsoft.com/office/drawing/2014/chart" uri="{C3380CC4-5D6E-409C-BE32-E72D297353CC}">
              <c16:uniqueId val="{00000001-40E6-492E-9824-0A5E0D78E45E}"/>
            </c:ext>
          </c:extLst>
        </c:ser>
        <c:dLbls>
          <c:showLegendKey val="0"/>
          <c:showVal val="0"/>
          <c:showCatName val="0"/>
          <c:showSerName val="0"/>
          <c:showPercent val="0"/>
          <c:showBubbleSize val="0"/>
        </c:dLbls>
        <c:gapWidth val="6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Games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The 15 biggest hubs</a:t>
            </a:r>
          </a:p>
        </c:rich>
      </c:tx>
      <c:overlay val="1"/>
    </c:title>
    <c:autoTitleDeleted val="0"/>
    <c:plotArea>
      <c:layout/>
      <c:barChart>
        <c:barDir val="bar"/>
        <c:grouping val="clustered"/>
        <c:varyColors val="1"/>
        <c:ser>
          <c:idx val="0"/>
          <c:order val="0"/>
          <c:tx>
            <c:strRef>
              <c:f>'Map Analysis'!$P$4</c:f>
              <c:strCache>
                <c:ptCount val="1"/>
                <c:pt idx="0">
                  <c:v>Degree</c:v>
                </c:pt>
              </c:strCache>
            </c:strRef>
          </c:tx>
          <c:spPr>
            <a:ln>
              <a:prstDash val="solid"/>
            </a:ln>
          </c:spPr>
          <c:invertIfNegative val="1"/>
          <c:cat>
            <c:strRef>
              <c:f>'Map Analysis'!$O$5:$O$19</c:f>
              <c:strCache>
                <c:ptCount val="15"/>
                <c:pt idx="0">
                  <c:v>Slay the Spire</c:v>
                </c:pt>
                <c:pt idx="1">
                  <c:v>Vampire Survivors</c:v>
                </c:pt>
                <c:pt idx="2">
                  <c:v>The Binding of Isaac</c:v>
                </c:pt>
                <c:pt idx="3">
                  <c:v>Hades</c:v>
                </c:pt>
                <c:pt idx="4">
                  <c:v>Balatro</c:v>
                </c:pt>
                <c:pt idx="5">
                  <c:v>Spelunky Classic</c:v>
                </c:pt>
                <c:pt idx="6">
                  <c:v>FTL</c:v>
                </c:pt>
                <c:pt idx="7">
                  <c:v>NetHack</c:v>
                </c:pt>
                <c:pt idx="8">
                  <c:v>Enter the Gungeon</c:v>
                </c:pt>
                <c:pt idx="9">
                  <c:v>Diablo</c:v>
                </c:pt>
                <c:pt idx="10">
                  <c:v>Dead Cells</c:v>
                </c:pt>
                <c:pt idx="11">
                  <c:v>Nuclear Throne</c:v>
                </c:pt>
                <c:pt idx="12">
                  <c:v>Rogue</c:v>
                </c:pt>
                <c:pt idx="13">
                  <c:v>Darkest Dungeon</c:v>
                </c:pt>
                <c:pt idx="14">
                  <c:v>Into the Breach</c:v>
                </c:pt>
              </c:strCache>
            </c:strRef>
          </c:cat>
          <c:val>
            <c:numRef>
              <c:f>'Map Analysis'!$P$5:$P$19</c:f>
              <c:numCache>
                <c:formatCode>General</c:formatCode>
                <c:ptCount val="15"/>
                <c:pt idx="0">
                  <c:v>156</c:v>
                </c:pt>
                <c:pt idx="1">
                  <c:v>96</c:v>
                </c:pt>
                <c:pt idx="2">
                  <c:v>78</c:v>
                </c:pt>
                <c:pt idx="3">
                  <c:v>69</c:v>
                </c:pt>
                <c:pt idx="4">
                  <c:v>60</c:v>
                </c:pt>
                <c:pt idx="5">
                  <c:v>45</c:v>
                </c:pt>
                <c:pt idx="6">
                  <c:v>44</c:v>
                </c:pt>
                <c:pt idx="7">
                  <c:v>36</c:v>
                </c:pt>
                <c:pt idx="8">
                  <c:v>34</c:v>
                </c:pt>
                <c:pt idx="9">
                  <c:v>33</c:v>
                </c:pt>
                <c:pt idx="10">
                  <c:v>31</c:v>
                </c:pt>
                <c:pt idx="11">
                  <c:v>30</c:v>
                </c:pt>
                <c:pt idx="12">
                  <c:v>29</c:v>
                </c:pt>
                <c:pt idx="13">
                  <c:v>29</c:v>
                </c:pt>
                <c:pt idx="14">
                  <c:v>28</c:v>
                </c:pt>
              </c:numCache>
            </c:numRef>
          </c:val>
          <c:extLst>
            <c:ext xmlns:c16="http://schemas.microsoft.com/office/drawing/2014/chart" uri="{C3380CC4-5D6E-409C-BE32-E72D297353CC}">
              <c16:uniqueId val="{00000000-9D69-43D6-96A9-A6453E046FFF}"/>
            </c:ext>
          </c:extLst>
        </c:ser>
        <c:dLbls>
          <c:showLegendKey val="0"/>
          <c:showVal val="0"/>
          <c:showCatName val="0"/>
          <c:showSerName val="0"/>
          <c:showPercent val="0"/>
          <c:showBubbleSize val="0"/>
        </c:dLbls>
        <c:gapWidth val="6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The 15 biggest hubs you own — where the shops stand</a:t>
            </a:r>
          </a:p>
        </c:rich>
      </c:tx>
      <c:overlay val="1"/>
    </c:title>
    <c:autoTitleDeleted val="0"/>
    <c:plotArea>
      <c:layout/>
      <c:barChart>
        <c:barDir val="bar"/>
        <c:grouping val="clustered"/>
        <c:varyColors val="1"/>
        <c:ser>
          <c:idx val="0"/>
          <c:order val="0"/>
          <c:tx>
            <c:strRef>
              <c:f>'Map Analysis'!$T$4</c:f>
              <c:strCache>
                <c:ptCount val="1"/>
                <c:pt idx="0">
                  <c:v>Degree</c:v>
                </c:pt>
              </c:strCache>
            </c:strRef>
          </c:tx>
          <c:spPr>
            <a:ln>
              <a:prstDash val="solid"/>
            </a:ln>
          </c:spPr>
          <c:invertIfNegative val="1"/>
          <c:cat>
            <c:strRef>
              <c:f>'Map Analysis'!$S$5:$S$19</c:f>
              <c:strCache>
                <c:ptCount val="15"/>
                <c:pt idx="0">
                  <c:v>Slay the Spire</c:v>
                </c:pt>
                <c:pt idx="1">
                  <c:v>Vampire Survivors</c:v>
                </c:pt>
                <c:pt idx="2">
                  <c:v>The Binding of Isaac</c:v>
                </c:pt>
                <c:pt idx="3">
                  <c:v>Hades</c:v>
                </c:pt>
                <c:pt idx="4">
                  <c:v>Balatro</c:v>
                </c:pt>
                <c:pt idx="5">
                  <c:v>Spelunky Classic</c:v>
                </c:pt>
                <c:pt idx="6">
                  <c:v>FTL</c:v>
                </c:pt>
                <c:pt idx="7">
                  <c:v>NetHack</c:v>
                </c:pt>
                <c:pt idx="8">
                  <c:v>Enter the Gungeon</c:v>
                </c:pt>
                <c:pt idx="9">
                  <c:v>Diablo</c:v>
                </c:pt>
                <c:pt idx="10">
                  <c:v>Dead Cells</c:v>
                </c:pt>
                <c:pt idx="11">
                  <c:v>Nuclear Throne</c:v>
                </c:pt>
                <c:pt idx="12">
                  <c:v>Rogue</c:v>
                </c:pt>
                <c:pt idx="13">
                  <c:v>Darkest Dungeon</c:v>
                </c:pt>
                <c:pt idx="14">
                  <c:v>Into the Breach</c:v>
                </c:pt>
              </c:strCache>
            </c:strRef>
          </c:cat>
          <c:val>
            <c:numRef>
              <c:f>'Map Analysis'!$T$5:$T$19</c:f>
              <c:numCache>
                <c:formatCode>General</c:formatCode>
                <c:ptCount val="15"/>
                <c:pt idx="0">
                  <c:v>156</c:v>
                </c:pt>
                <c:pt idx="1">
                  <c:v>96</c:v>
                </c:pt>
                <c:pt idx="2">
                  <c:v>78</c:v>
                </c:pt>
                <c:pt idx="3">
                  <c:v>69</c:v>
                </c:pt>
                <c:pt idx="4">
                  <c:v>60</c:v>
                </c:pt>
                <c:pt idx="5">
                  <c:v>45</c:v>
                </c:pt>
                <c:pt idx="6">
                  <c:v>44</c:v>
                </c:pt>
                <c:pt idx="7">
                  <c:v>36</c:v>
                </c:pt>
                <c:pt idx="8">
                  <c:v>34</c:v>
                </c:pt>
                <c:pt idx="9">
                  <c:v>33</c:v>
                </c:pt>
                <c:pt idx="10">
                  <c:v>31</c:v>
                </c:pt>
                <c:pt idx="11">
                  <c:v>30</c:v>
                </c:pt>
                <c:pt idx="12">
                  <c:v>29</c:v>
                </c:pt>
                <c:pt idx="13">
                  <c:v>29</c:v>
                </c:pt>
                <c:pt idx="14">
                  <c:v>28</c:v>
                </c:pt>
              </c:numCache>
            </c:numRef>
          </c:val>
          <c:extLst>
            <c:ext xmlns:c16="http://schemas.microsoft.com/office/drawing/2014/chart" uri="{C3380CC4-5D6E-409C-BE32-E72D297353CC}">
              <c16:uniqueId val="{00000000-DE31-4000-9204-E63B1BE99F58}"/>
            </c:ext>
          </c:extLst>
        </c:ser>
        <c:dLbls>
          <c:showLegendKey val="0"/>
          <c:showVal val="0"/>
          <c:showCatName val="0"/>
          <c:showSerName val="0"/>
          <c:showPercent val="0"/>
          <c:showBubbleSize val="0"/>
        </c:dLbls>
        <c:gapWidth val="6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Years between an influence and its influencee</a:t>
            </a:r>
          </a:p>
        </c:rich>
      </c:tx>
      <c:overlay val="1"/>
    </c:title>
    <c:autoTitleDeleted val="0"/>
    <c:plotArea>
      <c:layout/>
      <c:barChart>
        <c:barDir val="col"/>
        <c:grouping val="clustered"/>
        <c:varyColors val="1"/>
        <c:ser>
          <c:idx val="0"/>
          <c:order val="0"/>
          <c:tx>
            <c:strRef>
              <c:f>'Map Analysis'!$AB$4</c:f>
              <c:strCache>
                <c:ptCount val="1"/>
                <c:pt idx="0">
                  <c:v>Connections</c:v>
                </c:pt>
              </c:strCache>
            </c:strRef>
          </c:tx>
          <c:spPr>
            <a:ln>
              <a:prstDash val="solid"/>
            </a:ln>
          </c:spPr>
          <c:invertIfNegative val="1"/>
          <c:cat>
            <c:strRef>
              <c:f>'Map Analysis'!$AA$5:$AA$17</c:f>
              <c:strCache>
                <c:ptCount val="13"/>
                <c:pt idx="0">
                  <c:v>0</c:v>
                </c:pt>
                <c:pt idx="1">
                  <c:v>1</c:v>
                </c:pt>
                <c:pt idx="2">
                  <c:v>2</c:v>
                </c:pt>
                <c:pt idx="3">
                  <c:v>3</c:v>
                </c:pt>
                <c:pt idx="4">
                  <c:v>4</c:v>
                </c:pt>
                <c:pt idx="5">
                  <c:v>5</c:v>
                </c:pt>
                <c:pt idx="6">
                  <c:v>6</c:v>
                </c:pt>
                <c:pt idx="7">
                  <c:v>7</c:v>
                </c:pt>
                <c:pt idx="8">
                  <c:v>8</c:v>
                </c:pt>
                <c:pt idx="9">
                  <c:v>9</c:v>
                </c:pt>
                <c:pt idx="10">
                  <c:v>10</c:v>
                </c:pt>
                <c:pt idx="11">
                  <c:v>11-20</c:v>
                </c:pt>
                <c:pt idx="12">
                  <c:v>21+</c:v>
                </c:pt>
              </c:strCache>
            </c:strRef>
          </c:cat>
          <c:val>
            <c:numRef>
              <c:f>'Map Analysis'!$AB$5:$AB$17</c:f>
              <c:numCache>
                <c:formatCode>General</c:formatCode>
                <c:ptCount val="13"/>
                <c:pt idx="0">
                  <c:v>13</c:v>
                </c:pt>
                <c:pt idx="1">
                  <c:v>111</c:v>
                </c:pt>
                <c:pt idx="2">
                  <c:v>177</c:v>
                </c:pt>
                <c:pt idx="3">
                  <c:v>166</c:v>
                </c:pt>
                <c:pt idx="4">
                  <c:v>161</c:v>
                </c:pt>
                <c:pt idx="5">
                  <c:v>137</c:v>
                </c:pt>
                <c:pt idx="6">
                  <c:v>104</c:v>
                </c:pt>
                <c:pt idx="7">
                  <c:v>97</c:v>
                </c:pt>
                <c:pt idx="8">
                  <c:v>76</c:v>
                </c:pt>
                <c:pt idx="9">
                  <c:v>68</c:v>
                </c:pt>
                <c:pt idx="10">
                  <c:v>33</c:v>
                </c:pt>
                <c:pt idx="11">
                  <c:v>149</c:v>
                </c:pt>
                <c:pt idx="12">
                  <c:v>103</c:v>
                </c:pt>
              </c:numCache>
            </c:numRef>
          </c:val>
          <c:extLst>
            <c:ext xmlns:c16="http://schemas.microsoft.com/office/drawing/2014/chart" uri="{C3380CC4-5D6E-409C-BE32-E72D297353CC}">
              <c16:uniqueId val="{00000000-BB5E-41FA-B317-6ED79461FD50}"/>
            </c:ext>
          </c:extLst>
        </c:ser>
        <c:dLbls>
          <c:showLegendKey val="0"/>
          <c:showVal val="0"/>
          <c:showCatName val="0"/>
          <c:showSerName val="0"/>
          <c:showPercent val="0"/>
          <c:showBubbleSize val="0"/>
        </c:dLbls>
        <c:gapWidth val="6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Connections</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Timeline lanes — every game by release year and genre</a:t>
            </a:r>
          </a:p>
        </c:rich>
      </c:tx>
      <c:overlay val="1"/>
    </c:title>
    <c:autoTitleDeleted val="0"/>
    <c:plotArea>
      <c:layout/>
      <c:scatterChart>
        <c:scatterStyle val="lineMarker"/>
        <c:varyColors val="1"/>
        <c:ser>
          <c:idx val="0"/>
          <c:order val="0"/>
          <c:tx>
            <c:v>Action</c:v>
          </c:tx>
          <c:spPr>
            <a:ln>
              <a:noFill/>
              <a:prstDash val="solid"/>
            </a:ln>
          </c:spPr>
          <c:marker>
            <c:symbol val="circle"/>
            <c:size val="4"/>
            <c:spPr>
              <a:ln>
                <a:prstDash val="solid"/>
              </a:ln>
            </c:spPr>
          </c:marker>
          <c:xVal>
            <c:numRef>
              <c:f>'Map Calc'!$G$2:$G$950</c:f>
              <c:numCache>
                <c:formatCode>General</c:formatCode>
                <c:ptCount val="949"/>
                <c:pt idx="0">
                  <c:v>2024</c:v>
                </c:pt>
                <c:pt idx="1">
                  <c:v>#N/A</c:v>
                </c:pt>
                <c:pt idx="2">
                  <c:v>#N/A</c:v>
                </c:pt>
                <c:pt idx="3">
                  <c:v>2022</c:v>
                </c:pt>
                <c:pt idx="4">
                  <c:v>2017</c:v>
                </c:pt>
                <c:pt idx="5">
                  <c:v>2021</c:v>
                </c:pt>
                <c:pt idx="6">
                  <c:v>2026</c:v>
                </c:pt>
                <c:pt idx="7">
                  <c:v>#N/A</c:v>
                </c:pt>
                <c:pt idx="8">
                  <c:v>#N/A</c:v>
                </c:pt>
                <c:pt idx="9">
                  <c:v>#N/A</c:v>
                </c:pt>
                <c:pt idx="10">
                  <c:v>2013</c:v>
                </c:pt>
                <c:pt idx="11">
                  <c:v>#N/A</c:v>
                </c:pt>
                <c:pt idx="12">
                  <c:v>2017</c:v>
                </c:pt>
                <c:pt idx="13">
                  <c:v>#N/A</c:v>
                </c:pt>
                <c:pt idx="14">
                  <c:v>2025</c:v>
                </c:pt>
                <c:pt idx="15">
                  <c:v>2025</c:v>
                </c:pt>
                <c:pt idx="16">
                  <c:v>2025</c:v>
                </c:pt>
                <c:pt idx="17">
                  <c:v>#N/A</c:v>
                </c:pt>
                <c:pt idx="18">
                  <c:v>#N/A</c:v>
                </c:pt>
                <c:pt idx="19">
                  <c:v>#N/A</c:v>
                </c:pt>
                <c:pt idx="20">
                  <c:v>2023</c:v>
                </c:pt>
                <c:pt idx="21">
                  <c:v>#N/A</c:v>
                </c:pt>
                <c:pt idx="22">
                  <c:v>2025</c:v>
                </c:pt>
                <c:pt idx="23">
                  <c:v>#N/A</c:v>
                </c:pt>
                <c:pt idx="24">
                  <c:v>#N/A</c:v>
                </c:pt>
                <c:pt idx="25">
                  <c:v>#N/A</c:v>
                </c:pt>
                <c:pt idx="26">
                  <c:v>#N/A</c:v>
                </c:pt>
                <c:pt idx="27">
                  <c:v>#N/A</c:v>
                </c:pt>
                <c:pt idx="28">
                  <c:v>#N/A</c:v>
                </c:pt>
                <c:pt idx="29">
                  <c:v>#N/A</c:v>
                </c:pt>
                <c:pt idx="30">
                  <c:v>#N/A</c:v>
                </c:pt>
                <c:pt idx="31">
                  <c:v>2025</c:v>
                </c:pt>
                <c:pt idx="32">
                  <c:v>#N/A</c:v>
                </c:pt>
                <c:pt idx="33">
                  <c:v>#N/A</c:v>
                </c:pt>
                <c:pt idx="34">
                  <c:v>2024</c:v>
                </c:pt>
                <c:pt idx="35">
                  <c:v>2026</c:v>
                </c:pt>
                <c:pt idx="36">
                  <c:v>2022</c:v>
                </c:pt>
                <c:pt idx="37">
                  <c:v>#N/A</c:v>
                </c:pt>
                <c:pt idx="38">
                  <c:v>#N/A</c:v>
                </c:pt>
                <c:pt idx="39">
                  <c:v>2025</c:v>
                </c:pt>
                <c:pt idx="40">
                  <c:v>2023</c:v>
                </c:pt>
                <c:pt idx="41">
                  <c:v>2022</c:v>
                </c:pt>
                <c:pt idx="42">
                  <c:v>#N/A</c:v>
                </c:pt>
                <c:pt idx="43">
                  <c:v>2025</c:v>
                </c:pt>
                <c:pt idx="44">
                  <c:v>#N/A</c:v>
                </c:pt>
                <c:pt idx="45">
                  <c:v>#N/A</c:v>
                </c:pt>
                <c:pt idx="46">
                  <c:v>2025</c:v>
                </c:pt>
                <c:pt idx="47">
                  <c:v>2020</c:v>
                </c:pt>
                <c:pt idx="48">
                  <c:v>#N/A</c:v>
                </c:pt>
                <c:pt idx="49">
                  <c:v>#N/A</c:v>
                </c:pt>
                <c:pt idx="50">
                  <c:v>#N/A</c:v>
                </c:pt>
                <c:pt idx="51">
                  <c:v>#N/A</c:v>
                </c:pt>
                <c:pt idx="52">
                  <c:v>#N/A</c:v>
                </c:pt>
                <c:pt idx="53">
                  <c:v>#N/A</c:v>
                </c:pt>
                <c:pt idx="54">
                  <c:v>#N/A</c:v>
                </c:pt>
                <c:pt idx="55">
                  <c:v>#N/A</c:v>
                </c:pt>
                <c:pt idx="56">
                  <c:v>2025</c:v>
                </c:pt>
                <c:pt idx="57">
                  <c:v>#N/A</c:v>
                </c:pt>
                <c:pt idx="58">
                  <c:v>#N/A</c:v>
                </c:pt>
                <c:pt idx="59">
                  <c:v>#N/A</c:v>
                </c:pt>
                <c:pt idx="60">
                  <c:v>2015</c:v>
                </c:pt>
                <c:pt idx="61">
                  <c:v>1998</c:v>
                </c:pt>
                <c:pt idx="62">
                  <c:v>2007</c:v>
                </c:pt>
                <c:pt idx="63">
                  <c:v>#N/A</c:v>
                </c:pt>
                <c:pt idx="64">
                  <c:v>#N/A</c:v>
                </c:pt>
                <c:pt idx="65">
                  <c:v>2023</c:v>
                </c:pt>
                <c:pt idx="66">
                  <c:v>#N/A</c:v>
                </c:pt>
                <c:pt idx="67">
                  <c:v>2024</c:v>
                </c:pt>
                <c:pt idx="68">
                  <c:v>2020</c:v>
                </c:pt>
                <c:pt idx="69">
                  <c:v>#N/A</c:v>
                </c:pt>
                <c:pt idx="70">
                  <c:v>#N/A</c:v>
                </c:pt>
                <c:pt idx="71">
                  <c:v>#N/A</c:v>
                </c:pt>
                <c:pt idx="72">
                  <c:v>2023</c:v>
                </c:pt>
                <c:pt idx="73">
                  <c:v>#N/A</c:v>
                </c:pt>
                <c:pt idx="74">
                  <c:v>#N/A</c:v>
                </c:pt>
                <c:pt idx="75">
                  <c:v>2022</c:v>
                </c:pt>
                <c:pt idx="76">
                  <c:v>#N/A</c:v>
                </c:pt>
                <c:pt idx="77">
                  <c:v>2019</c:v>
                </c:pt>
                <c:pt idx="78">
                  <c:v>2019</c:v>
                </c:pt>
                <c:pt idx="79">
                  <c:v>#N/A</c:v>
                </c:pt>
                <c:pt idx="80">
                  <c:v>#N/A</c:v>
                </c:pt>
                <c:pt idx="81">
                  <c:v>2023</c:v>
                </c:pt>
                <c:pt idx="82">
                  <c:v>2024</c:v>
                </c:pt>
                <c:pt idx="83">
                  <c:v>#N/A</c:v>
                </c:pt>
                <c:pt idx="84">
                  <c:v>#N/A</c:v>
                </c:pt>
                <c:pt idx="85">
                  <c:v>2022</c:v>
                </c:pt>
                <c:pt idx="86">
                  <c:v>#N/A</c:v>
                </c:pt>
                <c:pt idx="87">
                  <c:v>2022</c:v>
                </c:pt>
                <c:pt idx="88">
                  <c:v>2021</c:v>
                </c:pt>
                <c:pt idx="89">
                  <c:v>2020</c:v>
                </c:pt>
                <c:pt idx="90">
                  <c:v>#N/A</c:v>
                </c:pt>
                <c:pt idx="91">
                  <c:v>#N/A</c:v>
                </c:pt>
                <c:pt idx="92">
                  <c:v>#N/A</c:v>
                </c:pt>
                <c:pt idx="93">
                  <c:v>2025</c:v>
                </c:pt>
                <c:pt idx="94">
                  <c:v>#N/A</c:v>
                </c:pt>
                <c:pt idx="95">
                  <c:v>#N/A</c:v>
                </c:pt>
                <c:pt idx="96">
                  <c:v>2022</c:v>
                </c:pt>
                <c:pt idx="97">
                  <c:v>#N/A</c:v>
                </c:pt>
                <c:pt idx="98">
                  <c:v>#N/A</c:v>
                </c:pt>
                <c:pt idx="99">
                  <c:v>#N/A</c:v>
                </c:pt>
                <c:pt idx="100">
                  <c:v>2018</c:v>
                </c:pt>
                <c:pt idx="101">
                  <c:v>2016</c:v>
                </c:pt>
                <c:pt idx="102">
                  <c:v>#N/A</c:v>
                </c:pt>
                <c:pt idx="103">
                  <c:v>#N/A</c:v>
                </c:pt>
                <c:pt idx="104">
                  <c:v>#N/A</c:v>
                </c:pt>
                <c:pt idx="105">
                  <c:v>#N/A</c:v>
                </c:pt>
                <c:pt idx="106">
                  <c:v>#N/A</c:v>
                </c:pt>
                <c:pt idx="107">
                  <c:v>#N/A</c:v>
                </c:pt>
                <c:pt idx="108">
                  <c:v>#N/A</c:v>
                </c:pt>
                <c:pt idx="109">
                  <c:v>#N/A</c:v>
                </c:pt>
                <c:pt idx="110">
                  <c:v>#N/A</c:v>
                </c:pt>
                <c:pt idx="111">
                  <c:v>2015</c:v>
                </c:pt>
                <c:pt idx="112">
                  <c:v>#N/A</c:v>
                </c:pt>
                <c:pt idx="113">
                  <c:v>#N/A</c:v>
                </c:pt>
                <c:pt idx="114">
                  <c:v>2017</c:v>
                </c:pt>
                <c:pt idx="115">
                  <c:v>#N/A</c:v>
                </c:pt>
                <c:pt idx="116">
                  <c:v>2020</c:v>
                </c:pt>
                <c:pt idx="117">
                  <c:v>#N/A</c:v>
                </c:pt>
                <c:pt idx="118">
                  <c:v>2023</c:v>
                </c:pt>
                <c:pt idx="119">
                  <c:v>#N/A</c:v>
                </c:pt>
                <c:pt idx="120">
                  <c:v>2022</c:v>
                </c:pt>
                <c:pt idx="121">
                  <c:v>2019</c:v>
                </c:pt>
                <c:pt idx="122">
                  <c:v>#N/A</c:v>
                </c:pt>
                <c:pt idx="123">
                  <c:v>#N/A</c:v>
                </c:pt>
                <c:pt idx="124">
                  <c:v>#N/A</c:v>
                </c:pt>
                <c:pt idx="125">
                  <c:v>2023</c:v>
                </c:pt>
                <c:pt idx="126">
                  <c:v>2025</c:v>
                </c:pt>
                <c:pt idx="127">
                  <c:v>#N/A</c:v>
                </c:pt>
                <c:pt idx="128">
                  <c:v>#N/A</c:v>
                </c:pt>
                <c:pt idx="129">
                  <c:v>2026</c:v>
                </c:pt>
                <c:pt idx="130">
                  <c:v>2025</c:v>
                </c:pt>
                <c:pt idx="131">
                  <c:v>#N/A</c:v>
                </c:pt>
                <c:pt idx="132">
                  <c:v>#N/A</c:v>
                </c:pt>
                <c:pt idx="133">
                  <c:v>#N/A</c:v>
                </c:pt>
                <c:pt idx="134">
                  <c:v>#N/A</c:v>
                </c:pt>
                <c:pt idx="135">
                  <c:v>#N/A</c:v>
                </c:pt>
                <c:pt idx="136">
                  <c:v>#N/A</c:v>
                </c:pt>
                <c:pt idx="137">
                  <c:v>#N/A</c:v>
                </c:pt>
                <c:pt idx="138">
                  <c:v>2020</c:v>
                </c:pt>
                <c:pt idx="139">
                  <c:v>#N/A</c:v>
                </c:pt>
                <c:pt idx="140">
                  <c:v>#N/A</c:v>
                </c:pt>
                <c:pt idx="141">
                  <c:v>2022</c:v>
                </c:pt>
                <c:pt idx="142">
                  <c:v>#N/A</c:v>
                </c:pt>
                <c:pt idx="143">
                  <c:v>#N/A</c:v>
                </c:pt>
                <c:pt idx="144">
                  <c:v>2023</c:v>
                </c:pt>
                <c:pt idx="145">
                  <c:v>2023</c:v>
                </c:pt>
                <c:pt idx="146">
                  <c:v>#N/A</c:v>
                </c:pt>
                <c:pt idx="147">
                  <c:v>2023</c:v>
                </c:pt>
                <c:pt idx="148">
                  <c:v>2017</c:v>
                </c:pt>
                <c:pt idx="149">
                  <c:v>#N/A</c:v>
                </c:pt>
                <c:pt idx="150">
                  <c:v>#N/A</c:v>
                </c:pt>
                <c:pt idx="151">
                  <c:v>#N/A</c:v>
                </c:pt>
                <c:pt idx="152">
                  <c:v>#N/A</c:v>
                </c:pt>
                <c:pt idx="153">
                  <c:v>#N/A</c:v>
                </c:pt>
                <c:pt idx="154">
                  <c:v>#N/A</c:v>
                </c:pt>
                <c:pt idx="155">
                  <c:v>#N/A</c:v>
                </c:pt>
                <c:pt idx="156">
                  <c:v>2017</c:v>
                </c:pt>
                <c:pt idx="157">
                  <c:v>#N/A</c:v>
                </c:pt>
                <c:pt idx="158">
                  <c:v>#N/A</c:v>
                </c:pt>
                <c:pt idx="159">
                  <c:v>#N/A</c:v>
                </c:pt>
                <c:pt idx="160">
                  <c:v>#N/A</c:v>
                </c:pt>
                <c:pt idx="161">
                  <c:v>2022</c:v>
                </c:pt>
                <c:pt idx="162">
                  <c:v>#N/A</c:v>
                </c:pt>
                <c:pt idx="163">
                  <c:v>#N/A</c:v>
                </c:pt>
                <c:pt idx="164">
                  <c:v>#N/A</c:v>
                </c:pt>
                <c:pt idx="165">
                  <c:v>#N/A</c:v>
                </c:pt>
                <c:pt idx="166">
                  <c:v>2026</c:v>
                </c:pt>
                <c:pt idx="167">
                  <c:v>2020</c:v>
                </c:pt>
                <c:pt idx="168">
                  <c:v>#N/A</c:v>
                </c:pt>
                <c:pt idx="169">
                  <c:v>2023</c:v>
                </c:pt>
                <c:pt idx="170">
                  <c:v>2019</c:v>
                </c:pt>
                <c:pt idx="171">
                  <c:v>2026</c:v>
                </c:pt>
                <c:pt idx="172">
                  <c:v>2025</c:v>
                </c:pt>
                <c:pt idx="173">
                  <c:v>#N/A</c:v>
                </c:pt>
                <c:pt idx="174">
                  <c:v>#N/A</c:v>
                </c:pt>
                <c:pt idx="175">
                  <c:v>2022</c:v>
                </c:pt>
                <c:pt idx="176">
                  <c:v>2018</c:v>
                </c:pt>
                <c:pt idx="177">
                  <c:v>2020</c:v>
                </c:pt>
                <c:pt idx="178">
                  <c:v>#N/A</c:v>
                </c:pt>
                <c:pt idx="179">
                  <c:v>#N/A</c:v>
                </c:pt>
                <c:pt idx="180">
                  <c:v>2025</c:v>
                </c:pt>
                <c:pt idx="181">
                  <c:v>2025</c:v>
                </c:pt>
                <c:pt idx="182">
                  <c:v>2023</c:v>
                </c:pt>
                <c:pt idx="183">
                  <c:v>2016</c:v>
                </c:pt>
                <c:pt idx="184">
                  <c:v>#N/A</c:v>
                </c:pt>
                <c:pt idx="185">
                  <c:v>2014</c:v>
                </c:pt>
                <c:pt idx="186">
                  <c:v>#N/A</c:v>
                </c:pt>
                <c:pt idx="187">
                  <c:v>#N/A</c:v>
                </c:pt>
                <c:pt idx="188">
                  <c:v>#N/A</c:v>
                </c:pt>
                <c:pt idx="189">
                  <c:v>2014</c:v>
                </c:pt>
                <c:pt idx="190">
                  <c:v>2026</c:v>
                </c:pt>
                <c:pt idx="191">
                  <c:v>2024</c:v>
                </c:pt>
                <c:pt idx="192">
                  <c:v>#N/A</c:v>
                </c:pt>
                <c:pt idx="193">
                  <c:v>#N/A</c:v>
                </c:pt>
                <c:pt idx="194">
                  <c:v>2012</c:v>
                </c:pt>
                <c:pt idx="195">
                  <c:v>#N/A</c:v>
                </c:pt>
                <c:pt idx="196">
                  <c:v>#N/A</c:v>
                </c:pt>
                <c:pt idx="197">
                  <c:v>#N/A</c:v>
                </c:pt>
                <c:pt idx="198">
                  <c:v>#N/A</c:v>
                </c:pt>
                <c:pt idx="199">
                  <c:v>#N/A</c:v>
                </c:pt>
                <c:pt idx="200">
                  <c:v>2025</c:v>
                </c:pt>
                <c:pt idx="201">
                  <c:v>#N/A</c:v>
                </c:pt>
                <c:pt idx="202">
                  <c:v>2021</c:v>
                </c:pt>
                <c:pt idx="203">
                  <c:v>2019</c:v>
                </c:pt>
                <c:pt idx="204">
                  <c:v>1996</c:v>
                </c:pt>
                <c:pt idx="205">
                  <c:v>#N/A</c:v>
                </c:pt>
                <c:pt idx="206">
                  <c:v>#N/A</c:v>
                </c:pt>
                <c:pt idx="207">
                  <c:v>#N/A</c:v>
                </c:pt>
                <c:pt idx="208">
                  <c:v>#N/A</c:v>
                </c:pt>
                <c:pt idx="209">
                  <c:v>#N/A</c:v>
                </c:pt>
                <c:pt idx="210">
                  <c:v>#N/A</c:v>
                </c:pt>
                <c:pt idx="211">
                  <c:v>#N/A</c:v>
                </c:pt>
                <c:pt idx="212">
                  <c:v>#N/A</c:v>
                </c:pt>
                <c:pt idx="213">
                  <c:v>#N/A</c:v>
                </c:pt>
                <c:pt idx="214">
                  <c:v>#N/A</c:v>
                </c:pt>
                <c:pt idx="215">
                  <c:v>#N/A</c:v>
                </c:pt>
                <c:pt idx="216">
                  <c:v>2021</c:v>
                </c:pt>
                <c:pt idx="217">
                  <c:v>#N/A</c:v>
                </c:pt>
                <c:pt idx="218">
                  <c:v>2023</c:v>
                </c:pt>
                <c:pt idx="219">
                  <c:v>2026</c:v>
                </c:pt>
                <c:pt idx="220">
                  <c:v>#N/A</c:v>
                </c:pt>
                <c:pt idx="221">
                  <c:v>#N/A</c:v>
                </c:pt>
                <c:pt idx="222">
                  <c:v>#N/A</c:v>
                </c:pt>
                <c:pt idx="223">
                  <c:v>#N/A</c:v>
                </c:pt>
                <c:pt idx="224">
                  <c:v>#N/A</c:v>
                </c:pt>
                <c:pt idx="225">
                  <c:v>2026</c:v>
                </c:pt>
                <c:pt idx="226">
                  <c:v>2013</c:v>
                </c:pt>
                <c:pt idx="227">
                  <c:v>2014</c:v>
                </c:pt>
                <c:pt idx="228">
                  <c:v>#N/A</c:v>
                </c:pt>
                <c:pt idx="229">
                  <c:v>#N/A</c:v>
                </c:pt>
                <c:pt idx="230">
                  <c:v>2023</c:v>
                </c:pt>
                <c:pt idx="231">
                  <c:v>2015</c:v>
                </c:pt>
                <c:pt idx="232">
                  <c:v>#N/A</c:v>
                </c:pt>
                <c:pt idx="233">
                  <c:v>#N/A</c:v>
                </c:pt>
                <c:pt idx="234">
                  <c:v>#N/A</c:v>
                </c:pt>
                <c:pt idx="235">
                  <c:v>#N/A</c:v>
                </c:pt>
                <c:pt idx="236">
                  <c:v>#N/A</c:v>
                </c:pt>
                <c:pt idx="237">
                  <c:v>#N/A</c:v>
                </c:pt>
                <c:pt idx="238">
                  <c:v>2020</c:v>
                </c:pt>
                <c:pt idx="239">
                  <c:v>#N/A</c:v>
                </c:pt>
                <c:pt idx="240">
                  <c:v>2026</c:v>
                </c:pt>
                <c:pt idx="241">
                  <c:v>#N/A</c:v>
                </c:pt>
                <c:pt idx="242">
                  <c:v>#N/A</c:v>
                </c:pt>
                <c:pt idx="243">
                  <c:v>#N/A</c:v>
                </c:pt>
                <c:pt idx="244">
                  <c:v>#N/A</c:v>
                </c:pt>
                <c:pt idx="245">
                  <c:v>#N/A</c:v>
                </c:pt>
                <c:pt idx="246">
                  <c:v>#N/A</c:v>
                </c:pt>
                <c:pt idx="247">
                  <c:v>1993</c:v>
                </c:pt>
                <c:pt idx="248">
                  <c:v>#N/A</c:v>
                </c:pt>
                <c:pt idx="249">
                  <c:v>#N/A</c:v>
                </c:pt>
                <c:pt idx="250">
                  <c:v>#N/A</c:v>
                </c:pt>
                <c:pt idx="251">
                  <c:v>#N/A</c:v>
                </c:pt>
                <c:pt idx="252">
                  <c:v>2024</c:v>
                </c:pt>
                <c:pt idx="253">
                  <c:v>#N/A</c:v>
                </c:pt>
                <c:pt idx="254">
                  <c:v>2018</c:v>
                </c:pt>
                <c:pt idx="255">
                  <c:v>2025</c:v>
                </c:pt>
                <c:pt idx="256">
                  <c:v>#N/A</c:v>
                </c:pt>
                <c:pt idx="257">
                  <c:v>#N/A</c:v>
                </c:pt>
                <c:pt idx="258">
                  <c:v>2025</c:v>
                </c:pt>
                <c:pt idx="259">
                  <c:v>2013</c:v>
                </c:pt>
                <c:pt idx="260">
                  <c:v>2023</c:v>
                </c:pt>
                <c:pt idx="261">
                  <c:v>2023</c:v>
                </c:pt>
                <c:pt idx="262">
                  <c:v>#N/A</c:v>
                </c:pt>
                <c:pt idx="263">
                  <c:v>#N/A</c:v>
                </c:pt>
                <c:pt idx="264">
                  <c:v>2022</c:v>
                </c:pt>
                <c:pt idx="265">
                  <c:v>#N/A</c:v>
                </c:pt>
                <c:pt idx="266">
                  <c:v>#N/A</c:v>
                </c:pt>
                <c:pt idx="267">
                  <c:v>2025</c:v>
                </c:pt>
                <c:pt idx="268">
                  <c:v>2016</c:v>
                </c:pt>
                <c:pt idx="269">
                  <c:v>#N/A</c:v>
                </c:pt>
                <c:pt idx="270">
                  <c:v>#N/A</c:v>
                </c:pt>
                <c:pt idx="271">
                  <c:v>#N/A</c:v>
                </c:pt>
                <c:pt idx="272">
                  <c:v>#N/A</c:v>
                </c:pt>
                <c:pt idx="273">
                  <c:v>2026</c:v>
                </c:pt>
                <c:pt idx="274">
                  <c:v>2023</c:v>
                </c:pt>
                <c:pt idx="275">
                  <c:v>2020</c:v>
                </c:pt>
                <c:pt idx="276">
                  <c:v>#N/A</c:v>
                </c:pt>
                <c:pt idx="277">
                  <c:v>#N/A</c:v>
                </c:pt>
                <c:pt idx="278">
                  <c:v>#N/A</c:v>
                </c:pt>
                <c:pt idx="279">
                  <c:v>#N/A</c:v>
                </c:pt>
                <c:pt idx="280">
                  <c:v>#N/A</c:v>
                </c:pt>
                <c:pt idx="281">
                  <c:v>#N/A</c:v>
                </c:pt>
                <c:pt idx="282">
                  <c:v>#N/A</c:v>
                </c:pt>
                <c:pt idx="283">
                  <c:v>2024</c:v>
                </c:pt>
                <c:pt idx="284">
                  <c:v>2022</c:v>
                </c:pt>
                <c:pt idx="285">
                  <c:v>#N/A</c:v>
                </c:pt>
                <c:pt idx="286">
                  <c:v>2017</c:v>
                </c:pt>
                <c:pt idx="287">
                  <c:v>#N/A</c:v>
                </c:pt>
                <c:pt idx="288">
                  <c:v>2024</c:v>
                </c:pt>
                <c:pt idx="289">
                  <c:v>#N/A</c:v>
                </c:pt>
                <c:pt idx="290">
                  <c:v>#N/A</c:v>
                </c:pt>
                <c:pt idx="291">
                  <c:v>#N/A</c:v>
                </c:pt>
                <c:pt idx="292">
                  <c:v>2025</c:v>
                </c:pt>
                <c:pt idx="293">
                  <c:v>#N/A</c:v>
                </c:pt>
                <c:pt idx="294">
                  <c:v>2017</c:v>
                </c:pt>
                <c:pt idx="295">
                  <c:v>2025</c:v>
                </c:pt>
                <c:pt idx="296">
                  <c:v>#N/A</c:v>
                </c:pt>
                <c:pt idx="297">
                  <c:v>#N/A</c:v>
                </c:pt>
                <c:pt idx="298">
                  <c:v>2013</c:v>
                </c:pt>
                <c:pt idx="299">
                  <c:v>2020</c:v>
                </c:pt>
                <c:pt idx="300">
                  <c:v>#N/A</c:v>
                </c:pt>
                <c:pt idx="301">
                  <c:v>#N/A</c:v>
                </c:pt>
                <c:pt idx="302">
                  <c:v>2024</c:v>
                </c:pt>
                <c:pt idx="303">
                  <c:v>#N/A</c:v>
                </c:pt>
                <c:pt idx="304">
                  <c:v>2025</c:v>
                </c:pt>
                <c:pt idx="305">
                  <c:v>2024</c:v>
                </c:pt>
                <c:pt idx="306">
                  <c:v>#N/A</c:v>
                </c:pt>
                <c:pt idx="307">
                  <c:v>#N/A</c:v>
                </c:pt>
                <c:pt idx="308">
                  <c:v>#N/A</c:v>
                </c:pt>
                <c:pt idx="309">
                  <c:v>2024</c:v>
                </c:pt>
                <c:pt idx="310">
                  <c:v>2026</c:v>
                </c:pt>
                <c:pt idx="311">
                  <c:v>2020</c:v>
                </c:pt>
                <c:pt idx="312">
                  <c:v>2023</c:v>
                </c:pt>
                <c:pt idx="313">
                  <c:v>2024</c:v>
                </c:pt>
                <c:pt idx="314">
                  <c:v>#N/A</c:v>
                </c:pt>
                <c:pt idx="315">
                  <c:v>#N/A</c:v>
                </c:pt>
                <c:pt idx="316">
                  <c:v>2024</c:v>
                </c:pt>
                <c:pt idx="317">
                  <c:v>#N/A</c:v>
                </c:pt>
                <c:pt idx="318">
                  <c:v>2023</c:v>
                </c:pt>
                <c:pt idx="319">
                  <c:v>2025</c:v>
                </c:pt>
                <c:pt idx="320">
                  <c:v>2020</c:v>
                </c:pt>
                <c:pt idx="321">
                  <c:v>#N/A</c:v>
                </c:pt>
                <c:pt idx="322">
                  <c:v>2020</c:v>
                </c:pt>
                <c:pt idx="323">
                  <c:v>2022</c:v>
                </c:pt>
                <c:pt idx="324">
                  <c:v>2016</c:v>
                </c:pt>
                <c:pt idx="325">
                  <c:v>2020</c:v>
                </c:pt>
                <c:pt idx="326">
                  <c:v>2023</c:v>
                </c:pt>
                <c:pt idx="327">
                  <c:v>#N/A</c:v>
                </c:pt>
                <c:pt idx="328">
                  <c:v>2025</c:v>
                </c:pt>
                <c:pt idx="329">
                  <c:v>2023</c:v>
                </c:pt>
                <c:pt idx="330">
                  <c:v>#N/A</c:v>
                </c:pt>
                <c:pt idx="331">
                  <c:v>2021</c:v>
                </c:pt>
                <c:pt idx="332">
                  <c:v>2024</c:v>
                </c:pt>
                <c:pt idx="333">
                  <c:v>#N/A</c:v>
                </c:pt>
                <c:pt idx="334">
                  <c:v>#N/A</c:v>
                </c:pt>
                <c:pt idx="335">
                  <c:v>2020</c:v>
                </c:pt>
                <c:pt idx="336">
                  <c:v>2022</c:v>
                </c:pt>
                <c:pt idx="337">
                  <c:v>2025</c:v>
                </c:pt>
                <c:pt idx="338">
                  <c:v>2025</c:v>
                </c:pt>
                <c:pt idx="339">
                  <c:v>#N/A</c:v>
                </c:pt>
                <c:pt idx="340">
                  <c:v>#N/A</c:v>
                </c:pt>
                <c:pt idx="341">
                  <c:v>#N/A</c:v>
                </c:pt>
                <c:pt idx="342">
                  <c:v>2019</c:v>
                </c:pt>
                <c:pt idx="343">
                  <c:v>2024</c:v>
                </c:pt>
                <c:pt idx="344">
                  <c:v>2023</c:v>
                </c:pt>
                <c:pt idx="345">
                  <c:v>#N/A</c:v>
                </c:pt>
                <c:pt idx="346">
                  <c:v>#N/A</c:v>
                </c:pt>
                <c:pt idx="347">
                  <c:v>2026</c:v>
                </c:pt>
                <c:pt idx="348">
                  <c:v>#N/A</c:v>
                </c:pt>
                <c:pt idx="349">
                  <c:v>2025</c:v>
                </c:pt>
                <c:pt idx="350">
                  <c:v>#N/A</c:v>
                </c:pt>
                <c:pt idx="351">
                  <c:v>2017</c:v>
                </c:pt>
                <c:pt idx="352">
                  <c:v>2025</c:v>
                </c:pt>
                <c:pt idx="353">
                  <c:v>2022</c:v>
                </c:pt>
                <c:pt idx="354">
                  <c:v>#N/A</c:v>
                </c:pt>
                <c:pt idx="355">
                  <c:v>2023</c:v>
                </c:pt>
                <c:pt idx="356">
                  <c:v>2017</c:v>
                </c:pt>
                <c:pt idx="357">
                  <c:v>2014</c:v>
                </c:pt>
                <c:pt idx="358">
                  <c:v>2025</c:v>
                </c:pt>
                <c:pt idx="359">
                  <c:v>2026</c:v>
                </c:pt>
                <c:pt idx="360">
                  <c:v>2023</c:v>
                </c:pt>
                <c:pt idx="361">
                  <c:v>#N/A</c:v>
                </c:pt>
                <c:pt idx="362">
                  <c:v>2025</c:v>
                </c:pt>
                <c:pt idx="363">
                  <c:v>2023</c:v>
                </c:pt>
                <c:pt idx="364">
                  <c:v>2018</c:v>
                </c:pt>
                <c:pt idx="365">
                  <c:v>2025</c:v>
                </c:pt>
                <c:pt idx="366">
                  <c:v>#N/A</c:v>
                </c:pt>
                <c:pt idx="367">
                  <c:v>#N/A</c:v>
                </c:pt>
                <c:pt idx="368">
                  <c:v>2023</c:v>
                </c:pt>
                <c:pt idx="369">
                  <c:v>#N/A</c:v>
                </c:pt>
                <c:pt idx="370">
                  <c:v>#N/A</c:v>
                </c:pt>
                <c:pt idx="371">
                  <c:v>#N/A</c:v>
                </c:pt>
                <c:pt idx="372">
                  <c:v>2026</c:v>
                </c:pt>
                <c:pt idx="373">
                  <c:v>#N/A</c:v>
                </c:pt>
                <c:pt idx="374">
                  <c:v>2026</c:v>
                </c:pt>
                <c:pt idx="375">
                  <c:v>#N/A</c:v>
                </c:pt>
                <c:pt idx="376">
                  <c:v>2025</c:v>
                </c:pt>
                <c:pt idx="377">
                  <c:v>#N/A</c:v>
                </c:pt>
                <c:pt idx="378">
                  <c:v>2022</c:v>
                </c:pt>
                <c:pt idx="379">
                  <c:v>2017</c:v>
                </c:pt>
                <c:pt idx="380">
                  <c:v>2016</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2025</c:v>
                </c:pt>
                <c:pt idx="396">
                  <c:v>2018</c:v>
                </c:pt>
                <c:pt idx="397">
                  <c:v>#N/A</c:v>
                </c:pt>
                <c:pt idx="398">
                  <c:v>2023</c:v>
                </c:pt>
                <c:pt idx="399">
                  <c:v>#N/A</c:v>
                </c:pt>
                <c:pt idx="400">
                  <c:v>2025</c:v>
                </c:pt>
                <c:pt idx="401">
                  <c:v>#N/A</c:v>
                </c:pt>
                <c:pt idx="402">
                  <c:v>2023</c:v>
                </c:pt>
                <c:pt idx="403">
                  <c:v>2026</c:v>
                </c:pt>
                <c:pt idx="404">
                  <c:v>#N/A</c:v>
                </c:pt>
                <c:pt idx="405">
                  <c:v>2025</c:v>
                </c:pt>
                <c:pt idx="406">
                  <c:v>#N/A</c:v>
                </c:pt>
                <c:pt idx="407">
                  <c:v>2023</c:v>
                </c:pt>
                <c:pt idx="408">
                  <c:v>#N/A</c:v>
                </c:pt>
                <c:pt idx="409">
                  <c:v>#N/A</c:v>
                </c:pt>
                <c:pt idx="410">
                  <c:v>#N/A</c:v>
                </c:pt>
                <c:pt idx="411">
                  <c:v>#N/A</c:v>
                </c:pt>
                <c:pt idx="412">
                  <c:v>2024</c:v>
                </c:pt>
                <c:pt idx="413">
                  <c:v>#N/A</c:v>
                </c:pt>
                <c:pt idx="414">
                  <c:v>#N/A</c:v>
                </c:pt>
                <c:pt idx="415">
                  <c:v>2013</c:v>
                </c:pt>
                <c:pt idx="416">
                  <c:v>#N/A</c:v>
                </c:pt>
                <c:pt idx="417">
                  <c:v>#N/A</c:v>
                </c:pt>
                <c:pt idx="418">
                  <c:v>2024</c:v>
                </c:pt>
                <c:pt idx="419">
                  <c:v>#N/A</c:v>
                </c:pt>
                <c:pt idx="420">
                  <c:v>#N/A</c:v>
                </c:pt>
                <c:pt idx="421">
                  <c:v>#N/A</c:v>
                </c:pt>
                <c:pt idx="422">
                  <c:v>#N/A</c:v>
                </c:pt>
                <c:pt idx="423">
                  <c:v>2023</c:v>
                </c:pt>
                <c:pt idx="424">
                  <c:v>#N/A</c:v>
                </c:pt>
                <c:pt idx="425">
                  <c:v>#N/A</c:v>
                </c:pt>
                <c:pt idx="426">
                  <c:v>#N/A</c:v>
                </c:pt>
                <c:pt idx="427">
                  <c:v>#N/A</c:v>
                </c:pt>
                <c:pt idx="428">
                  <c:v>#N/A</c:v>
                </c:pt>
                <c:pt idx="429">
                  <c:v>2026</c:v>
                </c:pt>
                <c:pt idx="430">
                  <c:v>#N/A</c:v>
                </c:pt>
                <c:pt idx="431">
                  <c:v>#N/A</c:v>
                </c:pt>
                <c:pt idx="432">
                  <c:v>#N/A</c:v>
                </c:pt>
                <c:pt idx="433">
                  <c:v>2025</c:v>
                </c:pt>
                <c:pt idx="434">
                  <c:v>#N/A</c:v>
                </c:pt>
                <c:pt idx="435">
                  <c:v>#N/A</c:v>
                </c:pt>
                <c:pt idx="436">
                  <c:v>#N/A</c:v>
                </c:pt>
                <c:pt idx="437">
                  <c:v>#N/A</c:v>
                </c:pt>
                <c:pt idx="438">
                  <c:v>2026</c:v>
                </c:pt>
                <c:pt idx="439">
                  <c:v>#N/A</c:v>
                </c:pt>
                <c:pt idx="440">
                  <c:v>2026</c:v>
                </c:pt>
                <c:pt idx="441">
                  <c:v>2019</c:v>
                </c:pt>
                <c:pt idx="442">
                  <c:v>2023</c:v>
                </c:pt>
                <c:pt idx="443">
                  <c:v>2025</c:v>
                </c:pt>
                <c:pt idx="444">
                  <c:v>#N/A</c:v>
                </c:pt>
                <c:pt idx="445">
                  <c:v>2018</c:v>
                </c:pt>
                <c:pt idx="446">
                  <c:v>2025</c:v>
                </c:pt>
                <c:pt idx="447">
                  <c:v>#N/A</c:v>
                </c:pt>
                <c:pt idx="448">
                  <c:v>2025</c:v>
                </c:pt>
                <c:pt idx="449">
                  <c:v>#N/A</c:v>
                </c:pt>
                <c:pt idx="450">
                  <c:v>2025</c:v>
                </c:pt>
                <c:pt idx="451">
                  <c:v>#N/A</c:v>
                </c:pt>
                <c:pt idx="452">
                  <c:v>#N/A</c:v>
                </c:pt>
                <c:pt idx="453">
                  <c:v>#N/A</c:v>
                </c:pt>
                <c:pt idx="454">
                  <c:v>#N/A</c:v>
                </c:pt>
                <c:pt idx="455">
                  <c:v>#N/A</c:v>
                </c:pt>
                <c:pt idx="456">
                  <c:v>2020</c:v>
                </c:pt>
                <c:pt idx="457">
                  <c:v>2021</c:v>
                </c:pt>
                <c:pt idx="458">
                  <c:v>#N/A</c:v>
                </c:pt>
                <c:pt idx="459">
                  <c:v>2025</c:v>
                </c:pt>
                <c:pt idx="460">
                  <c:v>#N/A</c:v>
                </c:pt>
                <c:pt idx="461">
                  <c:v>#N/A</c:v>
                </c:pt>
                <c:pt idx="462">
                  <c:v>#N/A</c:v>
                </c:pt>
                <c:pt idx="463">
                  <c:v>#N/A</c:v>
                </c:pt>
                <c:pt idx="464">
                  <c:v>2023</c:v>
                </c:pt>
                <c:pt idx="465">
                  <c:v>2022</c:v>
                </c:pt>
                <c:pt idx="466">
                  <c:v>#N/A</c:v>
                </c:pt>
                <c:pt idx="467">
                  <c:v>#N/A</c:v>
                </c:pt>
                <c:pt idx="468">
                  <c:v>#N/A</c:v>
                </c:pt>
                <c:pt idx="469">
                  <c:v>#N/A</c:v>
                </c:pt>
                <c:pt idx="470">
                  <c:v>#N/A</c:v>
                </c:pt>
                <c:pt idx="471">
                  <c:v>#N/A</c:v>
                </c:pt>
                <c:pt idx="472">
                  <c:v>#N/A</c:v>
                </c:pt>
                <c:pt idx="473">
                  <c:v>#N/A</c:v>
                </c:pt>
                <c:pt idx="474">
                  <c:v>2025</c:v>
                </c:pt>
                <c:pt idx="475">
                  <c:v>2015</c:v>
                </c:pt>
                <c:pt idx="476">
                  <c:v>#N/A</c:v>
                </c:pt>
                <c:pt idx="477">
                  <c:v>2016</c:v>
                </c:pt>
                <c:pt idx="478">
                  <c:v>2024</c:v>
                </c:pt>
                <c:pt idx="479">
                  <c:v>2018</c:v>
                </c:pt>
                <c:pt idx="480">
                  <c:v>2025</c:v>
                </c:pt>
                <c:pt idx="481">
                  <c:v>#N/A</c:v>
                </c:pt>
                <c:pt idx="482">
                  <c:v>2026</c:v>
                </c:pt>
                <c:pt idx="483">
                  <c:v>#N/A</c:v>
                </c:pt>
                <c:pt idx="484">
                  <c:v>#N/A</c:v>
                </c:pt>
                <c:pt idx="485">
                  <c:v>2025</c:v>
                </c:pt>
                <c:pt idx="486">
                  <c:v>2023</c:v>
                </c:pt>
                <c:pt idx="487">
                  <c:v>2018</c:v>
                </c:pt>
                <c:pt idx="488">
                  <c:v>2022</c:v>
                </c:pt>
                <c:pt idx="489">
                  <c:v>#N/A</c:v>
                </c:pt>
                <c:pt idx="490">
                  <c:v>2023</c:v>
                </c:pt>
                <c:pt idx="491">
                  <c:v>2021</c:v>
                </c:pt>
                <c:pt idx="492">
                  <c:v>#N/A</c:v>
                </c:pt>
                <c:pt idx="493">
                  <c:v>#N/A</c:v>
                </c:pt>
                <c:pt idx="494">
                  <c:v>#N/A</c:v>
                </c:pt>
                <c:pt idx="495">
                  <c:v>2024</c:v>
                </c:pt>
                <c:pt idx="496">
                  <c:v>#N/A</c:v>
                </c:pt>
                <c:pt idx="497">
                  <c:v>2022</c:v>
                </c:pt>
                <c:pt idx="498">
                  <c:v>#N/A</c:v>
                </c:pt>
                <c:pt idx="499">
                  <c:v>2022</c:v>
                </c:pt>
                <c:pt idx="500">
                  <c:v>2024</c:v>
                </c:pt>
                <c:pt idx="501">
                  <c:v>2019</c:v>
                </c:pt>
                <c:pt idx="502">
                  <c:v>2025</c:v>
                </c:pt>
                <c:pt idx="503">
                  <c:v>2022</c:v>
                </c:pt>
                <c:pt idx="504">
                  <c:v>#N/A</c:v>
                </c:pt>
                <c:pt idx="505">
                  <c:v>2025</c:v>
                </c:pt>
                <c:pt idx="506">
                  <c:v>2021</c:v>
                </c:pt>
                <c:pt idx="507">
                  <c:v>2025</c:v>
                </c:pt>
                <c:pt idx="508">
                  <c:v>2024</c:v>
                </c:pt>
                <c:pt idx="509">
                  <c:v>#N/A</c:v>
                </c:pt>
                <c:pt idx="510">
                  <c:v>#N/A</c:v>
                </c:pt>
                <c:pt idx="511">
                  <c:v>2019</c:v>
                </c:pt>
                <c:pt idx="512">
                  <c:v>2022</c:v>
                </c:pt>
                <c:pt idx="513">
                  <c:v>2025</c:v>
                </c:pt>
                <c:pt idx="514">
                  <c:v>2023</c:v>
                </c:pt>
                <c:pt idx="515">
                  <c:v>#N/A</c:v>
                </c:pt>
                <c:pt idx="516">
                  <c:v>2022</c:v>
                </c:pt>
                <c:pt idx="517">
                  <c:v>#N/A</c:v>
                </c:pt>
                <c:pt idx="518">
                  <c:v>2019</c:v>
                </c:pt>
                <c:pt idx="519">
                  <c:v>#N/A</c:v>
                </c:pt>
                <c:pt idx="520">
                  <c:v>#N/A</c:v>
                </c:pt>
                <c:pt idx="521">
                  <c:v>2015</c:v>
                </c:pt>
                <c:pt idx="522">
                  <c:v>2025</c:v>
                </c:pt>
                <c:pt idx="523">
                  <c:v>#N/A</c:v>
                </c:pt>
                <c:pt idx="524">
                  <c:v>2023</c:v>
                </c:pt>
                <c:pt idx="525">
                  <c:v>#N/A</c:v>
                </c:pt>
                <c:pt idx="526">
                  <c:v>2018</c:v>
                </c:pt>
                <c:pt idx="527">
                  <c:v>2026</c:v>
                </c:pt>
                <c:pt idx="528">
                  <c:v>2025</c:v>
                </c:pt>
                <c:pt idx="529">
                  <c:v>2026</c:v>
                </c:pt>
                <c:pt idx="530">
                  <c:v>#N/A</c:v>
                </c:pt>
                <c:pt idx="531">
                  <c:v>#N/A</c:v>
                </c:pt>
                <c:pt idx="532">
                  <c:v>#N/A</c:v>
                </c:pt>
                <c:pt idx="533">
                  <c:v>#N/A</c:v>
                </c:pt>
                <c:pt idx="534">
                  <c:v>#N/A</c:v>
                </c:pt>
                <c:pt idx="535">
                  <c:v>2020</c:v>
                </c:pt>
                <c:pt idx="536">
                  <c:v>#N/A</c:v>
                </c:pt>
                <c:pt idx="537">
                  <c:v>#N/A</c:v>
                </c:pt>
                <c:pt idx="538">
                  <c:v>#N/A</c:v>
                </c:pt>
                <c:pt idx="539">
                  <c:v>2023</c:v>
                </c:pt>
                <c:pt idx="540">
                  <c:v>2014</c:v>
                </c:pt>
                <c:pt idx="541">
                  <c:v>#N/A</c:v>
                </c:pt>
                <c:pt idx="542">
                  <c:v>#N/A</c:v>
                </c:pt>
                <c:pt idx="543">
                  <c:v>#N/A</c:v>
                </c:pt>
                <c:pt idx="544">
                  <c:v>#N/A</c:v>
                </c:pt>
                <c:pt idx="545">
                  <c:v>2023</c:v>
                </c:pt>
                <c:pt idx="546">
                  <c:v>2026</c:v>
                </c:pt>
                <c:pt idx="547">
                  <c:v>#N/A</c:v>
                </c:pt>
                <c:pt idx="548">
                  <c:v>2021</c:v>
                </c:pt>
                <c:pt idx="549">
                  <c:v>#N/A</c:v>
                </c:pt>
                <c:pt idx="550">
                  <c:v>2026</c:v>
                </c:pt>
                <c:pt idx="551">
                  <c:v>#N/A</c:v>
                </c:pt>
                <c:pt idx="552">
                  <c:v>#N/A</c:v>
                </c:pt>
                <c:pt idx="553">
                  <c:v>2026</c:v>
                </c:pt>
                <c:pt idx="554">
                  <c:v>#N/A</c:v>
                </c:pt>
                <c:pt idx="555">
                  <c:v>#N/A</c:v>
                </c:pt>
                <c:pt idx="556">
                  <c:v>2026</c:v>
                </c:pt>
                <c:pt idx="557">
                  <c:v>2024</c:v>
                </c:pt>
                <c:pt idx="558">
                  <c:v>2023</c:v>
                </c:pt>
                <c:pt idx="559">
                  <c:v>#N/A</c:v>
                </c:pt>
                <c:pt idx="560">
                  <c:v>#N/A</c:v>
                </c:pt>
                <c:pt idx="561">
                  <c:v>#N/A</c:v>
                </c:pt>
                <c:pt idx="562">
                  <c:v>#N/A</c:v>
                </c:pt>
                <c:pt idx="563">
                  <c:v>#N/A</c:v>
                </c:pt>
                <c:pt idx="564">
                  <c:v>#N/A</c:v>
                </c:pt>
                <c:pt idx="565">
                  <c:v>#N/A</c:v>
                </c:pt>
                <c:pt idx="566">
                  <c:v>2024</c:v>
                </c:pt>
                <c:pt idx="567">
                  <c:v>#N/A</c:v>
                </c:pt>
                <c:pt idx="568">
                  <c:v>#N/A</c:v>
                </c:pt>
                <c:pt idx="569">
                  <c:v>#N/A</c:v>
                </c:pt>
                <c:pt idx="570">
                  <c:v>#N/A</c:v>
                </c:pt>
                <c:pt idx="571">
                  <c:v>#N/A</c:v>
                </c:pt>
                <c:pt idx="572">
                  <c:v>#N/A</c:v>
                </c:pt>
                <c:pt idx="573">
                  <c:v>#N/A</c:v>
                </c:pt>
                <c:pt idx="574">
                  <c:v>#N/A</c:v>
                </c:pt>
                <c:pt idx="575">
                  <c:v>#N/A</c:v>
                </c:pt>
                <c:pt idx="576">
                  <c:v>2026</c:v>
                </c:pt>
                <c:pt idx="577">
                  <c:v>#N/A</c:v>
                </c:pt>
                <c:pt idx="578">
                  <c:v>#N/A</c:v>
                </c:pt>
                <c:pt idx="579">
                  <c:v>#N/A</c:v>
                </c:pt>
                <c:pt idx="580">
                  <c:v>#N/A</c:v>
                </c:pt>
                <c:pt idx="581">
                  <c:v>2024</c:v>
                </c:pt>
                <c:pt idx="582">
                  <c:v>#N/A</c:v>
                </c:pt>
                <c:pt idx="583">
                  <c:v>2022</c:v>
                </c:pt>
                <c:pt idx="584">
                  <c:v>#N/A</c:v>
                </c:pt>
                <c:pt idx="585">
                  <c:v>#N/A</c:v>
                </c:pt>
                <c:pt idx="586">
                  <c:v>#N/A</c:v>
                </c:pt>
                <c:pt idx="587">
                  <c:v>2024</c:v>
                </c:pt>
                <c:pt idx="588">
                  <c:v>#N/A</c:v>
                </c:pt>
                <c:pt idx="589">
                  <c:v>#N/A</c:v>
                </c:pt>
                <c:pt idx="590">
                  <c:v>#N/A</c:v>
                </c:pt>
                <c:pt idx="591">
                  <c:v>2024</c:v>
                </c:pt>
                <c:pt idx="592">
                  <c:v>2015</c:v>
                </c:pt>
                <c:pt idx="593">
                  <c:v>#N/A</c:v>
                </c:pt>
                <c:pt idx="594">
                  <c:v>#N/A</c:v>
                </c:pt>
                <c:pt idx="595">
                  <c:v>2023</c:v>
                </c:pt>
                <c:pt idx="596">
                  <c:v>2025</c:v>
                </c:pt>
                <c:pt idx="597">
                  <c:v>2024</c:v>
                </c:pt>
                <c:pt idx="598">
                  <c:v>2010</c:v>
                </c:pt>
                <c:pt idx="599">
                  <c:v>2012</c:v>
                </c:pt>
                <c:pt idx="600">
                  <c:v>2025</c:v>
                </c:pt>
                <c:pt idx="601">
                  <c:v>#N/A</c:v>
                </c:pt>
                <c:pt idx="602">
                  <c:v>2022</c:v>
                </c:pt>
                <c:pt idx="603">
                  <c:v>#N/A</c:v>
                </c:pt>
                <c:pt idx="604">
                  <c:v>2023</c:v>
                </c:pt>
                <c:pt idx="605">
                  <c:v>2023</c:v>
                </c:pt>
                <c:pt idx="606">
                  <c:v>2021</c:v>
                </c:pt>
                <c:pt idx="607">
                  <c:v>2025</c:v>
                </c:pt>
                <c:pt idx="608">
                  <c:v>#N/A</c:v>
                </c:pt>
                <c:pt idx="609">
                  <c:v>#N/A</c:v>
                </c:pt>
                <c:pt idx="610">
                  <c:v>#N/A</c:v>
                </c:pt>
                <c:pt idx="611">
                  <c:v>2026</c:v>
                </c:pt>
                <c:pt idx="612">
                  <c:v>#N/A</c:v>
                </c:pt>
                <c:pt idx="613">
                  <c:v>#N/A</c:v>
                </c:pt>
                <c:pt idx="614">
                  <c:v>#N/A</c:v>
                </c:pt>
                <c:pt idx="615">
                  <c:v>2017</c:v>
                </c:pt>
                <c:pt idx="616">
                  <c:v>2013</c:v>
                </c:pt>
                <c:pt idx="617">
                  <c:v>2020</c:v>
                </c:pt>
                <c:pt idx="618">
                  <c:v>2023</c:v>
                </c:pt>
                <c:pt idx="619">
                  <c:v>#N/A</c:v>
                </c:pt>
                <c:pt idx="620">
                  <c:v>2020</c:v>
                </c:pt>
                <c:pt idx="621">
                  <c:v>2024</c:v>
                </c:pt>
                <c:pt idx="622">
                  <c:v>#N/A</c:v>
                </c:pt>
                <c:pt idx="623">
                  <c:v>#N/A</c:v>
                </c:pt>
                <c:pt idx="624">
                  <c:v>#N/A</c:v>
                </c:pt>
                <c:pt idx="625">
                  <c:v>2026</c:v>
                </c:pt>
                <c:pt idx="626">
                  <c:v>2024</c:v>
                </c:pt>
                <c:pt idx="627">
                  <c:v>#N/A</c:v>
                </c:pt>
                <c:pt idx="628">
                  <c:v>2021</c:v>
                </c:pt>
                <c:pt idx="629">
                  <c:v>2013</c:v>
                </c:pt>
                <c:pt idx="630">
                  <c:v>2020</c:v>
                </c:pt>
                <c:pt idx="631">
                  <c:v>#N/A</c:v>
                </c:pt>
                <c:pt idx="632">
                  <c:v>#N/A</c:v>
                </c:pt>
                <c:pt idx="633">
                  <c:v>#N/A</c:v>
                </c:pt>
                <c:pt idx="634">
                  <c:v>#N/A</c:v>
                </c:pt>
                <c:pt idx="635">
                  <c:v>2022</c:v>
                </c:pt>
                <c:pt idx="636">
                  <c:v>#N/A</c:v>
                </c:pt>
                <c:pt idx="637">
                  <c:v>#N/A</c:v>
                </c:pt>
                <c:pt idx="638">
                  <c:v>#N/A</c:v>
                </c:pt>
                <c:pt idx="639">
                  <c:v>#N/A</c:v>
                </c:pt>
                <c:pt idx="640">
                  <c:v>#N/A</c:v>
                </c:pt>
                <c:pt idx="641">
                  <c:v>#N/A</c:v>
                </c:pt>
                <c:pt idx="642">
                  <c:v>#N/A</c:v>
                </c:pt>
                <c:pt idx="643">
                  <c:v>#N/A</c:v>
                </c:pt>
                <c:pt idx="644">
                  <c:v>#N/A</c:v>
                </c:pt>
                <c:pt idx="645">
                  <c:v>2021</c:v>
                </c:pt>
                <c:pt idx="646">
                  <c:v>#N/A</c:v>
                </c:pt>
                <c:pt idx="647">
                  <c:v>#N/A</c:v>
                </c:pt>
                <c:pt idx="648">
                  <c:v>#N/A</c:v>
                </c:pt>
                <c:pt idx="649">
                  <c:v>#N/A</c:v>
                </c:pt>
                <c:pt idx="650">
                  <c:v>2022</c:v>
                </c:pt>
                <c:pt idx="651">
                  <c:v>#N/A</c:v>
                </c:pt>
                <c:pt idx="652">
                  <c:v>2024</c:v>
                </c:pt>
                <c:pt idx="653">
                  <c:v>2022</c:v>
                </c:pt>
                <c:pt idx="654">
                  <c:v>2023</c:v>
                </c:pt>
                <c:pt idx="655">
                  <c:v>2020</c:v>
                </c:pt>
                <c:pt idx="656">
                  <c:v>2023</c:v>
                </c:pt>
                <c:pt idx="657">
                  <c:v>2023</c:v>
                </c:pt>
                <c:pt idx="658">
                  <c:v>#N/A</c:v>
                </c:pt>
                <c:pt idx="659">
                  <c:v>2025</c:v>
                </c:pt>
                <c:pt idx="660">
                  <c:v>2022</c:v>
                </c:pt>
                <c:pt idx="661">
                  <c:v>2026</c:v>
                </c:pt>
                <c:pt idx="662">
                  <c:v>#N/A</c:v>
                </c:pt>
                <c:pt idx="663">
                  <c:v>#N/A</c:v>
                </c:pt>
                <c:pt idx="664">
                  <c:v>2025</c:v>
                </c:pt>
                <c:pt idx="665">
                  <c:v>2023</c:v>
                </c:pt>
                <c:pt idx="666">
                  <c:v>2025</c:v>
                </c:pt>
                <c:pt idx="667">
                  <c:v>#N/A</c:v>
                </c:pt>
                <c:pt idx="668">
                  <c:v>2022</c:v>
                </c:pt>
                <c:pt idx="669">
                  <c:v>#N/A</c:v>
                </c:pt>
                <c:pt idx="670">
                  <c:v>#N/A</c:v>
                </c:pt>
                <c:pt idx="671">
                  <c:v>#N/A</c:v>
                </c:pt>
                <c:pt idx="672">
                  <c:v>#N/A</c:v>
                </c:pt>
                <c:pt idx="673">
                  <c:v>#N/A</c:v>
                </c:pt>
                <c:pt idx="674">
                  <c:v>#N/A</c:v>
                </c:pt>
                <c:pt idx="675">
                  <c:v>#N/A</c:v>
                </c:pt>
                <c:pt idx="676">
                  <c:v>#N/A</c:v>
                </c:pt>
                <c:pt idx="677">
                  <c:v>#N/A</c:v>
                </c:pt>
                <c:pt idx="678">
                  <c:v>2010</c:v>
                </c:pt>
                <c:pt idx="679">
                  <c:v>#N/A</c:v>
                </c:pt>
                <c:pt idx="680">
                  <c:v>2022</c:v>
                </c:pt>
                <c:pt idx="681">
                  <c:v>#N/A</c:v>
                </c:pt>
                <c:pt idx="682">
                  <c:v>#N/A</c:v>
                </c:pt>
                <c:pt idx="683">
                  <c:v>#N/A</c:v>
                </c:pt>
                <c:pt idx="684">
                  <c:v>2020</c:v>
                </c:pt>
                <c:pt idx="685">
                  <c:v>2026</c:v>
                </c:pt>
                <c:pt idx="686">
                  <c:v>2014</c:v>
                </c:pt>
                <c:pt idx="687">
                  <c:v>#N/A</c:v>
                </c:pt>
                <c:pt idx="688">
                  <c:v>#N/A</c:v>
                </c:pt>
                <c:pt idx="689">
                  <c:v>2018</c:v>
                </c:pt>
                <c:pt idx="690">
                  <c:v>#N/A</c:v>
                </c:pt>
                <c:pt idx="691">
                  <c:v>#N/A</c:v>
                </c:pt>
                <c:pt idx="692">
                  <c:v>#N/A</c:v>
                </c:pt>
                <c:pt idx="693">
                  <c:v>2024</c:v>
                </c:pt>
                <c:pt idx="694">
                  <c:v>2023</c:v>
                </c:pt>
                <c:pt idx="695">
                  <c:v>#N/A</c:v>
                </c:pt>
                <c:pt idx="696">
                  <c:v>#N/A</c:v>
                </c:pt>
                <c:pt idx="697">
                  <c:v>#N/A</c:v>
                </c:pt>
                <c:pt idx="698">
                  <c:v>2021</c:v>
                </c:pt>
                <c:pt idx="699">
                  <c:v>2025</c:v>
                </c:pt>
                <c:pt idx="700">
                  <c:v>#N/A</c:v>
                </c:pt>
                <c:pt idx="701">
                  <c:v>#N/A</c:v>
                </c:pt>
                <c:pt idx="702">
                  <c:v>#N/A</c:v>
                </c:pt>
                <c:pt idx="703">
                  <c:v>#N/A</c:v>
                </c:pt>
                <c:pt idx="704">
                  <c:v>2022</c:v>
                </c:pt>
                <c:pt idx="705">
                  <c:v>2015</c:v>
                </c:pt>
                <c:pt idx="706">
                  <c:v>2019</c:v>
                </c:pt>
                <c:pt idx="707">
                  <c:v>#N/A</c:v>
                </c:pt>
                <c:pt idx="708">
                  <c:v>#N/A</c:v>
                </c:pt>
                <c:pt idx="709">
                  <c:v>2019</c:v>
                </c:pt>
                <c:pt idx="710">
                  <c:v>2022</c:v>
                </c:pt>
                <c:pt idx="711">
                  <c:v>#N/A</c:v>
                </c:pt>
                <c:pt idx="712">
                  <c:v>#N/A</c:v>
                </c:pt>
                <c:pt idx="713">
                  <c:v>2012</c:v>
                </c:pt>
                <c:pt idx="714">
                  <c:v>2020</c:v>
                </c:pt>
                <c:pt idx="715">
                  <c:v>2008</c:v>
                </c:pt>
                <c:pt idx="716">
                  <c:v>#N/A</c:v>
                </c:pt>
                <c:pt idx="717">
                  <c:v>2022</c:v>
                </c:pt>
                <c:pt idx="718">
                  <c:v>2023</c:v>
                </c:pt>
                <c:pt idx="719">
                  <c:v>2019</c:v>
                </c:pt>
                <c:pt idx="720">
                  <c:v>#N/A</c:v>
                </c:pt>
                <c:pt idx="721">
                  <c:v>2024</c:v>
                </c:pt>
                <c:pt idx="722">
                  <c:v>#N/A</c:v>
                </c:pt>
                <c:pt idx="723">
                  <c:v>2017</c:v>
                </c:pt>
                <c:pt idx="724">
                  <c:v>#N/A</c:v>
                </c:pt>
                <c:pt idx="725">
                  <c:v>2023</c:v>
                </c:pt>
                <c:pt idx="726">
                  <c:v>2025</c:v>
                </c:pt>
                <c:pt idx="727">
                  <c:v>#N/A</c:v>
                </c:pt>
                <c:pt idx="728">
                  <c:v>#N/A</c:v>
                </c:pt>
                <c:pt idx="729">
                  <c:v>2025</c:v>
                </c:pt>
                <c:pt idx="730">
                  <c:v>2026</c:v>
                </c:pt>
                <c:pt idx="731">
                  <c:v>#N/A</c:v>
                </c:pt>
                <c:pt idx="732">
                  <c:v>#N/A</c:v>
                </c:pt>
                <c:pt idx="733">
                  <c:v>2017</c:v>
                </c:pt>
                <c:pt idx="734">
                  <c:v>#N/A</c:v>
                </c:pt>
                <c:pt idx="735">
                  <c:v>2019</c:v>
                </c:pt>
                <c:pt idx="736">
                  <c:v>2024</c:v>
                </c:pt>
                <c:pt idx="737">
                  <c:v>2017</c:v>
                </c:pt>
                <c:pt idx="738">
                  <c:v>#N/A</c:v>
                </c:pt>
                <c:pt idx="739">
                  <c:v>#N/A</c:v>
                </c:pt>
                <c:pt idx="740">
                  <c:v>#N/A</c:v>
                </c:pt>
                <c:pt idx="741">
                  <c:v>#N/A</c:v>
                </c:pt>
                <c:pt idx="742">
                  <c:v>2013</c:v>
                </c:pt>
                <c:pt idx="743">
                  <c:v>#N/A</c:v>
                </c:pt>
                <c:pt idx="744">
                  <c:v>2025</c:v>
                </c:pt>
                <c:pt idx="745">
                  <c:v>2023</c:v>
                </c:pt>
                <c:pt idx="746">
                  <c:v>2016</c:v>
                </c:pt>
                <c:pt idx="747">
                  <c:v>#N/A</c:v>
                </c:pt>
                <c:pt idx="748">
                  <c:v>2021</c:v>
                </c:pt>
                <c:pt idx="749">
                  <c:v>2025</c:v>
                </c:pt>
                <c:pt idx="750">
                  <c:v>#N/A</c:v>
                </c:pt>
                <c:pt idx="751">
                  <c:v>2022</c:v>
                </c:pt>
                <c:pt idx="752">
                  <c:v>2025</c:v>
                </c:pt>
                <c:pt idx="753">
                  <c:v>2021</c:v>
                </c:pt>
                <c:pt idx="754">
                  <c:v>2018</c:v>
                </c:pt>
                <c:pt idx="755">
                  <c:v>#N/A</c:v>
                </c:pt>
                <c:pt idx="756">
                  <c:v>#N/A</c:v>
                </c:pt>
                <c:pt idx="757">
                  <c:v>2023</c:v>
                </c:pt>
                <c:pt idx="758">
                  <c:v>#N/A</c:v>
                </c:pt>
                <c:pt idx="759">
                  <c:v>#N/A</c:v>
                </c:pt>
                <c:pt idx="760">
                  <c:v>#N/A</c:v>
                </c:pt>
                <c:pt idx="761">
                  <c:v>#N/A</c:v>
                </c:pt>
                <c:pt idx="762">
                  <c:v>#N/A</c:v>
                </c:pt>
                <c:pt idx="763">
                  <c:v>2023</c:v>
                </c:pt>
                <c:pt idx="764">
                  <c:v>#N/A</c:v>
                </c:pt>
                <c:pt idx="765">
                  <c:v>2026</c:v>
                </c:pt>
                <c:pt idx="766">
                  <c:v>2024</c:v>
                </c:pt>
                <c:pt idx="767">
                  <c:v>2024</c:v>
                </c:pt>
                <c:pt idx="768">
                  <c:v>#N/A</c:v>
                </c:pt>
                <c:pt idx="769">
                  <c:v>2026</c:v>
                </c:pt>
                <c:pt idx="770">
                  <c:v>2024</c:v>
                </c:pt>
                <c:pt idx="771">
                  <c:v>#N/A</c:v>
                </c:pt>
                <c:pt idx="772">
                  <c:v>2011</c:v>
                </c:pt>
                <c:pt idx="773">
                  <c:v>2014</c:v>
                </c:pt>
                <c:pt idx="774">
                  <c:v>#N/A</c:v>
                </c:pt>
                <c:pt idx="775">
                  <c:v>#N/A</c:v>
                </c:pt>
                <c:pt idx="776">
                  <c:v>#N/A</c:v>
                </c:pt>
                <c:pt idx="777">
                  <c:v>2016</c:v>
                </c:pt>
                <c:pt idx="778">
                  <c:v>#N/A</c:v>
                </c:pt>
                <c:pt idx="779">
                  <c:v>#N/A</c:v>
                </c:pt>
                <c:pt idx="780">
                  <c:v>#N/A</c:v>
                </c:pt>
                <c:pt idx="781">
                  <c:v>#N/A</c:v>
                </c:pt>
                <c:pt idx="782">
                  <c:v>2023</c:v>
                </c:pt>
                <c:pt idx="783">
                  <c:v>#N/A</c:v>
                </c:pt>
                <c:pt idx="784">
                  <c:v>#N/A</c:v>
                </c:pt>
                <c:pt idx="785">
                  <c:v>#N/A</c:v>
                </c:pt>
                <c:pt idx="786">
                  <c:v>2026</c:v>
                </c:pt>
                <c:pt idx="787">
                  <c:v>#N/A</c:v>
                </c:pt>
                <c:pt idx="788">
                  <c:v>#N/A</c:v>
                </c:pt>
                <c:pt idx="789">
                  <c:v>2024</c:v>
                </c:pt>
                <c:pt idx="790">
                  <c:v>#N/A</c:v>
                </c:pt>
                <c:pt idx="791">
                  <c:v>2024</c:v>
                </c:pt>
                <c:pt idx="792">
                  <c:v>#N/A</c:v>
                </c:pt>
                <c:pt idx="793">
                  <c:v>2022</c:v>
                </c:pt>
                <c:pt idx="794">
                  <c:v>2018</c:v>
                </c:pt>
                <c:pt idx="795">
                  <c:v>#N/A</c:v>
                </c:pt>
                <c:pt idx="796">
                  <c:v>#N/A</c:v>
                </c:pt>
                <c:pt idx="797">
                  <c:v>#N/A</c:v>
                </c:pt>
                <c:pt idx="798">
                  <c:v>2023</c:v>
                </c:pt>
                <c:pt idx="799">
                  <c:v>2023</c:v>
                </c:pt>
                <c:pt idx="800">
                  <c:v>#N/A</c:v>
                </c:pt>
                <c:pt idx="801">
                  <c:v>#N/A</c:v>
                </c:pt>
                <c:pt idx="802">
                  <c:v>2022</c:v>
                </c:pt>
                <c:pt idx="803">
                  <c:v>#N/A</c:v>
                </c:pt>
                <c:pt idx="804">
                  <c:v>1991</c:v>
                </c:pt>
                <c:pt idx="805">
                  <c:v>2019</c:v>
                </c:pt>
                <c:pt idx="806">
                  <c:v>2022</c:v>
                </c:pt>
                <c:pt idx="807">
                  <c:v>#N/A</c:v>
                </c:pt>
                <c:pt idx="808">
                  <c:v>#N/A</c:v>
                </c:pt>
                <c:pt idx="809">
                  <c:v>#N/A</c:v>
                </c:pt>
                <c:pt idx="810">
                  <c:v>#N/A</c:v>
                </c:pt>
                <c:pt idx="811">
                  <c:v>#N/A</c:v>
                </c:pt>
                <c:pt idx="812">
                  <c:v>#N/A</c:v>
                </c:pt>
                <c:pt idx="813">
                  <c:v>#N/A</c:v>
                </c:pt>
                <c:pt idx="814">
                  <c:v>#N/A</c:v>
                </c:pt>
                <c:pt idx="815">
                  <c:v>#N/A</c:v>
                </c:pt>
                <c:pt idx="816">
                  <c:v>#N/A</c:v>
                </c:pt>
                <c:pt idx="817">
                  <c:v>2017</c:v>
                </c:pt>
                <c:pt idx="818">
                  <c:v>2014</c:v>
                </c:pt>
                <c:pt idx="819">
                  <c:v>#N/A</c:v>
                </c:pt>
                <c:pt idx="820">
                  <c:v>#N/A</c:v>
                </c:pt>
                <c:pt idx="821">
                  <c:v>#N/A</c:v>
                </c:pt>
                <c:pt idx="822">
                  <c:v>#N/A</c:v>
                </c:pt>
                <c:pt idx="823">
                  <c:v>2017</c:v>
                </c:pt>
                <c:pt idx="824">
                  <c:v>#N/A</c:v>
                </c:pt>
                <c:pt idx="825">
                  <c:v>2025</c:v>
                </c:pt>
                <c:pt idx="826">
                  <c:v>#N/A</c:v>
                </c:pt>
                <c:pt idx="827">
                  <c:v>#N/A</c:v>
                </c:pt>
                <c:pt idx="828">
                  <c:v>#N/A</c:v>
                </c:pt>
                <c:pt idx="829">
                  <c:v>#N/A</c:v>
                </c:pt>
                <c:pt idx="830">
                  <c:v>2024</c:v>
                </c:pt>
                <c:pt idx="831">
                  <c:v>2019</c:v>
                </c:pt>
                <c:pt idx="832">
                  <c:v>2025</c:v>
                </c:pt>
                <c:pt idx="833">
                  <c:v>2017</c:v>
                </c:pt>
                <c:pt idx="834">
                  <c:v>2022</c:v>
                </c:pt>
                <c:pt idx="835">
                  <c:v>#N/A</c:v>
                </c:pt>
                <c:pt idx="836">
                  <c:v>2018</c:v>
                </c:pt>
                <c:pt idx="837">
                  <c:v>#N/A</c:v>
                </c:pt>
                <c:pt idx="838">
                  <c:v>2023</c:v>
                </c:pt>
                <c:pt idx="839">
                  <c:v>2021</c:v>
                </c:pt>
                <c:pt idx="840">
                  <c:v>#N/A</c:v>
                </c:pt>
                <c:pt idx="841">
                  <c:v>2024</c:v>
                </c:pt>
                <c:pt idx="842">
                  <c:v>2026</c:v>
                </c:pt>
                <c:pt idx="843">
                  <c:v>#N/A</c:v>
                </c:pt>
                <c:pt idx="844">
                  <c:v>#N/A</c:v>
                </c:pt>
                <c:pt idx="845">
                  <c:v>#N/A</c:v>
                </c:pt>
                <c:pt idx="846">
                  <c:v>2019</c:v>
                </c:pt>
                <c:pt idx="847">
                  <c:v>2022</c:v>
                </c:pt>
                <c:pt idx="848">
                  <c:v>#N/A</c:v>
                </c:pt>
                <c:pt idx="849">
                  <c:v>2023</c:v>
                </c:pt>
                <c:pt idx="850">
                  <c:v>2024</c:v>
                </c:pt>
                <c:pt idx="851">
                  <c:v>2024</c:v>
                </c:pt>
                <c:pt idx="852">
                  <c:v>#N/A</c:v>
                </c:pt>
                <c:pt idx="853">
                  <c:v>#N/A</c:v>
                </c:pt>
                <c:pt idx="854">
                  <c:v>#N/A</c:v>
                </c:pt>
                <c:pt idx="855">
                  <c:v>2026</c:v>
                </c:pt>
                <c:pt idx="856">
                  <c:v>2026</c:v>
                </c:pt>
                <c:pt idx="857">
                  <c:v>#N/A</c:v>
                </c:pt>
                <c:pt idx="858">
                  <c:v>2025</c:v>
                </c:pt>
                <c:pt idx="859">
                  <c:v>#N/A</c:v>
                </c:pt>
                <c:pt idx="860">
                  <c:v>#N/A</c:v>
                </c:pt>
                <c:pt idx="861">
                  <c:v>#N/A</c:v>
                </c:pt>
                <c:pt idx="862">
                  <c:v>2017</c:v>
                </c:pt>
                <c:pt idx="863">
                  <c:v>#N/A</c:v>
                </c:pt>
                <c:pt idx="864">
                  <c:v>2020</c:v>
                </c:pt>
                <c:pt idx="865">
                  <c:v>2025</c:v>
                </c:pt>
                <c:pt idx="866">
                  <c:v>2025</c:v>
                </c:pt>
                <c:pt idx="867">
                  <c:v>2024</c:v>
                </c:pt>
                <c:pt idx="868">
                  <c:v>#N/A</c:v>
                </c:pt>
                <c:pt idx="869">
                  <c:v>#N/A</c:v>
                </c:pt>
                <c:pt idx="870">
                  <c:v>2024</c:v>
                </c:pt>
                <c:pt idx="871">
                  <c:v>#N/A</c:v>
                </c:pt>
                <c:pt idx="872">
                  <c:v>#N/A</c:v>
                </c:pt>
                <c:pt idx="873">
                  <c:v>2023</c:v>
                </c:pt>
                <c:pt idx="874">
                  <c:v>#N/A</c:v>
                </c:pt>
                <c:pt idx="875">
                  <c:v>2018</c:v>
                </c:pt>
                <c:pt idx="876">
                  <c:v>2024</c:v>
                </c:pt>
                <c:pt idx="877">
                  <c:v>#N/A</c:v>
                </c:pt>
                <c:pt idx="878">
                  <c:v>#N/A</c:v>
                </c:pt>
                <c:pt idx="879">
                  <c:v>#N/A</c:v>
                </c:pt>
                <c:pt idx="880">
                  <c:v>#N/A</c:v>
                </c:pt>
                <c:pt idx="881">
                  <c:v>#N/A</c:v>
                </c:pt>
                <c:pt idx="882">
                  <c:v>2025</c:v>
                </c:pt>
                <c:pt idx="883">
                  <c:v>2023</c:v>
                </c:pt>
                <c:pt idx="884">
                  <c:v>#N/A</c:v>
                </c:pt>
                <c:pt idx="885">
                  <c:v>#N/A</c:v>
                </c:pt>
                <c:pt idx="886">
                  <c:v>#N/A</c:v>
                </c:pt>
                <c:pt idx="887">
                  <c:v>#N/A</c:v>
                </c:pt>
                <c:pt idx="888">
                  <c:v>#N/A</c:v>
                </c:pt>
                <c:pt idx="889">
                  <c:v>2014</c:v>
                </c:pt>
                <c:pt idx="890">
                  <c:v>2020</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numCache>
            </c:numRef>
          </c:xVal>
          <c:yVal>
            <c:numRef>
              <c:f>'Map Calc'!$H$1:$H$950</c:f>
              <c:numCache>
                <c:formatCode>General</c:formatCode>
                <c:ptCount val="950"/>
                <c:pt idx="0">
                  <c:v>0</c:v>
                </c:pt>
                <c:pt idx="1">
                  <c:v>1.046</c:v>
                </c:pt>
                <c:pt idx="2">
                  <c:v>#N/A</c:v>
                </c:pt>
                <c:pt idx="3">
                  <c:v>#N/A</c:v>
                </c:pt>
                <c:pt idx="4">
                  <c:v>1.115</c:v>
                </c:pt>
                <c:pt idx="5">
                  <c:v>1.1379999999999999</c:v>
                </c:pt>
                <c:pt idx="6">
                  <c:v>1.161</c:v>
                </c:pt>
                <c:pt idx="7">
                  <c:v>1.1839999999999999</c:v>
                </c:pt>
                <c:pt idx="8">
                  <c:v>#N/A</c:v>
                </c:pt>
                <c:pt idx="9">
                  <c:v>#N/A</c:v>
                </c:pt>
                <c:pt idx="10">
                  <c:v>#N/A</c:v>
                </c:pt>
                <c:pt idx="11">
                  <c:v>1.276</c:v>
                </c:pt>
                <c:pt idx="12">
                  <c:v>#N/A</c:v>
                </c:pt>
                <c:pt idx="13">
                  <c:v>1.3220000000000001</c:v>
                </c:pt>
                <c:pt idx="14">
                  <c:v>#N/A</c:v>
                </c:pt>
                <c:pt idx="15">
                  <c:v>1.3679999999999999</c:v>
                </c:pt>
                <c:pt idx="16">
                  <c:v>1.391</c:v>
                </c:pt>
                <c:pt idx="17">
                  <c:v>1.4139999999999999</c:v>
                </c:pt>
                <c:pt idx="18">
                  <c:v>#N/A</c:v>
                </c:pt>
                <c:pt idx="19">
                  <c:v>#N/A</c:v>
                </c:pt>
                <c:pt idx="20">
                  <c:v>#N/A</c:v>
                </c:pt>
                <c:pt idx="21">
                  <c:v>1.506</c:v>
                </c:pt>
                <c:pt idx="22">
                  <c:v>#N/A</c:v>
                </c:pt>
                <c:pt idx="23">
                  <c:v>1.552</c:v>
                </c:pt>
                <c:pt idx="24">
                  <c:v>#N/A</c:v>
                </c:pt>
                <c:pt idx="25">
                  <c:v>#N/A</c:v>
                </c:pt>
                <c:pt idx="26">
                  <c:v>#N/A</c:v>
                </c:pt>
                <c:pt idx="27">
                  <c:v>#N/A</c:v>
                </c:pt>
                <c:pt idx="28">
                  <c:v>#N/A</c:v>
                </c:pt>
                <c:pt idx="29">
                  <c:v>#N/A</c:v>
                </c:pt>
                <c:pt idx="30">
                  <c:v>#N/A</c:v>
                </c:pt>
                <c:pt idx="31">
                  <c:v>#N/A</c:v>
                </c:pt>
                <c:pt idx="32">
                  <c:v>1.7589999999999999</c:v>
                </c:pt>
                <c:pt idx="33">
                  <c:v>#N/A</c:v>
                </c:pt>
                <c:pt idx="34">
                  <c:v>#N/A</c:v>
                </c:pt>
                <c:pt idx="35">
                  <c:v>1.046</c:v>
                </c:pt>
                <c:pt idx="36">
                  <c:v>1.069</c:v>
                </c:pt>
                <c:pt idx="37">
                  <c:v>1.0920000000000001</c:v>
                </c:pt>
                <c:pt idx="38">
                  <c:v>#N/A</c:v>
                </c:pt>
                <c:pt idx="39">
                  <c:v>#N/A</c:v>
                </c:pt>
                <c:pt idx="40">
                  <c:v>1.161</c:v>
                </c:pt>
                <c:pt idx="41">
                  <c:v>1.1839999999999999</c:v>
                </c:pt>
                <c:pt idx="42">
                  <c:v>1.2070000000000001</c:v>
                </c:pt>
                <c:pt idx="43">
                  <c:v>#N/A</c:v>
                </c:pt>
                <c:pt idx="44">
                  <c:v>1.2530000000000001</c:v>
                </c:pt>
                <c:pt idx="45">
                  <c:v>#N/A</c:v>
                </c:pt>
                <c:pt idx="46">
                  <c:v>#N/A</c:v>
                </c:pt>
                <c:pt idx="47">
                  <c:v>1.3220000000000001</c:v>
                </c:pt>
                <c:pt idx="48">
                  <c:v>1.345</c:v>
                </c:pt>
                <c:pt idx="49">
                  <c:v>#N/A</c:v>
                </c:pt>
                <c:pt idx="50">
                  <c:v>#N/A</c:v>
                </c:pt>
                <c:pt idx="51">
                  <c:v>#N/A</c:v>
                </c:pt>
                <c:pt idx="52">
                  <c:v>#N/A</c:v>
                </c:pt>
                <c:pt idx="53">
                  <c:v>#N/A</c:v>
                </c:pt>
                <c:pt idx="54">
                  <c:v>#N/A</c:v>
                </c:pt>
                <c:pt idx="55">
                  <c:v>#N/A</c:v>
                </c:pt>
                <c:pt idx="56">
                  <c:v>#N/A</c:v>
                </c:pt>
                <c:pt idx="57">
                  <c:v>1.552</c:v>
                </c:pt>
                <c:pt idx="58">
                  <c:v>#N/A</c:v>
                </c:pt>
                <c:pt idx="59">
                  <c:v>#N/A</c:v>
                </c:pt>
                <c:pt idx="60">
                  <c:v>#N/A</c:v>
                </c:pt>
                <c:pt idx="61">
                  <c:v>1.6440000000000001</c:v>
                </c:pt>
                <c:pt idx="62">
                  <c:v>1.667</c:v>
                </c:pt>
                <c:pt idx="63">
                  <c:v>1.69</c:v>
                </c:pt>
                <c:pt idx="64">
                  <c:v>#N/A</c:v>
                </c:pt>
                <c:pt idx="65">
                  <c:v>#N/A</c:v>
                </c:pt>
                <c:pt idx="66">
                  <c:v>1.7589999999999999</c:v>
                </c:pt>
                <c:pt idx="67">
                  <c:v>#N/A</c:v>
                </c:pt>
                <c:pt idx="68">
                  <c:v>1.0229999999999999</c:v>
                </c:pt>
                <c:pt idx="69">
                  <c:v>1.046</c:v>
                </c:pt>
                <c:pt idx="70">
                  <c:v>#N/A</c:v>
                </c:pt>
                <c:pt idx="71">
                  <c:v>#N/A</c:v>
                </c:pt>
                <c:pt idx="72">
                  <c:v>#N/A</c:v>
                </c:pt>
                <c:pt idx="73">
                  <c:v>1.1379999999999999</c:v>
                </c:pt>
                <c:pt idx="74">
                  <c:v>#N/A</c:v>
                </c:pt>
                <c:pt idx="75">
                  <c:v>#N/A</c:v>
                </c:pt>
                <c:pt idx="76">
                  <c:v>1.2070000000000001</c:v>
                </c:pt>
                <c:pt idx="77">
                  <c:v>#N/A</c:v>
                </c:pt>
                <c:pt idx="78">
                  <c:v>1.2530000000000001</c:v>
                </c:pt>
                <c:pt idx="79">
                  <c:v>1.276</c:v>
                </c:pt>
                <c:pt idx="80">
                  <c:v>#N/A</c:v>
                </c:pt>
                <c:pt idx="81">
                  <c:v>#N/A</c:v>
                </c:pt>
                <c:pt idx="82">
                  <c:v>1.345</c:v>
                </c:pt>
                <c:pt idx="83">
                  <c:v>1.3679999999999999</c:v>
                </c:pt>
                <c:pt idx="84">
                  <c:v>#N/A</c:v>
                </c:pt>
                <c:pt idx="85">
                  <c:v>#N/A</c:v>
                </c:pt>
                <c:pt idx="86">
                  <c:v>1.4370000000000001</c:v>
                </c:pt>
                <c:pt idx="87">
                  <c:v>#N/A</c:v>
                </c:pt>
                <c:pt idx="88">
                  <c:v>1.4830000000000001</c:v>
                </c:pt>
                <c:pt idx="89">
                  <c:v>1.506</c:v>
                </c:pt>
                <c:pt idx="90">
                  <c:v>1.5289999999999999</c:v>
                </c:pt>
                <c:pt idx="91">
                  <c:v>#N/A</c:v>
                </c:pt>
                <c:pt idx="92">
                  <c:v>#N/A</c:v>
                </c:pt>
                <c:pt idx="93">
                  <c:v>#N/A</c:v>
                </c:pt>
                <c:pt idx="94">
                  <c:v>1.621</c:v>
                </c:pt>
                <c:pt idx="95">
                  <c:v>#N/A</c:v>
                </c:pt>
                <c:pt idx="96">
                  <c:v>#N/A</c:v>
                </c:pt>
                <c:pt idx="97">
                  <c:v>1.69</c:v>
                </c:pt>
                <c:pt idx="98">
                  <c:v>#N/A</c:v>
                </c:pt>
                <c:pt idx="99">
                  <c:v>#N/A</c:v>
                </c:pt>
                <c:pt idx="100">
                  <c:v>#N/A</c:v>
                </c:pt>
                <c:pt idx="101">
                  <c:v>1</c:v>
                </c:pt>
                <c:pt idx="102">
                  <c:v>1.0229999999999999</c:v>
                </c:pt>
                <c:pt idx="103">
                  <c:v>#N/A</c:v>
                </c:pt>
                <c:pt idx="104">
                  <c:v>#N/A</c:v>
                </c:pt>
                <c:pt idx="105">
                  <c:v>#N/A</c:v>
                </c:pt>
                <c:pt idx="106">
                  <c:v>#N/A</c:v>
                </c:pt>
                <c:pt idx="107">
                  <c:v>#N/A</c:v>
                </c:pt>
                <c:pt idx="108">
                  <c:v>#N/A</c:v>
                </c:pt>
                <c:pt idx="109">
                  <c:v>#N/A</c:v>
                </c:pt>
                <c:pt idx="110">
                  <c:v>#N/A</c:v>
                </c:pt>
                <c:pt idx="111">
                  <c:v>#N/A</c:v>
                </c:pt>
                <c:pt idx="112">
                  <c:v>1.2530000000000001</c:v>
                </c:pt>
                <c:pt idx="113">
                  <c:v>#N/A</c:v>
                </c:pt>
                <c:pt idx="114">
                  <c:v>#N/A</c:v>
                </c:pt>
                <c:pt idx="115">
                  <c:v>1.3220000000000001</c:v>
                </c:pt>
                <c:pt idx="116">
                  <c:v>#N/A</c:v>
                </c:pt>
                <c:pt idx="117">
                  <c:v>1.3679999999999999</c:v>
                </c:pt>
                <c:pt idx="118">
                  <c:v>#N/A</c:v>
                </c:pt>
                <c:pt idx="119">
                  <c:v>1.4139999999999999</c:v>
                </c:pt>
                <c:pt idx="120">
                  <c:v>#N/A</c:v>
                </c:pt>
                <c:pt idx="121">
                  <c:v>1.46</c:v>
                </c:pt>
                <c:pt idx="122">
                  <c:v>1.4830000000000001</c:v>
                </c:pt>
                <c:pt idx="123">
                  <c:v>#N/A</c:v>
                </c:pt>
                <c:pt idx="124">
                  <c:v>#N/A</c:v>
                </c:pt>
                <c:pt idx="125">
                  <c:v>#N/A</c:v>
                </c:pt>
                <c:pt idx="126">
                  <c:v>1.575</c:v>
                </c:pt>
                <c:pt idx="127">
                  <c:v>1.5979999999999999</c:v>
                </c:pt>
                <c:pt idx="128">
                  <c:v>#N/A</c:v>
                </c:pt>
                <c:pt idx="129">
                  <c:v>#N/A</c:v>
                </c:pt>
                <c:pt idx="130">
                  <c:v>1.667</c:v>
                </c:pt>
                <c:pt idx="131">
                  <c:v>1.69</c:v>
                </c:pt>
                <c:pt idx="132">
                  <c:v>#N/A</c:v>
                </c:pt>
                <c:pt idx="133">
                  <c:v>#N/A</c:v>
                </c:pt>
                <c:pt idx="134">
                  <c:v>#N/A</c:v>
                </c:pt>
                <c:pt idx="135">
                  <c:v>#N/A</c:v>
                </c:pt>
                <c:pt idx="136">
                  <c:v>#N/A</c:v>
                </c:pt>
                <c:pt idx="137">
                  <c:v>#N/A</c:v>
                </c:pt>
                <c:pt idx="138">
                  <c:v>#N/A</c:v>
                </c:pt>
                <c:pt idx="139">
                  <c:v>1.0920000000000001</c:v>
                </c:pt>
                <c:pt idx="140">
                  <c:v>#N/A</c:v>
                </c:pt>
                <c:pt idx="141">
                  <c:v>#N/A</c:v>
                </c:pt>
                <c:pt idx="142">
                  <c:v>1.161</c:v>
                </c:pt>
                <c:pt idx="143">
                  <c:v>#N/A</c:v>
                </c:pt>
                <c:pt idx="144">
                  <c:v>#N/A</c:v>
                </c:pt>
                <c:pt idx="145">
                  <c:v>1.23</c:v>
                </c:pt>
                <c:pt idx="146">
                  <c:v>1.2530000000000001</c:v>
                </c:pt>
                <c:pt idx="147">
                  <c:v>#N/A</c:v>
                </c:pt>
                <c:pt idx="148">
                  <c:v>1.2989999999999999</c:v>
                </c:pt>
                <c:pt idx="149">
                  <c:v>1.3220000000000001</c:v>
                </c:pt>
                <c:pt idx="150">
                  <c:v>#N/A</c:v>
                </c:pt>
                <c:pt idx="151">
                  <c:v>#N/A</c:v>
                </c:pt>
                <c:pt idx="152">
                  <c:v>#N/A</c:v>
                </c:pt>
                <c:pt idx="153">
                  <c:v>#N/A</c:v>
                </c:pt>
                <c:pt idx="154">
                  <c:v>#N/A</c:v>
                </c:pt>
                <c:pt idx="155">
                  <c:v>#N/A</c:v>
                </c:pt>
                <c:pt idx="156">
                  <c:v>#N/A</c:v>
                </c:pt>
                <c:pt idx="157">
                  <c:v>1.506</c:v>
                </c:pt>
                <c:pt idx="158">
                  <c:v>#N/A</c:v>
                </c:pt>
                <c:pt idx="159">
                  <c:v>#N/A</c:v>
                </c:pt>
                <c:pt idx="160">
                  <c:v>#N/A</c:v>
                </c:pt>
                <c:pt idx="161">
                  <c:v>#N/A</c:v>
                </c:pt>
                <c:pt idx="162">
                  <c:v>1.621</c:v>
                </c:pt>
                <c:pt idx="163">
                  <c:v>#N/A</c:v>
                </c:pt>
                <c:pt idx="164">
                  <c:v>#N/A</c:v>
                </c:pt>
                <c:pt idx="165">
                  <c:v>#N/A</c:v>
                </c:pt>
                <c:pt idx="166">
                  <c:v>#N/A</c:v>
                </c:pt>
                <c:pt idx="167">
                  <c:v>1.736</c:v>
                </c:pt>
                <c:pt idx="168">
                  <c:v>1.7589999999999999</c:v>
                </c:pt>
                <c:pt idx="169">
                  <c:v>#N/A</c:v>
                </c:pt>
                <c:pt idx="170">
                  <c:v>1.0229999999999999</c:v>
                </c:pt>
                <c:pt idx="171">
                  <c:v>1.046</c:v>
                </c:pt>
                <c:pt idx="172">
                  <c:v>1.069</c:v>
                </c:pt>
                <c:pt idx="173">
                  <c:v>1.0920000000000001</c:v>
                </c:pt>
                <c:pt idx="174">
                  <c:v>#N/A</c:v>
                </c:pt>
                <c:pt idx="175">
                  <c:v>#N/A</c:v>
                </c:pt>
                <c:pt idx="176">
                  <c:v>1.161</c:v>
                </c:pt>
                <c:pt idx="177">
                  <c:v>1.1839999999999999</c:v>
                </c:pt>
                <c:pt idx="178">
                  <c:v>1.2070000000000001</c:v>
                </c:pt>
                <c:pt idx="179">
                  <c:v>#N/A</c:v>
                </c:pt>
                <c:pt idx="180">
                  <c:v>#N/A</c:v>
                </c:pt>
                <c:pt idx="181">
                  <c:v>1.276</c:v>
                </c:pt>
                <c:pt idx="182">
                  <c:v>1.2989999999999999</c:v>
                </c:pt>
                <c:pt idx="183">
                  <c:v>1.3220000000000001</c:v>
                </c:pt>
                <c:pt idx="184">
                  <c:v>1.345</c:v>
                </c:pt>
                <c:pt idx="185">
                  <c:v>#N/A</c:v>
                </c:pt>
                <c:pt idx="186">
                  <c:v>1.391</c:v>
                </c:pt>
                <c:pt idx="187">
                  <c:v>#N/A</c:v>
                </c:pt>
                <c:pt idx="188">
                  <c:v>#N/A</c:v>
                </c:pt>
                <c:pt idx="189">
                  <c:v>#N/A</c:v>
                </c:pt>
                <c:pt idx="190">
                  <c:v>1.4830000000000001</c:v>
                </c:pt>
                <c:pt idx="191">
                  <c:v>1.506</c:v>
                </c:pt>
                <c:pt idx="192">
                  <c:v>1.5289999999999999</c:v>
                </c:pt>
                <c:pt idx="193">
                  <c:v>#N/A</c:v>
                </c:pt>
                <c:pt idx="194">
                  <c:v>#N/A</c:v>
                </c:pt>
                <c:pt idx="195">
                  <c:v>1.5979999999999999</c:v>
                </c:pt>
                <c:pt idx="196">
                  <c:v>#N/A</c:v>
                </c:pt>
                <c:pt idx="197">
                  <c:v>#N/A</c:v>
                </c:pt>
                <c:pt idx="198">
                  <c:v>#N/A</c:v>
                </c:pt>
                <c:pt idx="199">
                  <c:v>#N/A</c:v>
                </c:pt>
                <c:pt idx="200">
                  <c:v>#N/A</c:v>
                </c:pt>
                <c:pt idx="201">
                  <c:v>1.736</c:v>
                </c:pt>
                <c:pt idx="202">
                  <c:v>#N/A</c:v>
                </c:pt>
                <c:pt idx="203">
                  <c:v>1</c:v>
                </c:pt>
                <c:pt idx="204">
                  <c:v>1.0229999999999999</c:v>
                </c:pt>
                <c:pt idx="205">
                  <c:v>1.046</c:v>
                </c:pt>
                <c:pt idx="206">
                  <c:v>#N/A</c:v>
                </c:pt>
                <c:pt idx="207">
                  <c:v>#N/A</c:v>
                </c:pt>
                <c:pt idx="208">
                  <c:v>#N/A</c:v>
                </c:pt>
                <c:pt idx="209">
                  <c:v>#N/A</c:v>
                </c:pt>
                <c:pt idx="210">
                  <c:v>#N/A</c:v>
                </c:pt>
                <c:pt idx="211">
                  <c:v>#N/A</c:v>
                </c:pt>
                <c:pt idx="212">
                  <c:v>#N/A</c:v>
                </c:pt>
                <c:pt idx="213">
                  <c:v>#N/A</c:v>
                </c:pt>
                <c:pt idx="214">
                  <c:v>#N/A</c:v>
                </c:pt>
                <c:pt idx="215">
                  <c:v>#N/A</c:v>
                </c:pt>
                <c:pt idx="216">
                  <c:v>#N/A</c:v>
                </c:pt>
                <c:pt idx="217">
                  <c:v>1.3220000000000001</c:v>
                </c:pt>
                <c:pt idx="218">
                  <c:v>#N/A</c:v>
                </c:pt>
                <c:pt idx="219">
                  <c:v>1.3679999999999999</c:v>
                </c:pt>
                <c:pt idx="220">
                  <c:v>1.391</c:v>
                </c:pt>
                <c:pt idx="221">
                  <c:v>#N/A</c:v>
                </c:pt>
                <c:pt idx="222">
                  <c:v>#N/A</c:v>
                </c:pt>
                <c:pt idx="223">
                  <c:v>#N/A</c:v>
                </c:pt>
                <c:pt idx="224">
                  <c:v>#N/A</c:v>
                </c:pt>
                <c:pt idx="225">
                  <c:v>#N/A</c:v>
                </c:pt>
                <c:pt idx="226">
                  <c:v>1.5289999999999999</c:v>
                </c:pt>
                <c:pt idx="227">
                  <c:v>1.552</c:v>
                </c:pt>
                <c:pt idx="228">
                  <c:v>1.575</c:v>
                </c:pt>
                <c:pt idx="229">
                  <c:v>#N/A</c:v>
                </c:pt>
                <c:pt idx="230">
                  <c:v>#N/A</c:v>
                </c:pt>
                <c:pt idx="231">
                  <c:v>1.6440000000000001</c:v>
                </c:pt>
                <c:pt idx="232">
                  <c:v>1.667</c:v>
                </c:pt>
                <c:pt idx="233">
                  <c:v>#N/A</c:v>
                </c:pt>
                <c:pt idx="234">
                  <c:v>#N/A</c:v>
                </c:pt>
                <c:pt idx="235">
                  <c:v>#N/A</c:v>
                </c:pt>
                <c:pt idx="236">
                  <c:v>#N/A</c:v>
                </c:pt>
                <c:pt idx="237">
                  <c:v>#N/A</c:v>
                </c:pt>
                <c:pt idx="238">
                  <c:v>#N/A</c:v>
                </c:pt>
                <c:pt idx="239">
                  <c:v>1.046</c:v>
                </c:pt>
                <c:pt idx="240">
                  <c:v>#N/A</c:v>
                </c:pt>
                <c:pt idx="241">
                  <c:v>1.0920000000000001</c:v>
                </c:pt>
                <c:pt idx="242">
                  <c:v>#N/A</c:v>
                </c:pt>
                <c:pt idx="243">
                  <c:v>#N/A</c:v>
                </c:pt>
                <c:pt idx="244">
                  <c:v>#N/A</c:v>
                </c:pt>
                <c:pt idx="245">
                  <c:v>#N/A</c:v>
                </c:pt>
                <c:pt idx="246">
                  <c:v>#N/A</c:v>
                </c:pt>
                <c:pt idx="247">
                  <c:v>#N/A</c:v>
                </c:pt>
                <c:pt idx="248">
                  <c:v>1.2530000000000001</c:v>
                </c:pt>
                <c:pt idx="249">
                  <c:v>#N/A</c:v>
                </c:pt>
                <c:pt idx="250">
                  <c:v>#N/A</c:v>
                </c:pt>
                <c:pt idx="251">
                  <c:v>#N/A</c:v>
                </c:pt>
                <c:pt idx="252">
                  <c:v>#N/A</c:v>
                </c:pt>
                <c:pt idx="253">
                  <c:v>1.3679999999999999</c:v>
                </c:pt>
                <c:pt idx="254">
                  <c:v>#N/A</c:v>
                </c:pt>
                <c:pt idx="255">
                  <c:v>1.4139999999999999</c:v>
                </c:pt>
                <c:pt idx="256">
                  <c:v>1.4370000000000001</c:v>
                </c:pt>
                <c:pt idx="257">
                  <c:v>#N/A</c:v>
                </c:pt>
                <c:pt idx="258">
                  <c:v>#N/A</c:v>
                </c:pt>
                <c:pt idx="259">
                  <c:v>1.506</c:v>
                </c:pt>
                <c:pt idx="260">
                  <c:v>1.5289999999999999</c:v>
                </c:pt>
                <c:pt idx="261">
                  <c:v>1.552</c:v>
                </c:pt>
                <c:pt idx="262">
                  <c:v>1.575</c:v>
                </c:pt>
                <c:pt idx="263">
                  <c:v>#N/A</c:v>
                </c:pt>
                <c:pt idx="264">
                  <c:v>#N/A</c:v>
                </c:pt>
                <c:pt idx="265">
                  <c:v>1.6440000000000001</c:v>
                </c:pt>
                <c:pt idx="266">
                  <c:v>#N/A</c:v>
                </c:pt>
                <c:pt idx="267">
                  <c:v>#N/A</c:v>
                </c:pt>
                <c:pt idx="268">
                  <c:v>1.7130000000000001</c:v>
                </c:pt>
                <c:pt idx="269">
                  <c:v>1.736</c:v>
                </c:pt>
                <c:pt idx="270">
                  <c:v>#N/A</c:v>
                </c:pt>
                <c:pt idx="271">
                  <c:v>#N/A</c:v>
                </c:pt>
                <c:pt idx="272">
                  <c:v>#N/A</c:v>
                </c:pt>
                <c:pt idx="273">
                  <c:v>#N/A</c:v>
                </c:pt>
                <c:pt idx="274">
                  <c:v>1.069</c:v>
                </c:pt>
                <c:pt idx="275">
                  <c:v>1.0920000000000001</c:v>
                </c:pt>
                <c:pt idx="276">
                  <c:v>1.115</c:v>
                </c:pt>
                <c:pt idx="277">
                  <c:v>#N/A</c:v>
                </c:pt>
                <c:pt idx="278">
                  <c:v>#N/A</c:v>
                </c:pt>
                <c:pt idx="279">
                  <c:v>#N/A</c:v>
                </c:pt>
                <c:pt idx="280">
                  <c:v>#N/A</c:v>
                </c:pt>
                <c:pt idx="281">
                  <c:v>#N/A</c:v>
                </c:pt>
                <c:pt idx="282">
                  <c:v>#N/A</c:v>
                </c:pt>
                <c:pt idx="283">
                  <c:v>#N/A</c:v>
                </c:pt>
                <c:pt idx="284">
                  <c:v>1.2989999999999999</c:v>
                </c:pt>
                <c:pt idx="285">
                  <c:v>1.3220000000000001</c:v>
                </c:pt>
                <c:pt idx="286">
                  <c:v>#N/A</c:v>
                </c:pt>
                <c:pt idx="287">
                  <c:v>1.3679999999999999</c:v>
                </c:pt>
                <c:pt idx="288">
                  <c:v>#N/A</c:v>
                </c:pt>
                <c:pt idx="289">
                  <c:v>1.4139999999999999</c:v>
                </c:pt>
                <c:pt idx="290">
                  <c:v>#N/A</c:v>
                </c:pt>
                <c:pt idx="291">
                  <c:v>#N/A</c:v>
                </c:pt>
                <c:pt idx="292">
                  <c:v>#N/A</c:v>
                </c:pt>
                <c:pt idx="293">
                  <c:v>1.506</c:v>
                </c:pt>
                <c:pt idx="294">
                  <c:v>#N/A</c:v>
                </c:pt>
                <c:pt idx="295">
                  <c:v>1.552</c:v>
                </c:pt>
                <c:pt idx="296">
                  <c:v>1.575</c:v>
                </c:pt>
                <c:pt idx="297">
                  <c:v>#N/A</c:v>
                </c:pt>
                <c:pt idx="298">
                  <c:v>#N/A</c:v>
                </c:pt>
                <c:pt idx="299">
                  <c:v>1.6440000000000001</c:v>
                </c:pt>
                <c:pt idx="300">
                  <c:v>1.667</c:v>
                </c:pt>
                <c:pt idx="301">
                  <c:v>#N/A</c:v>
                </c:pt>
                <c:pt idx="302">
                  <c:v>#N/A</c:v>
                </c:pt>
                <c:pt idx="303">
                  <c:v>1.736</c:v>
                </c:pt>
                <c:pt idx="304">
                  <c:v>#N/A</c:v>
                </c:pt>
                <c:pt idx="305">
                  <c:v>1</c:v>
                </c:pt>
                <c:pt idx="306">
                  <c:v>1.0229999999999999</c:v>
                </c:pt>
                <c:pt idx="307">
                  <c:v>#N/A</c:v>
                </c:pt>
                <c:pt idx="308">
                  <c:v>#N/A</c:v>
                </c:pt>
                <c:pt idx="309">
                  <c:v>#N/A</c:v>
                </c:pt>
                <c:pt idx="310">
                  <c:v>1.115</c:v>
                </c:pt>
                <c:pt idx="311">
                  <c:v>1.1379999999999999</c:v>
                </c:pt>
                <c:pt idx="312">
                  <c:v>1.161</c:v>
                </c:pt>
                <c:pt idx="313">
                  <c:v>1.1839999999999999</c:v>
                </c:pt>
                <c:pt idx="314">
                  <c:v>1.2070000000000001</c:v>
                </c:pt>
                <c:pt idx="315">
                  <c:v>#N/A</c:v>
                </c:pt>
                <c:pt idx="316">
                  <c:v>#N/A</c:v>
                </c:pt>
                <c:pt idx="317">
                  <c:v>1.276</c:v>
                </c:pt>
                <c:pt idx="318">
                  <c:v>#N/A</c:v>
                </c:pt>
                <c:pt idx="319">
                  <c:v>1.3220000000000001</c:v>
                </c:pt>
                <c:pt idx="320">
                  <c:v>1.345</c:v>
                </c:pt>
                <c:pt idx="321">
                  <c:v>1.3679999999999999</c:v>
                </c:pt>
                <c:pt idx="322">
                  <c:v>#N/A</c:v>
                </c:pt>
                <c:pt idx="323">
                  <c:v>1.4139999999999999</c:v>
                </c:pt>
                <c:pt idx="324">
                  <c:v>1.4370000000000001</c:v>
                </c:pt>
                <c:pt idx="325">
                  <c:v>1.46</c:v>
                </c:pt>
                <c:pt idx="326">
                  <c:v>1.4830000000000001</c:v>
                </c:pt>
                <c:pt idx="327">
                  <c:v>1.506</c:v>
                </c:pt>
                <c:pt idx="328">
                  <c:v>#N/A</c:v>
                </c:pt>
                <c:pt idx="329">
                  <c:v>1.552</c:v>
                </c:pt>
                <c:pt idx="330">
                  <c:v>1.575</c:v>
                </c:pt>
                <c:pt idx="331">
                  <c:v>#N/A</c:v>
                </c:pt>
                <c:pt idx="332">
                  <c:v>1.621</c:v>
                </c:pt>
                <c:pt idx="333">
                  <c:v>1.6440000000000001</c:v>
                </c:pt>
                <c:pt idx="334">
                  <c:v>#N/A</c:v>
                </c:pt>
                <c:pt idx="335">
                  <c:v>#N/A</c:v>
                </c:pt>
                <c:pt idx="336">
                  <c:v>1.7130000000000001</c:v>
                </c:pt>
                <c:pt idx="337">
                  <c:v>1.736</c:v>
                </c:pt>
                <c:pt idx="338">
                  <c:v>1.7589999999999999</c:v>
                </c:pt>
                <c:pt idx="339">
                  <c:v>1</c:v>
                </c:pt>
                <c:pt idx="340">
                  <c:v>#N/A</c:v>
                </c:pt>
                <c:pt idx="341">
                  <c:v>#N/A</c:v>
                </c:pt>
                <c:pt idx="342">
                  <c:v>#N/A</c:v>
                </c:pt>
                <c:pt idx="343">
                  <c:v>1.0920000000000001</c:v>
                </c:pt>
                <c:pt idx="344">
                  <c:v>1.115</c:v>
                </c:pt>
                <c:pt idx="345">
                  <c:v>1.1379999999999999</c:v>
                </c:pt>
                <c:pt idx="346">
                  <c:v>#N/A</c:v>
                </c:pt>
                <c:pt idx="347">
                  <c:v>#N/A</c:v>
                </c:pt>
                <c:pt idx="348">
                  <c:v>1.2070000000000001</c:v>
                </c:pt>
                <c:pt idx="349">
                  <c:v>#N/A</c:v>
                </c:pt>
                <c:pt idx="350">
                  <c:v>1.2530000000000001</c:v>
                </c:pt>
                <c:pt idx="351">
                  <c:v>#N/A</c:v>
                </c:pt>
                <c:pt idx="352">
                  <c:v>1.2989999999999999</c:v>
                </c:pt>
                <c:pt idx="353">
                  <c:v>1.3220000000000001</c:v>
                </c:pt>
                <c:pt idx="354">
                  <c:v>1.345</c:v>
                </c:pt>
                <c:pt idx="355">
                  <c:v>#N/A</c:v>
                </c:pt>
                <c:pt idx="356">
                  <c:v>1.391</c:v>
                </c:pt>
                <c:pt idx="357">
                  <c:v>1.4139999999999999</c:v>
                </c:pt>
                <c:pt idx="358">
                  <c:v>1.4370000000000001</c:v>
                </c:pt>
                <c:pt idx="359">
                  <c:v>1.46</c:v>
                </c:pt>
                <c:pt idx="360">
                  <c:v>1.4830000000000001</c:v>
                </c:pt>
                <c:pt idx="361">
                  <c:v>1.506</c:v>
                </c:pt>
                <c:pt idx="362">
                  <c:v>#N/A</c:v>
                </c:pt>
                <c:pt idx="363">
                  <c:v>1.552</c:v>
                </c:pt>
                <c:pt idx="364">
                  <c:v>1.575</c:v>
                </c:pt>
                <c:pt idx="365">
                  <c:v>1.5979999999999999</c:v>
                </c:pt>
                <c:pt idx="366">
                  <c:v>1.621</c:v>
                </c:pt>
                <c:pt idx="367">
                  <c:v>#N/A</c:v>
                </c:pt>
                <c:pt idx="368">
                  <c:v>#N/A</c:v>
                </c:pt>
                <c:pt idx="369">
                  <c:v>1.69</c:v>
                </c:pt>
                <c:pt idx="370">
                  <c:v>#N/A</c:v>
                </c:pt>
                <c:pt idx="371">
                  <c:v>#N/A</c:v>
                </c:pt>
                <c:pt idx="372">
                  <c:v>#N/A</c:v>
                </c:pt>
                <c:pt idx="373">
                  <c:v>1</c:v>
                </c:pt>
                <c:pt idx="374">
                  <c:v>#N/A</c:v>
                </c:pt>
                <c:pt idx="375">
                  <c:v>1.046</c:v>
                </c:pt>
                <c:pt idx="376">
                  <c:v>#N/A</c:v>
                </c:pt>
                <c:pt idx="377">
                  <c:v>1.0920000000000001</c:v>
                </c:pt>
                <c:pt idx="378">
                  <c:v>#N/A</c:v>
                </c:pt>
                <c:pt idx="379">
                  <c:v>1.1379999999999999</c:v>
                </c:pt>
                <c:pt idx="380">
                  <c:v>1.161</c:v>
                </c:pt>
                <c:pt idx="381">
                  <c:v>1.1839999999999999</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1.5289999999999999</c:v>
                </c:pt>
                <c:pt idx="397">
                  <c:v>1.552</c:v>
                </c:pt>
                <c:pt idx="398">
                  <c:v>#N/A</c:v>
                </c:pt>
                <c:pt idx="399">
                  <c:v>1.5979999999999999</c:v>
                </c:pt>
                <c:pt idx="400">
                  <c:v>#N/A</c:v>
                </c:pt>
                <c:pt idx="401">
                  <c:v>1.6440000000000001</c:v>
                </c:pt>
                <c:pt idx="402">
                  <c:v>#N/A</c:v>
                </c:pt>
                <c:pt idx="403">
                  <c:v>1.69</c:v>
                </c:pt>
                <c:pt idx="404">
                  <c:v>1.7130000000000001</c:v>
                </c:pt>
                <c:pt idx="405">
                  <c:v>#N/A</c:v>
                </c:pt>
                <c:pt idx="406">
                  <c:v>1.7589999999999999</c:v>
                </c:pt>
                <c:pt idx="407">
                  <c:v>#N/A</c:v>
                </c:pt>
                <c:pt idx="408">
                  <c:v>1.0229999999999999</c:v>
                </c:pt>
                <c:pt idx="409">
                  <c:v>#N/A</c:v>
                </c:pt>
                <c:pt idx="410">
                  <c:v>#N/A</c:v>
                </c:pt>
                <c:pt idx="411">
                  <c:v>#N/A</c:v>
                </c:pt>
                <c:pt idx="412">
                  <c:v>#N/A</c:v>
                </c:pt>
                <c:pt idx="413">
                  <c:v>1.1379999999999999</c:v>
                </c:pt>
                <c:pt idx="414">
                  <c:v>#N/A</c:v>
                </c:pt>
                <c:pt idx="415">
                  <c:v>#N/A</c:v>
                </c:pt>
                <c:pt idx="416">
                  <c:v>1.2070000000000001</c:v>
                </c:pt>
                <c:pt idx="417">
                  <c:v>#N/A</c:v>
                </c:pt>
                <c:pt idx="418">
                  <c:v>#N/A</c:v>
                </c:pt>
                <c:pt idx="419">
                  <c:v>1.276</c:v>
                </c:pt>
                <c:pt idx="420">
                  <c:v>#N/A</c:v>
                </c:pt>
                <c:pt idx="421">
                  <c:v>#N/A</c:v>
                </c:pt>
                <c:pt idx="422">
                  <c:v>#N/A</c:v>
                </c:pt>
                <c:pt idx="423">
                  <c:v>#N/A</c:v>
                </c:pt>
                <c:pt idx="424">
                  <c:v>1.391</c:v>
                </c:pt>
                <c:pt idx="425">
                  <c:v>#N/A</c:v>
                </c:pt>
                <c:pt idx="426">
                  <c:v>#N/A</c:v>
                </c:pt>
                <c:pt idx="427">
                  <c:v>#N/A</c:v>
                </c:pt>
                <c:pt idx="428">
                  <c:v>#N/A</c:v>
                </c:pt>
                <c:pt idx="429">
                  <c:v>#N/A</c:v>
                </c:pt>
                <c:pt idx="430">
                  <c:v>1.5289999999999999</c:v>
                </c:pt>
                <c:pt idx="431">
                  <c:v>#N/A</c:v>
                </c:pt>
                <c:pt idx="432">
                  <c:v>#N/A</c:v>
                </c:pt>
                <c:pt idx="433">
                  <c:v>#N/A</c:v>
                </c:pt>
                <c:pt idx="434">
                  <c:v>1.621</c:v>
                </c:pt>
                <c:pt idx="435">
                  <c:v>#N/A</c:v>
                </c:pt>
                <c:pt idx="436">
                  <c:v>#N/A</c:v>
                </c:pt>
                <c:pt idx="437">
                  <c:v>#N/A</c:v>
                </c:pt>
                <c:pt idx="438">
                  <c:v>#N/A</c:v>
                </c:pt>
                <c:pt idx="439">
                  <c:v>1.736</c:v>
                </c:pt>
                <c:pt idx="440">
                  <c:v>#N/A</c:v>
                </c:pt>
                <c:pt idx="441">
                  <c:v>1</c:v>
                </c:pt>
                <c:pt idx="442">
                  <c:v>1.0229999999999999</c:v>
                </c:pt>
                <c:pt idx="443">
                  <c:v>1.046</c:v>
                </c:pt>
                <c:pt idx="444">
                  <c:v>1.069</c:v>
                </c:pt>
                <c:pt idx="445">
                  <c:v>#N/A</c:v>
                </c:pt>
                <c:pt idx="446">
                  <c:v>1.115</c:v>
                </c:pt>
                <c:pt idx="447">
                  <c:v>1.1379999999999999</c:v>
                </c:pt>
                <c:pt idx="448">
                  <c:v>#N/A</c:v>
                </c:pt>
                <c:pt idx="449">
                  <c:v>1.1839999999999999</c:v>
                </c:pt>
                <c:pt idx="450">
                  <c:v>#N/A</c:v>
                </c:pt>
                <c:pt idx="451">
                  <c:v>1.23</c:v>
                </c:pt>
                <c:pt idx="452">
                  <c:v>#N/A</c:v>
                </c:pt>
                <c:pt idx="453">
                  <c:v>#N/A</c:v>
                </c:pt>
                <c:pt idx="454">
                  <c:v>#N/A</c:v>
                </c:pt>
                <c:pt idx="455">
                  <c:v>#N/A</c:v>
                </c:pt>
                <c:pt idx="456">
                  <c:v>#N/A</c:v>
                </c:pt>
                <c:pt idx="457">
                  <c:v>1.3679999999999999</c:v>
                </c:pt>
                <c:pt idx="458">
                  <c:v>1.391</c:v>
                </c:pt>
                <c:pt idx="459">
                  <c:v>#N/A</c:v>
                </c:pt>
                <c:pt idx="460">
                  <c:v>1.4370000000000001</c:v>
                </c:pt>
                <c:pt idx="461">
                  <c:v>#N/A</c:v>
                </c:pt>
                <c:pt idx="462">
                  <c:v>#N/A</c:v>
                </c:pt>
                <c:pt idx="463">
                  <c:v>#N/A</c:v>
                </c:pt>
                <c:pt idx="464">
                  <c:v>#N/A</c:v>
                </c:pt>
                <c:pt idx="465">
                  <c:v>1.552</c:v>
                </c:pt>
                <c:pt idx="466">
                  <c:v>1.575</c:v>
                </c:pt>
                <c:pt idx="467">
                  <c:v>#N/A</c:v>
                </c:pt>
                <c:pt idx="468">
                  <c:v>#N/A</c:v>
                </c:pt>
                <c:pt idx="469">
                  <c:v>#N/A</c:v>
                </c:pt>
                <c:pt idx="470">
                  <c:v>#N/A</c:v>
                </c:pt>
                <c:pt idx="471">
                  <c:v>#N/A</c:v>
                </c:pt>
                <c:pt idx="472">
                  <c:v>#N/A</c:v>
                </c:pt>
                <c:pt idx="473">
                  <c:v>#N/A</c:v>
                </c:pt>
                <c:pt idx="474">
                  <c:v>#N/A</c:v>
                </c:pt>
                <c:pt idx="475">
                  <c:v>1</c:v>
                </c:pt>
                <c:pt idx="476">
                  <c:v>1.0229999999999999</c:v>
                </c:pt>
                <c:pt idx="477">
                  <c:v>#N/A</c:v>
                </c:pt>
                <c:pt idx="478">
                  <c:v>1.069</c:v>
                </c:pt>
                <c:pt idx="479">
                  <c:v>1.0920000000000001</c:v>
                </c:pt>
                <c:pt idx="480">
                  <c:v>1.115</c:v>
                </c:pt>
                <c:pt idx="481">
                  <c:v>1.1379999999999999</c:v>
                </c:pt>
                <c:pt idx="482">
                  <c:v>#N/A</c:v>
                </c:pt>
                <c:pt idx="483">
                  <c:v>1.1839999999999999</c:v>
                </c:pt>
                <c:pt idx="484">
                  <c:v>#N/A</c:v>
                </c:pt>
                <c:pt idx="485">
                  <c:v>#N/A</c:v>
                </c:pt>
                <c:pt idx="486">
                  <c:v>1.2530000000000001</c:v>
                </c:pt>
                <c:pt idx="487">
                  <c:v>1.276</c:v>
                </c:pt>
                <c:pt idx="488">
                  <c:v>1.2989999999999999</c:v>
                </c:pt>
                <c:pt idx="489">
                  <c:v>1.3220000000000001</c:v>
                </c:pt>
                <c:pt idx="490">
                  <c:v>#N/A</c:v>
                </c:pt>
                <c:pt idx="491">
                  <c:v>1.3679999999999999</c:v>
                </c:pt>
                <c:pt idx="492">
                  <c:v>1.391</c:v>
                </c:pt>
                <c:pt idx="493">
                  <c:v>#N/A</c:v>
                </c:pt>
                <c:pt idx="494">
                  <c:v>#N/A</c:v>
                </c:pt>
                <c:pt idx="495">
                  <c:v>#N/A</c:v>
                </c:pt>
                <c:pt idx="496">
                  <c:v>1.4830000000000001</c:v>
                </c:pt>
                <c:pt idx="497">
                  <c:v>#N/A</c:v>
                </c:pt>
                <c:pt idx="498">
                  <c:v>1.5289999999999999</c:v>
                </c:pt>
                <c:pt idx="499">
                  <c:v>#N/A</c:v>
                </c:pt>
                <c:pt idx="500">
                  <c:v>1.575</c:v>
                </c:pt>
                <c:pt idx="501">
                  <c:v>1.5979999999999999</c:v>
                </c:pt>
                <c:pt idx="502">
                  <c:v>1.621</c:v>
                </c:pt>
                <c:pt idx="503">
                  <c:v>1.6440000000000001</c:v>
                </c:pt>
                <c:pt idx="504">
                  <c:v>1.667</c:v>
                </c:pt>
                <c:pt idx="505">
                  <c:v>#N/A</c:v>
                </c:pt>
                <c:pt idx="506">
                  <c:v>1.7130000000000001</c:v>
                </c:pt>
                <c:pt idx="507">
                  <c:v>1.736</c:v>
                </c:pt>
                <c:pt idx="508">
                  <c:v>1.7589999999999999</c:v>
                </c:pt>
                <c:pt idx="509">
                  <c:v>1</c:v>
                </c:pt>
                <c:pt idx="510">
                  <c:v>#N/A</c:v>
                </c:pt>
                <c:pt idx="511">
                  <c:v>#N/A</c:v>
                </c:pt>
                <c:pt idx="512">
                  <c:v>1.069</c:v>
                </c:pt>
                <c:pt idx="513">
                  <c:v>1.0920000000000001</c:v>
                </c:pt>
                <c:pt idx="514">
                  <c:v>1.115</c:v>
                </c:pt>
                <c:pt idx="515">
                  <c:v>1.1379999999999999</c:v>
                </c:pt>
                <c:pt idx="516">
                  <c:v>#N/A</c:v>
                </c:pt>
                <c:pt idx="517">
                  <c:v>1.1839999999999999</c:v>
                </c:pt>
                <c:pt idx="518">
                  <c:v>#N/A</c:v>
                </c:pt>
                <c:pt idx="519">
                  <c:v>1.23</c:v>
                </c:pt>
                <c:pt idx="520">
                  <c:v>#N/A</c:v>
                </c:pt>
                <c:pt idx="521">
                  <c:v>#N/A</c:v>
                </c:pt>
                <c:pt idx="522">
                  <c:v>1.2989999999999999</c:v>
                </c:pt>
                <c:pt idx="523">
                  <c:v>1.3220000000000001</c:v>
                </c:pt>
                <c:pt idx="524">
                  <c:v>#N/A</c:v>
                </c:pt>
                <c:pt idx="525">
                  <c:v>1.3679999999999999</c:v>
                </c:pt>
                <c:pt idx="526">
                  <c:v>#N/A</c:v>
                </c:pt>
                <c:pt idx="527">
                  <c:v>1.4139999999999999</c:v>
                </c:pt>
                <c:pt idx="528">
                  <c:v>1.4370000000000001</c:v>
                </c:pt>
                <c:pt idx="529">
                  <c:v>1.46</c:v>
                </c:pt>
                <c:pt idx="530">
                  <c:v>1.4830000000000001</c:v>
                </c:pt>
                <c:pt idx="531">
                  <c:v>#N/A</c:v>
                </c:pt>
                <c:pt idx="532">
                  <c:v>#N/A</c:v>
                </c:pt>
                <c:pt idx="533">
                  <c:v>#N/A</c:v>
                </c:pt>
                <c:pt idx="534">
                  <c:v>#N/A</c:v>
                </c:pt>
                <c:pt idx="535">
                  <c:v>#N/A</c:v>
                </c:pt>
                <c:pt idx="536">
                  <c:v>1.621</c:v>
                </c:pt>
                <c:pt idx="537">
                  <c:v>#N/A</c:v>
                </c:pt>
                <c:pt idx="538">
                  <c:v>#N/A</c:v>
                </c:pt>
                <c:pt idx="539">
                  <c:v>#N/A</c:v>
                </c:pt>
                <c:pt idx="540">
                  <c:v>1.7130000000000001</c:v>
                </c:pt>
                <c:pt idx="541">
                  <c:v>1.736</c:v>
                </c:pt>
                <c:pt idx="542">
                  <c:v>#N/A</c:v>
                </c:pt>
                <c:pt idx="543">
                  <c:v>#N/A</c:v>
                </c:pt>
                <c:pt idx="544">
                  <c:v>#N/A</c:v>
                </c:pt>
                <c:pt idx="545">
                  <c:v>#N/A</c:v>
                </c:pt>
                <c:pt idx="546">
                  <c:v>1.069</c:v>
                </c:pt>
                <c:pt idx="547">
                  <c:v>1.0920000000000001</c:v>
                </c:pt>
                <c:pt idx="548">
                  <c:v>#N/A</c:v>
                </c:pt>
                <c:pt idx="549">
                  <c:v>1.1379999999999999</c:v>
                </c:pt>
                <c:pt idx="550">
                  <c:v>#N/A</c:v>
                </c:pt>
                <c:pt idx="551">
                  <c:v>1.1839999999999999</c:v>
                </c:pt>
                <c:pt idx="552">
                  <c:v>#N/A</c:v>
                </c:pt>
                <c:pt idx="553">
                  <c:v>#N/A</c:v>
                </c:pt>
                <c:pt idx="554">
                  <c:v>1.2530000000000001</c:v>
                </c:pt>
                <c:pt idx="555">
                  <c:v>#N/A</c:v>
                </c:pt>
                <c:pt idx="556">
                  <c:v>#N/A</c:v>
                </c:pt>
                <c:pt idx="557">
                  <c:v>1.3220000000000001</c:v>
                </c:pt>
                <c:pt idx="558">
                  <c:v>1.345</c:v>
                </c:pt>
                <c:pt idx="559">
                  <c:v>1.3679999999999999</c:v>
                </c:pt>
                <c:pt idx="560">
                  <c:v>#N/A</c:v>
                </c:pt>
                <c:pt idx="561">
                  <c:v>#N/A</c:v>
                </c:pt>
                <c:pt idx="562">
                  <c:v>#N/A</c:v>
                </c:pt>
                <c:pt idx="563">
                  <c:v>#N/A</c:v>
                </c:pt>
                <c:pt idx="564">
                  <c:v>#N/A</c:v>
                </c:pt>
                <c:pt idx="565">
                  <c:v>#N/A</c:v>
                </c:pt>
                <c:pt idx="566">
                  <c:v>#N/A</c:v>
                </c:pt>
                <c:pt idx="567">
                  <c:v>1.552</c:v>
                </c:pt>
                <c:pt idx="568">
                  <c:v>#N/A</c:v>
                </c:pt>
                <c:pt idx="569">
                  <c:v>#N/A</c:v>
                </c:pt>
                <c:pt idx="570">
                  <c:v>#N/A</c:v>
                </c:pt>
                <c:pt idx="571">
                  <c:v>#N/A</c:v>
                </c:pt>
                <c:pt idx="572">
                  <c:v>#N/A</c:v>
                </c:pt>
                <c:pt idx="573">
                  <c:v>#N/A</c:v>
                </c:pt>
                <c:pt idx="574">
                  <c:v>#N/A</c:v>
                </c:pt>
                <c:pt idx="575">
                  <c:v>#N/A</c:v>
                </c:pt>
                <c:pt idx="576">
                  <c:v>#N/A</c:v>
                </c:pt>
                <c:pt idx="577">
                  <c:v>1</c:v>
                </c:pt>
                <c:pt idx="578">
                  <c:v>#N/A</c:v>
                </c:pt>
                <c:pt idx="579">
                  <c:v>#N/A</c:v>
                </c:pt>
                <c:pt idx="580">
                  <c:v>#N/A</c:v>
                </c:pt>
                <c:pt idx="581">
                  <c:v>#N/A</c:v>
                </c:pt>
                <c:pt idx="582">
                  <c:v>1.115</c:v>
                </c:pt>
                <c:pt idx="583">
                  <c:v>#N/A</c:v>
                </c:pt>
                <c:pt idx="584">
                  <c:v>1.161</c:v>
                </c:pt>
                <c:pt idx="585">
                  <c:v>#N/A</c:v>
                </c:pt>
                <c:pt idx="586">
                  <c:v>#N/A</c:v>
                </c:pt>
                <c:pt idx="587">
                  <c:v>#N/A</c:v>
                </c:pt>
                <c:pt idx="588">
                  <c:v>1.2530000000000001</c:v>
                </c:pt>
                <c:pt idx="589">
                  <c:v>#N/A</c:v>
                </c:pt>
                <c:pt idx="590">
                  <c:v>#N/A</c:v>
                </c:pt>
                <c:pt idx="591">
                  <c:v>#N/A</c:v>
                </c:pt>
                <c:pt idx="592">
                  <c:v>1.345</c:v>
                </c:pt>
                <c:pt idx="593">
                  <c:v>1.3679999999999999</c:v>
                </c:pt>
                <c:pt idx="594">
                  <c:v>#N/A</c:v>
                </c:pt>
                <c:pt idx="595">
                  <c:v>#N/A</c:v>
                </c:pt>
                <c:pt idx="596">
                  <c:v>1.4370000000000001</c:v>
                </c:pt>
                <c:pt idx="597">
                  <c:v>1.46</c:v>
                </c:pt>
                <c:pt idx="598">
                  <c:v>1.4830000000000001</c:v>
                </c:pt>
                <c:pt idx="599">
                  <c:v>1.506</c:v>
                </c:pt>
                <c:pt idx="600">
                  <c:v>1.5289999999999999</c:v>
                </c:pt>
                <c:pt idx="601">
                  <c:v>1.552</c:v>
                </c:pt>
                <c:pt idx="602">
                  <c:v>#N/A</c:v>
                </c:pt>
                <c:pt idx="603">
                  <c:v>1.5979999999999999</c:v>
                </c:pt>
                <c:pt idx="604">
                  <c:v>#N/A</c:v>
                </c:pt>
                <c:pt idx="605">
                  <c:v>1.6440000000000001</c:v>
                </c:pt>
                <c:pt idx="606">
                  <c:v>1.667</c:v>
                </c:pt>
                <c:pt idx="607">
                  <c:v>1.69</c:v>
                </c:pt>
                <c:pt idx="608">
                  <c:v>1.7130000000000001</c:v>
                </c:pt>
                <c:pt idx="609">
                  <c:v>#N/A</c:v>
                </c:pt>
                <c:pt idx="610">
                  <c:v>#N/A</c:v>
                </c:pt>
                <c:pt idx="611">
                  <c:v>#N/A</c:v>
                </c:pt>
                <c:pt idx="612">
                  <c:v>1.0229999999999999</c:v>
                </c:pt>
                <c:pt idx="613">
                  <c:v>#N/A</c:v>
                </c:pt>
                <c:pt idx="614">
                  <c:v>#N/A</c:v>
                </c:pt>
                <c:pt idx="615">
                  <c:v>#N/A</c:v>
                </c:pt>
                <c:pt idx="616">
                  <c:v>1.115</c:v>
                </c:pt>
                <c:pt idx="617">
                  <c:v>1.1379999999999999</c:v>
                </c:pt>
                <c:pt idx="618">
                  <c:v>1.161</c:v>
                </c:pt>
                <c:pt idx="619">
                  <c:v>1.1839999999999999</c:v>
                </c:pt>
                <c:pt idx="620">
                  <c:v>#N/A</c:v>
                </c:pt>
                <c:pt idx="621">
                  <c:v>1.23</c:v>
                </c:pt>
                <c:pt idx="622">
                  <c:v>1.2530000000000001</c:v>
                </c:pt>
                <c:pt idx="623">
                  <c:v>#N/A</c:v>
                </c:pt>
                <c:pt idx="624">
                  <c:v>#N/A</c:v>
                </c:pt>
                <c:pt idx="625">
                  <c:v>#N/A</c:v>
                </c:pt>
                <c:pt idx="626">
                  <c:v>1.345</c:v>
                </c:pt>
                <c:pt idx="627">
                  <c:v>1.3679999999999999</c:v>
                </c:pt>
                <c:pt idx="628">
                  <c:v>#N/A</c:v>
                </c:pt>
                <c:pt idx="629">
                  <c:v>1.4139999999999999</c:v>
                </c:pt>
                <c:pt idx="630">
                  <c:v>1.4370000000000001</c:v>
                </c:pt>
                <c:pt idx="631">
                  <c:v>1.46</c:v>
                </c:pt>
                <c:pt idx="632">
                  <c:v>#N/A</c:v>
                </c:pt>
                <c:pt idx="633">
                  <c:v>#N/A</c:v>
                </c:pt>
                <c:pt idx="634">
                  <c:v>#N/A</c:v>
                </c:pt>
                <c:pt idx="635">
                  <c:v>#N/A</c:v>
                </c:pt>
                <c:pt idx="636">
                  <c:v>1.575</c:v>
                </c:pt>
                <c:pt idx="637">
                  <c:v>#N/A</c:v>
                </c:pt>
                <c:pt idx="638">
                  <c:v>#N/A</c:v>
                </c:pt>
                <c:pt idx="639">
                  <c:v>#N/A</c:v>
                </c:pt>
                <c:pt idx="640">
                  <c:v>#N/A</c:v>
                </c:pt>
                <c:pt idx="641">
                  <c:v>#N/A</c:v>
                </c:pt>
                <c:pt idx="642">
                  <c:v>#N/A</c:v>
                </c:pt>
                <c:pt idx="643">
                  <c:v>#N/A</c:v>
                </c:pt>
                <c:pt idx="644">
                  <c:v>#N/A</c:v>
                </c:pt>
                <c:pt idx="645">
                  <c:v>#N/A</c:v>
                </c:pt>
                <c:pt idx="646">
                  <c:v>1.0229999999999999</c:v>
                </c:pt>
                <c:pt idx="647">
                  <c:v>#N/A</c:v>
                </c:pt>
                <c:pt idx="648">
                  <c:v>#N/A</c:v>
                </c:pt>
                <c:pt idx="649">
                  <c:v>#N/A</c:v>
                </c:pt>
                <c:pt idx="650">
                  <c:v>#N/A</c:v>
                </c:pt>
                <c:pt idx="651">
                  <c:v>1.1379999999999999</c:v>
                </c:pt>
                <c:pt idx="652">
                  <c:v>#N/A</c:v>
                </c:pt>
                <c:pt idx="653">
                  <c:v>1.1839999999999999</c:v>
                </c:pt>
                <c:pt idx="654">
                  <c:v>1.2070000000000001</c:v>
                </c:pt>
                <c:pt idx="655">
                  <c:v>1.23</c:v>
                </c:pt>
                <c:pt idx="656">
                  <c:v>1.2530000000000001</c:v>
                </c:pt>
                <c:pt idx="657">
                  <c:v>1.276</c:v>
                </c:pt>
                <c:pt idx="658">
                  <c:v>1.2989999999999999</c:v>
                </c:pt>
                <c:pt idx="659">
                  <c:v>#N/A</c:v>
                </c:pt>
                <c:pt idx="660">
                  <c:v>1.345</c:v>
                </c:pt>
                <c:pt idx="661">
                  <c:v>1.3679999999999999</c:v>
                </c:pt>
                <c:pt idx="662">
                  <c:v>1.391</c:v>
                </c:pt>
                <c:pt idx="663">
                  <c:v>#N/A</c:v>
                </c:pt>
                <c:pt idx="664">
                  <c:v>#N/A</c:v>
                </c:pt>
                <c:pt idx="665">
                  <c:v>1.46</c:v>
                </c:pt>
                <c:pt idx="666">
                  <c:v>1.4830000000000001</c:v>
                </c:pt>
                <c:pt idx="667">
                  <c:v>1.506</c:v>
                </c:pt>
                <c:pt idx="668">
                  <c:v>#N/A</c:v>
                </c:pt>
                <c:pt idx="669">
                  <c:v>1.552</c:v>
                </c:pt>
                <c:pt idx="670">
                  <c:v>#N/A</c:v>
                </c:pt>
                <c:pt idx="671">
                  <c:v>#N/A</c:v>
                </c:pt>
                <c:pt idx="672">
                  <c:v>#N/A</c:v>
                </c:pt>
                <c:pt idx="673">
                  <c:v>#N/A</c:v>
                </c:pt>
                <c:pt idx="674">
                  <c:v>#N/A</c:v>
                </c:pt>
                <c:pt idx="675">
                  <c:v>#N/A</c:v>
                </c:pt>
                <c:pt idx="676">
                  <c:v>#N/A</c:v>
                </c:pt>
                <c:pt idx="677">
                  <c:v>#N/A</c:v>
                </c:pt>
                <c:pt idx="678">
                  <c:v>#N/A</c:v>
                </c:pt>
                <c:pt idx="679">
                  <c:v>1</c:v>
                </c:pt>
                <c:pt idx="680">
                  <c:v>#N/A</c:v>
                </c:pt>
                <c:pt idx="681">
                  <c:v>1.046</c:v>
                </c:pt>
                <c:pt idx="682">
                  <c:v>#N/A</c:v>
                </c:pt>
                <c:pt idx="683">
                  <c:v>#N/A</c:v>
                </c:pt>
                <c:pt idx="684">
                  <c:v>#N/A</c:v>
                </c:pt>
                <c:pt idx="685">
                  <c:v>1.1379999999999999</c:v>
                </c:pt>
                <c:pt idx="686">
                  <c:v>1.161</c:v>
                </c:pt>
                <c:pt idx="687">
                  <c:v>1.1839999999999999</c:v>
                </c:pt>
                <c:pt idx="688">
                  <c:v>#N/A</c:v>
                </c:pt>
                <c:pt idx="689">
                  <c:v>#N/A</c:v>
                </c:pt>
                <c:pt idx="690">
                  <c:v>1.2530000000000001</c:v>
                </c:pt>
                <c:pt idx="691">
                  <c:v>#N/A</c:v>
                </c:pt>
                <c:pt idx="692">
                  <c:v>#N/A</c:v>
                </c:pt>
                <c:pt idx="693">
                  <c:v>#N/A</c:v>
                </c:pt>
                <c:pt idx="694">
                  <c:v>1.345</c:v>
                </c:pt>
                <c:pt idx="695">
                  <c:v>1.3679999999999999</c:v>
                </c:pt>
                <c:pt idx="696">
                  <c:v>#N/A</c:v>
                </c:pt>
                <c:pt idx="697">
                  <c:v>#N/A</c:v>
                </c:pt>
                <c:pt idx="698">
                  <c:v>#N/A</c:v>
                </c:pt>
                <c:pt idx="699">
                  <c:v>1.46</c:v>
                </c:pt>
                <c:pt idx="700">
                  <c:v>1.4830000000000001</c:v>
                </c:pt>
                <c:pt idx="701">
                  <c:v>#N/A</c:v>
                </c:pt>
                <c:pt idx="702">
                  <c:v>#N/A</c:v>
                </c:pt>
                <c:pt idx="703">
                  <c:v>#N/A</c:v>
                </c:pt>
                <c:pt idx="704">
                  <c:v>#N/A</c:v>
                </c:pt>
                <c:pt idx="705">
                  <c:v>1.5979999999999999</c:v>
                </c:pt>
                <c:pt idx="706">
                  <c:v>1.621</c:v>
                </c:pt>
                <c:pt idx="707">
                  <c:v>1.6440000000000001</c:v>
                </c:pt>
                <c:pt idx="708">
                  <c:v>#N/A</c:v>
                </c:pt>
                <c:pt idx="709">
                  <c:v>#N/A</c:v>
                </c:pt>
                <c:pt idx="710">
                  <c:v>1.7130000000000001</c:v>
                </c:pt>
                <c:pt idx="711">
                  <c:v>1.736</c:v>
                </c:pt>
                <c:pt idx="712">
                  <c:v>#N/A</c:v>
                </c:pt>
                <c:pt idx="713">
                  <c:v>#N/A</c:v>
                </c:pt>
                <c:pt idx="714">
                  <c:v>1.0229999999999999</c:v>
                </c:pt>
                <c:pt idx="715">
                  <c:v>1.046</c:v>
                </c:pt>
                <c:pt idx="716">
                  <c:v>1.069</c:v>
                </c:pt>
                <c:pt idx="717">
                  <c:v>#N/A</c:v>
                </c:pt>
                <c:pt idx="718">
                  <c:v>1.115</c:v>
                </c:pt>
                <c:pt idx="719">
                  <c:v>1.1379999999999999</c:v>
                </c:pt>
                <c:pt idx="720">
                  <c:v>1.161</c:v>
                </c:pt>
                <c:pt idx="721">
                  <c:v>#N/A</c:v>
                </c:pt>
                <c:pt idx="722">
                  <c:v>1.2070000000000001</c:v>
                </c:pt>
                <c:pt idx="723">
                  <c:v>#N/A</c:v>
                </c:pt>
                <c:pt idx="724">
                  <c:v>1.2530000000000001</c:v>
                </c:pt>
                <c:pt idx="725">
                  <c:v>#N/A</c:v>
                </c:pt>
                <c:pt idx="726">
                  <c:v>1.2989999999999999</c:v>
                </c:pt>
                <c:pt idx="727">
                  <c:v>1.3220000000000001</c:v>
                </c:pt>
                <c:pt idx="728">
                  <c:v>#N/A</c:v>
                </c:pt>
                <c:pt idx="729">
                  <c:v>#N/A</c:v>
                </c:pt>
                <c:pt idx="730">
                  <c:v>1.391</c:v>
                </c:pt>
                <c:pt idx="731">
                  <c:v>1.4139999999999999</c:v>
                </c:pt>
                <c:pt idx="732">
                  <c:v>#N/A</c:v>
                </c:pt>
                <c:pt idx="733">
                  <c:v>#N/A</c:v>
                </c:pt>
                <c:pt idx="734">
                  <c:v>1.4830000000000001</c:v>
                </c:pt>
                <c:pt idx="735">
                  <c:v>#N/A</c:v>
                </c:pt>
                <c:pt idx="736">
                  <c:v>1.5289999999999999</c:v>
                </c:pt>
                <c:pt idx="737">
                  <c:v>1.552</c:v>
                </c:pt>
                <c:pt idx="738">
                  <c:v>1.575</c:v>
                </c:pt>
                <c:pt idx="739">
                  <c:v>#N/A</c:v>
                </c:pt>
                <c:pt idx="740">
                  <c:v>#N/A</c:v>
                </c:pt>
                <c:pt idx="741">
                  <c:v>#N/A</c:v>
                </c:pt>
                <c:pt idx="742">
                  <c:v>#N/A</c:v>
                </c:pt>
                <c:pt idx="743">
                  <c:v>1.69</c:v>
                </c:pt>
                <c:pt idx="744">
                  <c:v>#N/A</c:v>
                </c:pt>
                <c:pt idx="745">
                  <c:v>1.736</c:v>
                </c:pt>
                <c:pt idx="746">
                  <c:v>1.7589999999999999</c:v>
                </c:pt>
                <c:pt idx="747">
                  <c:v>1</c:v>
                </c:pt>
                <c:pt idx="748">
                  <c:v>#N/A</c:v>
                </c:pt>
                <c:pt idx="749">
                  <c:v>1.046</c:v>
                </c:pt>
                <c:pt idx="750">
                  <c:v>1.069</c:v>
                </c:pt>
                <c:pt idx="751">
                  <c:v>#N/A</c:v>
                </c:pt>
                <c:pt idx="752">
                  <c:v>1.115</c:v>
                </c:pt>
                <c:pt idx="753">
                  <c:v>1.1379999999999999</c:v>
                </c:pt>
                <c:pt idx="754">
                  <c:v>1.161</c:v>
                </c:pt>
                <c:pt idx="755">
                  <c:v>1.1839999999999999</c:v>
                </c:pt>
                <c:pt idx="756">
                  <c:v>#N/A</c:v>
                </c:pt>
                <c:pt idx="757">
                  <c:v>#N/A</c:v>
                </c:pt>
                <c:pt idx="758">
                  <c:v>1.2530000000000001</c:v>
                </c:pt>
                <c:pt idx="759">
                  <c:v>#N/A</c:v>
                </c:pt>
                <c:pt idx="760">
                  <c:v>#N/A</c:v>
                </c:pt>
                <c:pt idx="761">
                  <c:v>#N/A</c:v>
                </c:pt>
                <c:pt idx="762">
                  <c:v>#N/A</c:v>
                </c:pt>
                <c:pt idx="763">
                  <c:v>#N/A</c:v>
                </c:pt>
                <c:pt idx="764">
                  <c:v>1.391</c:v>
                </c:pt>
                <c:pt idx="765">
                  <c:v>#N/A</c:v>
                </c:pt>
                <c:pt idx="766">
                  <c:v>1.4370000000000001</c:v>
                </c:pt>
                <c:pt idx="767">
                  <c:v>1.46</c:v>
                </c:pt>
                <c:pt idx="768">
                  <c:v>1.4830000000000001</c:v>
                </c:pt>
                <c:pt idx="769">
                  <c:v>#N/A</c:v>
                </c:pt>
                <c:pt idx="770">
                  <c:v>1.5289999999999999</c:v>
                </c:pt>
                <c:pt idx="771">
                  <c:v>1.552</c:v>
                </c:pt>
                <c:pt idx="772">
                  <c:v>#N/A</c:v>
                </c:pt>
                <c:pt idx="773">
                  <c:v>1.5979999999999999</c:v>
                </c:pt>
                <c:pt idx="774">
                  <c:v>1.621</c:v>
                </c:pt>
                <c:pt idx="775">
                  <c:v>#N/A</c:v>
                </c:pt>
                <c:pt idx="776">
                  <c:v>#N/A</c:v>
                </c:pt>
                <c:pt idx="777">
                  <c:v>#N/A</c:v>
                </c:pt>
                <c:pt idx="778">
                  <c:v>1.7130000000000001</c:v>
                </c:pt>
                <c:pt idx="779">
                  <c:v>#N/A</c:v>
                </c:pt>
                <c:pt idx="780">
                  <c:v>#N/A</c:v>
                </c:pt>
                <c:pt idx="781">
                  <c:v>#N/A</c:v>
                </c:pt>
                <c:pt idx="782">
                  <c:v>#N/A</c:v>
                </c:pt>
                <c:pt idx="783">
                  <c:v>1.046</c:v>
                </c:pt>
                <c:pt idx="784">
                  <c:v>#N/A</c:v>
                </c:pt>
                <c:pt idx="785">
                  <c:v>#N/A</c:v>
                </c:pt>
                <c:pt idx="786">
                  <c:v>#N/A</c:v>
                </c:pt>
                <c:pt idx="787">
                  <c:v>1.1379999999999999</c:v>
                </c:pt>
                <c:pt idx="788">
                  <c:v>#N/A</c:v>
                </c:pt>
                <c:pt idx="789">
                  <c:v>#N/A</c:v>
                </c:pt>
                <c:pt idx="790">
                  <c:v>1.2070000000000001</c:v>
                </c:pt>
                <c:pt idx="791">
                  <c:v>#N/A</c:v>
                </c:pt>
                <c:pt idx="792">
                  <c:v>1.2530000000000001</c:v>
                </c:pt>
                <c:pt idx="793">
                  <c:v>#N/A</c:v>
                </c:pt>
                <c:pt idx="794">
                  <c:v>1.2989999999999999</c:v>
                </c:pt>
                <c:pt idx="795">
                  <c:v>1.3220000000000001</c:v>
                </c:pt>
                <c:pt idx="796">
                  <c:v>#N/A</c:v>
                </c:pt>
                <c:pt idx="797">
                  <c:v>#N/A</c:v>
                </c:pt>
                <c:pt idx="798">
                  <c:v>#N/A</c:v>
                </c:pt>
                <c:pt idx="799">
                  <c:v>1.4139999999999999</c:v>
                </c:pt>
                <c:pt idx="800">
                  <c:v>1.4370000000000001</c:v>
                </c:pt>
                <c:pt idx="801">
                  <c:v>#N/A</c:v>
                </c:pt>
                <c:pt idx="802">
                  <c:v>#N/A</c:v>
                </c:pt>
                <c:pt idx="803">
                  <c:v>1.506</c:v>
                </c:pt>
                <c:pt idx="804">
                  <c:v>#N/A</c:v>
                </c:pt>
                <c:pt idx="805">
                  <c:v>1.552</c:v>
                </c:pt>
                <c:pt idx="806">
                  <c:v>1.575</c:v>
                </c:pt>
                <c:pt idx="807">
                  <c:v>1.5979999999999999</c:v>
                </c:pt>
                <c:pt idx="808">
                  <c:v>#N/A</c:v>
                </c:pt>
                <c:pt idx="809">
                  <c:v>#N/A</c:v>
                </c:pt>
                <c:pt idx="810">
                  <c:v>#N/A</c:v>
                </c:pt>
                <c:pt idx="811">
                  <c:v>#N/A</c:v>
                </c:pt>
                <c:pt idx="812">
                  <c:v>#N/A</c:v>
                </c:pt>
                <c:pt idx="813">
                  <c:v>#N/A</c:v>
                </c:pt>
                <c:pt idx="814">
                  <c:v>#N/A</c:v>
                </c:pt>
                <c:pt idx="815">
                  <c:v>#N/A</c:v>
                </c:pt>
                <c:pt idx="816">
                  <c:v>#N/A</c:v>
                </c:pt>
                <c:pt idx="817">
                  <c:v>#N/A</c:v>
                </c:pt>
                <c:pt idx="818">
                  <c:v>1.069</c:v>
                </c:pt>
                <c:pt idx="819">
                  <c:v>1.0920000000000001</c:v>
                </c:pt>
                <c:pt idx="820">
                  <c:v>#N/A</c:v>
                </c:pt>
                <c:pt idx="821">
                  <c:v>#N/A</c:v>
                </c:pt>
                <c:pt idx="822">
                  <c:v>#N/A</c:v>
                </c:pt>
                <c:pt idx="823">
                  <c:v>#N/A</c:v>
                </c:pt>
                <c:pt idx="824">
                  <c:v>1.2070000000000001</c:v>
                </c:pt>
                <c:pt idx="825">
                  <c:v>#N/A</c:v>
                </c:pt>
                <c:pt idx="826">
                  <c:v>1.2530000000000001</c:v>
                </c:pt>
                <c:pt idx="827">
                  <c:v>#N/A</c:v>
                </c:pt>
                <c:pt idx="828">
                  <c:v>#N/A</c:v>
                </c:pt>
                <c:pt idx="829">
                  <c:v>#N/A</c:v>
                </c:pt>
                <c:pt idx="830">
                  <c:v>#N/A</c:v>
                </c:pt>
                <c:pt idx="831">
                  <c:v>1.3679999999999999</c:v>
                </c:pt>
                <c:pt idx="832">
                  <c:v>1.391</c:v>
                </c:pt>
                <c:pt idx="833">
                  <c:v>1.4139999999999999</c:v>
                </c:pt>
                <c:pt idx="834">
                  <c:v>1.4370000000000001</c:v>
                </c:pt>
                <c:pt idx="835">
                  <c:v>1.46</c:v>
                </c:pt>
                <c:pt idx="836">
                  <c:v>#N/A</c:v>
                </c:pt>
                <c:pt idx="837">
                  <c:v>1.506</c:v>
                </c:pt>
                <c:pt idx="838">
                  <c:v>#N/A</c:v>
                </c:pt>
                <c:pt idx="839">
                  <c:v>1.552</c:v>
                </c:pt>
                <c:pt idx="840">
                  <c:v>1.575</c:v>
                </c:pt>
                <c:pt idx="841">
                  <c:v>#N/A</c:v>
                </c:pt>
                <c:pt idx="842">
                  <c:v>1.621</c:v>
                </c:pt>
                <c:pt idx="843">
                  <c:v>1.6440000000000001</c:v>
                </c:pt>
                <c:pt idx="844">
                  <c:v>#N/A</c:v>
                </c:pt>
                <c:pt idx="845">
                  <c:v>#N/A</c:v>
                </c:pt>
                <c:pt idx="846">
                  <c:v>#N/A</c:v>
                </c:pt>
                <c:pt idx="847">
                  <c:v>1.736</c:v>
                </c:pt>
                <c:pt idx="848">
                  <c:v>1.7589999999999999</c:v>
                </c:pt>
                <c:pt idx="849">
                  <c:v>#N/A</c:v>
                </c:pt>
                <c:pt idx="850">
                  <c:v>1.0229999999999999</c:v>
                </c:pt>
                <c:pt idx="851">
                  <c:v>1.046</c:v>
                </c:pt>
                <c:pt idx="852">
                  <c:v>1.069</c:v>
                </c:pt>
                <c:pt idx="853">
                  <c:v>#N/A</c:v>
                </c:pt>
                <c:pt idx="854">
                  <c:v>#N/A</c:v>
                </c:pt>
                <c:pt idx="855">
                  <c:v>#N/A</c:v>
                </c:pt>
                <c:pt idx="856">
                  <c:v>1.161</c:v>
                </c:pt>
                <c:pt idx="857">
                  <c:v>1.1839999999999999</c:v>
                </c:pt>
                <c:pt idx="858">
                  <c:v>#N/A</c:v>
                </c:pt>
                <c:pt idx="859">
                  <c:v>1.23</c:v>
                </c:pt>
                <c:pt idx="860">
                  <c:v>#N/A</c:v>
                </c:pt>
                <c:pt idx="861">
                  <c:v>#N/A</c:v>
                </c:pt>
                <c:pt idx="862">
                  <c:v>#N/A</c:v>
                </c:pt>
                <c:pt idx="863">
                  <c:v>1.3220000000000001</c:v>
                </c:pt>
                <c:pt idx="864">
                  <c:v>#N/A</c:v>
                </c:pt>
                <c:pt idx="865">
                  <c:v>1.3679999999999999</c:v>
                </c:pt>
                <c:pt idx="866">
                  <c:v>1.391</c:v>
                </c:pt>
                <c:pt idx="867">
                  <c:v>1.4139999999999999</c:v>
                </c:pt>
                <c:pt idx="868">
                  <c:v>1.4370000000000001</c:v>
                </c:pt>
                <c:pt idx="869">
                  <c:v>#N/A</c:v>
                </c:pt>
                <c:pt idx="870">
                  <c:v>#N/A</c:v>
                </c:pt>
                <c:pt idx="871">
                  <c:v>1.506</c:v>
                </c:pt>
                <c:pt idx="872">
                  <c:v>#N/A</c:v>
                </c:pt>
                <c:pt idx="873">
                  <c:v>#N/A</c:v>
                </c:pt>
                <c:pt idx="874">
                  <c:v>1.575</c:v>
                </c:pt>
                <c:pt idx="875">
                  <c:v>#N/A</c:v>
                </c:pt>
                <c:pt idx="876">
                  <c:v>1.621</c:v>
                </c:pt>
                <c:pt idx="877">
                  <c:v>1.6440000000000001</c:v>
                </c:pt>
                <c:pt idx="878">
                  <c:v>#N/A</c:v>
                </c:pt>
                <c:pt idx="879">
                  <c:v>#N/A</c:v>
                </c:pt>
                <c:pt idx="880">
                  <c:v>#N/A</c:v>
                </c:pt>
                <c:pt idx="881">
                  <c:v>#N/A</c:v>
                </c:pt>
                <c:pt idx="882">
                  <c:v>#N/A</c:v>
                </c:pt>
                <c:pt idx="883">
                  <c:v>1</c:v>
                </c:pt>
                <c:pt idx="884">
                  <c:v>1.0229999999999999</c:v>
                </c:pt>
                <c:pt idx="885">
                  <c:v>#N/A</c:v>
                </c:pt>
                <c:pt idx="886">
                  <c:v>#N/A</c:v>
                </c:pt>
                <c:pt idx="887">
                  <c:v>#N/A</c:v>
                </c:pt>
                <c:pt idx="888">
                  <c:v>#N/A</c:v>
                </c:pt>
                <c:pt idx="889">
                  <c:v>#N/A</c:v>
                </c:pt>
                <c:pt idx="890">
                  <c:v>1.161</c:v>
                </c:pt>
                <c:pt idx="891">
                  <c:v>1.1839999999999999</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numCache>
            </c:numRef>
          </c:yVal>
          <c:smooth val="1"/>
          <c:extLst>
            <c:ext xmlns:c16="http://schemas.microsoft.com/office/drawing/2014/chart" uri="{C3380CC4-5D6E-409C-BE32-E72D297353CC}">
              <c16:uniqueId val="{00000000-2901-434A-93BD-A45102E004E1}"/>
            </c:ext>
          </c:extLst>
        </c:ser>
        <c:ser>
          <c:idx val="1"/>
          <c:order val="1"/>
          <c:tx>
            <c:v>Strategy</c:v>
          </c:tx>
          <c:spPr>
            <a:ln>
              <a:noFill/>
              <a:prstDash val="solid"/>
            </a:ln>
          </c:spPr>
          <c:marker>
            <c:symbol val="circle"/>
            <c:size val="4"/>
            <c:spPr>
              <a:ln>
                <a:prstDash val="solid"/>
              </a:ln>
            </c:spPr>
          </c:marker>
          <c:xVal>
            <c:numRef>
              <c:f>'Map Calc'!$I$2:$I$950</c:f>
              <c:numCache>
                <c:formatCode>General</c:formatCode>
                <c:ptCount val="949"/>
                <c:pt idx="0">
                  <c:v>#N/A</c:v>
                </c:pt>
                <c:pt idx="1">
                  <c:v>#N/A</c:v>
                </c:pt>
                <c:pt idx="2">
                  <c:v>#N/A</c:v>
                </c:pt>
                <c:pt idx="3">
                  <c:v>#N/A</c:v>
                </c:pt>
                <c:pt idx="4">
                  <c:v>#N/A</c:v>
                </c:pt>
                <c:pt idx="5">
                  <c:v>#N/A</c:v>
                </c:pt>
                <c:pt idx="6">
                  <c:v>#N/A</c:v>
                </c:pt>
                <c:pt idx="7">
                  <c:v>#N/A</c:v>
                </c:pt>
                <c:pt idx="8">
                  <c:v>#N/A</c:v>
                </c:pt>
                <c:pt idx="9">
                  <c:v>#N/A</c:v>
                </c:pt>
                <c:pt idx="10">
                  <c:v>#N/A</c:v>
                </c:pt>
                <c:pt idx="11">
                  <c:v>#N/A</c:v>
                </c:pt>
                <c:pt idx="12">
                  <c:v>#N/A</c:v>
                </c:pt>
                <c:pt idx="13">
                  <c:v>2019</c:v>
                </c:pt>
                <c:pt idx="14">
                  <c:v>#N/A</c:v>
                </c:pt>
                <c:pt idx="15">
                  <c:v>#N/A</c:v>
                </c:pt>
                <c:pt idx="16">
                  <c:v>#N/A</c:v>
                </c:pt>
                <c:pt idx="17">
                  <c:v>#N/A</c:v>
                </c:pt>
                <c:pt idx="18">
                  <c:v>#N/A</c:v>
                </c:pt>
                <c:pt idx="19">
                  <c:v>2025</c:v>
                </c:pt>
                <c:pt idx="20">
                  <c:v>#N/A</c:v>
                </c:pt>
                <c:pt idx="21">
                  <c:v>#N/A</c:v>
                </c:pt>
                <c:pt idx="22">
                  <c:v>#N/A</c:v>
                </c:pt>
                <c:pt idx="23">
                  <c:v>#N/A</c:v>
                </c:pt>
                <c:pt idx="24">
                  <c:v>#N/A</c:v>
                </c:pt>
                <c:pt idx="25">
                  <c:v>2024</c:v>
                </c:pt>
                <c:pt idx="26">
                  <c:v>2022</c:v>
                </c:pt>
                <c:pt idx="27">
                  <c:v>2025</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2020</c:v>
                </c:pt>
                <c:pt idx="45">
                  <c:v>#N/A</c:v>
                </c:pt>
                <c:pt idx="46">
                  <c:v>#N/A</c:v>
                </c:pt>
                <c:pt idx="47">
                  <c:v>#N/A</c:v>
                </c:pt>
                <c:pt idx="48">
                  <c:v>2014</c:v>
                </c:pt>
                <c:pt idx="49">
                  <c:v>2025</c:v>
                </c:pt>
                <c:pt idx="50">
                  <c:v>#N/A</c:v>
                </c:pt>
                <c:pt idx="51">
                  <c:v>2023</c:v>
                </c:pt>
                <c:pt idx="52">
                  <c:v>#N/A</c:v>
                </c:pt>
                <c:pt idx="53">
                  <c:v>2018</c:v>
                </c:pt>
                <c:pt idx="54">
                  <c:v>#N/A</c:v>
                </c:pt>
                <c:pt idx="55">
                  <c:v>2020</c:v>
                </c:pt>
                <c:pt idx="56">
                  <c:v>#N/A</c:v>
                </c:pt>
                <c:pt idx="57">
                  <c:v>#N/A</c:v>
                </c:pt>
                <c:pt idx="58">
                  <c:v>#N/A</c:v>
                </c:pt>
                <c:pt idx="59">
                  <c:v>2026</c:v>
                </c:pt>
                <c:pt idx="60">
                  <c:v>#N/A</c:v>
                </c:pt>
                <c:pt idx="61">
                  <c:v>#N/A</c:v>
                </c:pt>
                <c:pt idx="62">
                  <c:v>#N/A</c:v>
                </c:pt>
                <c:pt idx="63">
                  <c:v>2026</c:v>
                </c:pt>
                <c:pt idx="64">
                  <c:v>2017</c:v>
                </c:pt>
                <c:pt idx="65">
                  <c:v>#N/A</c:v>
                </c:pt>
                <c:pt idx="66">
                  <c:v>#N/A</c:v>
                </c:pt>
                <c:pt idx="67">
                  <c:v>#N/A</c:v>
                </c:pt>
                <c:pt idx="68">
                  <c:v>#N/A</c:v>
                </c:pt>
                <c:pt idx="69">
                  <c:v>2024</c:v>
                </c:pt>
                <c:pt idx="70">
                  <c:v>#N/A</c:v>
                </c:pt>
                <c:pt idx="71">
                  <c:v>#N/A</c:v>
                </c:pt>
                <c:pt idx="72">
                  <c:v>#N/A</c:v>
                </c:pt>
                <c:pt idx="73">
                  <c:v>#N/A</c:v>
                </c:pt>
                <c:pt idx="74">
                  <c:v>#N/A</c:v>
                </c:pt>
                <c:pt idx="75">
                  <c:v>#N/A</c:v>
                </c:pt>
                <c:pt idx="76">
                  <c:v>#N/A</c:v>
                </c:pt>
                <c:pt idx="77">
                  <c:v>#N/A</c:v>
                </c:pt>
                <c:pt idx="78">
                  <c:v>#N/A</c:v>
                </c:pt>
                <c:pt idx="79">
                  <c:v>2023</c:v>
                </c:pt>
                <c:pt idx="80">
                  <c:v>2024</c:v>
                </c:pt>
                <c:pt idx="81">
                  <c:v>#N/A</c:v>
                </c:pt>
                <c:pt idx="82">
                  <c:v>#N/A</c:v>
                </c:pt>
                <c:pt idx="83">
                  <c:v>2025</c:v>
                </c:pt>
                <c:pt idx="84">
                  <c:v>2025</c:v>
                </c:pt>
                <c:pt idx="85">
                  <c:v>#N/A</c:v>
                </c:pt>
                <c:pt idx="86">
                  <c:v>#N/A</c:v>
                </c:pt>
                <c:pt idx="87">
                  <c:v>#N/A</c:v>
                </c:pt>
                <c:pt idx="88">
                  <c:v>#N/A</c:v>
                </c:pt>
                <c:pt idx="89">
                  <c:v>#N/A</c:v>
                </c:pt>
                <c:pt idx="90">
                  <c:v>#N/A</c:v>
                </c:pt>
                <c:pt idx="91">
                  <c:v>#N/A</c:v>
                </c:pt>
                <c:pt idx="92">
                  <c:v>#N/A</c:v>
                </c:pt>
                <c:pt idx="93">
                  <c:v>#N/A</c:v>
                </c:pt>
                <c:pt idx="94">
                  <c:v>#N/A</c:v>
                </c:pt>
                <c:pt idx="95">
                  <c:v>2026</c:v>
                </c:pt>
                <c:pt idx="96">
                  <c:v>#N/A</c:v>
                </c:pt>
                <c:pt idx="97">
                  <c:v>2021</c:v>
                </c:pt>
                <c:pt idx="98">
                  <c:v>2023</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2025</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2025</c:v>
                </c:pt>
                <c:pt idx="132">
                  <c:v>2024</c:v>
                </c:pt>
                <c:pt idx="133">
                  <c:v>#N/A</c:v>
                </c:pt>
                <c:pt idx="134">
                  <c:v>2025</c:v>
                </c:pt>
                <c:pt idx="135">
                  <c:v>#N/A</c:v>
                </c:pt>
                <c:pt idx="136">
                  <c:v>#N/A</c:v>
                </c:pt>
                <c:pt idx="137">
                  <c:v>#N/A</c:v>
                </c:pt>
                <c:pt idx="138">
                  <c:v>#N/A</c:v>
                </c:pt>
                <c:pt idx="139">
                  <c:v>2026</c:v>
                </c:pt>
                <c:pt idx="140">
                  <c:v>#N/A</c:v>
                </c:pt>
                <c:pt idx="141">
                  <c:v>#N/A</c:v>
                </c:pt>
                <c:pt idx="142">
                  <c:v>2015</c:v>
                </c:pt>
                <c:pt idx="143">
                  <c:v>2020</c:v>
                </c:pt>
                <c:pt idx="144">
                  <c:v>#N/A</c:v>
                </c:pt>
                <c:pt idx="145">
                  <c:v>#N/A</c:v>
                </c:pt>
                <c:pt idx="146">
                  <c:v>#N/A</c:v>
                </c:pt>
                <c:pt idx="147">
                  <c:v>#N/A</c:v>
                </c:pt>
                <c:pt idx="148">
                  <c:v>#N/A</c:v>
                </c:pt>
                <c:pt idx="149">
                  <c:v>#N/A</c:v>
                </c:pt>
                <c:pt idx="150">
                  <c:v>#N/A</c:v>
                </c:pt>
                <c:pt idx="151">
                  <c:v>#N/A</c:v>
                </c:pt>
                <c:pt idx="152">
                  <c:v>2020</c:v>
                </c:pt>
                <c:pt idx="153">
                  <c:v>#N/A</c:v>
                </c:pt>
                <c:pt idx="154">
                  <c:v>2019</c:v>
                </c:pt>
                <c:pt idx="155">
                  <c:v>#N/A</c:v>
                </c:pt>
                <c:pt idx="156">
                  <c:v>#N/A</c:v>
                </c:pt>
                <c:pt idx="157">
                  <c:v>#N/A</c:v>
                </c:pt>
                <c:pt idx="158">
                  <c:v>#N/A</c:v>
                </c:pt>
                <c:pt idx="159">
                  <c:v>#N/A</c:v>
                </c:pt>
                <c:pt idx="160">
                  <c:v>#N/A</c:v>
                </c:pt>
                <c:pt idx="161">
                  <c:v>#N/A</c:v>
                </c:pt>
                <c:pt idx="162">
                  <c:v>2018</c:v>
                </c:pt>
                <c:pt idx="163">
                  <c:v>#N/A</c:v>
                </c:pt>
                <c:pt idx="164">
                  <c:v>2016</c:v>
                </c:pt>
                <c:pt idx="165">
                  <c:v>2020</c:v>
                </c:pt>
                <c:pt idx="166">
                  <c:v>#N/A</c:v>
                </c:pt>
                <c:pt idx="167">
                  <c:v>#N/A</c:v>
                </c:pt>
                <c:pt idx="168">
                  <c:v>2026</c:v>
                </c:pt>
                <c:pt idx="169">
                  <c:v>#N/A</c:v>
                </c:pt>
                <c:pt idx="170">
                  <c:v>#N/A</c:v>
                </c:pt>
                <c:pt idx="171">
                  <c:v>#N/A</c:v>
                </c:pt>
                <c:pt idx="172">
                  <c:v>#N/A</c:v>
                </c:pt>
                <c:pt idx="173">
                  <c:v>2015</c:v>
                </c:pt>
                <c:pt idx="174">
                  <c:v>2023</c:v>
                </c:pt>
                <c:pt idx="175">
                  <c:v>#N/A</c:v>
                </c:pt>
                <c:pt idx="176">
                  <c:v>#N/A</c:v>
                </c:pt>
                <c:pt idx="177">
                  <c:v>#N/A</c:v>
                </c:pt>
                <c:pt idx="178">
                  <c:v>#N/A</c:v>
                </c:pt>
                <c:pt idx="179">
                  <c:v>2026</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2019</c:v>
                </c:pt>
                <c:pt idx="197">
                  <c:v>#N/A</c:v>
                </c:pt>
                <c:pt idx="198">
                  <c:v>2022</c:v>
                </c:pt>
                <c:pt idx="199">
                  <c:v>#N/A</c:v>
                </c:pt>
                <c:pt idx="200">
                  <c:v>#N/A</c:v>
                </c:pt>
                <c:pt idx="201">
                  <c:v>2018</c:v>
                </c:pt>
                <c:pt idx="202">
                  <c:v>#N/A</c:v>
                </c:pt>
                <c:pt idx="203">
                  <c:v>#N/A</c:v>
                </c:pt>
                <c:pt idx="204">
                  <c:v>#N/A</c:v>
                </c:pt>
                <c:pt idx="205">
                  <c:v>#N/A</c:v>
                </c:pt>
                <c:pt idx="206">
                  <c:v>#N/A</c:v>
                </c:pt>
                <c:pt idx="207">
                  <c:v>#N/A</c:v>
                </c:pt>
                <c:pt idx="208">
                  <c:v>2025</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2022</c:v>
                </c:pt>
                <c:pt idx="224">
                  <c:v>2026</c:v>
                </c:pt>
                <c:pt idx="225">
                  <c:v>#N/A</c:v>
                </c:pt>
                <c:pt idx="226">
                  <c:v>#N/A</c:v>
                </c:pt>
                <c:pt idx="227">
                  <c:v>#N/A</c:v>
                </c:pt>
                <c:pt idx="228">
                  <c:v>#N/A</c:v>
                </c:pt>
                <c:pt idx="229">
                  <c:v>2019</c:v>
                </c:pt>
                <c:pt idx="230">
                  <c:v>#N/A</c:v>
                </c:pt>
                <c:pt idx="231">
                  <c:v>#N/A</c:v>
                </c:pt>
                <c:pt idx="232">
                  <c:v>#N/A</c:v>
                </c:pt>
                <c:pt idx="233">
                  <c:v>#N/A</c:v>
                </c:pt>
                <c:pt idx="234">
                  <c:v>#N/A</c:v>
                </c:pt>
                <c:pt idx="235">
                  <c:v>#N/A</c:v>
                </c:pt>
                <c:pt idx="236">
                  <c:v>2025</c:v>
                </c:pt>
                <c:pt idx="237">
                  <c:v>#N/A</c:v>
                </c:pt>
                <c:pt idx="238">
                  <c:v>#N/A</c:v>
                </c:pt>
                <c:pt idx="239">
                  <c:v>2024</c:v>
                </c:pt>
                <c:pt idx="240">
                  <c:v>#N/A</c:v>
                </c:pt>
                <c:pt idx="241">
                  <c:v>2025</c:v>
                </c:pt>
                <c:pt idx="242">
                  <c:v>2025</c:v>
                </c:pt>
                <c:pt idx="243">
                  <c:v>#N/A</c:v>
                </c:pt>
                <c:pt idx="244">
                  <c:v>#N/A</c:v>
                </c:pt>
                <c:pt idx="245">
                  <c:v>2021</c:v>
                </c:pt>
                <c:pt idx="246">
                  <c:v>#N/A</c:v>
                </c:pt>
                <c:pt idx="247">
                  <c:v>#N/A</c:v>
                </c:pt>
                <c:pt idx="248">
                  <c:v>#N/A</c:v>
                </c:pt>
                <c:pt idx="249">
                  <c:v>2016</c:v>
                </c:pt>
                <c:pt idx="250">
                  <c:v>#N/A</c:v>
                </c:pt>
                <c:pt idx="251">
                  <c:v>#N/A</c:v>
                </c:pt>
                <c:pt idx="252">
                  <c:v>#N/A</c:v>
                </c:pt>
                <c:pt idx="253">
                  <c:v>#N/A</c:v>
                </c:pt>
                <c:pt idx="254">
                  <c:v>#N/A</c:v>
                </c:pt>
                <c:pt idx="255">
                  <c:v>#N/A</c:v>
                </c:pt>
                <c:pt idx="256">
                  <c:v>2006</c:v>
                </c:pt>
                <c:pt idx="257">
                  <c:v>2023</c:v>
                </c:pt>
                <c:pt idx="258">
                  <c:v>#N/A</c:v>
                </c:pt>
                <c:pt idx="259">
                  <c:v>#N/A</c:v>
                </c:pt>
                <c:pt idx="260">
                  <c:v>#N/A</c:v>
                </c:pt>
                <c:pt idx="261">
                  <c:v>#N/A</c:v>
                </c:pt>
                <c:pt idx="262">
                  <c:v>#N/A</c:v>
                </c:pt>
                <c:pt idx="263">
                  <c:v>#N/A</c:v>
                </c:pt>
                <c:pt idx="264">
                  <c:v>#N/A</c:v>
                </c:pt>
                <c:pt idx="265">
                  <c:v>2024</c:v>
                </c:pt>
                <c:pt idx="266">
                  <c:v>#N/A</c:v>
                </c:pt>
                <c:pt idx="267">
                  <c:v>#N/A</c:v>
                </c:pt>
                <c:pt idx="268">
                  <c:v>#N/A</c:v>
                </c:pt>
                <c:pt idx="269">
                  <c:v>2025</c:v>
                </c:pt>
                <c:pt idx="270">
                  <c:v>#N/A</c:v>
                </c:pt>
                <c:pt idx="271">
                  <c:v>#N/A</c:v>
                </c:pt>
                <c:pt idx="272">
                  <c:v>#N/A</c:v>
                </c:pt>
                <c:pt idx="273">
                  <c:v>#N/A</c:v>
                </c:pt>
                <c:pt idx="274">
                  <c:v>#N/A</c:v>
                </c:pt>
                <c:pt idx="275">
                  <c:v>#N/A</c:v>
                </c:pt>
                <c:pt idx="276">
                  <c:v>#N/A</c:v>
                </c:pt>
                <c:pt idx="277">
                  <c:v>#N/A</c:v>
                </c:pt>
                <c:pt idx="278">
                  <c:v>#N/A</c:v>
                </c:pt>
                <c:pt idx="279">
                  <c:v>2018</c:v>
                </c:pt>
                <c:pt idx="280">
                  <c:v>2024</c:v>
                </c:pt>
                <c:pt idx="281">
                  <c:v>#N/A</c:v>
                </c:pt>
                <c:pt idx="282">
                  <c:v>#N/A</c:v>
                </c:pt>
                <c:pt idx="283">
                  <c:v>#N/A</c:v>
                </c:pt>
                <c:pt idx="284">
                  <c:v>#N/A</c:v>
                </c:pt>
                <c:pt idx="285">
                  <c:v>2025</c:v>
                </c:pt>
                <c:pt idx="286">
                  <c:v>#N/A</c:v>
                </c:pt>
                <c:pt idx="287">
                  <c:v>#N/A</c:v>
                </c:pt>
                <c:pt idx="288">
                  <c:v>#N/A</c:v>
                </c:pt>
                <c:pt idx="289">
                  <c:v>2018</c:v>
                </c:pt>
                <c:pt idx="290">
                  <c:v>2023</c:v>
                </c:pt>
                <c:pt idx="291">
                  <c:v>#N/A</c:v>
                </c:pt>
                <c:pt idx="292">
                  <c:v>#N/A</c:v>
                </c:pt>
                <c:pt idx="293">
                  <c:v>2022</c:v>
                </c:pt>
                <c:pt idx="294">
                  <c:v>#N/A</c:v>
                </c:pt>
                <c:pt idx="295">
                  <c:v>#N/A</c:v>
                </c:pt>
                <c:pt idx="296">
                  <c:v>#N/A</c:v>
                </c:pt>
                <c:pt idx="297">
                  <c:v>2012</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2025</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2017</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2025</c:v>
                </c:pt>
                <c:pt idx="367">
                  <c:v>2026</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2015</c:v>
                </c:pt>
                <c:pt idx="383">
                  <c:v>#N/A</c:v>
                </c:pt>
                <c:pt idx="384">
                  <c:v>2023</c:v>
                </c:pt>
                <c:pt idx="385">
                  <c:v>2025</c:v>
                </c:pt>
                <c:pt idx="386">
                  <c:v>#N/A</c:v>
                </c:pt>
                <c:pt idx="387">
                  <c:v>#N/A</c:v>
                </c:pt>
                <c:pt idx="388">
                  <c:v>2021</c:v>
                </c:pt>
                <c:pt idx="389">
                  <c:v>2018</c:v>
                </c:pt>
                <c:pt idx="390">
                  <c:v>#N/A</c:v>
                </c:pt>
                <c:pt idx="391">
                  <c:v>2019</c:v>
                </c:pt>
                <c:pt idx="392">
                  <c:v>#N/A</c:v>
                </c:pt>
                <c:pt idx="393">
                  <c:v>#N/A</c:v>
                </c:pt>
                <c:pt idx="394">
                  <c:v>#N/A</c:v>
                </c:pt>
                <c:pt idx="395">
                  <c:v>#N/A</c:v>
                </c:pt>
                <c:pt idx="396">
                  <c:v>#N/A</c:v>
                </c:pt>
                <c:pt idx="397">
                  <c:v>#N/A</c:v>
                </c:pt>
                <c:pt idx="398">
                  <c:v>#N/A</c:v>
                </c:pt>
                <c:pt idx="399">
                  <c:v>2024</c:v>
                </c:pt>
                <c:pt idx="400">
                  <c:v>#N/A</c:v>
                </c:pt>
                <c:pt idx="401">
                  <c:v>#N/A</c:v>
                </c:pt>
                <c:pt idx="402">
                  <c:v>#N/A</c:v>
                </c:pt>
                <c:pt idx="403">
                  <c:v>#N/A</c:v>
                </c:pt>
                <c:pt idx="404">
                  <c:v>2025</c:v>
                </c:pt>
                <c:pt idx="405">
                  <c:v>#N/A</c:v>
                </c:pt>
                <c:pt idx="406">
                  <c:v>2016</c:v>
                </c:pt>
                <c:pt idx="407">
                  <c:v>#N/A</c:v>
                </c:pt>
                <c:pt idx="408">
                  <c:v>2025</c:v>
                </c:pt>
                <c:pt idx="409">
                  <c:v>#N/A</c:v>
                </c:pt>
                <c:pt idx="410">
                  <c:v>#N/A</c:v>
                </c:pt>
                <c:pt idx="411">
                  <c:v>#N/A</c:v>
                </c:pt>
                <c:pt idx="412">
                  <c:v>#N/A</c:v>
                </c:pt>
                <c:pt idx="413">
                  <c:v>#N/A</c:v>
                </c:pt>
                <c:pt idx="414">
                  <c:v>#N/A</c:v>
                </c:pt>
                <c:pt idx="415">
                  <c:v>#N/A</c:v>
                </c:pt>
                <c:pt idx="416">
                  <c:v>2019</c:v>
                </c:pt>
                <c:pt idx="417">
                  <c:v>2026</c:v>
                </c:pt>
                <c:pt idx="418">
                  <c:v>#N/A</c:v>
                </c:pt>
                <c:pt idx="419">
                  <c:v>#N/A</c:v>
                </c:pt>
                <c:pt idx="420">
                  <c:v>2023</c:v>
                </c:pt>
                <c:pt idx="421">
                  <c:v>#N/A</c:v>
                </c:pt>
                <c:pt idx="422">
                  <c:v>#N/A</c:v>
                </c:pt>
                <c:pt idx="423">
                  <c:v>#N/A</c:v>
                </c:pt>
                <c:pt idx="424">
                  <c:v>2024</c:v>
                </c:pt>
                <c:pt idx="425">
                  <c:v>2021</c:v>
                </c:pt>
                <c:pt idx="426">
                  <c:v>2017</c:v>
                </c:pt>
                <c:pt idx="427">
                  <c:v>2022</c:v>
                </c:pt>
                <c:pt idx="428">
                  <c:v>2025</c:v>
                </c:pt>
                <c:pt idx="429">
                  <c:v>#N/A</c:v>
                </c:pt>
                <c:pt idx="430">
                  <c:v>#N/A</c:v>
                </c:pt>
                <c:pt idx="431">
                  <c:v>#N/A</c:v>
                </c:pt>
                <c:pt idx="432">
                  <c:v>#N/A</c:v>
                </c:pt>
                <c:pt idx="433">
                  <c:v>#N/A</c:v>
                </c:pt>
                <c:pt idx="434">
                  <c:v>#N/A</c:v>
                </c:pt>
                <c:pt idx="435">
                  <c:v>#N/A</c:v>
                </c:pt>
                <c:pt idx="436">
                  <c:v>#N/A</c:v>
                </c:pt>
                <c:pt idx="437">
                  <c:v>#N/A</c:v>
                </c:pt>
                <c:pt idx="438">
                  <c:v>#N/A</c:v>
                </c:pt>
                <c:pt idx="439">
                  <c:v>2026</c:v>
                </c:pt>
                <c:pt idx="440">
                  <c:v>#N/A</c:v>
                </c:pt>
                <c:pt idx="441">
                  <c:v>#N/A</c:v>
                </c:pt>
                <c:pt idx="442">
                  <c:v>#N/A</c:v>
                </c:pt>
                <c:pt idx="443">
                  <c:v>#N/A</c:v>
                </c:pt>
                <c:pt idx="444">
                  <c:v>#N/A</c:v>
                </c:pt>
                <c:pt idx="445">
                  <c:v>#N/A</c:v>
                </c:pt>
                <c:pt idx="446">
                  <c:v>#N/A</c:v>
                </c:pt>
                <c:pt idx="447">
                  <c:v>#N/A</c:v>
                </c:pt>
                <c:pt idx="448">
                  <c:v>#N/A</c:v>
                </c:pt>
                <c:pt idx="449">
                  <c:v>2022</c:v>
                </c:pt>
                <c:pt idx="450">
                  <c:v>#N/A</c:v>
                </c:pt>
                <c:pt idx="451">
                  <c:v>#N/A</c:v>
                </c:pt>
                <c:pt idx="452">
                  <c:v>#N/A</c:v>
                </c:pt>
                <c:pt idx="453">
                  <c:v>#N/A</c:v>
                </c:pt>
                <c:pt idx="454">
                  <c:v>#N/A</c:v>
                </c:pt>
                <c:pt idx="455">
                  <c:v>2024</c:v>
                </c:pt>
                <c:pt idx="456">
                  <c:v>#N/A</c:v>
                </c:pt>
                <c:pt idx="457">
                  <c:v>#N/A</c:v>
                </c:pt>
                <c:pt idx="458">
                  <c:v>2026</c:v>
                </c:pt>
                <c:pt idx="459">
                  <c:v>#N/A</c:v>
                </c:pt>
                <c:pt idx="460">
                  <c:v>2024</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2024</c:v>
                </c:pt>
                <c:pt idx="499">
                  <c:v>#N/A</c:v>
                </c:pt>
                <c:pt idx="500">
                  <c:v>#N/A</c:v>
                </c:pt>
                <c:pt idx="501">
                  <c:v>#N/A</c:v>
                </c:pt>
                <c:pt idx="502">
                  <c:v>#N/A</c:v>
                </c:pt>
                <c:pt idx="503">
                  <c:v>#N/A</c:v>
                </c:pt>
                <c:pt idx="504">
                  <c:v>#N/A</c:v>
                </c:pt>
                <c:pt idx="505">
                  <c:v>#N/A</c:v>
                </c:pt>
                <c:pt idx="506">
                  <c:v>#N/A</c:v>
                </c:pt>
                <c:pt idx="507">
                  <c:v>#N/A</c:v>
                </c:pt>
                <c:pt idx="508">
                  <c:v>#N/A</c:v>
                </c:pt>
                <c:pt idx="509">
                  <c:v>#N/A</c:v>
                </c:pt>
                <c:pt idx="510">
                  <c:v>2024</c:v>
                </c:pt>
                <c:pt idx="511">
                  <c:v>#N/A</c:v>
                </c:pt>
                <c:pt idx="512">
                  <c:v>#N/A</c:v>
                </c:pt>
                <c:pt idx="513">
                  <c:v>#N/A</c:v>
                </c:pt>
                <c:pt idx="514">
                  <c:v>#N/A</c:v>
                </c:pt>
                <c:pt idx="515">
                  <c:v>2025</c:v>
                </c:pt>
                <c:pt idx="516">
                  <c:v>#N/A</c:v>
                </c:pt>
                <c:pt idx="517">
                  <c:v>2025</c:v>
                </c:pt>
                <c:pt idx="518">
                  <c:v>#N/A</c:v>
                </c:pt>
                <c:pt idx="519">
                  <c:v>#N/A</c:v>
                </c:pt>
                <c:pt idx="520">
                  <c:v>2024</c:v>
                </c:pt>
                <c:pt idx="521">
                  <c:v>#N/A</c:v>
                </c:pt>
                <c:pt idx="522">
                  <c:v>#N/A</c:v>
                </c:pt>
                <c:pt idx="523">
                  <c:v>2026</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2025</c:v>
                </c:pt>
                <c:pt idx="542">
                  <c:v>#N/A</c:v>
                </c:pt>
                <c:pt idx="543">
                  <c:v>#N/A</c:v>
                </c:pt>
                <c:pt idx="544">
                  <c:v>#N/A</c:v>
                </c:pt>
                <c:pt idx="545">
                  <c:v>#N/A</c:v>
                </c:pt>
                <c:pt idx="546">
                  <c:v>#N/A</c:v>
                </c:pt>
                <c:pt idx="547">
                  <c:v>2025</c:v>
                </c:pt>
                <c:pt idx="548">
                  <c:v>#N/A</c:v>
                </c:pt>
                <c:pt idx="549">
                  <c:v>#N/A</c:v>
                </c:pt>
                <c:pt idx="550">
                  <c:v>#N/A</c:v>
                </c:pt>
                <c:pt idx="551">
                  <c:v>#N/A</c:v>
                </c:pt>
                <c:pt idx="552">
                  <c:v>2021</c:v>
                </c:pt>
                <c:pt idx="553">
                  <c:v>#N/A</c:v>
                </c:pt>
                <c:pt idx="554">
                  <c:v>#N/A</c:v>
                </c:pt>
                <c:pt idx="555">
                  <c:v>#N/A</c:v>
                </c:pt>
                <c:pt idx="556">
                  <c:v>#N/A</c:v>
                </c:pt>
                <c:pt idx="557">
                  <c:v>#N/A</c:v>
                </c:pt>
                <c:pt idx="558">
                  <c:v>#N/A</c:v>
                </c:pt>
                <c:pt idx="559">
                  <c:v>#N/A</c:v>
                </c:pt>
                <c:pt idx="560">
                  <c:v>#N/A</c:v>
                </c:pt>
                <c:pt idx="561">
                  <c:v>2022</c:v>
                </c:pt>
                <c:pt idx="562">
                  <c:v>#N/A</c:v>
                </c:pt>
                <c:pt idx="563">
                  <c:v>#N/A</c:v>
                </c:pt>
                <c:pt idx="564">
                  <c:v>#N/A</c:v>
                </c:pt>
                <c:pt idx="565">
                  <c:v>#N/A</c:v>
                </c:pt>
                <c:pt idx="566">
                  <c:v>#N/A</c:v>
                </c:pt>
                <c:pt idx="567">
                  <c:v>2026</c:v>
                </c:pt>
                <c:pt idx="568">
                  <c:v>2021</c:v>
                </c:pt>
                <c:pt idx="569">
                  <c:v>2026</c:v>
                </c:pt>
                <c:pt idx="570">
                  <c:v>#N/A</c:v>
                </c:pt>
                <c:pt idx="571">
                  <c:v>#N/A</c:v>
                </c:pt>
                <c:pt idx="572">
                  <c:v>#N/A</c:v>
                </c:pt>
                <c:pt idx="573">
                  <c:v>#N/A</c:v>
                </c:pt>
                <c:pt idx="574">
                  <c:v>#N/A</c:v>
                </c:pt>
                <c:pt idx="575">
                  <c:v>#N/A</c:v>
                </c:pt>
                <c:pt idx="576">
                  <c:v>#N/A</c:v>
                </c:pt>
                <c:pt idx="577">
                  <c:v>2024</c:v>
                </c:pt>
                <c:pt idx="578">
                  <c:v>2025</c:v>
                </c:pt>
                <c:pt idx="579">
                  <c:v>2020</c:v>
                </c:pt>
                <c:pt idx="580">
                  <c:v>#N/A</c:v>
                </c:pt>
                <c:pt idx="581">
                  <c:v>#N/A</c:v>
                </c:pt>
                <c:pt idx="582">
                  <c:v>2026</c:v>
                </c:pt>
                <c:pt idx="583">
                  <c:v>#N/A</c:v>
                </c:pt>
                <c:pt idx="584">
                  <c:v>#N/A</c:v>
                </c:pt>
                <c:pt idx="585">
                  <c:v>#N/A</c:v>
                </c:pt>
                <c:pt idx="586">
                  <c:v>#N/A</c:v>
                </c:pt>
                <c:pt idx="587">
                  <c:v>#N/A</c:v>
                </c:pt>
                <c:pt idx="588">
                  <c:v>#N/A</c:v>
                </c:pt>
                <c:pt idx="589">
                  <c:v>2024</c:v>
                </c:pt>
                <c:pt idx="590">
                  <c:v>#N/A</c:v>
                </c:pt>
                <c:pt idx="591">
                  <c:v>#N/A</c:v>
                </c:pt>
                <c:pt idx="592">
                  <c:v>#N/A</c:v>
                </c:pt>
                <c:pt idx="593">
                  <c:v>#N/A</c:v>
                </c:pt>
                <c:pt idx="594">
                  <c:v>#N/A</c:v>
                </c:pt>
                <c:pt idx="595">
                  <c:v>#N/A</c:v>
                </c:pt>
                <c:pt idx="596">
                  <c:v>#N/A</c:v>
                </c:pt>
                <c:pt idx="597">
                  <c:v>#N/A</c:v>
                </c:pt>
                <c:pt idx="598">
                  <c:v>#N/A</c:v>
                </c:pt>
                <c:pt idx="599">
                  <c:v>#N/A</c:v>
                </c:pt>
                <c:pt idx="600">
                  <c:v>#N/A</c:v>
                </c:pt>
                <c:pt idx="601">
                  <c:v>2015</c:v>
                </c:pt>
                <c:pt idx="602">
                  <c:v>#N/A</c:v>
                </c:pt>
                <c:pt idx="603">
                  <c:v>#N/A</c:v>
                </c:pt>
                <c:pt idx="604">
                  <c:v>#N/A</c:v>
                </c:pt>
                <c:pt idx="605">
                  <c:v>#N/A</c:v>
                </c:pt>
                <c:pt idx="606">
                  <c:v>#N/A</c:v>
                </c:pt>
                <c:pt idx="607">
                  <c:v>#N/A</c:v>
                </c:pt>
                <c:pt idx="608">
                  <c:v>#N/A</c:v>
                </c:pt>
                <c:pt idx="609">
                  <c:v>#N/A</c:v>
                </c:pt>
                <c:pt idx="610">
                  <c:v>#N/A</c:v>
                </c:pt>
                <c:pt idx="611">
                  <c:v>#N/A</c:v>
                </c:pt>
                <c:pt idx="612">
                  <c:v>#N/A</c:v>
                </c:pt>
                <c:pt idx="613">
                  <c:v>2020</c:v>
                </c:pt>
                <c:pt idx="614">
                  <c:v>#N/A</c:v>
                </c:pt>
                <c:pt idx="615">
                  <c:v>#N/A</c:v>
                </c:pt>
                <c:pt idx="616">
                  <c:v>#N/A</c:v>
                </c:pt>
                <c:pt idx="617">
                  <c:v>#N/A</c:v>
                </c:pt>
                <c:pt idx="618">
                  <c:v>#N/A</c:v>
                </c:pt>
                <c:pt idx="619">
                  <c:v>2014</c:v>
                </c:pt>
                <c:pt idx="620">
                  <c:v>#N/A</c:v>
                </c:pt>
                <c:pt idx="621">
                  <c:v>#N/A</c:v>
                </c:pt>
                <c:pt idx="622">
                  <c:v>#N/A</c:v>
                </c:pt>
                <c:pt idx="623">
                  <c:v>2024</c:v>
                </c:pt>
                <c:pt idx="624">
                  <c:v>#N/A</c:v>
                </c:pt>
                <c:pt idx="625">
                  <c:v>#N/A</c:v>
                </c:pt>
                <c:pt idx="626">
                  <c:v>#N/A</c:v>
                </c:pt>
                <c:pt idx="627">
                  <c:v>#N/A</c:v>
                </c:pt>
                <c:pt idx="628">
                  <c:v>#N/A</c:v>
                </c:pt>
                <c:pt idx="629">
                  <c:v>#N/A</c:v>
                </c:pt>
                <c:pt idx="630">
                  <c:v>#N/A</c:v>
                </c:pt>
                <c:pt idx="631">
                  <c:v>2021</c:v>
                </c:pt>
                <c:pt idx="632">
                  <c:v>2022</c:v>
                </c:pt>
                <c:pt idx="633">
                  <c:v>#N/A</c:v>
                </c:pt>
                <c:pt idx="634">
                  <c:v>2016</c:v>
                </c:pt>
                <c:pt idx="635">
                  <c:v>#N/A</c:v>
                </c:pt>
                <c:pt idx="636">
                  <c:v>#N/A</c:v>
                </c:pt>
                <c:pt idx="637">
                  <c:v>#N/A</c:v>
                </c:pt>
                <c:pt idx="638">
                  <c:v>#N/A</c:v>
                </c:pt>
                <c:pt idx="639">
                  <c:v>#N/A</c:v>
                </c:pt>
                <c:pt idx="640">
                  <c:v>2022</c:v>
                </c:pt>
                <c:pt idx="641">
                  <c:v>2021</c:v>
                </c:pt>
                <c:pt idx="642">
                  <c:v>2024</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2025</c:v>
                </c:pt>
                <c:pt idx="659">
                  <c:v>#N/A</c:v>
                </c:pt>
                <c:pt idx="660">
                  <c:v>#N/A</c:v>
                </c:pt>
                <c:pt idx="661">
                  <c:v>#N/A</c:v>
                </c:pt>
                <c:pt idx="662">
                  <c:v>#N/A</c:v>
                </c:pt>
                <c:pt idx="663">
                  <c:v>2025</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2023</c:v>
                </c:pt>
                <c:pt idx="678">
                  <c:v>#N/A</c:v>
                </c:pt>
                <c:pt idx="679">
                  <c:v>2022</c:v>
                </c:pt>
                <c:pt idx="680">
                  <c:v>#N/A</c:v>
                </c:pt>
                <c:pt idx="681">
                  <c:v>#N/A</c:v>
                </c:pt>
                <c:pt idx="682">
                  <c:v>#N/A</c:v>
                </c:pt>
                <c:pt idx="683">
                  <c:v>2026</c:v>
                </c:pt>
                <c:pt idx="684">
                  <c:v>#N/A</c:v>
                </c:pt>
                <c:pt idx="685">
                  <c:v>#N/A</c:v>
                </c:pt>
                <c:pt idx="686">
                  <c:v>#N/A</c:v>
                </c:pt>
                <c:pt idx="687">
                  <c:v>#N/A</c:v>
                </c:pt>
                <c:pt idx="688">
                  <c:v>#N/A</c:v>
                </c:pt>
                <c:pt idx="689">
                  <c:v>#N/A</c:v>
                </c:pt>
                <c:pt idx="690">
                  <c:v>#N/A</c:v>
                </c:pt>
                <c:pt idx="691">
                  <c:v>#N/A</c:v>
                </c:pt>
                <c:pt idx="692">
                  <c:v>2018</c:v>
                </c:pt>
                <c:pt idx="693">
                  <c:v>#N/A</c:v>
                </c:pt>
                <c:pt idx="694">
                  <c:v>#N/A</c:v>
                </c:pt>
                <c:pt idx="695">
                  <c:v>#N/A</c:v>
                </c:pt>
                <c:pt idx="696">
                  <c:v>#N/A</c:v>
                </c:pt>
                <c:pt idx="697">
                  <c:v>#N/A</c:v>
                </c:pt>
                <c:pt idx="698">
                  <c:v>#N/A</c:v>
                </c:pt>
                <c:pt idx="699">
                  <c:v>#N/A</c:v>
                </c:pt>
                <c:pt idx="700">
                  <c:v>2025</c:v>
                </c:pt>
                <c:pt idx="701">
                  <c:v>#N/A</c:v>
                </c:pt>
                <c:pt idx="702">
                  <c:v>#N/A</c:v>
                </c:pt>
                <c:pt idx="703">
                  <c:v>#N/A</c:v>
                </c:pt>
                <c:pt idx="704">
                  <c:v>#N/A</c:v>
                </c:pt>
                <c:pt idx="705">
                  <c:v>#N/A</c:v>
                </c:pt>
                <c:pt idx="706">
                  <c:v>#N/A</c:v>
                </c:pt>
                <c:pt idx="707">
                  <c:v>#N/A</c:v>
                </c:pt>
                <c:pt idx="708">
                  <c:v>2024</c:v>
                </c:pt>
                <c:pt idx="709">
                  <c:v>#N/A</c:v>
                </c:pt>
                <c:pt idx="710">
                  <c:v>#N/A</c:v>
                </c:pt>
                <c:pt idx="711">
                  <c:v>2023</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2020</c:v>
                </c:pt>
                <c:pt idx="725">
                  <c:v>#N/A</c:v>
                </c:pt>
                <c:pt idx="726">
                  <c:v>#N/A</c:v>
                </c:pt>
                <c:pt idx="727">
                  <c:v>#N/A</c:v>
                </c:pt>
                <c:pt idx="728">
                  <c:v>#N/A</c:v>
                </c:pt>
                <c:pt idx="729">
                  <c:v>#N/A</c:v>
                </c:pt>
                <c:pt idx="730">
                  <c:v>#N/A</c:v>
                </c:pt>
                <c:pt idx="731">
                  <c:v>#N/A</c:v>
                </c:pt>
                <c:pt idx="732">
                  <c:v>2023</c:v>
                </c:pt>
                <c:pt idx="733">
                  <c:v>#N/A</c:v>
                </c:pt>
                <c:pt idx="734">
                  <c:v>2002</c:v>
                </c:pt>
                <c:pt idx="735">
                  <c:v>#N/A</c:v>
                </c:pt>
                <c:pt idx="736">
                  <c:v>#N/A</c:v>
                </c:pt>
                <c:pt idx="737">
                  <c:v>#N/A</c:v>
                </c:pt>
                <c:pt idx="738">
                  <c:v>2015</c:v>
                </c:pt>
                <c:pt idx="739">
                  <c:v>2021</c:v>
                </c:pt>
                <c:pt idx="740">
                  <c:v>#N/A</c:v>
                </c:pt>
                <c:pt idx="741">
                  <c:v>2025</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2026</c:v>
                </c:pt>
                <c:pt idx="756">
                  <c:v>#N/A</c:v>
                </c:pt>
                <c:pt idx="757">
                  <c:v>#N/A</c:v>
                </c:pt>
                <c:pt idx="758">
                  <c:v>#N/A</c:v>
                </c:pt>
                <c:pt idx="759">
                  <c:v>#N/A</c:v>
                </c:pt>
                <c:pt idx="760">
                  <c:v>#N/A</c:v>
                </c:pt>
                <c:pt idx="761">
                  <c:v>2026</c:v>
                </c:pt>
                <c:pt idx="762">
                  <c:v>#N/A</c:v>
                </c:pt>
                <c:pt idx="763">
                  <c:v>#N/A</c:v>
                </c:pt>
                <c:pt idx="764">
                  <c:v>2019</c:v>
                </c:pt>
                <c:pt idx="765">
                  <c:v>#N/A</c:v>
                </c:pt>
                <c:pt idx="766">
                  <c:v>#N/A</c:v>
                </c:pt>
                <c:pt idx="767">
                  <c:v>#N/A</c:v>
                </c:pt>
                <c:pt idx="768">
                  <c:v>2022</c:v>
                </c:pt>
                <c:pt idx="769">
                  <c:v>#N/A</c:v>
                </c:pt>
                <c:pt idx="770">
                  <c:v>#N/A</c:v>
                </c:pt>
                <c:pt idx="771">
                  <c:v>2025</c:v>
                </c:pt>
                <c:pt idx="772">
                  <c:v>#N/A</c:v>
                </c:pt>
                <c:pt idx="773">
                  <c:v>#N/A</c:v>
                </c:pt>
                <c:pt idx="774">
                  <c:v>#N/A</c:v>
                </c:pt>
                <c:pt idx="775">
                  <c:v>#N/A</c:v>
                </c:pt>
                <c:pt idx="776">
                  <c:v>#N/A</c:v>
                </c:pt>
                <c:pt idx="777">
                  <c:v>#N/A</c:v>
                </c:pt>
                <c:pt idx="778">
                  <c:v>#N/A</c:v>
                </c:pt>
                <c:pt idx="779">
                  <c:v>#N/A</c:v>
                </c:pt>
                <c:pt idx="780">
                  <c:v>2025</c:v>
                </c:pt>
                <c:pt idx="781">
                  <c:v>2024</c:v>
                </c:pt>
                <c:pt idx="782">
                  <c:v>#N/A</c:v>
                </c:pt>
                <c:pt idx="783">
                  <c:v>2021</c:v>
                </c:pt>
                <c:pt idx="784">
                  <c:v>2019</c:v>
                </c:pt>
                <c:pt idx="785">
                  <c:v>#N/A</c:v>
                </c:pt>
                <c:pt idx="786">
                  <c:v>#N/A</c:v>
                </c:pt>
                <c:pt idx="787">
                  <c:v>#N/A</c:v>
                </c:pt>
                <c:pt idx="788">
                  <c:v>2023</c:v>
                </c:pt>
                <c:pt idx="789">
                  <c:v>#N/A</c:v>
                </c:pt>
                <c:pt idx="790">
                  <c:v>#N/A</c:v>
                </c:pt>
                <c:pt idx="791">
                  <c:v>#N/A</c:v>
                </c:pt>
                <c:pt idx="792">
                  <c:v>#N/A</c:v>
                </c:pt>
                <c:pt idx="793">
                  <c:v>#N/A</c:v>
                </c:pt>
                <c:pt idx="794">
                  <c:v>#N/A</c:v>
                </c:pt>
                <c:pt idx="795">
                  <c:v>#N/A</c:v>
                </c:pt>
                <c:pt idx="796">
                  <c:v>2025</c:v>
                </c:pt>
                <c:pt idx="797">
                  <c:v>#N/A</c:v>
                </c:pt>
                <c:pt idx="798">
                  <c:v>#N/A</c:v>
                </c:pt>
                <c:pt idx="799">
                  <c:v>#N/A</c:v>
                </c:pt>
                <c:pt idx="800">
                  <c:v>#N/A</c:v>
                </c:pt>
                <c:pt idx="801">
                  <c:v>#N/A</c:v>
                </c:pt>
                <c:pt idx="802">
                  <c:v>#N/A</c:v>
                </c:pt>
                <c:pt idx="803">
                  <c:v>2022</c:v>
                </c:pt>
                <c:pt idx="804">
                  <c:v>#N/A</c:v>
                </c:pt>
                <c:pt idx="805">
                  <c:v>#N/A</c:v>
                </c:pt>
                <c:pt idx="806">
                  <c:v>#N/A</c:v>
                </c:pt>
                <c:pt idx="807">
                  <c:v>#N/A</c:v>
                </c:pt>
                <c:pt idx="808">
                  <c:v>#N/A</c:v>
                </c:pt>
                <c:pt idx="809">
                  <c:v>#N/A</c:v>
                </c:pt>
                <c:pt idx="810">
                  <c:v>#N/A</c:v>
                </c:pt>
                <c:pt idx="811">
                  <c:v>#N/A</c:v>
                </c:pt>
                <c:pt idx="812">
                  <c:v>#N/A</c:v>
                </c:pt>
                <c:pt idx="813">
                  <c:v>#N/A</c:v>
                </c:pt>
                <c:pt idx="814">
                  <c:v>2025</c:v>
                </c:pt>
                <c:pt idx="815">
                  <c:v>#N/A</c:v>
                </c:pt>
                <c:pt idx="816">
                  <c:v>2024</c:v>
                </c:pt>
                <c:pt idx="817">
                  <c:v>#N/A</c:v>
                </c:pt>
                <c:pt idx="818">
                  <c:v>#N/A</c:v>
                </c:pt>
                <c:pt idx="819">
                  <c:v>#N/A</c:v>
                </c:pt>
                <c:pt idx="820">
                  <c:v>#N/A</c:v>
                </c:pt>
                <c:pt idx="821">
                  <c:v>2024</c:v>
                </c:pt>
                <c:pt idx="822">
                  <c:v>#N/A</c:v>
                </c:pt>
                <c:pt idx="823">
                  <c:v>#N/A</c:v>
                </c:pt>
                <c:pt idx="824">
                  <c:v>#N/A</c:v>
                </c:pt>
                <c:pt idx="825">
                  <c:v>#N/A</c:v>
                </c:pt>
                <c:pt idx="826">
                  <c:v>#N/A</c:v>
                </c:pt>
                <c:pt idx="827">
                  <c:v>#N/A</c:v>
                </c:pt>
                <c:pt idx="828">
                  <c:v>#N/A</c:v>
                </c:pt>
                <c:pt idx="829">
                  <c:v>2021</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2024</c:v>
                </c:pt>
                <c:pt idx="849">
                  <c:v>#N/A</c:v>
                </c:pt>
                <c:pt idx="850">
                  <c:v>#N/A</c:v>
                </c:pt>
                <c:pt idx="851">
                  <c:v>#N/A</c:v>
                </c:pt>
                <c:pt idx="852">
                  <c:v>#N/A</c:v>
                </c:pt>
                <c:pt idx="853">
                  <c:v>2023</c:v>
                </c:pt>
                <c:pt idx="854">
                  <c:v>2025</c:v>
                </c:pt>
                <c:pt idx="855">
                  <c:v>#N/A</c:v>
                </c:pt>
                <c:pt idx="856">
                  <c:v>#N/A</c:v>
                </c:pt>
                <c:pt idx="857">
                  <c:v>#N/A</c:v>
                </c:pt>
                <c:pt idx="858">
                  <c:v>#N/A</c:v>
                </c:pt>
                <c:pt idx="859">
                  <c:v>2017</c:v>
                </c:pt>
                <c:pt idx="860">
                  <c:v>#N/A</c:v>
                </c:pt>
                <c:pt idx="861">
                  <c:v>2012</c:v>
                </c:pt>
                <c:pt idx="862">
                  <c:v>#N/A</c:v>
                </c:pt>
                <c:pt idx="863">
                  <c:v>2005</c:v>
                </c:pt>
                <c:pt idx="864">
                  <c:v>#N/A</c:v>
                </c:pt>
                <c:pt idx="865">
                  <c:v>#N/A</c:v>
                </c:pt>
                <c:pt idx="866">
                  <c:v>#N/A</c:v>
                </c:pt>
                <c:pt idx="867">
                  <c:v>#N/A</c:v>
                </c:pt>
                <c:pt idx="868">
                  <c:v>2019</c:v>
                </c:pt>
                <c:pt idx="869">
                  <c:v>#N/A</c:v>
                </c:pt>
                <c:pt idx="870">
                  <c:v>#N/A</c:v>
                </c:pt>
                <c:pt idx="871">
                  <c:v>#N/A</c:v>
                </c:pt>
                <c:pt idx="872">
                  <c:v>2026</c:v>
                </c:pt>
                <c:pt idx="873">
                  <c:v>#N/A</c:v>
                </c:pt>
                <c:pt idx="874">
                  <c:v>#N/A</c:v>
                </c:pt>
                <c:pt idx="875">
                  <c:v>#N/A</c:v>
                </c:pt>
                <c:pt idx="876">
                  <c:v>#N/A</c:v>
                </c:pt>
                <c:pt idx="877">
                  <c:v>2021</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numCache>
            </c:numRef>
          </c:xVal>
          <c:yVal>
            <c:numRef>
              <c:f>'Map Calc'!$J$1:$J$950</c:f>
              <c:numCache>
                <c:formatCode>General</c:formatCode>
                <c:ptCount val="950"/>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2.3449999999999998</c:v>
                </c:pt>
                <c:pt idx="15">
                  <c:v>#N/A</c:v>
                </c:pt>
                <c:pt idx="16">
                  <c:v>#N/A</c:v>
                </c:pt>
                <c:pt idx="17">
                  <c:v>#N/A</c:v>
                </c:pt>
                <c:pt idx="18">
                  <c:v>#N/A</c:v>
                </c:pt>
                <c:pt idx="19">
                  <c:v>#N/A</c:v>
                </c:pt>
                <c:pt idx="20">
                  <c:v>2.4830000000000001</c:v>
                </c:pt>
                <c:pt idx="21">
                  <c:v>#N/A</c:v>
                </c:pt>
                <c:pt idx="22">
                  <c:v>#N/A</c:v>
                </c:pt>
                <c:pt idx="23">
                  <c:v>#N/A</c:v>
                </c:pt>
                <c:pt idx="24">
                  <c:v>#N/A</c:v>
                </c:pt>
                <c:pt idx="25">
                  <c:v>#N/A</c:v>
                </c:pt>
                <c:pt idx="26">
                  <c:v>2.621</c:v>
                </c:pt>
                <c:pt idx="27">
                  <c:v>2.6440000000000001</c:v>
                </c:pt>
                <c:pt idx="28">
                  <c:v>2.6669999999999998</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2.2759999999999998</c:v>
                </c:pt>
                <c:pt idx="46">
                  <c:v>#N/A</c:v>
                </c:pt>
                <c:pt idx="47">
                  <c:v>#N/A</c:v>
                </c:pt>
                <c:pt idx="48">
                  <c:v>#N/A</c:v>
                </c:pt>
                <c:pt idx="49">
                  <c:v>2.3679999999999999</c:v>
                </c:pt>
                <c:pt idx="50">
                  <c:v>2.391</c:v>
                </c:pt>
                <c:pt idx="51">
                  <c:v>#N/A</c:v>
                </c:pt>
                <c:pt idx="52">
                  <c:v>2.4369999999999998</c:v>
                </c:pt>
                <c:pt idx="53">
                  <c:v>#N/A</c:v>
                </c:pt>
                <c:pt idx="54">
                  <c:v>2.4830000000000001</c:v>
                </c:pt>
                <c:pt idx="55">
                  <c:v>#N/A</c:v>
                </c:pt>
                <c:pt idx="56">
                  <c:v>2.5289999999999999</c:v>
                </c:pt>
                <c:pt idx="57">
                  <c:v>#N/A</c:v>
                </c:pt>
                <c:pt idx="58">
                  <c:v>#N/A</c:v>
                </c:pt>
                <c:pt idx="59">
                  <c:v>#N/A</c:v>
                </c:pt>
                <c:pt idx="60">
                  <c:v>2.621</c:v>
                </c:pt>
                <c:pt idx="61">
                  <c:v>#N/A</c:v>
                </c:pt>
                <c:pt idx="62">
                  <c:v>#N/A</c:v>
                </c:pt>
                <c:pt idx="63">
                  <c:v>#N/A</c:v>
                </c:pt>
                <c:pt idx="64">
                  <c:v>2.7130000000000001</c:v>
                </c:pt>
                <c:pt idx="65">
                  <c:v>2.7359999999999998</c:v>
                </c:pt>
                <c:pt idx="66">
                  <c:v>#N/A</c:v>
                </c:pt>
                <c:pt idx="67">
                  <c:v>#N/A</c:v>
                </c:pt>
                <c:pt idx="68">
                  <c:v>#N/A</c:v>
                </c:pt>
                <c:pt idx="69">
                  <c:v>#N/A</c:v>
                </c:pt>
                <c:pt idx="70">
                  <c:v>2.069</c:v>
                </c:pt>
                <c:pt idx="71">
                  <c:v>#N/A</c:v>
                </c:pt>
                <c:pt idx="72">
                  <c:v>#N/A</c:v>
                </c:pt>
                <c:pt idx="73">
                  <c:v>#N/A</c:v>
                </c:pt>
                <c:pt idx="74">
                  <c:v>#N/A</c:v>
                </c:pt>
                <c:pt idx="75">
                  <c:v>#N/A</c:v>
                </c:pt>
                <c:pt idx="76">
                  <c:v>#N/A</c:v>
                </c:pt>
                <c:pt idx="77">
                  <c:v>#N/A</c:v>
                </c:pt>
                <c:pt idx="78">
                  <c:v>#N/A</c:v>
                </c:pt>
                <c:pt idx="79">
                  <c:v>#N/A</c:v>
                </c:pt>
                <c:pt idx="80">
                  <c:v>2.2989999999999999</c:v>
                </c:pt>
                <c:pt idx="81">
                  <c:v>2.3220000000000001</c:v>
                </c:pt>
                <c:pt idx="82">
                  <c:v>#N/A</c:v>
                </c:pt>
                <c:pt idx="83">
                  <c:v>#N/A</c:v>
                </c:pt>
                <c:pt idx="84">
                  <c:v>2.391</c:v>
                </c:pt>
                <c:pt idx="85">
                  <c:v>2.4140000000000001</c:v>
                </c:pt>
                <c:pt idx="86">
                  <c:v>#N/A</c:v>
                </c:pt>
                <c:pt idx="87">
                  <c:v>#N/A</c:v>
                </c:pt>
                <c:pt idx="88">
                  <c:v>#N/A</c:v>
                </c:pt>
                <c:pt idx="89">
                  <c:v>#N/A</c:v>
                </c:pt>
                <c:pt idx="90">
                  <c:v>#N/A</c:v>
                </c:pt>
                <c:pt idx="91">
                  <c:v>#N/A</c:v>
                </c:pt>
                <c:pt idx="92">
                  <c:v>#N/A</c:v>
                </c:pt>
                <c:pt idx="93">
                  <c:v>#N/A</c:v>
                </c:pt>
                <c:pt idx="94">
                  <c:v>#N/A</c:v>
                </c:pt>
                <c:pt idx="95">
                  <c:v>#N/A</c:v>
                </c:pt>
                <c:pt idx="96">
                  <c:v>2.6669999999999998</c:v>
                </c:pt>
                <c:pt idx="97">
                  <c:v>#N/A</c:v>
                </c:pt>
                <c:pt idx="98">
                  <c:v>2.7130000000000001</c:v>
                </c:pt>
                <c:pt idx="99">
                  <c:v>2.7359999999999998</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2.391</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2.7130000000000001</c:v>
                </c:pt>
                <c:pt idx="133">
                  <c:v>2.7359999999999998</c:v>
                </c:pt>
                <c:pt idx="134">
                  <c:v>#N/A</c:v>
                </c:pt>
                <c:pt idx="135">
                  <c:v>2</c:v>
                </c:pt>
                <c:pt idx="136">
                  <c:v>#N/A</c:v>
                </c:pt>
                <c:pt idx="137">
                  <c:v>#N/A</c:v>
                </c:pt>
                <c:pt idx="138">
                  <c:v>#N/A</c:v>
                </c:pt>
                <c:pt idx="139">
                  <c:v>#N/A</c:v>
                </c:pt>
                <c:pt idx="140">
                  <c:v>2.1150000000000002</c:v>
                </c:pt>
                <c:pt idx="141">
                  <c:v>#N/A</c:v>
                </c:pt>
                <c:pt idx="142">
                  <c:v>#N/A</c:v>
                </c:pt>
                <c:pt idx="143">
                  <c:v>2.1840000000000002</c:v>
                </c:pt>
                <c:pt idx="144">
                  <c:v>2.2069999999999999</c:v>
                </c:pt>
                <c:pt idx="145">
                  <c:v>#N/A</c:v>
                </c:pt>
                <c:pt idx="146">
                  <c:v>#N/A</c:v>
                </c:pt>
                <c:pt idx="147">
                  <c:v>#N/A</c:v>
                </c:pt>
                <c:pt idx="148">
                  <c:v>#N/A</c:v>
                </c:pt>
                <c:pt idx="149">
                  <c:v>#N/A</c:v>
                </c:pt>
                <c:pt idx="150">
                  <c:v>#N/A</c:v>
                </c:pt>
                <c:pt idx="151">
                  <c:v>#N/A</c:v>
                </c:pt>
                <c:pt idx="152">
                  <c:v>#N/A</c:v>
                </c:pt>
                <c:pt idx="153">
                  <c:v>2.4140000000000001</c:v>
                </c:pt>
                <c:pt idx="154">
                  <c:v>#N/A</c:v>
                </c:pt>
                <c:pt idx="155">
                  <c:v>2.46</c:v>
                </c:pt>
                <c:pt idx="156">
                  <c:v>#N/A</c:v>
                </c:pt>
                <c:pt idx="157">
                  <c:v>#N/A</c:v>
                </c:pt>
                <c:pt idx="158">
                  <c:v>#N/A</c:v>
                </c:pt>
                <c:pt idx="159">
                  <c:v>#N/A</c:v>
                </c:pt>
                <c:pt idx="160">
                  <c:v>#N/A</c:v>
                </c:pt>
                <c:pt idx="161">
                  <c:v>#N/A</c:v>
                </c:pt>
                <c:pt idx="162">
                  <c:v>#N/A</c:v>
                </c:pt>
                <c:pt idx="163">
                  <c:v>2.6440000000000001</c:v>
                </c:pt>
                <c:pt idx="164">
                  <c:v>#N/A</c:v>
                </c:pt>
                <c:pt idx="165">
                  <c:v>2.69</c:v>
                </c:pt>
                <c:pt idx="166">
                  <c:v>2.7130000000000001</c:v>
                </c:pt>
                <c:pt idx="167">
                  <c:v>#N/A</c:v>
                </c:pt>
                <c:pt idx="168">
                  <c:v>#N/A</c:v>
                </c:pt>
                <c:pt idx="169">
                  <c:v>2</c:v>
                </c:pt>
                <c:pt idx="170">
                  <c:v>#N/A</c:v>
                </c:pt>
                <c:pt idx="171">
                  <c:v>#N/A</c:v>
                </c:pt>
                <c:pt idx="172">
                  <c:v>#N/A</c:v>
                </c:pt>
                <c:pt idx="173">
                  <c:v>#N/A</c:v>
                </c:pt>
                <c:pt idx="174">
                  <c:v>2.1150000000000002</c:v>
                </c:pt>
                <c:pt idx="175">
                  <c:v>2.1379999999999999</c:v>
                </c:pt>
                <c:pt idx="176">
                  <c:v>#N/A</c:v>
                </c:pt>
                <c:pt idx="177">
                  <c:v>#N/A</c:v>
                </c:pt>
                <c:pt idx="178">
                  <c:v>#N/A</c:v>
                </c:pt>
                <c:pt idx="179">
                  <c:v>#N/A</c:v>
                </c:pt>
                <c:pt idx="180">
                  <c:v>2.2530000000000001</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2.6440000000000001</c:v>
                </c:pt>
                <c:pt idx="198">
                  <c:v>#N/A</c:v>
                </c:pt>
                <c:pt idx="199">
                  <c:v>2.69</c:v>
                </c:pt>
                <c:pt idx="200">
                  <c:v>#N/A</c:v>
                </c:pt>
                <c:pt idx="201">
                  <c:v>#N/A</c:v>
                </c:pt>
                <c:pt idx="202">
                  <c:v>2.7589999999999999</c:v>
                </c:pt>
                <c:pt idx="203">
                  <c:v>#N/A</c:v>
                </c:pt>
                <c:pt idx="204">
                  <c:v>#N/A</c:v>
                </c:pt>
                <c:pt idx="205">
                  <c:v>#N/A</c:v>
                </c:pt>
                <c:pt idx="206">
                  <c:v>#N/A</c:v>
                </c:pt>
                <c:pt idx="207">
                  <c:v>#N/A</c:v>
                </c:pt>
                <c:pt idx="208">
                  <c:v>#N/A</c:v>
                </c:pt>
                <c:pt idx="209">
                  <c:v>2.1379999999999999</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2.4830000000000001</c:v>
                </c:pt>
                <c:pt idx="225">
                  <c:v>2.5060000000000002</c:v>
                </c:pt>
                <c:pt idx="226">
                  <c:v>#N/A</c:v>
                </c:pt>
                <c:pt idx="227">
                  <c:v>#N/A</c:v>
                </c:pt>
                <c:pt idx="228">
                  <c:v>#N/A</c:v>
                </c:pt>
                <c:pt idx="229">
                  <c:v>#N/A</c:v>
                </c:pt>
                <c:pt idx="230">
                  <c:v>2.621</c:v>
                </c:pt>
                <c:pt idx="231">
                  <c:v>#N/A</c:v>
                </c:pt>
                <c:pt idx="232">
                  <c:v>#N/A</c:v>
                </c:pt>
                <c:pt idx="233">
                  <c:v>#N/A</c:v>
                </c:pt>
                <c:pt idx="234">
                  <c:v>#N/A</c:v>
                </c:pt>
                <c:pt idx="235">
                  <c:v>#N/A</c:v>
                </c:pt>
                <c:pt idx="236">
                  <c:v>#N/A</c:v>
                </c:pt>
                <c:pt idx="237">
                  <c:v>2</c:v>
                </c:pt>
                <c:pt idx="238">
                  <c:v>#N/A</c:v>
                </c:pt>
                <c:pt idx="239">
                  <c:v>#N/A</c:v>
                </c:pt>
                <c:pt idx="240">
                  <c:v>2.069</c:v>
                </c:pt>
                <c:pt idx="241">
                  <c:v>#N/A</c:v>
                </c:pt>
                <c:pt idx="242">
                  <c:v>2.1150000000000002</c:v>
                </c:pt>
                <c:pt idx="243">
                  <c:v>2.1379999999999999</c:v>
                </c:pt>
                <c:pt idx="244">
                  <c:v>#N/A</c:v>
                </c:pt>
                <c:pt idx="245">
                  <c:v>#N/A</c:v>
                </c:pt>
                <c:pt idx="246">
                  <c:v>2.2069999999999999</c:v>
                </c:pt>
                <c:pt idx="247">
                  <c:v>#N/A</c:v>
                </c:pt>
                <c:pt idx="248">
                  <c:v>#N/A</c:v>
                </c:pt>
                <c:pt idx="249">
                  <c:v>#N/A</c:v>
                </c:pt>
                <c:pt idx="250">
                  <c:v>2.2989999999999999</c:v>
                </c:pt>
                <c:pt idx="251">
                  <c:v>#N/A</c:v>
                </c:pt>
                <c:pt idx="252">
                  <c:v>#N/A</c:v>
                </c:pt>
                <c:pt idx="253">
                  <c:v>#N/A</c:v>
                </c:pt>
                <c:pt idx="254">
                  <c:v>#N/A</c:v>
                </c:pt>
                <c:pt idx="255">
                  <c:v>#N/A</c:v>
                </c:pt>
                <c:pt idx="256">
                  <c:v>#N/A</c:v>
                </c:pt>
                <c:pt idx="257">
                  <c:v>2.46</c:v>
                </c:pt>
                <c:pt idx="258">
                  <c:v>2.4830000000000001</c:v>
                </c:pt>
                <c:pt idx="259">
                  <c:v>#N/A</c:v>
                </c:pt>
                <c:pt idx="260">
                  <c:v>#N/A</c:v>
                </c:pt>
                <c:pt idx="261">
                  <c:v>#N/A</c:v>
                </c:pt>
                <c:pt idx="262">
                  <c:v>#N/A</c:v>
                </c:pt>
                <c:pt idx="263">
                  <c:v>#N/A</c:v>
                </c:pt>
                <c:pt idx="264">
                  <c:v>#N/A</c:v>
                </c:pt>
                <c:pt idx="265">
                  <c:v>#N/A</c:v>
                </c:pt>
                <c:pt idx="266">
                  <c:v>2.6669999999999998</c:v>
                </c:pt>
                <c:pt idx="267">
                  <c:v>#N/A</c:v>
                </c:pt>
                <c:pt idx="268">
                  <c:v>#N/A</c:v>
                </c:pt>
                <c:pt idx="269">
                  <c:v>#N/A</c:v>
                </c:pt>
                <c:pt idx="270">
                  <c:v>2.7589999999999999</c:v>
                </c:pt>
                <c:pt idx="271">
                  <c:v>#N/A</c:v>
                </c:pt>
                <c:pt idx="272">
                  <c:v>#N/A</c:v>
                </c:pt>
                <c:pt idx="273">
                  <c:v>#N/A</c:v>
                </c:pt>
                <c:pt idx="274">
                  <c:v>#N/A</c:v>
                </c:pt>
                <c:pt idx="275">
                  <c:v>#N/A</c:v>
                </c:pt>
                <c:pt idx="276">
                  <c:v>#N/A</c:v>
                </c:pt>
                <c:pt idx="277">
                  <c:v>#N/A</c:v>
                </c:pt>
                <c:pt idx="278">
                  <c:v>#N/A</c:v>
                </c:pt>
                <c:pt idx="279">
                  <c:v>#N/A</c:v>
                </c:pt>
                <c:pt idx="280">
                  <c:v>2.2069999999999999</c:v>
                </c:pt>
                <c:pt idx="281">
                  <c:v>2.23</c:v>
                </c:pt>
                <c:pt idx="282">
                  <c:v>#N/A</c:v>
                </c:pt>
                <c:pt idx="283">
                  <c:v>#N/A</c:v>
                </c:pt>
                <c:pt idx="284">
                  <c:v>#N/A</c:v>
                </c:pt>
                <c:pt idx="285">
                  <c:v>#N/A</c:v>
                </c:pt>
                <c:pt idx="286">
                  <c:v>2.3449999999999998</c:v>
                </c:pt>
                <c:pt idx="287">
                  <c:v>#N/A</c:v>
                </c:pt>
                <c:pt idx="288">
                  <c:v>#N/A</c:v>
                </c:pt>
                <c:pt idx="289">
                  <c:v>#N/A</c:v>
                </c:pt>
                <c:pt idx="290">
                  <c:v>2.4369999999999998</c:v>
                </c:pt>
                <c:pt idx="291">
                  <c:v>2.46</c:v>
                </c:pt>
                <c:pt idx="292">
                  <c:v>#N/A</c:v>
                </c:pt>
                <c:pt idx="293">
                  <c:v>#N/A</c:v>
                </c:pt>
                <c:pt idx="294">
                  <c:v>2.5289999999999999</c:v>
                </c:pt>
                <c:pt idx="295">
                  <c:v>#N/A</c:v>
                </c:pt>
                <c:pt idx="296">
                  <c:v>#N/A</c:v>
                </c:pt>
                <c:pt idx="297">
                  <c:v>#N/A</c:v>
                </c:pt>
                <c:pt idx="298">
                  <c:v>2.621</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2.2530000000000001</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2.69</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2.6440000000000001</c:v>
                </c:pt>
                <c:pt idx="368">
                  <c:v>2.6669999999999998</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2.23</c:v>
                </c:pt>
                <c:pt idx="384">
                  <c:v>#N/A</c:v>
                </c:pt>
                <c:pt idx="385">
                  <c:v>2.2759999999999998</c:v>
                </c:pt>
                <c:pt idx="386">
                  <c:v>2.2989999999999999</c:v>
                </c:pt>
                <c:pt idx="387">
                  <c:v>#N/A</c:v>
                </c:pt>
                <c:pt idx="388">
                  <c:v>#N/A</c:v>
                </c:pt>
                <c:pt idx="389">
                  <c:v>2.3679999999999999</c:v>
                </c:pt>
                <c:pt idx="390">
                  <c:v>2.391</c:v>
                </c:pt>
                <c:pt idx="391">
                  <c:v>#N/A</c:v>
                </c:pt>
                <c:pt idx="392">
                  <c:v>2.4369999999999998</c:v>
                </c:pt>
                <c:pt idx="393">
                  <c:v>#N/A</c:v>
                </c:pt>
                <c:pt idx="394">
                  <c:v>#N/A</c:v>
                </c:pt>
                <c:pt idx="395">
                  <c:v>#N/A</c:v>
                </c:pt>
                <c:pt idx="396">
                  <c:v>#N/A</c:v>
                </c:pt>
                <c:pt idx="397">
                  <c:v>#N/A</c:v>
                </c:pt>
                <c:pt idx="398">
                  <c:v>#N/A</c:v>
                </c:pt>
                <c:pt idx="399">
                  <c:v>#N/A</c:v>
                </c:pt>
                <c:pt idx="400">
                  <c:v>2.621</c:v>
                </c:pt>
                <c:pt idx="401">
                  <c:v>#N/A</c:v>
                </c:pt>
                <c:pt idx="402">
                  <c:v>#N/A</c:v>
                </c:pt>
                <c:pt idx="403">
                  <c:v>#N/A</c:v>
                </c:pt>
                <c:pt idx="404">
                  <c:v>#N/A</c:v>
                </c:pt>
                <c:pt idx="405">
                  <c:v>2.7359999999999998</c:v>
                </c:pt>
                <c:pt idx="406">
                  <c:v>#N/A</c:v>
                </c:pt>
                <c:pt idx="407">
                  <c:v>2</c:v>
                </c:pt>
                <c:pt idx="408">
                  <c:v>#N/A</c:v>
                </c:pt>
                <c:pt idx="409">
                  <c:v>2.0459999999999998</c:v>
                </c:pt>
                <c:pt idx="410">
                  <c:v>#N/A</c:v>
                </c:pt>
                <c:pt idx="411">
                  <c:v>#N/A</c:v>
                </c:pt>
                <c:pt idx="412">
                  <c:v>#N/A</c:v>
                </c:pt>
                <c:pt idx="413">
                  <c:v>#N/A</c:v>
                </c:pt>
                <c:pt idx="414">
                  <c:v>#N/A</c:v>
                </c:pt>
                <c:pt idx="415">
                  <c:v>#N/A</c:v>
                </c:pt>
                <c:pt idx="416">
                  <c:v>#N/A</c:v>
                </c:pt>
                <c:pt idx="417">
                  <c:v>2.23</c:v>
                </c:pt>
                <c:pt idx="418">
                  <c:v>2.2530000000000001</c:v>
                </c:pt>
                <c:pt idx="419">
                  <c:v>#N/A</c:v>
                </c:pt>
                <c:pt idx="420">
                  <c:v>#N/A</c:v>
                </c:pt>
                <c:pt idx="421">
                  <c:v>2.3220000000000001</c:v>
                </c:pt>
                <c:pt idx="422">
                  <c:v>#N/A</c:v>
                </c:pt>
                <c:pt idx="423">
                  <c:v>#N/A</c:v>
                </c:pt>
                <c:pt idx="424">
                  <c:v>#N/A</c:v>
                </c:pt>
                <c:pt idx="425">
                  <c:v>2.4140000000000001</c:v>
                </c:pt>
                <c:pt idx="426">
                  <c:v>2.4369999999999998</c:v>
                </c:pt>
                <c:pt idx="427">
                  <c:v>2.46</c:v>
                </c:pt>
                <c:pt idx="428">
                  <c:v>2.4830000000000001</c:v>
                </c:pt>
                <c:pt idx="429">
                  <c:v>2.5060000000000002</c:v>
                </c:pt>
                <c:pt idx="430">
                  <c:v>#N/A</c:v>
                </c:pt>
                <c:pt idx="431">
                  <c:v>#N/A</c:v>
                </c:pt>
                <c:pt idx="432">
                  <c:v>#N/A</c:v>
                </c:pt>
                <c:pt idx="433">
                  <c:v>#N/A</c:v>
                </c:pt>
                <c:pt idx="434">
                  <c:v>#N/A</c:v>
                </c:pt>
                <c:pt idx="435">
                  <c:v>#N/A</c:v>
                </c:pt>
                <c:pt idx="436">
                  <c:v>#N/A</c:v>
                </c:pt>
                <c:pt idx="437">
                  <c:v>#N/A</c:v>
                </c:pt>
                <c:pt idx="438">
                  <c:v>#N/A</c:v>
                </c:pt>
                <c:pt idx="439">
                  <c:v>#N/A</c:v>
                </c:pt>
                <c:pt idx="440">
                  <c:v>2.7589999999999999</c:v>
                </c:pt>
                <c:pt idx="441">
                  <c:v>#N/A</c:v>
                </c:pt>
                <c:pt idx="442">
                  <c:v>#N/A</c:v>
                </c:pt>
                <c:pt idx="443">
                  <c:v>#N/A</c:v>
                </c:pt>
                <c:pt idx="444">
                  <c:v>#N/A</c:v>
                </c:pt>
                <c:pt idx="445">
                  <c:v>#N/A</c:v>
                </c:pt>
                <c:pt idx="446">
                  <c:v>#N/A</c:v>
                </c:pt>
                <c:pt idx="447">
                  <c:v>#N/A</c:v>
                </c:pt>
                <c:pt idx="448">
                  <c:v>#N/A</c:v>
                </c:pt>
                <c:pt idx="449">
                  <c:v>#N/A</c:v>
                </c:pt>
                <c:pt idx="450">
                  <c:v>2.2069999999999999</c:v>
                </c:pt>
                <c:pt idx="451">
                  <c:v>#N/A</c:v>
                </c:pt>
                <c:pt idx="452">
                  <c:v>#N/A</c:v>
                </c:pt>
                <c:pt idx="453">
                  <c:v>#N/A</c:v>
                </c:pt>
                <c:pt idx="454">
                  <c:v>#N/A</c:v>
                </c:pt>
                <c:pt idx="455">
                  <c:v>#N/A</c:v>
                </c:pt>
                <c:pt idx="456">
                  <c:v>2.3449999999999998</c:v>
                </c:pt>
                <c:pt idx="457">
                  <c:v>#N/A</c:v>
                </c:pt>
                <c:pt idx="458">
                  <c:v>#N/A</c:v>
                </c:pt>
                <c:pt idx="459">
                  <c:v>2.4140000000000001</c:v>
                </c:pt>
                <c:pt idx="460">
                  <c:v>#N/A</c:v>
                </c:pt>
                <c:pt idx="461">
                  <c:v>2.46</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2.552</c:v>
                </c:pt>
                <c:pt idx="500">
                  <c:v>#N/A</c:v>
                </c:pt>
                <c:pt idx="501">
                  <c:v>#N/A</c:v>
                </c:pt>
                <c:pt idx="502">
                  <c:v>#N/A</c:v>
                </c:pt>
                <c:pt idx="503">
                  <c:v>#N/A</c:v>
                </c:pt>
                <c:pt idx="504">
                  <c:v>#N/A</c:v>
                </c:pt>
                <c:pt idx="505">
                  <c:v>#N/A</c:v>
                </c:pt>
                <c:pt idx="506">
                  <c:v>#N/A</c:v>
                </c:pt>
                <c:pt idx="507">
                  <c:v>#N/A</c:v>
                </c:pt>
                <c:pt idx="508">
                  <c:v>#N/A</c:v>
                </c:pt>
                <c:pt idx="509">
                  <c:v>#N/A</c:v>
                </c:pt>
                <c:pt idx="510">
                  <c:v>#N/A</c:v>
                </c:pt>
                <c:pt idx="511">
                  <c:v>2.0459999999999998</c:v>
                </c:pt>
                <c:pt idx="512">
                  <c:v>#N/A</c:v>
                </c:pt>
                <c:pt idx="513">
                  <c:v>#N/A</c:v>
                </c:pt>
                <c:pt idx="514">
                  <c:v>#N/A</c:v>
                </c:pt>
                <c:pt idx="515">
                  <c:v>#N/A</c:v>
                </c:pt>
                <c:pt idx="516">
                  <c:v>2.161</c:v>
                </c:pt>
                <c:pt idx="517">
                  <c:v>#N/A</c:v>
                </c:pt>
                <c:pt idx="518">
                  <c:v>2.2069999999999999</c:v>
                </c:pt>
                <c:pt idx="519">
                  <c:v>#N/A</c:v>
                </c:pt>
                <c:pt idx="520">
                  <c:v>#N/A</c:v>
                </c:pt>
                <c:pt idx="521">
                  <c:v>2.2759999999999998</c:v>
                </c:pt>
                <c:pt idx="522">
                  <c:v>#N/A</c:v>
                </c:pt>
                <c:pt idx="523">
                  <c:v>#N/A</c:v>
                </c:pt>
                <c:pt idx="524">
                  <c:v>2.3449999999999998</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2.7589999999999999</c:v>
                </c:pt>
                <c:pt idx="543">
                  <c:v>#N/A</c:v>
                </c:pt>
                <c:pt idx="544">
                  <c:v>#N/A</c:v>
                </c:pt>
                <c:pt idx="545">
                  <c:v>#N/A</c:v>
                </c:pt>
                <c:pt idx="546">
                  <c:v>#N/A</c:v>
                </c:pt>
                <c:pt idx="547">
                  <c:v>#N/A</c:v>
                </c:pt>
                <c:pt idx="548">
                  <c:v>2.1150000000000002</c:v>
                </c:pt>
                <c:pt idx="549">
                  <c:v>#N/A</c:v>
                </c:pt>
                <c:pt idx="550">
                  <c:v>#N/A</c:v>
                </c:pt>
                <c:pt idx="551">
                  <c:v>#N/A</c:v>
                </c:pt>
                <c:pt idx="552">
                  <c:v>#N/A</c:v>
                </c:pt>
                <c:pt idx="553">
                  <c:v>2.23</c:v>
                </c:pt>
                <c:pt idx="554">
                  <c:v>#N/A</c:v>
                </c:pt>
                <c:pt idx="555">
                  <c:v>#N/A</c:v>
                </c:pt>
                <c:pt idx="556">
                  <c:v>#N/A</c:v>
                </c:pt>
                <c:pt idx="557">
                  <c:v>#N/A</c:v>
                </c:pt>
                <c:pt idx="558">
                  <c:v>#N/A</c:v>
                </c:pt>
                <c:pt idx="559">
                  <c:v>#N/A</c:v>
                </c:pt>
                <c:pt idx="560">
                  <c:v>#N/A</c:v>
                </c:pt>
                <c:pt idx="561">
                  <c:v>#N/A</c:v>
                </c:pt>
                <c:pt idx="562">
                  <c:v>2.4369999999999998</c:v>
                </c:pt>
                <c:pt idx="563">
                  <c:v>#N/A</c:v>
                </c:pt>
                <c:pt idx="564">
                  <c:v>#N/A</c:v>
                </c:pt>
                <c:pt idx="565">
                  <c:v>#N/A</c:v>
                </c:pt>
                <c:pt idx="566">
                  <c:v>#N/A</c:v>
                </c:pt>
                <c:pt idx="567">
                  <c:v>#N/A</c:v>
                </c:pt>
                <c:pt idx="568">
                  <c:v>2.5750000000000002</c:v>
                </c:pt>
                <c:pt idx="569">
                  <c:v>2.5979999999999999</c:v>
                </c:pt>
                <c:pt idx="570">
                  <c:v>2.621</c:v>
                </c:pt>
                <c:pt idx="571">
                  <c:v>#N/A</c:v>
                </c:pt>
                <c:pt idx="572">
                  <c:v>#N/A</c:v>
                </c:pt>
                <c:pt idx="573">
                  <c:v>#N/A</c:v>
                </c:pt>
                <c:pt idx="574">
                  <c:v>#N/A</c:v>
                </c:pt>
                <c:pt idx="575">
                  <c:v>#N/A</c:v>
                </c:pt>
                <c:pt idx="576">
                  <c:v>#N/A</c:v>
                </c:pt>
                <c:pt idx="577">
                  <c:v>#N/A</c:v>
                </c:pt>
                <c:pt idx="578">
                  <c:v>2.0230000000000001</c:v>
                </c:pt>
                <c:pt idx="579">
                  <c:v>2.0459999999999998</c:v>
                </c:pt>
                <c:pt idx="580">
                  <c:v>2.069</c:v>
                </c:pt>
                <c:pt idx="581">
                  <c:v>#N/A</c:v>
                </c:pt>
                <c:pt idx="582">
                  <c:v>#N/A</c:v>
                </c:pt>
                <c:pt idx="583">
                  <c:v>2.1379999999999999</c:v>
                </c:pt>
                <c:pt idx="584">
                  <c:v>#N/A</c:v>
                </c:pt>
                <c:pt idx="585">
                  <c:v>#N/A</c:v>
                </c:pt>
                <c:pt idx="586">
                  <c:v>#N/A</c:v>
                </c:pt>
                <c:pt idx="587">
                  <c:v>#N/A</c:v>
                </c:pt>
                <c:pt idx="588">
                  <c:v>#N/A</c:v>
                </c:pt>
                <c:pt idx="589">
                  <c:v>#N/A</c:v>
                </c:pt>
                <c:pt idx="590">
                  <c:v>2.2989999999999999</c:v>
                </c:pt>
                <c:pt idx="591">
                  <c:v>#N/A</c:v>
                </c:pt>
                <c:pt idx="592">
                  <c:v>#N/A</c:v>
                </c:pt>
                <c:pt idx="593">
                  <c:v>#N/A</c:v>
                </c:pt>
                <c:pt idx="594">
                  <c:v>#N/A</c:v>
                </c:pt>
                <c:pt idx="595">
                  <c:v>#N/A</c:v>
                </c:pt>
                <c:pt idx="596">
                  <c:v>#N/A</c:v>
                </c:pt>
                <c:pt idx="597">
                  <c:v>#N/A</c:v>
                </c:pt>
                <c:pt idx="598">
                  <c:v>#N/A</c:v>
                </c:pt>
                <c:pt idx="599">
                  <c:v>#N/A</c:v>
                </c:pt>
                <c:pt idx="600">
                  <c:v>#N/A</c:v>
                </c:pt>
                <c:pt idx="601">
                  <c:v>#N/A</c:v>
                </c:pt>
                <c:pt idx="602">
                  <c:v>2.5750000000000002</c:v>
                </c:pt>
                <c:pt idx="603">
                  <c:v>#N/A</c:v>
                </c:pt>
                <c:pt idx="604">
                  <c:v>#N/A</c:v>
                </c:pt>
                <c:pt idx="605">
                  <c:v>#N/A</c:v>
                </c:pt>
                <c:pt idx="606">
                  <c:v>#N/A</c:v>
                </c:pt>
                <c:pt idx="607">
                  <c:v>#N/A</c:v>
                </c:pt>
                <c:pt idx="608">
                  <c:v>#N/A</c:v>
                </c:pt>
                <c:pt idx="609">
                  <c:v>#N/A</c:v>
                </c:pt>
                <c:pt idx="610">
                  <c:v>#N/A</c:v>
                </c:pt>
                <c:pt idx="611">
                  <c:v>#N/A</c:v>
                </c:pt>
                <c:pt idx="612">
                  <c:v>#N/A</c:v>
                </c:pt>
                <c:pt idx="613">
                  <c:v>#N/A</c:v>
                </c:pt>
                <c:pt idx="614">
                  <c:v>2.069</c:v>
                </c:pt>
                <c:pt idx="615">
                  <c:v>#N/A</c:v>
                </c:pt>
                <c:pt idx="616">
                  <c:v>#N/A</c:v>
                </c:pt>
                <c:pt idx="617">
                  <c:v>#N/A</c:v>
                </c:pt>
                <c:pt idx="618">
                  <c:v>#N/A</c:v>
                </c:pt>
                <c:pt idx="619">
                  <c:v>#N/A</c:v>
                </c:pt>
                <c:pt idx="620">
                  <c:v>2.2069999999999999</c:v>
                </c:pt>
                <c:pt idx="621">
                  <c:v>#N/A</c:v>
                </c:pt>
                <c:pt idx="622">
                  <c:v>#N/A</c:v>
                </c:pt>
                <c:pt idx="623">
                  <c:v>#N/A</c:v>
                </c:pt>
                <c:pt idx="624">
                  <c:v>2.2989999999999999</c:v>
                </c:pt>
                <c:pt idx="625">
                  <c:v>#N/A</c:v>
                </c:pt>
                <c:pt idx="626">
                  <c:v>#N/A</c:v>
                </c:pt>
                <c:pt idx="627">
                  <c:v>#N/A</c:v>
                </c:pt>
                <c:pt idx="628">
                  <c:v>#N/A</c:v>
                </c:pt>
                <c:pt idx="629">
                  <c:v>#N/A</c:v>
                </c:pt>
                <c:pt idx="630">
                  <c:v>#N/A</c:v>
                </c:pt>
                <c:pt idx="631">
                  <c:v>#N/A</c:v>
                </c:pt>
                <c:pt idx="632">
                  <c:v>2.4830000000000001</c:v>
                </c:pt>
                <c:pt idx="633">
                  <c:v>2.5060000000000002</c:v>
                </c:pt>
                <c:pt idx="634">
                  <c:v>#N/A</c:v>
                </c:pt>
                <c:pt idx="635">
                  <c:v>2.552</c:v>
                </c:pt>
                <c:pt idx="636">
                  <c:v>#N/A</c:v>
                </c:pt>
                <c:pt idx="637">
                  <c:v>#N/A</c:v>
                </c:pt>
                <c:pt idx="638">
                  <c:v>#N/A</c:v>
                </c:pt>
                <c:pt idx="639">
                  <c:v>#N/A</c:v>
                </c:pt>
                <c:pt idx="640">
                  <c:v>#N/A</c:v>
                </c:pt>
                <c:pt idx="641">
                  <c:v>2.69</c:v>
                </c:pt>
                <c:pt idx="642">
                  <c:v>2.7130000000000001</c:v>
                </c:pt>
                <c:pt idx="643">
                  <c:v>2.7359999999999998</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2.3220000000000001</c:v>
                </c:pt>
                <c:pt idx="660">
                  <c:v>#N/A</c:v>
                </c:pt>
                <c:pt idx="661">
                  <c:v>#N/A</c:v>
                </c:pt>
                <c:pt idx="662">
                  <c:v>#N/A</c:v>
                </c:pt>
                <c:pt idx="663">
                  <c:v>#N/A</c:v>
                </c:pt>
                <c:pt idx="664">
                  <c:v>2.4369999999999998</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2.7589999999999999</c:v>
                </c:pt>
                <c:pt idx="679">
                  <c:v>#N/A</c:v>
                </c:pt>
                <c:pt idx="680">
                  <c:v>2.0230000000000001</c:v>
                </c:pt>
                <c:pt idx="681">
                  <c:v>#N/A</c:v>
                </c:pt>
                <c:pt idx="682">
                  <c:v>#N/A</c:v>
                </c:pt>
                <c:pt idx="683">
                  <c:v>#N/A</c:v>
                </c:pt>
                <c:pt idx="684">
                  <c:v>2.1150000000000002</c:v>
                </c:pt>
                <c:pt idx="685">
                  <c:v>#N/A</c:v>
                </c:pt>
                <c:pt idx="686">
                  <c:v>#N/A</c:v>
                </c:pt>
                <c:pt idx="687">
                  <c:v>#N/A</c:v>
                </c:pt>
                <c:pt idx="688">
                  <c:v>#N/A</c:v>
                </c:pt>
                <c:pt idx="689">
                  <c:v>#N/A</c:v>
                </c:pt>
                <c:pt idx="690">
                  <c:v>#N/A</c:v>
                </c:pt>
                <c:pt idx="691">
                  <c:v>#N/A</c:v>
                </c:pt>
                <c:pt idx="692">
                  <c:v>#N/A</c:v>
                </c:pt>
                <c:pt idx="693">
                  <c:v>2.3220000000000001</c:v>
                </c:pt>
                <c:pt idx="694">
                  <c:v>#N/A</c:v>
                </c:pt>
                <c:pt idx="695">
                  <c:v>#N/A</c:v>
                </c:pt>
                <c:pt idx="696">
                  <c:v>#N/A</c:v>
                </c:pt>
                <c:pt idx="697">
                  <c:v>#N/A</c:v>
                </c:pt>
                <c:pt idx="698">
                  <c:v>#N/A</c:v>
                </c:pt>
                <c:pt idx="699">
                  <c:v>#N/A</c:v>
                </c:pt>
                <c:pt idx="700">
                  <c:v>#N/A</c:v>
                </c:pt>
                <c:pt idx="701">
                  <c:v>2.5060000000000002</c:v>
                </c:pt>
                <c:pt idx="702">
                  <c:v>#N/A</c:v>
                </c:pt>
                <c:pt idx="703">
                  <c:v>#N/A</c:v>
                </c:pt>
                <c:pt idx="704">
                  <c:v>#N/A</c:v>
                </c:pt>
                <c:pt idx="705">
                  <c:v>#N/A</c:v>
                </c:pt>
                <c:pt idx="706">
                  <c:v>#N/A</c:v>
                </c:pt>
                <c:pt idx="707">
                  <c:v>#N/A</c:v>
                </c:pt>
                <c:pt idx="708">
                  <c:v>#N/A</c:v>
                </c:pt>
                <c:pt idx="709">
                  <c:v>2.69</c:v>
                </c:pt>
                <c:pt idx="710">
                  <c:v>#N/A</c:v>
                </c:pt>
                <c:pt idx="711">
                  <c:v>#N/A</c:v>
                </c:pt>
                <c:pt idx="712">
                  <c:v>2.7589999999999999</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2.2759999999999998</c:v>
                </c:pt>
                <c:pt idx="726">
                  <c:v>#N/A</c:v>
                </c:pt>
                <c:pt idx="727">
                  <c:v>#N/A</c:v>
                </c:pt>
                <c:pt idx="728">
                  <c:v>#N/A</c:v>
                </c:pt>
                <c:pt idx="729">
                  <c:v>#N/A</c:v>
                </c:pt>
                <c:pt idx="730">
                  <c:v>#N/A</c:v>
                </c:pt>
                <c:pt idx="731">
                  <c:v>#N/A</c:v>
                </c:pt>
                <c:pt idx="732">
                  <c:v>#N/A</c:v>
                </c:pt>
                <c:pt idx="733">
                  <c:v>2.46</c:v>
                </c:pt>
                <c:pt idx="734">
                  <c:v>#N/A</c:v>
                </c:pt>
                <c:pt idx="735">
                  <c:v>2.5060000000000002</c:v>
                </c:pt>
                <c:pt idx="736">
                  <c:v>#N/A</c:v>
                </c:pt>
                <c:pt idx="737">
                  <c:v>#N/A</c:v>
                </c:pt>
                <c:pt idx="738">
                  <c:v>#N/A</c:v>
                </c:pt>
                <c:pt idx="739">
                  <c:v>2.5979999999999999</c:v>
                </c:pt>
                <c:pt idx="740">
                  <c:v>2.621</c:v>
                </c:pt>
                <c:pt idx="741">
                  <c:v>#N/A</c:v>
                </c:pt>
                <c:pt idx="742">
                  <c:v>2.6669999999999998</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2.2069999999999999</c:v>
                </c:pt>
                <c:pt idx="757">
                  <c:v>#N/A</c:v>
                </c:pt>
                <c:pt idx="758">
                  <c:v>#N/A</c:v>
                </c:pt>
                <c:pt idx="759">
                  <c:v>#N/A</c:v>
                </c:pt>
                <c:pt idx="760">
                  <c:v>#N/A</c:v>
                </c:pt>
                <c:pt idx="761">
                  <c:v>#N/A</c:v>
                </c:pt>
                <c:pt idx="762">
                  <c:v>2.3449999999999998</c:v>
                </c:pt>
                <c:pt idx="763">
                  <c:v>#N/A</c:v>
                </c:pt>
                <c:pt idx="764">
                  <c:v>#N/A</c:v>
                </c:pt>
                <c:pt idx="765">
                  <c:v>2.4140000000000001</c:v>
                </c:pt>
                <c:pt idx="766">
                  <c:v>#N/A</c:v>
                </c:pt>
                <c:pt idx="767">
                  <c:v>#N/A</c:v>
                </c:pt>
                <c:pt idx="768">
                  <c:v>#N/A</c:v>
                </c:pt>
                <c:pt idx="769">
                  <c:v>2.5060000000000002</c:v>
                </c:pt>
                <c:pt idx="770">
                  <c:v>#N/A</c:v>
                </c:pt>
                <c:pt idx="771">
                  <c:v>#N/A</c:v>
                </c:pt>
                <c:pt idx="772">
                  <c:v>2.5750000000000002</c:v>
                </c:pt>
                <c:pt idx="773">
                  <c:v>#N/A</c:v>
                </c:pt>
                <c:pt idx="774">
                  <c:v>#N/A</c:v>
                </c:pt>
                <c:pt idx="775">
                  <c:v>#N/A</c:v>
                </c:pt>
                <c:pt idx="776">
                  <c:v>#N/A</c:v>
                </c:pt>
                <c:pt idx="777">
                  <c:v>#N/A</c:v>
                </c:pt>
                <c:pt idx="778">
                  <c:v>#N/A</c:v>
                </c:pt>
                <c:pt idx="779">
                  <c:v>#N/A</c:v>
                </c:pt>
                <c:pt idx="780">
                  <c:v>#N/A</c:v>
                </c:pt>
                <c:pt idx="781">
                  <c:v>2</c:v>
                </c:pt>
                <c:pt idx="782">
                  <c:v>2.0230000000000001</c:v>
                </c:pt>
                <c:pt idx="783">
                  <c:v>#N/A</c:v>
                </c:pt>
                <c:pt idx="784">
                  <c:v>2.069</c:v>
                </c:pt>
                <c:pt idx="785">
                  <c:v>2.0920000000000001</c:v>
                </c:pt>
                <c:pt idx="786">
                  <c:v>#N/A</c:v>
                </c:pt>
                <c:pt idx="787">
                  <c:v>#N/A</c:v>
                </c:pt>
                <c:pt idx="788">
                  <c:v>#N/A</c:v>
                </c:pt>
                <c:pt idx="789">
                  <c:v>2.1840000000000002</c:v>
                </c:pt>
                <c:pt idx="790">
                  <c:v>#N/A</c:v>
                </c:pt>
                <c:pt idx="791">
                  <c:v>#N/A</c:v>
                </c:pt>
                <c:pt idx="792">
                  <c:v>#N/A</c:v>
                </c:pt>
                <c:pt idx="793">
                  <c:v>#N/A</c:v>
                </c:pt>
                <c:pt idx="794">
                  <c:v>#N/A</c:v>
                </c:pt>
                <c:pt idx="795">
                  <c:v>#N/A</c:v>
                </c:pt>
                <c:pt idx="796">
                  <c:v>#N/A</c:v>
                </c:pt>
                <c:pt idx="797">
                  <c:v>2.3679999999999999</c:v>
                </c:pt>
                <c:pt idx="798">
                  <c:v>#N/A</c:v>
                </c:pt>
                <c:pt idx="799">
                  <c:v>#N/A</c:v>
                </c:pt>
                <c:pt idx="800">
                  <c:v>#N/A</c:v>
                </c:pt>
                <c:pt idx="801">
                  <c:v>#N/A</c:v>
                </c:pt>
                <c:pt idx="802">
                  <c:v>#N/A</c:v>
                </c:pt>
                <c:pt idx="803">
                  <c:v>#N/A</c:v>
                </c:pt>
                <c:pt idx="804">
                  <c:v>2.5289999999999999</c:v>
                </c:pt>
                <c:pt idx="805">
                  <c:v>#N/A</c:v>
                </c:pt>
                <c:pt idx="806">
                  <c:v>#N/A</c:v>
                </c:pt>
                <c:pt idx="807">
                  <c:v>#N/A</c:v>
                </c:pt>
                <c:pt idx="808">
                  <c:v>#N/A</c:v>
                </c:pt>
                <c:pt idx="809">
                  <c:v>#N/A</c:v>
                </c:pt>
                <c:pt idx="810">
                  <c:v>#N/A</c:v>
                </c:pt>
                <c:pt idx="811">
                  <c:v>#N/A</c:v>
                </c:pt>
                <c:pt idx="812">
                  <c:v>#N/A</c:v>
                </c:pt>
                <c:pt idx="813">
                  <c:v>#N/A</c:v>
                </c:pt>
                <c:pt idx="814">
                  <c:v>#N/A</c:v>
                </c:pt>
                <c:pt idx="815">
                  <c:v>2</c:v>
                </c:pt>
                <c:pt idx="816">
                  <c:v>#N/A</c:v>
                </c:pt>
                <c:pt idx="817">
                  <c:v>2.0459999999999998</c:v>
                </c:pt>
                <c:pt idx="818">
                  <c:v>#N/A</c:v>
                </c:pt>
                <c:pt idx="819">
                  <c:v>#N/A</c:v>
                </c:pt>
                <c:pt idx="820">
                  <c:v>#N/A</c:v>
                </c:pt>
                <c:pt idx="821">
                  <c:v>#N/A</c:v>
                </c:pt>
                <c:pt idx="822">
                  <c:v>2.161</c:v>
                </c:pt>
                <c:pt idx="823">
                  <c:v>#N/A</c:v>
                </c:pt>
                <c:pt idx="824">
                  <c:v>#N/A</c:v>
                </c:pt>
                <c:pt idx="825">
                  <c:v>#N/A</c:v>
                </c:pt>
                <c:pt idx="826">
                  <c:v>#N/A</c:v>
                </c:pt>
                <c:pt idx="827">
                  <c:v>#N/A</c:v>
                </c:pt>
                <c:pt idx="828">
                  <c:v>#N/A</c:v>
                </c:pt>
                <c:pt idx="829">
                  <c:v>#N/A</c:v>
                </c:pt>
                <c:pt idx="830">
                  <c:v>2.3449999999999998</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2</c:v>
                </c:pt>
                <c:pt idx="850">
                  <c:v>#N/A</c:v>
                </c:pt>
                <c:pt idx="851">
                  <c:v>#N/A</c:v>
                </c:pt>
                <c:pt idx="852">
                  <c:v>#N/A</c:v>
                </c:pt>
                <c:pt idx="853">
                  <c:v>#N/A</c:v>
                </c:pt>
                <c:pt idx="854">
                  <c:v>2.1150000000000002</c:v>
                </c:pt>
                <c:pt idx="855">
                  <c:v>2.1379999999999999</c:v>
                </c:pt>
                <c:pt idx="856">
                  <c:v>#N/A</c:v>
                </c:pt>
                <c:pt idx="857">
                  <c:v>#N/A</c:v>
                </c:pt>
                <c:pt idx="858">
                  <c:v>#N/A</c:v>
                </c:pt>
                <c:pt idx="859">
                  <c:v>#N/A</c:v>
                </c:pt>
                <c:pt idx="860">
                  <c:v>2.2530000000000001</c:v>
                </c:pt>
                <c:pt idx="861">
                  <c:v>#N/A</c:v>
                </c:pt>
                <c:pt idx="862">
                  <c:v>2.2989999999999999</c:v>
                </c:pt>
                <c:pt idx="863">
                  <c:v>#N/A</c:v>
                </c:pt>
                <c:pt idx="864">
                  <c:v>2.3449999999999998</c:v>
                </c:pt>
                <c:pt idx="865">
                  <c:v>#N/A</c:v>
                </c:pt>
                <c:pt idx="866">
                  <c:v>#N/A</c:v>
                </c:pt>
                <c:pt idx="867">
                  <c:v>#N/A</c:v>
                </c:pt>
                <c:pt idx="868">
                  <c:v>#N/A</c:v>
                </c:pt>
                <c:pt idx="869">
                  <c:v>2.46</c:v>
                </c:pt>
                <c:pt idx="870">
                  <c:v>#N/A</c:v>
                </c:pt>
                <c:pt idx="871">
                  <c:v>#N/A</c:v>
                </c:pt>
                <c:pt idx="872">
                  <c:v>#N/A</c:v>
                </c:pt>
                <c:pt idx="873">
                  <c:v>2.552</c:v>
                </c:pt>
                <c:pt idx="874">
                  <c:v>#N/A</c:v>
                </c:pt>
                <c:pt idx="875">
                  <c:v>#N/A</c:v>
                </c:pt>
                <c:pt idx="876">
                  <c:v>#N/A</c:v>
                </c:pt>
                <c:pt idx="877">
                  <c:v>#N/A</c:v>
                </c:pt>
                <c:pt idx="878">
                  <c:v>2.6669999999999998</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numCache>
            </c:numRef>
          </c:yVal>
          <c:smooth val="1"/>
          <c:extLst>
            <c:ext xmlns:c16="http://schemas.microsoft.com/office/drawing/2014/chart" uri="{C3380CC4-5D6E-409C-BE32-E72D297353CC}">
              <c16:uniqueId val="{00000001-2901-434A-93BD-A45102E004E1}"/>
            </c:ext>
          </c:extLst>
        </c:ser>
        <c:ser>
          <c:idx val="2"/>
          <c:order val="2"/>
          <c:tx>
            <c:v>Deckbuilder</c:v>
          </c:tx>
          <c:spPr>
            <a:ln>
              <a:noFill/>
              <a:prstDash val="solid"/>
            </a:ln>
          </c:spPr>
          <c:marker>
            <c:symbol val="circle"/>
            <c:size val="4"/>
            <c:spPr>
              <a:ln>
                <a:prstDash val="solid"/>
              </a:ln>
            </c:spPr>
          </c:marker>
          <c:xVal>
            <c:numRef>
              <c:f>'Map Calc'!$K$2:$K$950</c:f>
              <c:numCache>
                <c:formatCode>General</c:formatCode>
                <c:ptCount val="949"/>
                <c:pt idx="0">
                  <c:v>#N/A</c:v>
                </c:pt>
                <c:pt idx="1">
                  <c:v>#N/A</c:v>
                </c:pt>
                <c:pt idx="2">
                  <c:v>2026</c:v>
                </c:pt>
                <c:pt idx="3">
                  <c:v>#N/A</c:v>
                </c:pt>
                <c:pt idx="4">
                  <c:v>#N/A</c:v>
                </c:pt>
                <c:pt idx="5">
                  <c:v>#N/A</c:v>
                </c:pt>
                <c:pt idx="6">
                  <c:v>#N/A</c:v>
                </c:pt>
                <c:pt idx="7">
                  <c:v>#N/A</c:v>
                </c:pt>
                <c:pt idx="8">
                  <c:v>#N/A</c:v>
                </c:pt>
                <c:pt idx="9">
                  <c:v>2024</c:v>
                </c:pt>
                <c:pt idx="10">
                  <c:v>#N/A</c:v>
                </c:pt>
                <c:pt idx="11">
                  <c:v>2025</c:v>
                </c:pt>
                <c:pt idx="12">
                  <c:v>#N/A</c:v>
                </c:pt>
                <c:pt idx="13">
                  <c:v>#N/A</c:v>
                </c:pt>
                <c:pt idx="14">
                  <c:v>#N/A</c:v>
                </c:pt>
                <c:pt idx="15">
                  <c:v>#N/A</c:v>
                </c:pt>
                <c:pt idx="16">
                  <c:v>#N/A</c:v>
                </c:pt>
                <c:pt idx="17">
                  <c:v>2023</c:v>
                </c:pt>
                <c:pt idx="18">
                  <c:v>2021</c:v>
                </c:pt>
                <c:pt idx="19">
                  <c:v>#N/A</c:v>
                </c:pt>
                <c:pt idx="20">
                  <c:v>#N/A</c:v>
                </c:pt>
                <c:pt idx="21">
                  <c:v>2022</c:v>
                </c:pt>
                <c:pt idx="22">
                  <c:v>#N/A</c:v>
                </c:pt>
                <c:pt idx="23">
                  <c:v>#N/A</c:v>
                </c:pt>
                <c:pt idx="24">
                  <c:v>#N/A</c:v>
                </c:pt>
                <c:pt idx="25">
                  <c:v>#N/A</c:v>
                </c:pt>
                <c:pt idx="26">
                  <c:v>#N/A</c:v>
                </c:pt>
                <c:pt idx="27">
                  <c:v>#N/A</c:v>
                </c:pt>
                <c:pt idx="28">
                  <c:v>2024</c:v>
                </c:pt>
                <c:pt idx="29">
                  <c:v>#N/A</c:v>
                </c:pt>
                <c:pt idx="30">
                  <c:v>2024</c:v>
                </c:pt>
                <c:pt idx="31">
                  <c:v>#N/A</c:v>
                </c:pt>
                <c:pt idx="32">
                  <c:v>2020</c:v>
                </c:pt>
                <c:pt idx="33">
                  <c:v>2026</c:v>
                </c:pt>
                <c:pt idx="34">
                  <c:v>#N/A</c:v>
                </c:pt>
                <c:pt idx="35">
                  <c:v>#N/A</c:v>
                </c:pt>
                <c:pt idx="36">
                  <c:v>#N/A</c:v>
                </c:pt>
                <c:pt idx="37">
                  <c:v>2025</c:v>
                </c:pt>
                <c:pt idx="38">
                  <c:v>2025</c:v>
                </c:pt>
                <c:pt idx="39">
                  <c:v>#N/A</c:v>
                </c:pt>
                <c:pt idx="40">
                  <c:v>#N/A</c:v>
                </c:pt>
                <c:pt idx="41">
                  <c:v>#N/A</c:v>
                </c:pt>
                <c:pt idx="42">
                  <c:v>2023</c:v>
                </c:pt>
                <c:pt idx="43">
                  <c:v>#N/A</c:v>
                </c:pt>
                <c:pt idx="44">
                  <c:v>#N/A</c:v>
                </c:pt>
                <c:pt idx="45">
                  <c:v>#N/A</c:v>
                </c:pt>
                <c:pt idx="46">
                  <c:v>#N/A</c:v>
                </c:pt>
                <c:pt idx="47">
                  <c:v>#N/A</c:v>
                </c:pt>
                <c:pt idx="48">
                  <c:v>#N/A</c:v>
                </c:pt>
                <c:pt idx="49">
                  <c:v>#N/A</c:v>
                </c:pt>
                <c:pt idx="50">
                  <c:v>#N/A</c:v>
                </c:pt>
                <c:pt idx="51">
                  <c:v>#N/A</c:v>
                </c:pt>
                <c:pt idx="52">
                  <c:v>2022</c:v>
                </c:pt>
                <c:pt idx="53">
                  <c:v>#N/A</c:v>
                </c:pt>
                <c:pt idx="54">
                  <c:v>2023</c:v>
                </c:pt>
                <c:pt idx="55">
                  <c:v>#N/A</c:v>
                </c:pt>
                <c:pt idx="56">
                  <c:v>#N/A</c:v>
                </c:pt>
                <c:pt idx="57">
                  <c:v>2024</c:v>
                </c:pt>
                <c:pt idx="58">
                  <c:v>2020</c:v>
                </c:pt>
                <c:pt idx="59">
                  <c:v>#N/A</c:v>
                </c:pt>
                <c:pt idx="60">
                  <c:v>#N/A</c:v>
                </c:pt>
                <c:pt idx="61">
                  <c:v>#N/A</c:v>
                </c:pt>
                <c:pt idx="62">
                  <c:v>#N/A</c:v>
                </c:pt>
                <c:pt idx="63">
                  <c:v>#N/A</c:v>
                </c:pt>
                <c:pt idx="64">
                  <c:v>#N/A</c:v>
                </c:pt>
                <c:pt idx="65">
                  <c:v>#N/A</c:v>
                </c:pt>
                <c:pt idx="66">
                  <c:v>2025</c:v>
                </c:pt>
                <c:pt idx="67">
                  <c:v>#N/A</c:v>
                </c:pt>
                <c:pt idx="68">
                  <c:v>#N/A</c:v>
                </c:pt>
                <c:pt idx="69">
                  <c:v>#N/A</c:v>
                </c:pt>
                <c:pt idx="70">
                  <c:v>#N/A</c:v>
                </c:pt>
                <c:pt idx="71">
                  <c:v>2022</c:v>
                </c:pt>
                <c:pt idx="72">
                  <c:v>#N/A</c:v>
                </c:pt>
                <c:pt idx="73">
                  <c:v>2026</c:v>
                </c:pt>
                <c:pt idx="74">
                  <c:v>2024</c:v>
                </c:pt>
                <c:pt idx="75">
                  <c:v>#N/A</c:v>
                </c:pt>
                <c:pt idx="76">
                  <c:v>2026</c:v>
                </c:pt>
                <c:pt idx="77">
                  <c:v>#N/A</c:v>
                </c:pt>
                <c:pt idx="78">
                  <c:v>#N/A</c:v>
                </c:pt>
                <c:pt idx="79">
                  <c:v>#N/A</c:v>
                </c:pt>
                <c:pt idx="80">
                  <c:v>#N/A</c:v>
                </c:pt>
                <c:pt idx="81">
                  <c:v>#N/A</c:v>
                </c:pt>
                <c:pt idx="82">
                  <c:v>#N/A</c:v>
                </c:pt>
                <c:pt idx="83">
                  <c:v>#N/A</c:v>
                </c:pt>
                <c:pt idx="84">
                  <c:v>#N/A</c:v>
                </c:pt>
                <c:pt idx="85">
                  <c:v>#N/A</c:v>
                </c:pt>
                <c:pt idx="86">
                  <c:v>2018</c:v>
                </c:pt>
                <c:pt idx="87">
                  <c:v>#N/A</c:v>
                </c:pt>
                <c:pt idx="88">
                  <c:v>#N/A</c:v>
                </c:pt>
                <c:pt idx="89">
                  <c:v>#N/A</c:v>
                </c:pt>
                <c:pt idx="90">
                  <c:v>2023</c:v>
                </c:pt>
                <c:pt idx="91">
                  <c:v>2021</c:v>
                </c:pt>
                <c:pt idx="92">
                  <c:v>2024</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2024</c:v>
                </c:pt>
                <c:pt idx="107">
                  <c:v>#N/A</c:v>
                </c:pt>
                <c:pt idx="108">
                  <c:v>#N/A</c:v>
                </c:pt>
                <c:pt idx="109">
                  <c:v>#N/A</c:v>
                </c:pt>
                <c:pt idx="110">
                  <c:v>#N/A</c:v>
                </c:pt>
                <c:pt idx="111">
                  <c:v>#N/A</c:v>
                </c:pt>
                <c:pt idx="112">
                  <c:v>2025</c:v>
                </c:pt>
                <c:pt idx="113">
                  <c:v>#N/A</c:v>
                </c:pt>
                <c:pt idx="114">
                  <c:v>#N/A</c:v>
                </c:pt>
                <c:pt idx="115">
                  <c:v>#N/A</c:v>
                </c:pt>
                <c:pt idx="116">
                  <c:v>#N/A</c:v>
                </c:pt>
                <c:pt idx="117">
                  <c:v>#N/A</c:v>
                </c:pt>
                <c:pt idx="118">
                  <c:v>#N/A</c:v>
                </c:pt>
                <c:pt idx="119">
                  <c:v>2025</c:v>
                </c:pt>
                <c:pt idx="120">
                  <c:v>#N/A</c:v>
                </c:pt>
                <c:pt idx="121">
                  <c:v>#N/A</c:v>
                </c:pt>
                <c:pt idx="122">
                  <c:v>#N/A</c:v>
                </c:pt>
                <c:pt idx="123">
                  <c:v>#N/A</c:v>
                </c:pt>
                <c:pt idx="124">
                  <c:v>#N/A</c:v>
                </c:pt>
                <c:pt idx="125">
                  <c:v>#N/A</c:v>
                </c:pt>
                <c:pt idx="126">
                  <c:v>#N/A</c:v>
                </c:pt>
                <c:pt idx="127">
                  <c:v>2026</c:v>
                </c:pt>
                <c:pt idx="128">
                  <c:v>2019</c:v>
                </c:pt>
                <c:pt idx="129">
                  <c:v>#N/A</c:v>
                </c:pt>
                <c:pt idx="130">
                  <c:v>#N/A</c:v>
                </c:pt>
                <c:pt idx="131">
                  <c:v>#N/A</c:v>
                </c:pt>
                <c:pt idx="132">
                  <c:v>#N/A</c:v>
                </c:pt>
                <c:pt idx="133">
                  <c:v>2025</c:v>
                </c:pt>
                <c:pt idx="134">
                  <c:v>#N/A</c:v>
                </c:pt>
                <c:pt idx="135">
                  <c:v>2023</c:v>
                </c:pt>
                <c:pt idx="136">
                  <c:v>#N/A</c:v>
                </c:pt>
                <c:pt idx="137">
                  <c:v>2013</c:v>
                </c:pt>
                <c:pt idx="138">
                  <c:v>#N/A</c:v>
                </c:pt>
                <c:pt idx="139">
                  <c:v>#N/A</c:v>
                </c:pt>
                <c:pt idx="140">
                  <c:v>2025</c:v>
                </c:pt>
                <c:pt idx="141">
                  <c:v>#N/A</c:v>
                </c:pt>
                <c:pt idx="142">
                  <c:v>#N/A</c:v>
                </c:pt>
                <c:pt idx="143">
                  <c:v>#N/A</c:v>
                </c:pt>
                <c:pt idx="144">
                  <c:v>#N/A</c:v>
                </c:pt>
                <c:pt idx="145">
                  <c:v>#N/A</c:v>
                </c:pt>
                <c:pt idx="146">
                  <c:v>#N/A</c:v>
                </c:pt>
                <c:pt idx="147">
                  <c:v>#N/A</c:v>
                </c:pt>
                <c:pt idx="148">
                  <c:v>#N/A</c:v>
                </c:pt>
                <c:pt idx="149">
                  <c:v>2023</c:v>
                </c:pt>
                <c:pt idx="150">
                  <c:v>2026</c:v>
                </c:pt>
                <c:pt idx="151">
                  <c:v>2023</c:v>
                </c:pt>
                <c:pt idx="152">
                  <c:v>#N/A</c:v>
                </c:pt>
                <c:pt idx="153">
                  <c:v>2025</c:v>
                </c:pt>
                <c:pt idx="154">
                  <c:v>#N/A</c:v>
                </c:pt>
                <c:pt idx="155">
                  <c:v>#N/A</c:v>
                </c:pt>
                <c:pt idx="156">
                  <c:v>#N/A</c:v>
                </c:pt>
                <c:pt idx="157">
                  <c:v>#N/A</c:v>
                </c:pt>
                <c:pt idx="158">
                  <c:v>2023</c:v>
                </c:pt>
                <c:pt idx="159">
                  <c:v>2025</c:v>
                </c:pt>
                <c:pt idx="160">
                  <c:v>2026</c:v>
                </c:pt>
                <c:pt idx="161">
                  <c:v>#N/A</c:v>
                </c:pt>
                <c:pt idx="162">
                  <c:v>#N/A</c:v>
                </c:pt>
                <c:pt idx="163">
                  <c:v>2024</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2025</c:v>
                </c:pt>
                <c:pt idx="179">
                  <c:v>#N/A</c:v>
                </c:pt>
                <c:pt idx="180">
                  <c:v>#N/A</c:v>
                </c:pt>
                <c:pt idx="181">
                  <c:v>#N/A</c:v>
                </c:pt>
                <c:pt idx="182">
                  <c:v>#N/A</c:v>
                </c:pt>
                <c:pt idx="183">
                  <c:v>#N/A</c:v>
                </c:pt>
                <c:pt idx="184">
                  <c:v>2023</c:v>
                </c:pt>
                <c:pt idx="185">
                  <c:v>#N/A</c:v>
                </c:pt>
                <c:pt idx="186">
                  <c:v>2019</c:v>
                </c:pt>
                <c:pt idx="187">
                  <c:v>2025</c:v>
                </c:pt>
                <c:pt idx="188">
                  <c:v>2025</c:v>
                </c:pt>
                <c:pt idx="189">
                  <c:v>#N/A</c:v>
                </c:pt>
                <c:pt idx="190">
                  <c:v>#N/A</c:v>
                </c:pt>
                <c:pt idx="191">
                  <c:v>#N/A</c:v>
                </c:pt>
                <c:pt idx="192">
                  <c:v>2018</c:v>
                </c:pt>
                <c:pt idx="193">
                  <c:v>2021</c:v>
                </c:pt>
                <c:pt idx="194">
                  <c:v>#N/A</c:v>
                </c:pt>
                <c:pt idx="195">
                  <c:v>#N/A</c:v>
                </c:pt>
                <c:pt idx="196">
                  <c:v>#N/A</c:v>
                </c:pt>
                <c:pt idx="197">
                  <c:v>2025</c:v>
                </c:pt>
                <c:pt idx="198">
                  <c:v>#N/A</c:v>
                </c:pt>
                <c:pt idx="199">
                  <c:v>#N/A</c:v>
                </c:pt>
                <c:pt idx="200">
                  <c:v>#N/A</c:v>
                </c:pt>
                <c:pt idx="201">
                  <c:v>#N/A</c:v>
                </c:pt>
                <c:pt idx="202">
                  <c:v>#N/A</c:v>
                </c:pt>
                <c:pt idx="203">
                  <c:v>#N/A</c:v>
                </c:pt>
                <c:pt idx="204">
                  <c:v>#N/A</c:v>
                </c:pt>
                <c:pt idx="205">
                  <c:v>2024</c:v>
                </c:pt>
                <c:pt idx="206">
                  <c:v>2026</c:v>
                </c:pt>
                <c:pt idx="207">
                  <c:v>2025</c:v>
                </c:pt>
                <c:pt idx="208">
                  <c:v>#N/A</c:v>
                </c:pt>
                <c:pt idx="209">
                  <c:v>2025</c:v>
                </c:pt>
                <c:pt idx="210">
                  <c:v>2024</c:v>
                </c:pt>
                <c:pt idx="211">
                  <c:v>2024</c:v>
                </c:pt>
                <c:pt idx="212">
                  <c:v>2026</c:v>
                </c:pt>
                <c:pt idx="213">
                  <c:v>2019</c:v>
                </c:pt>
                <c:pt idx="214">
                  <c:v>2025</c:v>
                </c:pt>
                <c:pt idx="215">
                  <c:v>2025</c:v>
                </c:pt>
                <c:pt idx="216">
                  <c:v>#N/A</c:v>
                </c:pt>
                <c:pt idx="217">
                  <c:v>2024</c:v>
                </c:pt>
                <c:pt idx="218">
                  <c:v>#N/A</c:v>
                </c:pt>
                <c:pt idx="219">
                  <c:v>#N/A</c:v>
                </c:pt>
                <c:pt idx="220">
                  <c:v>2024</c:v>
                </c:pt>
                <c:pt idx="221">
                  <c:v>2025</c:v>
                </c:pt>
                <c:pt idx="222">
                  <c:v>2025</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2014</c:v>
                </c:pt>
                <c:pt idx="238">
                  <c:v>#N/A</c:v>
                </c:pt>
                <c:pt idx="239">
                  <c:v>#N/A</c:v>
                </c:pt>
                <c:pt idx="240">
                  <c:v>#N/A</c:v>
                </c:pt>
                <c:pt idx="241">
                  <c:v>#N/A</c:v>
                </c:pt>
                <c:pt idx="242">
                  <c:v>#N/A</c:v>
                </c:pt>
                <c:pt idx="243">
                  <c:v>2024</c:v>
                </c:pt>
                <c:pt idx="244">
                  <c:v>#N/A</c:v>
                </c:pt>
                <c:pt idx="245">
                  <c:v>#N/A</c:v>
                </c:pt>
                <c:pt idx="246">
                  <c:v>#N/A</c:v>
                </c:pt>
                <c:pt idx="247">
                  <c:v>#N/A</c:v>
                </c:pt>
                <c:pt idx="248">
                  <c:v>#N/A</c:v>
                </c:pt>
                <c:pt idx="249">
                  <c:v>#N/A</c:v>
                </c:pt>
                <c:pt idx="250">
                  <c:v>#N/A</c:v>
                </c:pt>
                <c:pt idx="251">
                  <c:v>2024</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2023</c:v>
                </c:pt>
                <c:pt idx="267">
                  <c:v>#N/A</c:v>
                </c:pt>
                <c:pt idx="268">
                  <c:v>#N/A</c:v>
                </c:pt>
                <c:pt idx="269">
                  <c:v>#N/A</c:v>
                </c:pt>
                <c:pt idx="270">
                  <c:v>#N/A</c:v>
                </c:pt>
                <c:pt idx="271">
                  <c:v>#N/A</c:v>
                </c:pt>
                <c:pt idx="272">
                  <c:v>#N/A</c:v>
                </c:pt>
                <c:pt idx="273">
                  <c:v>#N/A</c:v>
                </c:pt>
                <c:pt idx="274">
                  <c:v>#N/A</c:v>
                </c:pt>
                <c:pt idx="275">
                  <c:v>#N/A</c:v>
                </c:pt>
                <c:pt idx="276">
                  <c:v>2024</c:v>
                </c:pt>
                <c:pt idx="277">
                  <c:v>2024</c:v>
                </c:pt>
                <c:pt idx="278">
                  <c:v>#N/A</c:v>
                </c:pt>
                <c:pt idx="279">
                  <c:v>#N/A</c:v>
                </c:pt>
                <c:pt idx="280">
                  <c:v>#N/A</c:v>
                </c:pt>
                <c:pt idx="281">
                  <c:v>2021</c:v>
                </c:pt>
                <c:pt idx="282">
                  <c:v>#N/A</c:v>
                </c:pt>
                <c:pt idx="283">
                  <c:v>#N/A</c:v>
                </c:pt>
                <c:pt idx="284">
                  <c:v>#N/A</c:v>
                </c:pt>
                <c:pt idx="285">
                  <c:v>#N/A</c:v>
                </c:pt>
                <c:pt idx="286">
                  <c:v>#N/A</c:v>
                </c:pt>
                <c:pt idx="287">
                  <c:v>2026</c:v>
                </c:pt>
                <c:pt idx="288">
                  <c:v>#N/A</c:v>
                </c:pt>
                <c:pt idx="289">
                  <c:v>#N/A</c:v>
                </c:pt>
                <c:pt idx="290">
                  <c:v>#N/A</c:v>
                </c:pt>
                <c:pt idx="291">
                  <c:v>2020</c:v>
                </c:pt>
                <c:pt idx="292">
                  <c:v>#N/A</c:v>
                </c:pt>
                <c:pt idx="293">
                  <c:v>#N/A</c:v>
                </c:pt>
                <c:pt idx="294">
                  <c:v>#N/A</c:v>
                </c:pt>
                <c:pt idx="295">
                  <c:v>#N/A</c:v>
                </c:pt>
                <c:pt idx="296">
                  <c:v>#N/A</c:v>
                </c:pt>
                <c:pt idx="297">
                  <c:v>#N/A</c:v>
                </c:pt>
                <c:pt idx="298">
                  <c:v>#N/A</c:v>
                </c:pt>
                <c:pt idx="299">
                  <c:v>#N/A</c:v>
                </c:pt>
                <c:pt idx="300">
                  <c:v>#N/A</c:v>
                </c:pt>
                <c:pt idx="301">
                  <c:v>#N/A</c:v>
                </c:pt>
                <c:pt idx="302">
                  <c:v>#N/A</c:v>
                </c:pt>
                <c:pt idx="303">
                  <c:v>2026</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2026</c:v>
                </c:pt>
                <c:pt idx="318">
                  <c:v>#N/A</c:v>
                </c:pt>
                <c:pt idx="319">
                  <c:v>#N/A</c:v>
                </c:pt>
                <c:pt idx="320">
                  <c:v>#N/A</c:v>
                </c:pt>
                <c:pt idx="321">
                  <c:v>#N/A</c:v>
                </c:pt>
                <c:pt idx="322">
                  <c:v>#N/A</c:v>
                </c:pt>
                <c:pt idx="323">
                  <c:v>#N/A</c:v>
                </c:pt>
                <c:pt idx="324">
                  <c:v>#N/A</c:v>
                </c:pt>
                <c:pt idx="325">
                  <c:v>#N/A</c:v>
                </c:pt>
                <c:pt idx="326">
                  <c:v>#N/A</c:v>
                </c:pt>
                <c:pt idx="327">
                  <c:v>2020</c:v>
                </c:pt>
                <c:pt idx="328">
                  <c:v>#N/A</c:v>
                </c:pt>
                <c:pt idx="329">
                  <c:v>#N/A</c:v>
                </c:pt>
                <c:pt idx="330">
                  <c:v>2020</c:v>
                </c:pt>
                <c:pt idx="331">
                  <c:v>#N/A</c:v>
                </c:pt>
                <c:pt idx="332">
                  <c:v>#N/A</c:v>
                </c:pt>
                <c:pt idx="333">
                  <c:v>2015</c:v>
                </c:pt>
                <c:pt idx="334">
                  <c:v>#N/A</c:v>
                </c:pt>
                <c:pt idx="335">
                  <c:v>#N/A</c:v>
                </c:pt>
                <c:pt idx="336">
                  <c:v>#N/A</c:v>
                </c:pt>
                <c:pt idx="337">
                  <c:v>#N/A</c:v>
                </c:pt>
                <c:pt idx="338">
                  <c:v>#N/A</c:v>
                </c:pt>
                <c:pt idx="339">
                  <c:v>#N/A</c:v>
                </c:pt>
                <c:pt idx="340">
                  <c:v>#N/A</c:v>
                </c:pt>
                <c:pt idx="341">
                  <c:v>2021</c:v>
                </c:pt>
                <c:pt idx="342">
                  <c:v>#N/A</c:v>
                </c:pt>
                <c:pt idx="343">
                  <c:v>#N/A</c:v>
                </c:pt>
                <c:pt idx="344">
                  <c:v>#N/A</c:v>
                </c:pt>
                <c:pt idx="345">
                  <c:v>2014</c:v>
                </c:pt>
                <c:pt idx="346">
                  <c:v>2017</c:v>
                </c:pt>
                <c:pt idx="347">
                  <c:v>#N/A</c:v>
                </c:pt>
                <c:pt idx="348">
                  <c:v>2026</c:v>
                </c:pt>
                <c:pt idx="349">
                  <c:v>#N/A</c:v>
                </c:pt>
                <c:pt idx="350">
                  <c:v>#N/A</c:v>
                </c:pt>
                <c:pt idx="351">
                  <c:v>#N/A</c:v>
                </c:pt>
                <c:pt idx="352">
                  <c:v>#N/A</c:v>
                </c:pt>
                <c:pt idx="353">
                  <c:v>#N/A</c:v>
                </c:pt>
                <c:pt idx="354">
                  <c:v>2025</c:v>
                </c:pt>
                <c:pt idx="355">
                  <c:v>#N/A</c:v>
                </c:pt>
                <c:pt idx="356">
                  <c:v>#N/A</c:v>
                </c:pt>
                <c:pt idx="357">
                  <c:v>#N/A</c:v>
                </c:pt>
                <c:pt idx="358">
                  <c:v>#N/A</c:v>
                </c:pt>
                <c:pt idx="359">
                  <c:v>#N/A</c:v>
                </c:pt>
                <c:pt idx="360">
                  <c:v>#N/A</c:v>
                </c:pt>
                <c:pt idx="361">
                  <c:v>2023</c:v>
                </c:pt>
                <c:pt idx="362">
                  <c:v>#N/A</c:v>
                </c:pt>
                <c:pt idx="363">
                  <c:v>#N/A</c:v>
                </c:pt>
                <c:pt idx="364">
                  <c:v>#N/A</c:v>
                </c:pt>
                <c:pt idx="365">
                  <c:v>#N/A</c:v>
                </c:pt>
                <c:pt idx="366">
                  <c:v>#N/A</c:v>
                </c:pt>
                <c:pt idx="367">
                  <c:v>#N/A</c:v>
                </c:pt>
                <c:pt idx="368">
                  <c:v>#N/A</c:v>
                </c:pt>
                <c:pt idx="369">
                  <c:v>#N/A</c:v>
                </c:pt>
                <c:pt idx="370">
                  <c:v>#N/A</c:v>
                </c:pt>
                <c:pt idx="371">
                  <c:v>#N/A</c:v>
                </c:pt>
                <c:pt idx="372">
                  <c:v>#N/A</c:v>
                </c:pt>
                <c:pt idx="373">
                  <c:v>2026</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2021</c:v>
                </c:pt>
                <c:pt idx="387">
                  <c:v>2026</c:v>
                </c:pt>
                <c:pt idx="388">
                  <c:v>#N/A</c:v>
                </c:pt>
                <c:pt idx="389">
                  <c:v>#N/A</c:v>
                </c:pt>
                <c:pt idx="390">
                  <c:v>2025</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2025</c:v>
                </c:pt>
                <c:pt idx="410">
                  <c:v>2020</c:v>
                </c:pt>
                <c:pt idx="411">
                  <c:v>#N/A</c:v>
                </c:pt>
                <c:pt idx="412">
                  <c:v>#N/A</c:v>
                </c:pt>
                <c:pt idx="413">
                  <c:v>#N/A</c:v>
                </c:pt>
                <c:pt idx="414">
                  <c:v>#N/A</c:v>
                </c:pt>
                <c:pt idx="415">
                  <c:v>#N/A</c:v>
                </c:pt>
                <c:pt idx="416">
                  <c:v>#N/A</c:v>
                </c:pt>
                <c:pt idx="417">
                  <c:v>#N/A</c:v>
                </c:pt>
                <c:pt idx="418">
                  <c:v>#N/A</c:v>
                </c:pt>
                <c:pt idx="419">
                  <c:v>2026</c:v>
                </c:pt>
                <c:pt idx="420">
                  <c:v>#N/A</c:v>
                </c:pt>
                <c:pt idx="421">
                  <c:v>2026</c:v>
                </c:pt>
                <c:pt idx="422">
                  <c:v>#N/A</c:v>
                </c:pt>
                <c:pt idx="423">
                  <c:v>#N/A</c:v>
                </c:pt>
                <c:pt idx="424">
                  <c:v>#N/A</c:v>
                </c:pt>
                <c:pt idx="425">
                  <c:v>#N/A</c:v>
                </c:pt>
                <c:pt idx="426">
                  <c:v>#N/A</c:v>
                </c:pt>
                <c:pt idx="427">
                  <c:v>#N/A</c:v>
                </c:pt>
                <c:pt idx="428">
                  <c:v>#N/A</c:v>
                </c:pt>
                <c:pt idx="429">
                  <c:v>#N/A</c:v>
                </c:pt>
                <c:pt idx="430">
                  <c:v>#N/A</c:v>
                </c:pt>
                <c:pt idx="431">
                  <c:v>2023</c:v>
                </c:pt>
                <c:pt idx="432">
                  <c:v>2022</c:v>
                </c:pt>
                <c:pt idx="433">
                  <c:v>#N/A</c:v>
                </c:pt>
                <c:pt idx="434">
                  <c:v>#N/A</c:v>
                </c:pt>
                <c:pt idx="435">
                  <c:v>2024</c:v>
                </c:pt>
                <c:pt idx="436">
                  <c:v>2021</c:v>
                </c:pt>
                <c:pt idx="437">
                  <c:v>2023</c:v>
                </c:pt>
                <c:pt idx="438">
                  <c:v>#N/A</c:v>
                </c:pt>
                <c:pt idx="439">
                  <c:v>#N/A</c:v>
                </c:pt>
                <c:pt idx="440">
                  <c:v>#N/A</c:v>
                </c:pt>
                <c:pt idx="441">
                  <c:v>#N/A</c:v>
                </c:pt>
                <c:pt idx="442">
                  <c:v>#N/A</c:v>
                </c:pt>
                <c:pt idx="443">
                  <c:v>#N/A</c:v>
                </c:pt>
                <c:pt idx="444">
                  <c:v>#N/A</c:v>
                </c:pt>
                <c:pt idx="445">
                  <c:v>#N/A</c:v>
                </c:pt>
                <c:pt idx="446">
                  <c:v>#N/A</c:v>
                </c:pt>
                <c:pt idx="447">
                  <c:v>2026</c:v>
                </c:pt>
                <c:pt idx="448">
                  <c:v>#N/A</c:v>
                </c:pt>
                <c:pt idx="449">
                  <c:v>#N/A</c:v>
                </c:pt>
                <c:pt idx="450">
                  <c:v>#N/A</c:v>
                </c:pt>
                <c:pt idx="451">
                  <c:v>2024</c:v>
                </c:pt>
                <c:pt idx="452">
                  <c:v>2024</c:v>
                </c:pt>
                <c:pt idx="453">
                  <c:v>2026</c:v>
                </c:pt>
                <c:pt idx="454">
                  <c:v>2025</c:v>
                </c:pt>
                <c:pt idx="455">
                  <c:v>#N/A</c:v>
                </c:pt>
                <c:pt idx="456">
                  <c:v>#N/A</c:v>
                </c:pt>
                <c:pt idx="457">
                  <c:v>#N/A</c:v>
                </c:pt>
                <c:pt idx="458">
                  <c:v>#N/A</c:v>
                </c:pt>
                <c:pt idx="459">
                  <c:v>#N/A</c:v>
                </c:pt>
                <c:pt idx="460">
                  <c:v>#N/A</c:v>
                </c:pt>
                <c:pt idx="461">
                  <c:v>#N/A</c:v>
                </c:pt>
                <c:pt idx="462">
                  <c:v>#N/A</c:v>
                </c:pt>
                <c:pt idx="463">
                  <c:v>#N/A</c:v>
                </c:pt>
                <c:pt idx="464">
                  <c:v>#N/A</c:v>
                </c:pt>
                <c:pt idx="465">
                  <c:v>#N/A</c:v>
                </c:pt>
                <c:pt idx="466">
                  <c:v>2021</c:v>
                </c:pt>
                <c:pt idx="467">
                  <c:v>#N/A</c:v>
                </c:pt>
                <c:pt idx="468">
                  <c:v>#N/A</c:v>
                </c:pt>
                <c:pt idx="469">
                  <c:v>#N/A</c:v>
                </c:pt>
                <c:pt idx="470">
                  <c:v>#N/A</c:v>
                </c:pt>
                <c:pt idx="471">
                  <c:v>2017</c:v>
                </c:pt>
                <c:pt idx="472">
                  <c:v>2020</c:v>
                </c:pt>
                <c:pt idx="473">
                  <c:v>2025</c:v>
                </c:pt>
                <c:pt idx="474">
                  <c:v>#N/A</c:v>
                </c:pt>
                <c:pt idx="475">
                  <c:v>#N/A</c:v>
                </c:pt>
                <c:pt idx="476">
                  <c:v>2026</c:v>
                </c:pt>
                <c:pt idx="477">
                  <c:v>#N/A</c:v>
                </c:pt>
                <c:pt idx="478">
                  <c:v>#N/A</c:v>
                </c:pt>
                <c:pt idx="479">
                  <c:v>#N/A</c:v>
                </c:pt>
                <c:pt idx="480">
                  <c:v>#N/A</c:v>
                </c:pt>
                <c:pt idx="481">
                  <c:v>#N/A</c:v>
                </c:pt>
                <c:pt idx="482">
                  <c:v>#N/A</c:v>
                </c:pt>
                <c:pt idx="483">
                  <c:v>#N/A</c:v>
                </c:pt>
                <c:pt idx="484">
                  <c:v>2024</c:v>
                </c:pt>
                <c:pt idx="485">
                  <c:v>#N/A</c:v>
                </c:pt>
                <c:pt idx="486">
                  <c:v>#N/A</c:v>
                </c:pt>
                <c:pt idx="487">
                  <c:v>#N/A</c:v>
                </c:pt>
                <c:pt idx="488">
                  <c:v>#N/A</c:v>
                </c:pt>
                <c:pt idx="489">
                  <c:v>#N/A</c:v>
                </c:pt>
                <c:pt idx="490">
                  <c:v>#N/A</c:v>
                </c:pt>
                <c:pt idx="491">
                  <c:v>#N/A</c:v>
                </c:pt>
                <c:pt idx="492">
                  <c:v>2025</c:v>
                </c:pt>
                <c:pt idx="493">
                  <c:v>#N/A</c:v>
                </c:pt>
                <c:pt idx="494">
                  <c:v>#N/A</c:v>
                </c:pt>
                <c:pt idx="495">
                  <c:v>#N/A</c:v>
                </c:pt>
                <c:pt idx="496">
                  <c:v>2022</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2026</c:v>
                </c:pt>
                <c:pt idx="510">
                  <c:v>#N/A</c:v>
                </c:pt>
                <c:pt idx="511">
                  <c:v>#N/A</c:v>
                </c:pt>
                <c:pt idx="512">
                  <c:v>#N/A</c:v>
                </c:pt>
                <c:pt idx="513">
                  <c:v>#N/A</c:v>
                </c:pt>
                <c:pt idx="514">
                  <c:v>#N/A</c:v>
                </c:pt>
                <c:pt idx="515">
                  <c:v>#N/A</c:v>
                </c:pt>
                <c:pt idx="516">
                  <c:v>#N/A</c:v>
                </c:pt>
                <c:pt idx="517">
                  <c:v>#N/A</c:v>
                </c:pt>
                <c:pt idx="518">
                  <c:v>#N/A</c:v>
                </c:pt>
                <c:pt idx="519">
                  <c:v>2019</c:v>
                </c:pt>
                <c:pt idx="520">
                  <c:v>#N/A</c:v>
                </c:pt>
                <c:pt idx="521">
                  <c:v>#N/A</c:v>
                </c:pt>
                <c:pt idx="522">
                  <c:v>#N/A</c:v>
                </c:pt>
                <c:pt idx="523">
                  <c:v>#N/A</c:v>
                </c:pt>
                <c:pt idx="524">
                  <c:v>#N/A</c:v>
                </c:pt>
                <c:pt idx="525">
                  <c:v>2021</c:v>
                </c:pt>
                <c:pt idx="526">
                  <c:v>#N/A</c:v>
                </c:pt>
                <c:pt idx="527">
                  <c:v>#N/A</c:v>
                </c:pt>
                <c:pt idx="528">
                  <c:v>#N/A</c:v>
                </c:pt>
                <c:pt idx="529">
                  <c:v>#N/A</c:v>
                </c:pt>
                <c:pt idx="530">
                  <c:v>#N/A</c:v>
                </c:pt>
                <c:pt idx="531">
                  <c:v>#N/A</c:v>
                </c:pt>
                <c:pt idx="532">
                  <c:v>#N/A</c:v>
                </c:pt>
                <c:pt idx="533">
                  <c:v>#N/A</c:v>
                </c:pt>
                <c:pt idx="534">
                  <c:v>2025</c:v>
                </c:pt>
                <c:pt idx="535">
                  <c:v>#N/A</c:v>
                </c:pt>
                <c:pt idx="536">
                  <c:v>#N/A</c:v>
                </c:pt>
                <c:pt idx="537">
                  <c:v>#N/A</c:v>
                </c:pt>
                <c:pt idx="538">
                  <c:v>2026</c:v>
                </c:pt>
                <c:pt idx="539">
                  <c:v>#N/A</c:v>
                </c:pt>
                <c:pt idx="540">
                  <c:v>#N/A</c:v>
                </c:pt>
                <c:pt idx="541">
                  <c:v>#N/A</c:v>
                </c:pt>
                <c:pt idx="542">
                  <c:v>#N/A</c:v>
                </c:pt>
                <c:pt idx="543">
                  <c:v>2025</c:v>
                </c:pt>
                <c:pt idx="544">
                  <c:v>#N/A</c:v>
                </c:pt>
                <c:pt idx="545">
                  <c:v>#N/A</c:v>
                </c:pt>
                <c:pt idx="546">
                  <c:v>#N/A</c:v>
                </c:pt>
                <c:pt idx="547">
                  <c:v>#N/A</c:v>
                </c:pt>
                <c:pt idx="548">
                  <c:v>#N/A</c:v>
                </c:pt>
                <c:pt idx="549">
                  <c:v>#N/A</c:v>
                </c:pt>
                <c:pt idx="550">
                  <c:v>#N/A</c:v>
                </c:pt>
                <c:pt idx="551">
                  <c:v>#N/A</c:v>
                </c:pt>
                <c:pt idx="552">
                  <c:v>#N/A</c:v>
                </c:pt>
                <c:pt idx="553">
                  <c:v>#N/A</c:v>
                </c:pt>
                <c:pt idx="554">
                  <c:v>2022</c:v>
                </c:pt>
                <c:pt idx="555">
                  <c:v>2026</c:v>
                </c:pt>
                <c:pt idx="556">
                  <c:v>#N/A</c:v>
                </c:pt>
                <c:pt idx="557">
                  <c:v>#N/A</c:v>
                </c:pt>
                <c:pt idx="558">
                  <c:v>#N/A</c:v>
                </c:pt>
                <c:pt idx="559">
                  <c:v>2025</c:v>
                </c:pt>
                <c:pt idx="560">
                  <c:v>#N/A</c:v>
                </c:pt>
                <c:pt idx="561">
                  <c:v>#N/A</c:v>
                </c:pt>
                <c:pt idx="562">
                  <c:v>2026</c:v>
                </c:pt>
                <c:pt idx="563">
                  <c:v>2021</c:v>
                </c:pt>
                <c:pt idx="564">
                  <c:v>2026</c:v>
                </c:pt>
                <c:pt idx="565">
                  <c:v>2022</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2024</c:v>
                </c:pt>
                <c:pt idx="585">
                  <c:v>#N/A</c:v>
                </c:pt>
                <c:pt idx="586">
                  <c:v>#N/A</c:v>
                </c:pt>
                <c:pt idx="587">
                  <c:v>#N/A</c:v>
                </c:pt>
                <c:pt idx="588">
                  <c:v>2026</c:v>
                </c:pt>
                <c:pt idx="589">
                  <c:v>#N/A</c:v>
                </c:pt>
                <c:pt idx="590">
                  <c:v>#N/A</c:v>
                </c:pt>
                <c:pt idx="591">
                  <c:v>#N/A</c:v>
                </c:pt>
                <c:pt idx="592">
                  <c:v>#N/A</c:v>
                </c:pt>
                <c:pt idx="593">
                  <c:v>#N/A</c:v>
                </c:pt>
                <c:pt idx="594">
                  <c:v>2019</c:v>
                </c:pt>
                <c:pt idx="595">
                  <c:v>#N/A</c:v>
                </c:pt>
                <c:pt idx="596">
                  <c:v>#N/A</c:v>
                </c:pt>
                <c:pt idx="597">
                  <c:v>#N/A</c:v>
                </c:pt>
                <c:pt idx="598">
                  <c:v>#N/A</c:v>
                </c:pt>
                <c:pt idx="599">
                  <c:v>#N/A</c:v>
                </c:pt>
                <c:pt idx="600">
                  <c:v>#N/A</c:v>
                </c:pt>
                <c:pt idx="601">
                  <c:v>#N/A</c:v>
                </c:pt>
                <c:pt idx="602">
                  <c:v>#N/A</c:v>
                </c:pt>
                <c:pt idx="603">
                  <c:v>2025</c:v>
                </c:pt>
                <c:pt idx="604">
                  <c:v>#N/A</c:v>
                </c:pt>
                <c:pt idx="605">
                  <c:v>#N/A</c:v>
                </c:pt>
                <c:pt idx="606">
                  <c:v>#N/A</c:v>
                </c:pt>
                <c:pt idx="607">
                  <c:v>#N/A</c:v>
                </c:pt>
                <c:pt idx="608">
                  <c:v>#N/A</c:v>
                </c:pt>
                <c:pt idx="609">
                  <c:v>#N/A</c:v>
                </c:pt>
                <c:pt idx="610">
                  <c:v>#N/A</c:v>
                </c:pt>
                <c:pt idx="611">
                  <c:v>#N/A</c:v>
                </c:pt>
                <c:pt idx="612">
                  <c:v>2022</c:v>
                </c:pt>
                <c:pt idx="613">
                  <c:v>#N/A</c:v>
                </c:pt>
                <c:pt idx="614">
                  <c:v>2025</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2024</c:v>
                </c:pt>
                <c:pt idx="634">
                  <c:v>#N/A</c:v>
                </c:pt>
                <c:pt idx="635">
                  <c:v>#N/A</c:v>
                </c:pt>
                <c:pt idx="636">
                  <c:v>2021</c:v>
                </c:pt>
                <c:pt idx="637">
                  <c:v>#N/A</c:v>
                </c:pt>
                <c:pt idx="638">
                  <c:v>2026</c:v>
                </c:pt>
                <c:pt idx="639">
                  <c:v>#N/A</c:v>
                </c:pt>
                <c:pt idx="640">
                  <c:v>#N/A</c:v>
                </c:pt>
                <c:pt idx="641">
                  <c:v>#N/A</c:v>
                </c:pt>
                <c:pt idx="642">
                  <c:v>#N/A</c:v>
                </c:pt>
                <c:pt idx="643">
                  <c:v>2026</c:v>
                </c:pt>
                <c:pt idx="644">
                  <c:v>2025</c:v>
                </c:pt>
                <c:pt idx="645">
                  <c:v>#N/A</c:v>
                </c:pt>
                <c:pt idx="646">
                  <c:v>2026</c:v>
                </c:pt>
                <c:pt idx="647">
                  <c:v>2025</c:v>
                </c:pt>
                <c:pt idx="648">
                  <c:v>2026</c:v>
                </c:pt>
                <c:pt idx="649">
                  <c:v>2023</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2026</c:v>
                </c:pt>
                <c:pt idx="682">
                  <c:v>#N/A</c:v>
                </c:pt>
                <c:pt idx="683">
                  <c:v>#N/A</c:v>
                </c:pt>
                <c:pt idx="684">
                  <c:v>#N/A</c:v>
                </c:pt>
                <c:pt idx="685">
                  <c:v>#N/A</c:v>
                </c:pt>
                <c:pt idx="686">
                  <c:v>#N/A</c:v>
                </c:pt>
                <c:pt idx="687">
                  <c:v>2024</c:v>
                </c:pt>
                <c:pt idx="688">
                  <c:v>#N/A</c:v>
                </c:pt>
                <c:pt idx="689">
                  <c:v>#N/A</c:v>
                </c:pt>
                <c:pt idx="690">
                  <c:v>2017</c:v>
                </c:pt>
                <c:pt idx="691">
                  <c:v>2026</c:v>
                </c:pt>
                <c:pt idx="692">
                  <c:v>#N/A</c:v>
                </c:pt>
                <c:pt idx="693">
                  <c:v>#N/A</c:v>
                </c:pt>
                <c:pt idx="694">
                  <c:v>#N/A</c:v>
                </c:pt>
                <c:pt idx="695">
                  <c:v>2025</c:v>
                </c:pt>
                <c:pt idx="696">
                  <c:v>2026</c:v>
                </c:pt>
                <c:pt idx="697">
                  <c:v>2025</c:v>
                </c:pt>
                <c:pt idx="698">
                  <c:v>#N/A</c:v>
                </c:pt>
                <c:pt idx="699">
                  <c:v>#N/A</c:v>
                </c:pt>
                <c:pt idx="700">
                  <c:v>#N/A</c:v>
                </c:pt>
                <c:pt idx="701">
                  <c:v>2016</c:v>
                </c:pt>
                <c:pt idx="702">
                  <c:v>#N/A</c:v>
                </c:pt>
                <c:pt idx="703">
                  <c:v>#N/A</c:v>
                </c:pt>
                <c:pt idx="704">
                  <c:v>#N/A</c:v>
                </c:pt>
                <c:pt idx="705">
                  <c:v>#N/A</c:v>
                </c:pt>
                <c:pt idx="706">
                  <c:v>#N/A</c:v>
                </c:pt>
                <c:pt idx="707">
                  <c:v>#N/A</c:v>
                </c:pt>
                <c:pt idx="708">
                  <c:v>#N/A</c:v>
                </c:pt>
                <c:pt idx="709">
                  <c:v>#N/A</c:v>
                </c:pt>
                <c:pt idx="710">
                  <c:v>#N/A</c:v>
                </c:pt>
                <c:pt idx="711">
                  <c:v>#N/A</c:v>
                </c:pt>
                <c:pt idx="712">
                  <c:v>2024</c:v>
                </c:pt>
                <c:pt idx="713">
                  <c:v>#N/A</c:v>
                </c:pt>
                <c:pt idx="714">
                  <c:v>#N/A</c:v>
                </c:pt>
                <c:pt idx="715">
                  <c:v>#N/A</c:v>
                </c:pt>
                <c:pt idx="716">
                  <c:v>2024</c:v>
                </c:pt>
                <c:pt idx="717">
                  <c:v>#N/A</c:v>
                </c:pt>
                <c:pt idx="718">
                  <c:v>#N/A</c:v>
                </c:pt>
                <c:pt idx="719">
                  <c:v>#N/A</c:v>
                </c:pt>
                <c:pt idx="720">
                  <c:v>#N/A</c:v>
                </c:pt>
                <c:pt idx="721">
                  <c:v>#N/A</c:v>
                </c:pt>
                <c:pt idx="722">
                  <c:v>2025</c:v>
                </c:pt>
                <c:pt idx="723">
                  <c:v>#N/A</c:v>
                </c:pt>
                <c:pt idx="724">
                  <c:v>#N/A</c:v>
                </c:pt>
                <c:pt idx="725">
                  <c:v>#N/A</c:v>
                </c:pt>
                <c:pt idx="726">
                  <c:v>#N/A</c:v>
                </c:pt>
                <c:pt idx="727">
                  <c:v>2025</c:v>
                </c:pt>
                <c:pt idx="728">
                  <c:v>2025</c:v>
                </c:pt>
                <c:pt idx="729">
                  <c:v>#N/A</c:v>
                </c:pt>
                <c:pt idx="730">
                  <c:v>#N/A</c:v>
                </c:pt>
                <c:pt idx="731">
                  <c:v>#N/A</c:v>
                </c:pt>
                <c:pt idx="732">
                  <c:v>#N/A</c:v>
                </c:pt>
                <c:pt idx="733">
                  <c:v>#N/A</c:v>
                </c:pt>
                <c:pt idx="734">
                  <c:v>#N/A</c:v>
                </c:pt>
                <c:pt idx="735">
                  <c:v>#N/A</c:v>
                </c:pt>
                <c:pt idx="736">
                  <c:v>#N/A</c:v>
                </c:pt>
                <c:pt idx="737">
                  <c:v>#N/A</c:v>
                </c:pt>
                <c:pt idx="738">
                  <c:v>#N/A</c:v>
                </c:pt>
                <c:pt idx="739">
                  <c:v>#N/A</c:v>
                </c:pt>
                <c:pt idx="740">
                  <c:v>2022</c:v>
                </c:pt>
                <c:pt idx="741">
                  <c:v>#N/A</c:v>
                </c:pt>
                <c:pt idx="742">
                  <c:v>#N/A</c:v>
                </c:pt>
                <c:pt idx="743">
                  <c:v>2025</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2020</c:v>
                </c:pt>
                <c:pt idx="757">
                  <c:v>#N/A</c:v>
                </c:pt>
                <c:pt idx="758">
                  <c:v>#N/A</c:v>
                </c:pt>
                <c:pt idx="759">
                  <c:v>2026</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2025</c:v>
                </c:pt>
                <c:pt idx="777">
                  <c:v>#N/A</c:v>
                </c:pt>
                <c:pt idx="778">
                  <c:v>#N/A</c:v>
                </c:pt>
                <c:pt idx="779">
                  <c:v>#N/A</c:v>
                </c:pt>
                <c:pt idx="780">
                  <c:v>#N/A</c:v>
                </c:pt>
                <c:pt idx="781">
                  <c:v>#N/A</c:v>
                </c:pt>
                <c:pt idx="782">
                  <c:v>#N/A</c:v>
                </c:pt>
                <c:pt idx="783">
                  <c:v>#N/A</c:v>
                </c:pt>
                <c:pt idx="784">
                  <c:v>#N/A</c:v>
                </c:pt>
                <c:pt idx="785">
                  <c:v>2026</c:v>
                </c:pt>
                <c:pt idx="786">
                  <c:v>#N/A</c:v>
                </c:pt>
                <c:pt idx="787">
                  <c:v>#N/A</c:v>
                </c:pt>
                <c:pt idx="788">
                  <c:v>#N/A</c:v>
                </c:pt>
                <c:pt idx="789">
                  <c:v>#N/A</c:v>
                </c:pt>
                <c:pt idx="790">
                  <c:v>2025</c:v>
                </c:pt>
                <c:pt idx="791">
                  <c:v>#N/A</c:v>
                </c:pt>
                <c:pt idx="792">
                  <c:v>2026</c:v>
                </c:pt>
                <c:pt idx="793">
                  <c:v>#N/A</c:v>
                </c:pt>
                <c:pt idx="794">
                  <c:v>#N/A</c:v>
                </c:pt>
                <c:pt idx="795">
                  <c:v>#N/A</c:v>
                </c:pt>
                <c:pt idx="796">
                  <c:v>#N/A</c:v>
                </c:pt>
                <c:pt idx="797">
                  <c:v>2025</c:v>
                </c:pt>
                <c:pt idx="798">
                  <c:v>#N/A</c:v>
                </c:pt>
                <c:pt idx="799">
                  <c:v>#N/A</c:v>
                </c:pt>
                <c:pt idx="800">
                  <c:v>2026</c:v>
                </c:pt>
                <c:pt idx="801">
                  <c:v>2025</c:v>
                </c:pt>
                <c:pt idx="802">
                  <c:v>#N/A</c:v>
                </c:pt>
                <c:pt idx="803">
                  <c:v>#N/A</c:v>
                </c:pt>
                <c:pt idx="804">
                  <c:v>#N/A</c:v>
                </c:pt>
                <c:pt idx="805">
                  <c:v>#N/A</c:v>
                </c:pt>
                <c:pt idx="806">
                  <c:v>#N/A</c:v>
                </c:pt>
                <c:pt idx="807">
                  <c:v>#N/A</c:v>
                </c:pt>
                <c:pt idx="808">
                  <c:v>#N/A</c:v>
                </c:pt>
                <c:pt idx="809">
                  <c:v>#N/A</c:v>
                </c:pt>
                <c:pt idx="810">
                  <c:v>#N/A</c:v>
                </c:pt>
                <c:pt idx="811">
                  <c:v>#N/A</c:v>
                </c:pt>
                <c:pt idx="812">
                  <c:v>#N/A</c:v>
                </c:pt>
                <c:pt idx="813">
                  <c:v>2022</c:v>
                </c:pt>
                <c:pt idx="814">
                  <c:v>#N/A</c:v>
                </c:pt>
                <c:pt idx="815">
                  <c:v>2023</c:v>
                </c:pt>
                <c:pt idx="816">
                  <c:v>#N/A</c:v>
                </c:pt>
                <c:pt idx="817">
                  <c:v>#N/A</c:v>
                </c:pt>
                <c:pt idx="818">
                  <c:v>#N/A</c:v>
                </c:pt>
                <c:pt idx="819">
                  <c:v>2021</c:v>
                </c:pt>
                <c:pt idx="820">
                  <c:v>2025</c:v>
                </c:pt>
                <c:pt idx="821">
                  <c:v>#N/A</c:v>
                </c:pt>
                <c:pt idx="822">
                  <c:v>2019</c:v>
                </c:pt>
                <c:pt idx="823">
                  <c:v>#N/A</c:v>
                </c:pt>
                <c:pt idx="824">
                  <c:v>2026</c:v>
                </c:pt>
                <c:pt idx="825">
                  <c:v>#N/A</c:v>
                </c:pt>
                <c:pt idx="826">
                  <c:v>#N/A</c:v>
                </c:pt>
                <c:pt idx="827">
                  <c:v>#N/A</c:v>
                </c:pt>
                <c:pt idx="828">
                  <c:v>2026</c:v>
                </c:pt>
                <c:pt idx="829">
                  <c:v>#N/A</c:v>
                </c:pt>
                <c:pt idx="830">
                  <c:v>#N/A</c:v>
                </c:pt>
                <c:pt idx="831">
                  <c:v>#N/A</c:v>
                </c:pt>
                <c:pt idx="832">
                  <c:v>#N/A</c:v>
                </c:pt>
                <c:pt idx="833">
                  <c:v>#N/A</c:v>
                </c:pt>
                <c:pt idx="834">
                  <c:v>#N/A</c:v>
                </c:pt>
                <c:pt idx="835">
                  <c:v>#N/A</c:v>
                </c:pt>
                <c:pt idx="836">
                  <c:v>#N/A</c:v>
                </c:pt>
                <c:pt idx="837">
                  <c:v>2026</c:v>
                </c:pt>
                <c:pt idx="838">
                  <c:v>#N/A</c:v>
                </c:pt>
                <c:pt idx="839">
                  <c:v>#N/A</c:v>
                </c:pt>
                <c:pt idx="840">
                  <c:v>2020</c:v>
                </c:pt>
                <c:pt idx="841">
                  <c:v>#N/A</c:v>
                </c:pt>
                <c:pt idx="842">
                  <c:v>#N/A</c:v>
                </c:pt>
                <c:pt idx="843">
                  <c:v>2021</c:v>
                </c:pt>
                <c:pt idx="844">
                  <c:v>2025</c:v>
                </c:pt>
                <c:pt idx="845">
                  <c:v>2026</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2023</c:v>
                </c:pt>
                <c:pt idx="870">
                  <c:v>#N/A</c:v>
                </c:pt>
                <c:pt idx="871">
                  <c:v>2026</c:v>
                </c:pt>
                <c:pt idx="872">
                  <c:v>#N/A</c:v>
                </c:pt>
                <c:pt idx="873">
                  <c:v>#N/A</c:v>
                </c:pt>
                <c:pt idx="874">
                  <c:v>2026</c:v>
                </c:pt>
                <c:pt idx="875">
                  <c:v>#N/A</c:v>
                </c:pt>
                <c:pt idx="876">
                  <c:v>#N/A</c:v>
                </c:pt>
                <c:pt idx="877">
                  <c:v>#N/A</c:v>
                </c:pt>
                <c:pt idx="878">
                  <c:v>2025</c:v>
                </c:pt>
                <c:pt idx="879">
                  <c:v>2025</c:v>
                </c:pt>
                <c:pt idx="880">
                  <c:v>2022</c:v>
                </c:pt>
                <c:pt idx="881">
                  <c:v>2026</c:v>
                </c:pt>
                <c:pt idx="882">
                  <c:v>#N/A</c:v>
                </c:pt>
                <c:pt idx="883">
                  <c:v>#N/A</c:v>
                </c:pt>
                <c:pt idx="884">
                  <c:v>2024</c:v>
                </c:pt>
                <c:pt idx="885">
                  <c:v>#N/A</c:v>
                </c:pt>
                <c:pt idx="886">
                  <c:v>#N/A</c:v>
                </c:pt>
                <c:pt idx="887">
                  <c:v>#N/A</c:v>
                </c:pt>
                <c:pt idx="888">
                  <c:v>2024</c:v>
                </c:pt>
                <c:pt idx="889">
                  <c:v>#N/A</c:v>
                </c:pt>
                <c:pt idx="890">
                  <c:v>#N/A</c:v>
                </c:pt>
                <c:pt idx="891">
                  <c:v>#N/A</c:v>
                </c:pt>
                <c:pt idx="892">
                  <c:v>2023</c:v>
                </c:pt>
                <c:pt idx="893">
                  <c:v>2026</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numCache>
            </c:numRef>
          </c:xVal>
          <c:yVal>
            <c:numRef>
              <c:f>'Map Calc'!$L$1:$L$950</c:f>
              <c:numCache>
                <c:formatCode>General</c:formatCode>
                <c:ptCount val="950"/>
                <c:pt idx="0">
                  <c:v>0</c:v>
                </c:pt>
                <c:pt idx="1">
                  <c:v>#N/A</c:v>
                </c:pt>
                <c:pt idx="2">
                  <c:v>#N/A</c:v>
                </c:pt>
                <c:pt idx="3">
                  <c:v>3.0920000000000001</c:v>
                </c:pt>
                <c:pt idx="4">
                  <c:v>#N/A</c:v>
                </c:pt>
                <c:pt idx="5">
                  <c:v>#N/A</c:v>
                </c:pt>
                <c:pt idx="6">
                  <c:v>#N/A</c:v>
                </c:pt>
                <c:pt idx="7">
                  <c:v>#N/A</c:v>
                </c:pt>
                <c:pt idx="8">
                  <c:v>#N/A</c:v>
                </c:pt>
                <c:pt idx="9">
                  <c:v>#N/A</c:v>
                </c:pt>
                <c:pt idx="10">
                  <c:v>3.2530000000000001</c:v>
                </c:pt>
                <c:pt idx="11">
                  <c:v>#N/A</c:v>
                </c:pt>
                <c:pt idx="12">
                  <c:v>3.2989999999999999</c:v>
                </c:pt>
                <c:pt idx="13">
                  <c:v>#N/A</c:v>
                </c:pt>
                <c:pt idx="14">
                  <c:v>#N/A</c:v>
                </c:pt>
                <c:pt idx="15">
                  <c:v>#N/A</c:v>
                </c:pt>
                <c:pt idx="16">
                  <c:v>#N/A</c:v>
                </c:pt>
                <c:pt idx="17">
                  <c:v>#N/A</c:v>
                </c:pt>
                <c:pt idx="18">
                  <c:v>3.4369999999999998</c:v>
                </c:pt>
                <c:pt idx="19">
                  <c:v>3.46</c:v>
                </c:pt>
                <c:pt idx="20">
                  <c:v>#N/A</c:v>
                </c:pt>
                <c:pt idx="21">
                  <c:v>#N/A</c:v>
                </c:pt>
                <c:pt idx="22">
                  <c:v>3.5289999999999999</c:v>
                </c:pt>
                <c:pt idx="23">
                  <c:v>#N/A</c:v>
                </c:pt>
                <c:pt idx="24">
                  <c:v>#N/A</c:v>
                </c:pt>
                <c:pt idx="25">
                  <c:v>#N/A</c:v>
                </c:pt>
                <c:pt idx="26">
                  <c:v>#N/A</c:v>
                </c:pt>
                <c:pt idx="27">
                  <c:v>#N/A</c:v>
                </c:pt>
                <c:pt idx="28">
                  <c:v>#N/A</c:v>
                </c:pt>
                <c:pt idx="29">
                  <c:v>3.69</c:v>
                </c:pt>
                <c:pt idx="30">
                  <c:v>#N/A</c:v>
                </c:pt>
                <c:pt idx="31">
                  <c:v>3.7359999999999998</c:v>
                </c:pt>
                <c:pt idx="32">
                  <c:v>#N/A</c:v>
                </c:pt>
                <c:pt idx="33">
                  <c:v>3</c:v>
                </c:pt>
                <c:pt idx="34">
                  <c:v>3.0230000000000001</c:v>
                </c:pt>
                <c:pt idx="35">
                  <c:v>#N/A</c:v>
                </c:pt>
                <c:pt idx="36">
                  <c:v>#N/A</c:v>
                </c:pt>
                <c:pt idx="37">
                  <c:v>#N/A</c:v>
                </c:pt>
                <c:pt idx="38">
                  <c:v>3.1150000000000002</c:v>
                </c:pt>
                <c:pt idx="39">
                  <c:v>3.1379999999999999</c:v>
                </c:pt>
                <c:pt idx="40">
                  <c:v>#N/A</c:v>
                </c:pt>
                <c:pt idx="41">
                  <c:v>#N/A</c:v>
                </c:pt>
                <c:pt idx="42">
                  <c:v>#N/A</c:v>
                </c:pt>
                <c:pt idx="43">
                  <c:v>3.23</c:v>
                </c:pt>
                <c:pt idx="44">
                  <c:v>#N/A</c:v>
                </c:pt>
                <c:pt idx="45">
                  <c:v>#N/A</c:v>
                </c:pt>
                <c:pt idx="46">
                  <c:v>#N/A</c:v>
                </c:pt>
                <c:pt idx="47">
                  <c:v>#N/A</c:v>
                </c:pt>
                <c:pt idx="48">
                  <c:v>#N/A</c:v>
                </c:pt>
                <c:pt idx="49">
                  <c:v>#N/A</c:v>
                </c:pt>
                <c:pt idx="50">
                  <c:v>#N/A</c:v>
                </c:pt>
                <c:pt idx="51">
                  <c:v>#N/A</c:v>
                </c:pt>
                <c:pt idx="52">
                  <c:v>#N/A</c:v>
                </c:pt>
                <c:pt idx="53">
                  <c:v>3.46</c:v>
                </c:pt>
                <c:pt idx="54">
                  <c:v>#N/A</c:v>
                </c:pt>
                <c:pt idx="55">
                  <c:v>3.5060000000000002</c:v>
                </c:pt>
                <c:pt idx="56">
                  <c:v>#N/A</c:v>
                </c:pt>
                <c:pt idx="57">
                  <c:v>#N/A</c:v>
                </c:pt>
                <c:pt idx="58">
                  <c:v>3.5750000000000002</c:v>
                </c:pt>
                <c:pt idx="59">
                  <c:v>3.5979999999999999</c:v>
                </c:pt>
                <c:pt idx="60">
                  <c:v>#N/A</c:v>
                </c:pt>
                <c:pt idx="61">
                  <c:v>#N/A</c:v>
                </c:pt>
                <c:pt idx="62">
                  <c:v>#N/A</c:v>
                </c:pt>
                <c:pt idx="63">
                  <c:v>#N/A</c:v>
                </c:pt>
                <c:pt idx="64">
                  <c:v>#N/A</c:v>
                </c:pt>
                <c:pt idx="65">
                  <c:v>#N/A</c:v>
                </c:pt>
                <c:pt idx="66">
                  <c:v>#N/A</c:v>
                </c:pt>
                <c:pt idx="67">
                  <c:v>3</c:v>
                </c:pt>
                <c:pt idx="68">
                  <c:v>#N/A</c:v>
                </c:pt>
                <c:pt idx="69">
                  <c:v>#N/A</c:v>
                </c:pt>
                <c:pt idx="70">
                  <c:v>#N/A</c:v>
                </c:pt>
                <c:pt idx="71">
                  <c:v>#N/A</c:v>
                </c:pt>
                <c:pt idx="72">
                  <c:v>3.1150000000000002</c:v>
                </c:pt>
                <c:pt idx="73">
                  <c:v>#N/A</c:v>
                </c:pt>
                <c:pt idx="74">
                  <c:v>3.161</c:v>
                </c:pt>
                <c:pt idx="75">
                  <c:v>3.1840000000000002</c:v>
                </c:pt>
                <c:pt idx="76">
                  <c:v>#N/A</c:v>
                </c:pt>
                <c:pt idx="77">
                  <c:v>3.23</c:v>
                </c:pt>
                <c:pt idx="78">
                  <c:v>#N/A</c:v>
                </c:pt>
                <c:pt idx="79">
                  <c:v>#N/A</c:v>
                </c:pt>
                <c:pt idx="80">
                  <c:v>#N/A</c:v>
                </c:pt>
                <c:pt idx="81">
                  <c:v>#N/A</c:v>
                </c:pt>
                <c:pt idx="82">
                  <c:v>#N/A</c:v>
                </c:pt>
                <c:pt idx="83">
                  <c:v>#N/A</c:v>
                </c:pt>
                <c:pt idx="84">
                  <c:v>#N/A</c:v>
                </c:pt>
                <c:pt idx="85">
                  <c:v>#N/A</c:v>
                </c:pt>
                <c:pt idx="86">
                  <c:v>#N/A</c:v>
                </c:pt>
                <c:pt idx="87">
                  <c:v>3.46</c:v>
                </c:pt>
                <c:pt idx="88">
                  <c:v>#N/A</c:v>
                </c:pt>
                <c:pt idx="89">
                  <c:v>#N/A</c:v>
                </c:pt>
                <c:pt idx="90">
                  <c:v>#N/A</c:v>
                </c:pt>
                <c:pt idx="91">
                  <c:v>3.552</c:v>
                </c:pt>
                <c:pt idx="92">
                  <c:v>3.5750000000000002</c:v>
                </c:pt>
                <c:pt idx="93">
                  <c:v>3.5979999999999999</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3.1379999999999999</c:v>
                </c:pt>
                <c:pt idx="108">
                  <c:v>#N/A</c:v>
                </c:pt>
                <c:pt idx="109">
                  <c:v>#N/A</c:v>
                </c:pt>
                <c:pt idx="110">
                  <c:v>#N/A</c:v>
                </c:pt>
                <c:pt idx="111">
                  <c:v>#N/A</c:v>
                </c:pt>
                <c:pt idx="112">
                  <c:v>#N/A</c:v>
                </c:pt>
                <c:pt idx="113">
                  <c:v>3.2759999999999998</c:v>
                </c:pt>
                <c:pt idx="114">
                  <c:v>#N/A</c:v>
                </c:pt>
                <c:pt idx="115">
                  <c:v>#N/A</c:v>
                </c:pt>
                <c:pt idx="116">
                  <c:v>#N/A</c:v>
                </c:pt>
                <c:pt idx="117">
                  <c:v>#N/A</c:v>
                </c:pt>
                <c:pt idx="118">
                  <c:v>#N/A</c:v>
                </c:pt>
                <c:pt idx="119">
                  <c:v>#N/A</c:v>
                </c:pt>
                <c:pt idx="120">
                  <c:v>3.4369999999999998</c:v>
                </c:pt>
                <c:pt idx="121">
                  <c:v>#N/A</c:v>
                </c:pt>
                <c:pt idx="122">
                  <c:v>#N/A</c:v>
                </c:pt>
                <c:pt idx="123">
                  <c:v>#N/A</c:v>
                </c:pt>
                <c:pt idx="124">
                  <c:v>#N/A</c:v>
                </c:pt>
                <c:pt idx="125">
                  <c:v>#N/A</c:v>
                </c:pt>
                <c:pt idx="126">
                  <c:v>#N/A</c:v>
                </c:pt>
                <c:pt idx="127">
                  <c:v>#N/A</c:v>
                </c:pt>
                <c:pt idx="128">
                  <c:v>3.621</c:v>
                </c:pt>
                <c:pt idx="129">
                  <c:v>3.6440000000000001</c:v>
                </c:pt>
                <c:pt idx="130">
                  <c:v>#N/A</c:v>
                </c:pt>
                <c:pt idx="131">
                  <c:v>#N/A</c:v>
                </c:pt>
                <c:pt idx="132">
                  <c:v>#N/A</c:v>
                </c:pt>
                <c:pt idx="133">
                  <c:v>#N/A</c:v>
                </c:pt>
                <c:pt idx="134">
                  <c:v>3.7589999999999999</c:v>
                </c:pt>
                <c:pt idx="135">
                  <c:v>#N/A</c:v>
                </c:pt>
                <c:pt idx="136">
                  <c:v>3.0230000000000001</c:v>
                </c:pt>
                <c:pt idx="137">
                  <c:v>#N/A</c:v>
                </c:pt>
                <c:pt idx="138">
                  <c:v>3.069</c:v>
                </c:pt>
                <c:pt idx="139">
                  <c:v>#N/A</c:v>
                </c:pt>
                <c:pt idx="140">
                  <c:v>#N/A</c:v>
                </c:pt>
                <c:pt idx="141">
                  <c:v>3.1379999999999999</c:v>
                </c:pt>
                <c:pt idx="142">
                  <c:v>#N/A</c:v>
                </c:pt>
                <c:pt idx="143">
                  <c:v>#N/A</c:v>
                </c:pt>
                <c:pt idx="144">
                  <c:v>#N/A</c:v>
                </c:pt>
                <c:pt idx="145">
                  <c:v>#N/A</c:v>
                </c:pt>
                <c:pt idx="146">
                  <c:v>#N/A</c:v>
                </c:pt>
                <c:pt idx="147">
                  <c:v>#N/A</c:v>
                </c:pt>
                <c:pt idx="148">
                  <c:v>#N/A</c:v>
                </c:pt>
                <c:pt idx="149">
                  <c:v>#N/A</c:v>
                </c:pt>
                <c:pt idx="150">
                  <c:v>3.3449999999999998</c:v>
                </c:pt>
                <c:pt idx="151">
                  <c:v>3.3679999999999999</c:v>
                </c:pt>
                <c:pt idx="152">
                  <c:v>3.391</c:v>
                </c:pt>
                <c:pt idx="153">
                  <c:v>#N/A</c:v>
                </c:pt>
                <c:pt idx="154">
                  <c:v>3.4369999999999998</c:v>
                </c:pt>
                <c:pt idx="155">
                  <c:v>#N/A</c:v>
                </c:pt>
                <c:pt idx="156">
                  <c:v>#N/A</c:v>
                </c:pt>
                <c:pt idx="157">
                  <c:v>#N/A</c:v>
                </c:pt>
                <c:pt idx="158">
                  <c:v>#N/A</c:v>
                </c:pt>
                <c:pt idx="159">
                  <c:v>3.552</c:v>
                </c:pt>
                <c:pt idx="160">
                  <c:v>3.5750000000000002</c:v>
                </c:pt>
                <c:pt idx="161">
                  <c:v>3.5979999999999999</c:v>
                </c:pt>
                <c:pt idx="162">
                  <c:v>#N/A</c:v>
                </c:pt>
                <c:pt idx="163">
                  <c:v>#N/A</c:v>
                </c:pt>
                <c:pt idx="164">
                  <c:v>3.6669999999999998</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3.23</c:v>
                </c:pt>
                <c:pt idx="180">
                  <c:v>#N/A</c:v>
                </c:pt>
                <c:pt idx="181">
                  <c:v>#N/A</c:v>
                </c:pt>
                <c:pt idx="182">
                  <c:v>#N/A</c:v>
                </c:pt>
                <c:pt idx="183">
                  <c:v>#N/A</c:v>
                </c:pt>
                <c:pt idx="184">
                  <c:v>#N/A</c:v>
                </c:pt>
                <c:pt idx="185">
                  <c:v>3.3679999999999999</c:v>
                </c:pt>
                <c:pt idx="186">
                  <c:v>#N/A</c:v>
                </c:pt>
                <c:pt idx="187">
                  <c:v>3.4140000000000001</c:v>
                </c:pt>
                <c:pt idx="188">
                  <c:v>3.4369999999999998</c:v>
                </c:pt>
                <c:pt idx="189">
                  <c:v>3.46</c:v>
                </c:pt>
                <c:pt idx="190">
                  <c:v>#N/A</c:v>
                </c:pt>
                <c:pt idx="191">
                  <c:v>#N/A</c:v>
                </c:pt>
                <c:pt idx="192">
                  <c:v>#N/A</c:v>
                </c:pt>
                <c:pt idx="193">
                  <c:v>3.552</c:v>
                </c:pt>
                <c:pt idx="194">
                  <c:v>3.5750000000000002</c:v>
                </c:pt>
                <c:pt idx="195">
                  <c:v>#N/A</c:v>
                </c:pt>
                <c:pt idx="196">
                  <c:v>#N/A</c:v>
                </c:pt>
                <c:pt idx="197">
                  <c:v>#N/A</c:v>
                </c:pt>
                <c:pt idx="198">
                  <c:v>3.6669999999999998</c:v>
                </c:pt>
                <c:pt idx="199">
                  <c:v>#N/A</c:v>
                </c:pt>
                <c:pt idx="200">
                  <c:v>#N/A</c:v>
                </c:pt>
                <c:pt idx="201">
                  <c:v>#N/A</c:v>
                </c:pt>
                <c:pt idx="202">
                  <c:v>#N/A</c:v>
                </c:pt>
                <c:pt idx="203">
                  <c:v>#N/A</c:v>
                </c:pt>
                <c:pt idx="204">
                  <c:v>#N/A</c:v>
                </c:pt>
                <c:pt idx="205">
                  <c:v>#N/A</c:v>
                </c:pt>
                <c:pt idx="206">
                  <c:v>3.069</c:v>
                </c:pt>
                <c:pt idx="207">
                  <c:v>3.0920000000000001</c:v>
                </c:pt>
                <c:pt idx="208">
                  <c:v>3.1150000000000002</c:v>
                </c:pt>
                <c:pt idx="209">
                  <c:v>#N/A</c:v>
                </c:pt>
                <c:pt idx="210">
                  <c:v>3.161</c:v>
                </c:pt>
                <c:pt idx="211">
                  <c:v>3.1840000000000002</c:v>
                </c:pt>
                <c:pt idx="212">
                  <c:v>3.2069999999999999</c:v>
                </c:pt>
                <c:pt idx="213">
                  <c:v>3.23</c:v>
                </c:pt>
                <c:pt idx="214">
                  <c:v>3.2530000000000001</c:v>
                </c:pt>
                <c:pt idx="215">
                  <c:v>3.2759999999999998</c:v>
                </c:pt>
                <c:pt idx="216">
                  <c:v>3.2989999999999999</c:v>
                </c:pt>
                <c:pt idx="217">
                  <c:v>#N/A</c:v>
                </c:pt>
                <c:pt idx="218">
                  <c:v>3.3449999999999998</c:v>
                </c:pt>
                <c:pt idx="219">
                  <c:v>#N/A</c:v>
                </c:pt>
                <c:pt idx="220">
                  <c:v>#N/A</c:v>
                </c:pt>
                <c:pt idx="221">
                  <c:v>3.4140000000000001</c:v>
                </c:pt>
                <c:pt idx="222">
                  <c:v>3.4369999999999998</c:v>
                </c:pt>
                <c:pt idx="223">
                  <c:v>3.46</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3.0230000000000001</c:v>
                </c:pt>
                <c:pt idx="239">
                  <c:v>#N/A</c:v>
                </c:pt>
                <c:pt idx="240">
                  <c:v>#N/A</c:v>
                </c:pt>
                <c:pt idx="241">
                  <c:v>#N/A</c:v>
                </c:pt>
                <c:pt idx="242">
                  <c:v>#N/A</c:v>
                </c:pt>
                <c:pt idx="243">
                  <c:v>#N/A</c:v>
                </c:pt>
                <c:pt idx="244">
                  <c:v>3.161</c:v>
                </c:pt>
                <c:pt idx="245">
                  <c:v>#N/A</c:v>
                </c:pt>
                <c:pt idx="246">
                  <c:v>#N/A</c:v>
                </c:pt>
                <c:pt idx="247">
                  <c:v>#N/A</c:v>
                </c:pt>
                <c:pt idx="248">
                  <c:v>#N/A</c:v>
                </c:pt>
                <c:pt idx="249">
                  <c:v>#N/A</c:v>
                </c:pt>
                <c:pt idx="250">
                  <c:v>#N/A</c:v>
                </c:pt>
                <c:pt idx="251">
                  <c:v>#N/A</c:v>
                </c:pt>
                <c:pt idx="252">
                  <c:v>3.3449999999999998</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3.69</c:v>
                </c:pt>
                <c:pt idx="268">
                  <c:v>#N/A</c:v>
                </c:pt>
                <c:pt idx="269">
                  <c:v>#N/A</c:v>
                </c:pt>
                <c:pt idx="270">
                  <c:v>#N/A</c:v>
                </c:pt>
                <c:pt idx="271">
                  <c:v>#N/A</c:v>
                </c:pt>
                <c:pt idx="272">
                  <c:v>#N/A</c:v>
                </c:pt>
                <c:pt idx="273">
                  <c:v>#N/A</c:v>
                </c:pt>
                <c:pt idx="274">
                  <c:v>#N/A</c:v>
                </c:pt>
                <c:pt idx="275">
                  <c:v>#N/A</c:v>
                </c:pt>
                <c:pt idx="276">
                  <c:v>#N/A</c:v>
                </c:pt>
                <c:pt idx="277">
                  <c:v>3.1379999999999999</c:v>
                </c:pt>
                <c:pt idx="278">
                  <c:v>3.161</c:v>
                </c:pt>
                <c:pt idx="279">
                  <c:v>#N/A</c:v>
                </c:pt>
                <c:pt idx="280">
                  <c:v>#N/A</c:v>
                </c:pt>
                <c:pt idx="281">
                  <c:v>#N/A</c:v>
                </c:pt>
                <c:pt idx="282">
                  <c:v>3.2530000000000001</c:v>
                </c:pt>
                <c:pt idx="283">
                  <c:v>#N/A</c:v>
                </c:pt>
                <c:pt idx="284">
                  <c:v>#N/A</c:v>
                </c:pt>
                <c:pt idx="285">
                  <c:v>#N/A</c:v>
                </c:pt>
                <c:pt idx="286">
                  <c:v>#N/A</c:v>
                </c:pt>
                <c:pt idx="287">
                  <c:v>#N/A</c:v>
                </c:pt>
                <c:pt idx="288">
                  <c:v>3.391</c:v>
                </c:pt>
                <c:pt idx="289">
                  <c:v>#N/A</c:v>
                </c:pt>
                <c:pt idx="290">
                  <c:v>#N/A</c:v>
                </c:pt>
                <c:pt idx="291">
                  <c:v>#N/A</c:v>
                </c:pt>
                <c:pt idx="292">
                  <c:v>3.4830000000000001</c:v>
                </c:pt>
                <c:pt idx="293">
                  <c:v>#N/A</c:v>
                </c:pt>
                <c:pt idx="294">
                  <c:v>#N/A</c:v>
                </c:pt>
                <c:pt idx="295">
                  <c:v>#N/A</c:v>
                </c:pt>
                <c:pt idx="296">
                  <c:v>#N/A</c:v>
                </c:pt>
                <c:pt idx="297">
                  <c:v>#N/A</c:v>
                </c:pt>
                <c:pt idx="298">
                  <c:v>#N/A</c:v>
                </c:pt>
                <c:pt idx="299">
                  <c:v>#N/A</c:v>
                </c:pt>
                <c:pt idx="300">
                  <c:v>#N/A</c:v>
                </c:pt>
                <c:pt idx="301">
                  <c:v>#N/A</c:v>
                </c:pt>
                <c:pt idx="302">
                  <c:v>#N/A</c:v>
                </c:pt>
                <c:pt idx="303">
                  <c:v>#N/A</c:v>
                </c:pt>
                <c:pt idx="304">
                  <c:v>3.7589999999999999</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3.2989999999999999</c:v>
                </c:pt>
                <c:pt idx="319">
                  <c:v>#N/A</c:v>
                </c:pt>
                <c:pt idx="320">
                  <c:v>#N/A</c:v>
                </c:pt>
                <c:pt idx="321">
                  <c:v>#N/A</c:v>
                </c:pt>
                <c:pt idx="322">
                  <c:v>#N/A</c:v>
                </c:pt>
                <c:pt idx="323">
                  <c:v>#N/A</c:v>
                </c:pt>
                <c:pt idx="324">
                  <c:v>#N/A</c:v>
                </c:pt>
                <c:pt idx="325">
                  <c:v>#N/A</c:v>
                </c:pt>
                <c:pt idx="326">
                  <c:v>#N/A</c:v>
                </c:pt>
                <c:pt idx="327">
                  <c:v>#N/A</c:v>
                </c:pt>
                <c:pt idx="328">
                  <c:v>3.5289999999999999</c:v>
                </c:pt>
                <c:pt idx="329">
                  <c:v>#N/A</c:v>
                </c:pt>
                <c:pt idx="330">
                  <c:v>#N/A</c:v>
                </c:pt>
                <c:pt idx="331">
                  <c:v>3.5979999999999999</c:v>
                </c:pt>
                <c:pt idx="332">
                  <c:v>#N/A</c:v>
                </c:pt>
                <c:pt idx="333">
                  <c:v>#N/A</c:v>
                </c:pt>
                <c:pt idx="334">
                  <c:v>3.6669999999999998</c:v>
                </c:pt>
                <c:pt idx="335">
                  <c:v>#N/A</c:v>
                </c:pt>
                <c:pt idx="336">
                  <c:v>#N/A</c:v>
                </c:pt>
                <c:pt idx="337">
                  <c:v>#N/A</c:v>
                </c:pt>
                <c:pt idx="338">
                  <c:v>#N/A</c:v>
                </c:pt>
                <c:pt idx="339">
                  <c:v>#N/A</c:v>
                </c:pt>
                <c:pt idx="340">
                  <c:v>#N/A</c:v>
                </c:pt>
                <c:pt idx="341">
                  <c:v>#N/A</c:v>
                </c:pt>
                <c:pt idx="342">
                  <c:v>3.069</c:v>
                </c:pt>
                <c:pt idx="343">
                  <c:v>#N/A</c:v>
                </c:pt>
                <c:pt idx="344">
                  <c:v>#N/A</c:v>
                </c:pt>
                <c:pt idx="345">
                  <c:v>#N/A</c:v>
                </c:pt>
                <c:pt idx="346">
                  <c:v>3.161</c:v>
                </c:pt>
                <c:pt idx="347">
                  <c:v>3.1840000000000002</c:v>
                </c:pt>
                <c:pt idx="348">
                  <c:v>#N/A</c:v>
                </c:pt>
                <c:pt idx="349">
                  <c:v>3.23</c:v>
                </c:pt>
                <c:pt idx="350">
                  <c:v>#N/A</c:v>
                </c:pt>
                <c:pt idx="351">
                  <c:v>#N/A</c:v>
                </c:pt>
                <c:pt idx="352">
                  <c:v>#N/A</c:v>
                </c:pt>
                <c:pt idx="353">
                  <c:v>#N/A</c:v>
                </c:pt>
                <c:pt idx="354">
                  <c:v>#N/A</c:v>
                </c:pt>
                <c:pt idx="355">
                  <c:v>3.3679999999999999</c:v>
                </c:pt>
                <c:pt idx="356">
                  <c:v>#N/A</c:v>
                </c:pt>
                <c:pt idx="357">
                  <c:v>#N/A</c:v>
                </c:pt>
                <c:pt idx="358">
                  <c:v>#N/A</c:v>
                </c:pt>
                <c:pt idx="359">
                  <c:v>#N/A</c:v>
                </c:pt>
                <c:pt idx="360">
                  <c:v>#N/A</c:v>
                </c:pt>
                <c:pt idx="361">
                  <c:v>#N/A</c:v>
                </c:pt>
                <c:pt idx="362">
                  <c:v>3.5289999999999999</c:v>
                </c:pt>
                <c:pt idx="363">
                  <c:v>#N/A</c:v>
                </c:pt>
                <c:pt idx="364">
                  <c:v>#N/A</c:v>
                </c:pt>
                <c:pt idx="365">
                  <c:v>#N/A</c:v>
                </c:pt>
                <c:pt idx="366">
                  <c:v>#N/A</c:v>
                </c:pt>
                <c:pt idx="367">
                  <c:v>#N/A</c:v>
                </c:pt>
                <c:pt idx="368">
                  <c:v>#N/A</c:v>
                </c:pt>
                <c:pt idx="369">
                  <c:v>#N/A</c:v>
                </c:pt>
                <c:pt idx="370">
                  <c:v>#N/A</c:v>
                </c:pt>
                <c:pt idx="371">
                  <c:v>#N/A</c:v>
                </c:pt>
                <c:pt idx="372">
                  <c:v>#N/A</c:v>
                </c:pt>
                <c:pt idx="373">
                  <c:v>#N/A</c:v>
                </c:pt>
                <c:pt idx="374">
                  <c:v>3.0230000000000001</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3.3220000000000001</c:v>
                </c:pt>
                <c:pt idx="388">
                  <c:v>3.3449999999999998</c:v>
                </c:pt>
                <c:pt idx="389">
                  <c:v>#N/A</c:v>
                </c:pt>
                <c:pt idx="390">
                  <c:v>#N/A</c:v>
                </c:pt>
                <c:pt idx="391">
                  <c:v>3.4140000000000001</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3.069</c:v>
                </c:pt>
                <c:pt idx="411">
                  <c:v>3.0920000000000001</c:v>
                </c:pt>
                <c:pt idx="412">
                  <c:v>#N/A</c:v>
                </c:pt>
                <c:pt idx="413">
                  <c:v>#N/A</c:v>
                </c:pt>
                <c:pt idx="414">
                  <c:v>#N/A</c:v>
                </c:pt>
                <c:pt idx="415">
                  <c:v>#N/A</c:v>
                </c:pt>
                <c:pt idx="416">
                  <c:v>#N/A</c:v>
                </c:pt>
                <c:pt idx="417">
                  <c:v>#N/A</c:v>
                </c:pt>
                <c:pt idx="418">
                  <c:v>#N/A</c:v>
                </c:pt>
                <c:pt idx="419">
                  <c:v>#N/A</c:v>
                </c:pt>
                <c:pt idx="420">
                  <c:v>3.2989999999999999</c:v>
                </c:pt>
                <c:pt idx="421">
                  <c:v>#N/A</c:v>
                </c:pt>
                <c:pt idx="422">
                  <c:v>3.3449999999999998</c:v>
                </c:pt>
                <c:pt idx="423">
                  <c:v>#N/A</c:v>
                </c:pt>
                <c:pt idx="424">
                  <c:v>#N/A</c:v>
                </c:pt>
                <c:pt idx="425">
                  <c:v>#N/A</c:v>
                </c:pt>
                <c:pt idx="426">
                  <c:v>#N/A</c:v>
                </c:pt>
                <c:pt idx="427">
                  <c:v>#N/A</c:v>
                </c:pt>
                <c:pt idx="428">
                  <c:v>#N/A</c:v>
                </c:pt>
                <c:pt idx="429">
                  <c:v>#N/A</c:v>
                </c:pt>
                <c:pt idx="430">
                  <c:v>#N/A</c:v>
                </c:pt>
                <c:pt idx="431">
                  <c:v>#N/A</c:v>
                </c:pt>
                <c:pt idx="432">
                  <c:v>3.5750000000000002</c:v>
                </c:pt>
                <c:pt idx="433">
                  <c:v>3.5979999999999999</c:v>
                </c:pt>
                <c:pt idx="434">
                  <c:v>#N/A</c:v>
                </c:pt>
                <c:pt idx="435">
                  <c:v>#N/A</c:v>
                </c:pt>
                <c:pt idx="436">
                  <c:v>3.6669999999999998</c:v>
                </c:pt>
                <c:pt idx="437">
                  <c:v>3.69</c:v>
                </c:pt>
                <c:pt idx="438">
                  <c:v>3.7130000000000001</c:v>
                </c:pt>
                <c:pt idx="439">
                  <c:v>#N/A</c:v>
                </c:pt>
                <c:pt idx="440">
                  <c:v>#N/A</c:v>
                </c:pt>
                <c:pt idx="441">
                  <c:v>#N/A</c:v>
                </c:pt>
                <c:pt idx="442">
                  <c:v>#N/A</c:v>
                </c:pt>
                <c:pt idx="443">
                  <c:v>#N/A</c:v>
                </c:pt>
                <c:pt idx="444">
                  <c:v>#N/A</c:v>
                </c:pt>
                <c:pt idx="445">
                  <c:v>#N/A</c:v>
                </c:pt>
                <c:pt idx="446">
                  <c:v>#N/A</c:v>
                </c:pt>
                <c:pt idx="447">
                  <c:v>#N/A</c:v>
                </c:pt>
                <c:pt idx="448">
                  <c:v>3.161</c:v>
                </c:pt>
                <c:pt idx="449">
                  <c:v>#N/A</c:v>
                </c:pt>
                <c:pt idx="450">
                  <c:v>#N/A</c:v>
                </c:pt>
                <c:pt idx="451">
                  <c:v>#N/A</c:v>
                </c:pt>
                <c:pt idx="452">
                  <c:v>3.2530000000000001</c:v>
                </c:pt>
                <c:pt idx="453">
                  <c:v>3.2759999999999998</c:v>
                </c:pt>
                <c:pt idx="454">
                  <c:v>3.2989999999999999</c:v>
                </c:pt>
                <c:pt idx="455">
                  <c:v>3.3220000000000001</c:v>
                </c:pt>
                <c:pt idx="456">
                  <c:v>#N/A</c:v>
                </c:pt>
                <c:pt idx="457">
                  <c:v>#N/A</c:v>
                </c:pt>
                <c:pt idx="458">
                  <c:v>#N/A</c:v>
                </c:pt>
                <c:pt idx="459">
                  <c:v>#N/A</c:v>
                </c:pt>
                <c:pt idx="460">
                  <c:v>#N/A</c:v>
                </c:pt>
                <c:pt idx="461">
                  <c:v>#N/A</c:v>
                </c:pt>
                <c:pt idx="462">
                  <c:v>#N/A</c:v>
                </c:pt>
                <c:pt idx="463">
                  <c:v>#N/A</c:v>
                </c:pt>
                <c:pt idx="464">
                  <c:v>#N/A</c:v>
                </c:pt>
                <c:pt idx="465">
                  <c:v>#N/A</c:v>
                </c:pt>
                <c:pt idx="466">
                  <c:v>#N/A</c:v>
                </c:pt>
                <c:pt idx="467">
                  <c:v>3.5979999999999999</c:v>
                </c:pt>
                <c:pt idx="468">
                  <c:v>#N/A</c:v>
                </c:pt>
                <c:pt idx="469">
                  <c:v>#N/A</c:v>
                </c:pt>
                <c:pt idx="470">
                  <c:v>#N/A</c:v>
                </c:pt>
                <c:pt idx="471">
                  <c:v>#N/A</c:v>
                </c:pt>
                <c:pt idx="472">
                  <c:v>3.7130000000000001</c:v>
                </c:pt>
                <c:pt idx="473">
                  <c:v>3.7359999999999998</c:v>
                </c:pt>
                <c:pt idx="474">
                  <c:v>3.7589999999999999</c:v>
                </c:pt>
                <c:pt idx="475">
                  <c:v>#N/A</c:v>
                </c:pt>
                <c:pt idx="476">
                  <c:v>#N/A</c:v>
                </c:pt>
                <c:pt idx="477">
                  <c:v>3.0459999999999998</c:v>
                </c:pt>
                <c:pt idx="478">
                  <c:v>#N/A</c:v>
                </c:pt>
                <c:pt idx="479">
                  <c:v>#N/A</c:v>
                </c:pt>
                <c:pt idx="480">
                  <c:v>#N/A</c:v>
                </c:pt>
                <c:pt idx="481">
                  <c:v>#N/A</c:v>
                </c:pt>
                <c:pt idx="482">
                  <c:v>#N/A</c:v>
                </c:pt>
                <c:pt idx="483">
                  <c:v>#N/A</c:v>
                </c:pt>
                <c:pt idx="484">
                  <c:v>#N/A</c:v>
                </c:pt>
                <c:pt idx="485">
                  <c:v>3.23</c:v>
                </c:pt>
                <c:pt idx="486">
                  <c:v>#N/A</c:v>
                </c:pt>
                <c:pt idx="487">
                  <c:v>#N/A</c:v>
                </c:pt>
                <c:pt idx="488">
                  <c:v>#N/A</c:v>
                </c:pt>
                <c:pt idx="489">
                  <c:v>#N/A</c:v>
                </c:pt>
                <c:pt idx="490">
                  <c:v>#N/A</c:v>
                </c:pt>
                <c:pt idx="491">
                  <c:v>#N/A</c:v>
                </c:pt>
                <c:pt idx="492">
                  <c:v>#N/A</c:v>
                </c:pt>
                <c:pt idx="493">
                  <c:v>3.4140000000000001</c:v>
                </c:pt>
                <c:pt idx="494">
                  <c:v>#N/A</c:v>
                </c:pt>
                <c:pt idx="495">
                  <c:v>#N/A</c:v>
                </c:pt>
                <c:pt idx="496">
                  <c:v>#N/A</c:v>
                </c:pt>
                <c:pt idx="497">
                  <c:v>3.5060000000000002</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3.0230000000000001</c:v>
                </c:pt>
                <c:pt idx="511">
                  <c:v>#N/A</c:v>
                </c:pt>
                <c:pt idx="512">
                  <c:v>#N/A</c:v>
                </c:pt>
                <c:pt idx="513">
                  <c:v>#N/A</c:v>
                </c:pt>
                <c:pt idx="514">
                  <c:v>#N/A</c:v>
                </c:pt>
                <c:pt idx="515">
                  <c:v>#N/A</c:v>
                </c:pt>
                <c:pt idx="516">
                  <c:v>#N/A</c:v>
                </c:pt>
                <c:pt idx="517">
                  <c:v>#N/A</c:v>
                </c:pt>
                <c:pt idx="518">
                  <c:v>#N/A</c:v>
                </c:pt>
                <c:pt idx="519">
                  <c:v>#N/A</c:v>
                </c:pt>
                <c:pt idx="520">
                  <c:v>3.2530000000000001</c:v>
                </c:pt>
                <c:pt idx="521">
                  <c:v>#N/A</c:v>
                </c:pt>
                <c:pt idx="522">
                  <c:v>#N/A</c:v>
                </c:pt>
                <c:pt idx="523">
                  <c:v>#N/A</c:v>
                </c:pt>
                <c:pt idx="524">
                  <c:v>#N/A</c:v>
                </c:pt>
                <c:pt idx="525">
                  <c:v>#N/A</c:v>
                </c:pt>
                <c:pt idx="526">
                  <c:v>3.391</c:v>
                </c:pt>
                <c:pt idx="527">
                  <c:v>#N/A</c:v>
                </c:pt>
                <c:pt idx="528">
                  <c:v>#N/A</c:v>
                </c:pt>
                <c:pt idx="529">
                  <c:v>#N/A</c:v>
                </c:pt>
                <c:pt idx="530">
                  <c:v>#N/A</c:v>
                </c:pt>
                <c:pt idx="531">
                  <c:v>#N/A</c:v>
                </c:pt>
                <c:pt idx="532">
                  <c:v>#N/A</c:v>
                </c:pt>
                <c:pt idx="533">
                  <c:v>#N/A</c:v>
                </c:pt>
                <c:pt idx="534">
                  <c:v>#N/A</c:v>
                </c:pt>
                <c:pt idx="535">
                  <c:v>3.5979999999999999</c:v>
                </c:pt>
                <c:pt idx="536">
                  <c:v>#N/A</c:v>
                </c:pt>
                <c:pt idx="537">
                  <c:v>#N/A</c:v>
                </c:pt>
                <c:pt idx="538">
                  <c:v>#N/A</c:v>
                </c:pt>
                <c:pt idx="539">
                  <c:v>3.69</c:v>
                </c:pt>
                <c:pt idx="540">
                  <c:v>#N/A</c:v>
                </c:pt>
                <c:pt idx="541">
                  <c:v>#N/A</c:v>
                </c:pt>
                <c:pt idx="542">
                  <c:v>#N/A</c:v>
                </c:pt>
                <c:pt idx="543">
                  <c:v>#N/A</c:v>
                </c:pt>
                <c:pt idx="544">
                  <c:v>3.0230000000000001</c:v>
                </c:pt>
                <c:pt idx="545">
                  <c:v>#N/A</c:v>
                </c:pt>
                <c:pt idx="546">
                  <c:v>#N/A</c:v>
                </c:pt>
                <c:pt idx="547">
                  <c:v>#N/A</c:v>
                </c:pt>
                <c:pt idx="548">
                  <c:v>#N/A</c:v>
                </c:pt>
                <c:pt idx="549">
                  <c:v>#N/A</c:v>
                </c:pt>
                <c:pt idx="550">
                  <c:v>#N/A</c:v>
                </c:pt>
                <c:pt idx="551">
                  <c:v>#N/A</c:v>
                </c:pt>
                <c:pt idx="552">
                  <c:v>#N/A</c:v>
                </c:pt>
                <c:pt idx="553">
                  <c:v>#N/A</c:v>
                </c:pt>
                <c:pt idx="554">
                  <c:v>#N/A</c:v>
                </c:pt>
                <c:pt idx="555">
                  <c:v>3.2759999999999998</c:v>
                </c:pt>
                <c:pt idx="556">
                  <c:v>3.2989999999999999</c:v>
                </c:pt>
                <c:pt idx="557">
                  <c:v>#N/A</c:v>
                </c:pt>
                <c:pt idx="558">
                  <c:v>#N/A</c:v>
                </c:pt>
                <c:pt idx="559">
                  <c:v>#N/A</c:v>
                </c:pt>
                <c:pt idx="560">
                  <c:v>3.391</c:v>
                </c:pt>
                <c:pt idx="561">
                  <c:v>#N/A</c:v>
                </c:pt>
                <c:pt idx="562">
                  <c:v>#N/A</c:v>
                </c:pt>
                <c:pt idx="563">
                  <c:v>3.46</c:v>
                </c:pt>
                <c:pt idx="564">
                  <c:v>3.4830000000000001</c:v>
                </c:pt>
                <c:pt idx="565">
                  <c:v>3.5060000000000002</c:v>
                </c:pt>
                <c:pt idx="566">
                  <c:v>3.5289999999999999</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3.1840000000000002</c:v>
                </c:pt>
                <c:pt idx="586">
                  <c:v>#N/A</c:v>
                </c:pt>
                <c:pt idx="587">
                  <c:v>#N/A</c:v>
                </c:pt>
                <c:pt idx="588">
                  <c:v>#N/A</c:v>
                </c:pt>
                <c:pt idx="589">
                  <c:v>3.2759999999999998</c:v>
                </c:pt>
                <c:pt idx="590">
                  <c:v>#N/A</c:v>
                </c:pt>
                <c:pt idx="591">
                  <c:v>#N/A</c:v>
                </c:pt>
                <c:pt idx="592">
                  <c:v>#N/A</c:v>
                </c:pt>
                <c:pt idx="593">
                  <c:v>#N/A</c:v>
                </c:pt>
                <c:pt idx="594">
                  <c:v>#N/A</c:v>
                </c:pt>
                <c:pt idx="595">
                  <c:v>3.4140000000000001</c:v>
                </c:pt>
                <c:pt idx="596">
                  <c:v>#N/A</c:v>
                </c:pt>
                <c:pt idx="597">
                  <c:v>#N/A</c:v>
                </c:pt>
                <c:pt idx="598">
                  <c:v>#N/A</c:v>
                </c:pt>
                <c:pt idx="599">
                  <c:v>#N/A</c:v>
                </c:pt>
                <c:pt idx="600">
                  <c:v>#N/A</c:v>
                </c:pt>
                <c:pt idx="601">
                  <c:v>#N/A</c:v>
                </c:pt>
                <c:pt idx="602">
                  <c:v>#N/A</c:v>
                </c:pt>
                <c:pt idx="603">
                  <c:v>#N/A</c:v>
                </c:pt>
                <c:pt idx="604">
                  <c:v>3.621</c:v>
                </c:pt>
                <c:pt idx="605">
                  <c:v>#N/A</c:v>
                </c:pt>
                <c:pt idx="606">
                  <c:v>#N/A</c:v>
                </c:pt>
                <c:pt idx="607">
                  <c:v>#N/A</c:v>
                </c:pt>
                <c:pt idx="608">
                  <c:v>#N/A</c:v>
                </c:pt>
                <c:pt idx="609">
                  <c:v>#N/A</c:v>
                </c:pt>
                <c:pt idx="610">
                  <c:v>#N/A</c:v>
                </c:pt>
                <c:pt idx="611">
                  <c:v>#N/A</c:v>
                </c:pt>
                <c:pt idx="612">
                  <c:v>#N/A</c:v>
                </c:pt>
                <c:pt idx="613">
                  <c:v>3.0459999999999998</c:v>
                </c:pt>
                <c:pt idx="614">
                  <c:v>#N/A</c:v>
                </c:pt>
                <c:pt idx="615">
                  <c:v>3.0920000000000001</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3.5289999999999999</c:v>
                </c:pt>
                <c:pt idx="635">
                  <c:v>#N/A</c:v>
                </c:pt>
                <c:pt idx="636">
                  <c:v>#N/A</c:v>
                </c:pt>
                <c:pt idx="637">
                  <c:v>3.5979999999999999</c:v>
                </c:pt>
                <c:pt idx="638">
                  <c:v>#N/A</c:v>
                </c:pt>
                <c:pt idx="639">
                  <c:v>3.6440000000000001</c:v>
                </c:pt>
                <c:pt idx="640">
                  <c:v>#N/A</c:v>
                </c:pt>
                <c:pt idx="641">
                  <c:v>#N/A</c:v>
                </c:pt>
                <c:pt idx="642">
                  <c:v>#N/A</c:v>
                </c:pt>
                <c:pt idx="643">
                  <c:v>#N/A</c:v>
                </c:pt>
                <c:pt idx="644">
                  <c:v>3.7589999999999999</c:v>
                </c:pt>
                <c:pt idx="645">
                  <c:v>3</c:v>
                </c:pt>
                <c:pt idx="646">
                  <c:v>#N/A</c:v>
                </c:pt>
                <c:pt idx="647">
                  <c:v>3.0459999999999998</c:v>
                </c:pt>
                <c:pt idx="648">
                  <c:v>3.069</c:v>
                </c:pt>
                <c:pt idx="649">
                  <c:v>3.0920000000000001</c:v>
                </c:pt>
                <c:pt idx="650">
                  <c:v>3.1150000000000002</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3.069</c:v>
                </c:pt>
                <c:pt idx="683">
                  <c:v>#N/A</c:v>
                </c:pt>
                <c:pt idx="684">
                  <c:v>#N/A</c:v>
                </c:pt>
                <c:pt idx="685">
                  <c:v>#N/A</c:v>
                </c:pt>
                <c:pt idx="686">
                  <c:v>#N/A</c:v>
                </c:pt>
                <c:pt idx="687">
                  <c:v>#N/A</c:v>
                </c:pt>
                <c:pt idx="688">
                  <c:v>3.2069999999999999</c:v>
                </c:pt>
                <c:pt idx="689">
                  <c:v>#N/A</c:v>
                </c:pt>
                <c:pt idx="690">
                  <c:v>#N/A</c:v>
                </c:pt>
                <c:pt idx="691">
                  <c:v>3.2759999999999998</c:v>
                </c:pt>
                <c:pt idx="692">
                  <c:v>3.2989999999999999</c:v>
                </c:pt>
                <c:pt idx="693">
                  <c:v>#N/A</c:v>
                </c:pt>
                <c:pt idx="694">
                  <c:v>#N/A</c:v>
                </c:pt>
                <c:pt idx="695">
                  <c:v>#N/A</c:v>
                </c:pt>
                <c:pt idx="696">
                  <c:v>3.391</c:v>
                </c:pt>
                <c:pt idx="697">
                  <c:v>3.4140000000000001</c:v>
                </c:pt>
                <c:pt idx="698">
                  <c:v>3.4369999999999998</c:v>
                </c:pt>
                <c:pt idx="699">
                  <c:v>#N/A</c:v>
                </c:pt>
                <c:pt idx="700">
                  <c:v>#N/A</c:v>
                </c:pt>
                <c:pt idx="701">
                  <c:v>#N/A</c:v>
                </c:pt>
                <c:pt idx="702">
                  <c:v>3.5289999999999999</c:v>
                </c:pt>
                <c:pt idx="703">
                  <c:v>#N/A</c:v>
                </c:pt>
                <c:pt idx="704">
                  <c:v>#N/A</c:v>
                </c:pt>
                <c:pt idx="705">
                  <c:v>#N/A</c:v>
                </c:pt>
                <c:pt idx="706">
                  <c:v>#N/A</c:v>
                </c:pt>
                <c:pt idx="707">
                  <c:v>#N/A</c:v>
                </c:pt>
                <c:pt idx="708">
                  <c:v>#N/A</c:v>
                </c:pt>
                <c:pt idx="709">
                  <c:v>#N/A</c:v>
                </c:pt>
                <c:pt idx="710">
                  <c:v>#N/A</c:v>
                </c:pt>
                <c:pt idx="711">
                  <c:v>#N/A</c:v>
                </c:pt>
                <c:pt idx="712">
                  <c:v>#N/A</c:v>
                </c:pt>
                <c:pt idx="713">
                  <c:v>3</c:v>
                </c:pt>
                <c:pt idx="714">
                  <c:v>#N/A</c:v>
                </c:pt>
                <c:pt idx="715">
                  <c:v>#N/A</c:v>
                </c:pt>
                <c:pt idx="716">
                  <c:v>#N/A</c:v>
                </c:pt>
                <c:pt idx="717">
                  <c:v>3.0920000000000001</c:v>
                </c:pt>
                <c:pt idx="718">
                  <c:v>#N/A</c:v>
                </c:pt>
                <c:pt idx="719">
                  <c:v>#N/A</c:v>
                </c:pt>
                <c:pt idx="720">
                  <c:v>#N/A</c:v>
                </c:pt>
                <c:pt idx="721">
                  <c:v>#N/A</c:v>
                </c:pt>
                <c:pt idx="722">
                  <c:v>#N/A</c:v>
                </c:pt>
                <c:pt idx="723">
                  <c:v>3.23</c:v>
                </c:pt>
                <c:pt idx="724">
                  <c:v>#N/A</c:v>
                </c:pt>
                <c:pt idx="725">
                  <c:v>#N/A</c:v>
                </c:pt>
                <c:pt idx="726">
                  <c:v>#N/A</c:v>
                </c:pt>
                <c:pt idx="727">
                  <c:v>#N/A</c:v>
                </c:pt>
                <c:pt idx="728">
                  <c:v>3.3449999999999998</c:v>
                </c:pt>
                <c:pt idx="729">
                  <c:v>3.3679999999999999</c:v>
                </c:pt>
                <c:pt idx="730">
                  <c:v>#N/A</c:v>
                </c:pt>
                <c:pt idx="731">
                  <c:v>#N/A</c:v>
                </c:pt>
                <c:pt idx="732">
                  <c:v>#N/A</c:v>
                </c:pt>
                <c:pt idx="733">
                  <c:v>#N/A</c:v>
                </c:pt>
                <c:pt idx="734">
                  <c:v>#N/A</c:v>
                </c:pt>
                <c:pt idx="735">
                  <c:v>#N/A</c:v>
                </c:pt>
                <c:pt idx="736">
                  <c:v>#N/A</c:v>
                </c:pt>
                <c:pt idx="737">
                  <c:v>#N/A</c:v>
                </c:pt>
                <c:pt idx="738">
                  <c:v>#N/A</c:v>
                </c:pt>
                <c:pt idx="739">
                  <c:v>#N/A</c:v>
                </c:pt>
                <c:pt idx="740">
                  <c:v>#N/A</c:v>
                </c:pt>
                <c:pt idx="741">
                  <c:v>3.6440000000000001</c:v>
                </c:pt>
                <c:pt idx="742">
                  <c:v>#N/A</c:v>
                </c:pt>
                <c:pt idx="743">
                  <c:v>#N/A</c:v>
                </c:pt>
                <c:pt idx="744">
                  <c:v>3.7130000000000001</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3.23</c:v>
                </c:pt>
                <c:pt idx="758">
                  <c:v>#N/A</c:v>
                </c:pt>
                <c:pt idx="759">
                  <c:v>#N/A</c:v>
                </c:pt>
                <c:pt idx="760">
                  <c:v>3.2989999999999999</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3.69</c:v>
                </c:pt>
                <c:pt idx="778">
                  <c:v>#N/A</c:v>
                </c:pt>
                <c:pt idx="779">
                  <c:v>#N/A</c:v>
                </c:pt>
                <c:pt idx="780">
                  <c:v>#N/A</c:v>
                </c:pt>
                <c:pt idx="781">
                  <c:v>#N/A</c:v>
                </c:pt>
                <c:pt idx="782">
                  <c:v>#N/A</c:v>
                </c:pt>
                <c:pt idx="783">
                  <c:v>#N/A</c:v>
                </c:pt>
                <c:pt idx="784">
                  <c:v>#N/A</c:v>
                </c:pt>
                <c:pt idx="785">
                  <c:v>#N/A</c:v>
                </c:pt>
                <c:pt idx="786">
                  <c:v>3.1150000000000002</c:v>
                </c:pt>
                <c:pt idx="787">
                  <c:v>#N/A</c:v>
                </c:pt>
                <c:pt idx="788">
                  <c:v>#N/A</c:v>
                </c:pt>
                <c:pt idx="789">
                  <c:v>#N/A</c:v>
                </c:pt>
                <c:pt idx="790">
                  <c:v>#N/A</c:v>
                </c:pt>
                <c:pt idx="791">
                  <c:v>3.23</c:v>
                </c:pt>
                <c:pt idx="792">
                  <c:v>#N/A</c:v>
                </c:pt>
                <c:pt idx="793">
                  <c:v>3.2759999999999998</c:v>
                </c:pt>
                <c:pt idx="794">
                  <c:v>#N/A</c:v>
                </c:pt>
                <c:pt idx="795">
                  <c:v>#N/A</c:v>
                </c:pt>
                <c:pt idx="796">
                  <c:v>#N/A</c:v>
                </c:pt>
                <c:pt idx="797">
                  <c:v>#N/A</c:v>
                </c:pt>
                <c:pt idx="798">
                  <c:v>3.391</c:v>
                </c:pt>
                <c:pt idx="799">
                  <c:v>#N/A</c:v>
                </c:pt>
                <c:pt idx="800">
                  <c:v>#N/A</c:v>
                </c:pt>
                <c:pt idx="801">
                  <c:v>3.46</c:v>
                </c:pt>
                <c:pt idx="802">
                  <c:v>3.4830000000000001</c:v>
                </c:pt>
                <c:pt idx="803">
                  <c:v>#N/A</c:v>
                </c:pt>
                <c:pt idx="804">
                  <c:v>#N/A</c:v>
                </c:pt>
                <c:pt idx="805">
                  <c:v>#N/A</c:v>
                </c:pt>
                <c:pt idx="806">
                  <c:v>#N/A</c:v>
                </c:pt>
                <c:pt idx="807">
                  <c:v>#N/A</c:v>
                </c:pt>
                <c:pt idx="808">
                  <c:v>#N/A</c:v>
                </c:pt>
                <c:pt idx="809">
                  <c:v>#N/A</c:v>
                </c:pt>
                <c:pt idx="810">
                  <c:v>#N/A</c:v>
                </c:pt>
                <c:pt idx="811">
                  <c:v>#N/A</c:v>
                </c:pt>
                <c:pt idx="812">
                  <c:v>#N/A</c:v>
                </c:pt>
                <c:pt idx="813">
                  <c:v>#N/A</c:v>
                </c:pt>
                <c:pt idx="814">
                  <c:v>3.7589999999999999</c:v>
                </c:pt>
                <c:pt idx="815">
                  <c:v>#N/A</c:v>
                </c:pt>
                <c:pt idx="816">
                  <c:v>3.0230000000000001</c:v>
                </c:pt>
                <c:pt idx="817">
                  <c:v>#N/A</c:v>
                </c:pt>
                <c:pt idx="818">
                  <c:v>#N/A</c:v>
                </c:pt>
                <c:pt idx="819">
                  <c:v>#N/A</c:v>
                </c:pt>
                <c:pt idx="820">
                  <c:v>3.1150000000000002</c:v>
                </c:pt>
                <c:pt idx="821">
                  <c:v>3.1379999999999999</c:v>
                </c:pt>
                <c:pt idx="822">
                  <c:v>#N/A</c:v>
                </c:pt>
                <c:pt idx="823">
                  <c:v>3.1840000000000002</c:v>
                </c:pt>
                <c:pt idx="824">
                  <c:v>#N/A</c:v>
                </c:pt>
                <c:pt idx="825">
                  <c:v>3.23</c:v>
                </c:pt>
                <c:pt idx="826">
                  <c:v>#N/A</c:v>
                </c:pt>
                <c:pt idx="827">
                  <c:v>#N/A</c:v>
                </c:pt>
                <c:pt idx="828">
                  <c:v>#N/A</c:v>
                </c:pt>
                <c:pt idx="829">
                  <c:v>3.3220000000000001</c:v>
                </c:pt>
                <c:pt idx="830">
                  <c:v>#N/A</c:v>
                </c:pt>
                <c:pt idx="831">
                  <c:v>#N/A</c:v>
                </c:pt>
                <c:pt idx="832">
                  <c:v>#N/A</c:v>
                </c:pt>
                <c:pt idx="833">
                  <c:v>#N/A</c:v>
                </c:pt>
                <c:pt idx="834">
                  <c:v>#N/A</c:v>
                </c:pt>
                <c:pt idx="835">
                  <c:v>#N/A</c:v>
                </c:pt>
                <c:pt idx="836">
                  <c:v>#N/A</c:v>
                </c:pt>
                <c:pt idx="837">
                  <c:v>#N/A</c:v>
                </c:pt>
                <c:pt idx="838">
                  <c:v>3.5289999999999999</c:v>
                </c:pt>
                <c:pt idx="839">
                  <c:v>#N/A</c:v>
                </c:pt>
                <c:pt idx="840">
                  <c:v>#N/A</c:v>
                </c:pt>
                <c:pt idx="841">
                  <c:v>3.5979999999999999</c:v>
                </c:pt>
                <c:pt idx="842">
                  <c:v>#N/A</c:v>
                </c:pt>
                <c:pt idx="843">
                  <c:v>#N/A</c:v>
                </c:pt>
                <c:pt idx="844">
                  <c:v>3.6669999999999998</c:v>
                </c:pt>
                <c:pt idx="845">
                  <c:v>3.69</c:v>
                </c:pt>
                <c:pt idx="846">
                  <c:v>3.7130000000000001</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3.4830000000000001</c:v>
                </c:pt>
                <c:pt idx="871">
                  <c:v>#N/A</c:v>
                </c:pt>
                <c:pt idx="872">
                  <c:v>3.5289999999999999</c:v>
                </c:pt>
                <c:pt idx="873">
                  <c:v>#N/A</c:v>
                </c:pt>
                <c:pt idx="874">
                  <c:v>#N/A</c:v>
                </c:pt>
                <c:pt idx="875">
                  <c:v>3.5979999999999999</c:v>
                </c:pt>
                <c:pt idx="876">
                  <c:v>#N/A</c:v>
                </c:pt>
                <c:pt idx="877">
                  <c:v>#N/A</c:v>
                </c:pt>
                <c:pt idx="878">
                  <c:v>#N/A</c:v>
                </c:pt>
                <c:pt idx="879">
                  <c:v>3.69</c:v>
                </c:pt>
                <c:pt idx="880">
                  <c:v>3.7130000000000001</c:v>
                </c:pt>
                <c:pt idx="881">
                  <c:v>3.7359999999999998</c:v>
                </c:pt>
                <c:pt idx="882">
                  <c:v>3.7589999999999999</c:v>
                </c:pt>
                <c:pt idx="883">
                  <c:v>#N/A</c:v>
                </c:pt>
                <c:pt idx="884">
                  <c:v>#N/A</c:v>
                </c:pt>
                <c:pt idx="885">
                  <c:v>3.0459999999999998</c:v>
                </c:pt>
                <c:pt idx="886">
                  <c:v>#N/A</c:v>
                </c:pt>
                <c:pt idx="887">
                  <c:v>#N/A</c:v>
                </c:pt>
                <c:pt idx="888">
                  <c:v>#N/A</c:v>
                </c:pt>
                <c:pt idx="889">
                  <c:v>3.1379999999999999</c:v>
                </c:pt>
                <c:pt idx="890">
                  <c:v>#N/A</c:v>
                </c:pt>
                <c:pt idx="891">
                  <c:v>#N/A</c:v>
                </c:pt>
                <c:pt idx="892">
                  <c:v>#N/A</c:v>
                </c:pt>
                <c:pt idx="893">
                  <c:v>3.23</c:v>
                </c:pt>
                <c:pt idx="894">
                  <c:v>3.2530000000000001</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numCache>
            </c:numRef>
          </c:yVal>
          <c:smooth val="1"/>
          <c:extLst>
            <c:ext xmlns:c16="http://schemas.microsoft.com/office/drawing/2014/chart" uri="{C3380CC4-5D6E-409C-BE32-E72D297353CC}">
              <c16:uniqueId val="{00000002-2901-434A-93BD-A45102E004E1}"/>
            </c:ext>
          </c:extLst>
        </c:ser>
        <c:ser>
          <c:idx val="3"/>
          <c:order val="3"/>
          <c:tx>
            <c:v>Traditional</c:v>
          </c:tx>
          <c:spPr>
            <a:ln>
              <a:noFill/>
              <a:prstDash val="solid"/>
            </a:ln>
          </c:spPr>
          <c:marker>
            <c:symbol val="circle"/>
            <c:size val="4"/>
            <c:spPr>
              <a:ln>
                <a:prstDash val="solid"/>
              </a:ln>
            </c:spPr>
          </c:marker>
          <c:xVal>
            <c:numRef>
              <c:f>'Map Calc'!$M$2:$M$950</c:f>
              <c:numCache>
                <c:formatCode>General</c:formatCode>
                <c:ptCount val="949"/>
                <c:pt idx="0">
                  <c:v>#N/A</c:v>
                </c:pt>
                <c:pt idx="1">
                  <c:v>2010</c:v>
                </c:pt>
                <c:pt idx="2">
                  <c:v>#N/A</c:v>
                </c:pt>
                <c:pt idx="3">
                  <c:v>#N/A</c:v>
                </c:pt>
                <c:pt idx="4">
                  <c:v>#N/A</c:v>
                </c:pt>
                <c:pt idx="5">
                  <c:v>#N/A</c:v>
                </c:pt>
                <c:pt idx="6">
                  <c:v>#N/A</c:v>
                </c:pt>
                <c:pt idx="7">
                  <c:v>2026</c:v>
                </c:pt>
                <c:pt idx="8">
                  <c:v>2015</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1994</c:v>
                </c:pt>
                <c:pt idx="24">
                  <c:v>1990</c:v>
                </c:pt>
                <c:pt idx="25">
                  <c:v>#N/A</c:v>
                </c:pt>
                <c:pt idx="26">
                  <c:v>#N/A</c:v>
                </c:pt>
                <c:pt idx="27">
                  <c:v>#N/A</c:v>
                </c:pt>
                <c:pt idx="28">
                  <c:v>#N/A</c:v>
                </c:pt>
                <c:pt idx="29">
                  <c:v>2020</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2010</c:v>
                </c:pt>
                <c:pt idx="46">
                  <c:v>#N/A</c:v>
                </c:pt>
                <c:pt idx="47">
                  <c:v>#N/A</c:v>
                </c:pt>
                <c:pt idx="48">
                  <c:v>#N/A</c:v>
                </c:pt>
                <c:pt idx="49">
                  <c:v>#N/A</c:v>
                </c:pt>
                <c:pt idx="50">
                  <c:v>1997</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1978</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2009</c:v>
                </c:pt>
                <c:pt idx="95">
                  <c:v>#N/A</c:v>
                </c:pt>
                <c:pt idx="96">
                  <c:v>#N/A</c:v>
                </c:pt>
                <c:pt idx="97">
                  <c:v>#N/A</c:v>
                </c:pt>
                <c:pt idx="98">
                  <c:v>#N/A</c:v>
                </c:pt>
                <c:pt idx="99">
                  <c:v>2019</c:v>
                </c:pt>
                <c:pt idx="100">
                  <c:v>#N/A</c:v>
                </c:pt>
                <c:pt idx="101">
                  <c:v>#N/A</c:v>
                </c:pt>
                <c:pt idx="102">
                  <c:v>2010</c:v>
                </c:pt>
                <c:pt idx="103">
                  <c:v>2014</c:v>
                </c:pt>
                <c:pt idx="104">
                  <c:v>1994</c:v>
                </c:pt>
                <c:pt idx="105">
                  <c:v>2005</c:v>
                </c:pt>
                <c:pt idx="106">
                  <c:v>#N/A</c:v>
                </c:pt>
                <c:pt idx="107">
                  <c:v>2010</c:v>
                </c:pt>
                <c:pt idx="108">
                  <c:v>2020</c:v>
                </c:pt>
                <c:pt idx="109">
                  <c:v>2013</c:v>
                </c:pt>
                <c:pt idx="110">
                  <c:v>2025</c:v>
                </c:pt>
                <c:pt idx="111">
                  <c:v>#N/A</c:v>
                </c:pt>
                <c:pt idx="112">
                  <c:v>#N/A</c:v>
                </c:pt>
                <c:pt idx="113">
                  <c:v>1991</c:v>
                </c:pt>
                <c:pt idx="114">
                  <c:v>#N/A</c:v>
                </c:pt>
                <c:pt idx="115">
                  <c:v>2010</c:v>
                </c:pt>
                <c:pt idx="116">
                  <c:v>#N/A</c:v>
                </c:pt>
                <c:pt idx="117">
                  <c:v>#N/A</c:v>
                </c:pt>
                <c:pt idx="118">
                  <c:v>#N/A</c:v>
                </c:pt>
                <c:pt idx="119">
                  <c:v>#N/A</c:v>
                </c:pt>
                <c:pt idx="120">
                  <c:v>#N/A</c:v>
                </c:pt>
                <c:pt idx="121">
                  <c:v>#N/A</c:v>
                </c:pt>
                <c:pt idx="122">
                  <c:v>1998</c:v>
                </c:pt>
                <c:pt idx="123">
                  <c:v>1997</c:v>
                </c:pt>
                <c:pt idx="124">
                  <c:v>2019</c:v>
                </c:pt>
                <c:pt idx="125">
                  <c:v>#N/A</c:v>
                </c:pt>
                <c:pt idx="126">
                  <c:v>#N/A</c:v>
                </c:pt>
                <c:pt idx="127">
                  <c:v>#N/A</c:v>
                </c:pt>
                <c:pt idx="128">
                  <c:v>#N/A</c:v>
                </c:pt>
                <c:pt idx="129">
                  <c:v>#N/A</c:v>
                </c:pt>
                <c:pt idx="130">
                  <c:v>#N/A</c:v>
                </c:pt>
                <c:pt idx="131">
                  <c:v>#N/A</c:v>
                </c:pt>
                <c:pt idx="132">
                  <c:v>#N/A</c:v>
                </c:pt>
                <c:pt idx="133">
                  <c:v>#N/A</c:v>
                </c:pt>
                <c:pt idx="134">
                  <c:v>#N/A</c:v>
                </c:pt>
                <c:pt idx="135">
                  <c:v>#N/A</c:v>
                </c:pt>
                <c:pt idx="136">
                  <c:v>2017</c:v>
                </c:pt>
                <c:pt idx="137">
                  <c:v>#N/A</c:v>
                </c:pt>
                <c:pt idx="138">
                  <c:v>#N/A</c:v>
                </c:pt>
                <c:pt idx="139">
                  <c:v>#N/A</c:v>
                </c:pt>
                <c:pt idx="140">
                  <c:v>#N/A</c:v>
                </c:pt>
                <c:pt idx="141">
                  <c:v>#N/A</c:v>
                </c:pt>
                <c:pt idx="142">
                  <c:v>#N/A</c:v>
                </c:pt>
                <c:pt idx="143">
                  <c:v>#N/A</c:v>
                </c:pt>
                <c:pt idx="144">
                  <c:v>#N/A</c:v>
                </c:pt>
                <c:pt idx="145">
                  <c:v>#N/A</c:v>
                </c:pt>
                <c:pt idx="146">
                  <c:v>2025</c:v>
                </c:pt>
                <c:pt idx="147">
                  <c:v>#N/A</c:v>
                </c:pt>
                <c:pt idx="148">
                  <c:v>#N/A</c:v>
                </c:pt>
                <c:pt idx="149">
                  <c:v>#N/A</c:v>
                </c:pt>
                <c:pt idx="150">
                  <c:v>#N/A</c:v>
                </c:pt>
                <c:pt idx="151">
                  <c:v>#N/A</c:v>
                </c:pt>
                <c:pt idx="152">
                  <c:v>#N/A</c:v>
                </c:pt>
                <c:pt idx="153">
                  <c:v>#N/A</c:v>
                </c:pt>
                <c:pt idx="154">
                  <c:v>#N/A</c:v>
                </c:pt>
                <c:pt idx="155">
                  <c:v>2015</c:v>
                </c:pt>
                <c:pt idx="156">
                  <c:v>#N/A</c:v>
                </c:pt>
                <c:pt idx="157">
                  <c:v>1998</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2026</c:v>
                </c:pt>
                <c:pt idx="196">
                  <c:v>#N/A</c:v>
                </c:pt>
                <c:pt idx="197">
                  <c:v>#N/A</c:v>
                </c:pt>
                <c:pt idx="198">
                  <c:v>#N/A</c:v>
                </c:pt>
                <c:pt idx="199">
                  <c:v>2010</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2002</c:v>
                </c:pt>
                <c:pt idx="229">
                  <c:v>#N/A</c:v>
                </c:pt>
                <c:pt idx="230">
                  <c:v>#N/A</c:v>
                </c:pt>
                <c:pt idx="231">
                  <c:v>#N/A</c:v>
                </c:pt>
                <c:pt idx="232">
                  <c:v>1990</c:v>
                </c:pt>
                <c:pt idx="233">
                  <c:v>2026</c:v>
                </c:pt>
                <c:pt idx="234">
                  <c:v>2006</c:v>
                </c:pt>
                <c:pt idx="235">
                  <c:v>2003</c:v>
                </c:pt>
                <c:pt idx="236">
                  <c:v>#N/A</c:v>
                </c:pt>
                <c:pt idx="237">
                  <c:v>#N/A</c:v>
                </c:pt>
                <c:pt idx="238">
                  <c:v>#N/A</c:v>
                </c:pt>
                <c:pt idx="239">
                  <c:v>#N/A</c:v>
                </c:pt>
                <c:pt idx="240">
                  <c:v>#N/A</c:v>
                </c:pt>
                <c:pt idx="241">
                  <c:v>#N/A</c:v>
                </c:pt>
                <c:pt idx="242">
                  <c:v>#N/A</c:v>
                </c:pt>
                <c:pt idx="243">
                  <c:v>#N/A</c:v>
                </c:pt>
                <c:pt idx="244">
                  <c:v>2006</c:v>
                </c:pt>
                <c:pt idx="245">
                  <c:v>#N/A</c:v>
                </c:pt>
                <c:pt idx="246">
                  <c:v>2023</c:v>
                </c:pt>
                <c:pt idx="247">
                  <c:v>#N/A</c:v>
                </c:pt>
                <c:pt idx="248">
                  <c:v>2008</c:v>
                </c:pt>
                <c:pt idx="249">
                  <c:v>#N/A</c:v>
                </c:pt>
                <c:pt idx="250">
                  <c:v>2010</c:v>
                </c:pt>
                <c:pt idx="251">
                  <c:v>#N/A</c:v>
                </c:pt>
                <c:pt idx="252">
                  <c:v>#N/A</c:v>
                </c:pt>
                <c:pt idx="253">
                  <c:v>2011</c:v>
                </c:pt>
                <c:pt idx="254">
                  <c:v>#N/A</c:v>
                </c:pt>
                <c:pt idx="255">
                  <c:v>#N/A</c:v>
                </c:pt>
                <c:pt idx="256">
                  <c:v>#N/A</c:v>
                </c:pt>
                <c:pt idx="257">
                  <c:v>#N/A</c:v>
                </c:pt>
                <c:pt idx="258">
                  <c:v>#N/A</c:v>
                </c:pt>
                <c:pt idx="259">
                  <c:v>#N/A</c:v>
                </c:pt>
                <c:pt idx="260">
                  <c:v>#N/A</c:v>
                </c:pt>
                <c:pt idx="261">
                  <c:v>#N/A</c:v>
                </c:pt>
                <c:pt idx="262">
                  <c:v>2024</c:v>
                </c:pt>
                <c:pt idx="263">
                  <c:v>2008</c:v>
                </c:pt>
                <c:pt idx="264">
                  <c:v>#N/A</c:v>
                </c:pt>
                <c:pt idx="265">
                  <c:v>#N/A</c:v>
                </c:pt>
                <c:pt idx="266">
                  <c:v>#N/A</c:v>
                </c:pt>
                <c:pt idx="267">
                  <c:v>#N/A</c:v>
                </c:pt>
                <c:pt idx="268">
                  <c:v>#N/A</c:v>
                </c:pt>
                <c:pt idx="269">
                  <c:v>#N/A</c:v>
                </c:pt>
                <c:pt idx="270">
                  <c:v>2004</c:v>
                </c:pt>
                <c:pt idx="271">
                  <c:v>2015</c:v>
                </c:pt>
                <c:pt idx="272">
                  <c:v>2017</c:v>
                </c:pt>
                <c:pt idx="273">
                  <c:v>#N/A</c:v>
                </c:pt>
                <c:pt idx="274">
                  <c:v>#N/A</c:v>
                </c:pt>
                <c:pt idx="275">
                  <c:v>#N/A</c:v>
                </c:pt>
                <c:pt idx="276">
                  <c:v>#N/A</c:v>
                </c:pt>
                <c:pt idx="277">
                  <c:v>#N/A</c:v>
                </c:pt>
                <c:pt idx="278">
                  <c:v>1990</c:v>
                </c:pt>
                <c:pt idx="279">
                  <c:v>#N/A</c:v>
                </c:pt>
                <c:pt idx="280">
                  <c:v>#N/A</c:v>
                </c:pt>
                <c:pt idx="281">
                  <c:v>#N/A</c:v>
                </c:pt>
                <c:pt idx="282">
                  <c:v>2007</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2006</c:v>
                </c:pt>
                <c:pt idx="297">
                  <c:v>#N/A</c:v>
                </c:pt>
                <c:pt idx="298">
                  <c:v>#N/A</c:v>
                </c:pt>
                <c:pt idx="299">
                  <c:v>#N/A</c:v>
                </c:pt>
                <c:pt idx="300">
                  <c:v>2010</c:v>
                </c:pt>
                <c:pt idx="301">
                  <c:v>2014</c:v>
                </c:pt>
                <c:pt idx="302">
                  <c:v>#N/A</c:v>
                </c:pt>
                <c:pt idx="303">
                  <c:v>#N/A</c:v>
                </c:pt>
                <c:pt idx="304">
                  <c:v>#N/A</c:v>
                </c:pt>
                <c:pt idx="305">
                  <c:v>#N/A</c:v>
                </c:pt>
                <c:pt idx="306">
                  <c:v>2002</c:v>
                </c:pt>
                <c:pt idx="307">
                  <c:v>2007</c:v>
                </c:pt>
                <c:pt idx="308">
                  <c:v>2022</c:v>
                </c:pt>
                <c:pt idx="309">
                  <c:v>#N/A</c:v>
                </c:pt>
                <c:pt idx="310">
                  <c:v>#N/A</c:v>
                </c:pt>
                <c:pt idx="311">
                  <c:v>#N/A</c:v>
                </c:pt>
                <c:pt idx="312">
                  <c:v>#N/A</c:v>
                </c:pt>
                <c:pt idx="313">
                  <c:v>#N/A</c:v>
                </c:pt>
                <c:pt idx="314">
                  <c:v>2020</c:v>
                </c:pt>
                <c:pt idx="315">
                  <c:v>#N/A</c:v>
                </c:pt>
                <c:pt idx="316">
                  <c:v>#N/A</c:v>
                </c:pt>
                <c:pt idx="317">
                  <c:v>#N/A</c:v>
                </c:pt>
                <c:pt idx="318">
                  <c:v>#N/A</c:v>
                </c:pt>
                <c:pt idx="319">
                  <c:v>#N/A</c:v>
                </c:pt>
                <c:pt idx="320">
                  <c:v>#N/A</c:v>
                </c:pt>
                <c:pt idx="321">
                  <c:v>2014</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1984</c:v>
                </c:pt>
                <c:pt idx="340">
                  <c:v>2022</c:v>
                </c:pt>
                <c:pt idx="341">
                  <c:v>#N/A</c:v>
                </c:pt>
                <c:pt idx="342">
                  <c:v>#N/A</c:v>
                </c:pt>
                <c:pt idx="343">
                  <c:v>#N/A</c:v>
                </c:pt>
                <c:pt idx="344">
                  <c:v>#N/A</c:v>
                </c:pt>
                <c:pt idx="345">
                  <c:v>#N/A</c:v>
                </c:pt>
                <c:pt idx="346">
                  <c:v>#N/A</c:v>
                </c:pt>
                <c:pt idx="347">
                  <c:v>#N/A</c:v>
                </c:pt>
                <c:pt idx="348">
                  <c:v>#N/A</c:v>
                </c:pt>
                <c:pt idx="349">
                  <c:v>#N/A</c:v>
                </c:pt>
                <c:pt idx="350">
                  <c:v>2017</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2026</c:v>
                </c:pt>
                <c:pt idx="370">
                  <c:v>2013</c:v>
                </c:pt>
                <c:pt idx="371">
                  <c:v>2025</c:v>
                </c:pt>
                <c:pt idx="372">
                  <c:v>#N/A</c:v>
                </c:pt>
                <c:pt idx="373">
                  <c:v>#N/A</c:v>
                </c:pt>
                <c:pt idx="374">
                  <c:v>#N/A</c:v>
                </c:pt>
                <c:pt idx="375">
                  <c:v>2012</c:v>
                </c:pt>
                <c:pt idx="376">
                  <c:v>#N/A</c:v>
                </c:pt>
                <c:pt idx="377">
                  <c:v>2017</c:v>
                </c:pt>
                <c:pt idx="378">
                  <c:v>#N/A</c:v>
                </c:pt>
                <c:pt idx="379">
                  <c:v>#N/A</c:v>
                </c:pt>
                <c:pt idx="380">
                  <c:v>#N/A</c:v>
                </c:pt>
                <c:pt idx="381">
                  <c:v>2007</c:v>
                </c:pt>
                <c:pt idx="382">
                  <c:v>#N/A</c:v>
                </c:pt>
                <c:pt idx="383">
                  <c:v>2011</c:v>
                </c:pt>
                <c:pt idx="384">
                  <c:v>#N/A</c:v>
                </c:pt>
                <c:pt idx="385">
                  <c:v>#N/A</c:v>
                </c:pt>
                <c:pt idx="386">
                  <c:v>#N/A</c:v>
                </c:pt>
                <c:pt idx="387">
                  <c:v>#N/A</c:v>
                </c:pt>
                <c:pt idx="388">
                  <c:v>#N/A</c:v>
                </c:pt>
                <c:pt idx="389">
                  <c:v>#N/A</c:v>
                </c:pt>
                <c:pt idx="390">
                  <c:v>#N/A</c:v>
                </c:pt>
                <c:pt idx="391">
                  <c:v>#N/A</c:v>
                </c:pt>
                <c:pt idx="392">
                  <c:v>2001</c:v>
                </c:pt>
                <c:pt idx="393">
                  <c:v>2007</c:v>
                </c:pt>
                <c:pt idx="394">
                  <c:v>2006</c:v>
                </c:pt>
                <c:pt idx="395">
                  <c:v>#N/A</c:v>
                </c:pt>
                <c:pt idx="396">
                  <c:v>#N/A</c:v>
                </c:pt>
                <c:pt idx="397">
                  <c:v>2019</c:v>
                </c:pt>
                <c:pt idx="398">
                  <c:v>#N/A</c:v>
                </c:pt>
                <c:pt idx="399">
                  <c:v>#N/A</c:v>
                </c:pt>
                <c:pt idx="400">
                  <c:v>#N/A</c:v>
                </c:pt>
                <c:pt idx="401">
                  <c:v>2015</c:v>
                </c:pt>
                <c:pt idx="402">
                  <c:v>#N/A</c:v>
                </c:pt>
                <c:pt idx="403">
                  <c:v>#N/A</c:v>
                </c:pt>
                <c:pt idx="404">
                  <c:v>#N/A</c:v>
                </c:pt>
                <c:pt idx="405">
                  <c:v>#N/A</c:v>
                </c:pt>
                <c:pt idx="406">
                  <c:v>#N/A</c:v>
                </c:pt>
                <c:pt idx="407">
                  <c:v>#N/A</c:v>
                </c:pt>
                <c:pt idx="408">
                  <c:v>#N/A</c:v>
                </c:pt>
                <c:pt idx="409">
                  <c:v>#N/A</c:v>
                </c:pt>
                <c:pt idx="410">
                  <c:v>#N/A</c:v>
                </c:pt>
                <c:pt idx="411">
                  <c:v>2020</c:v>
                </c:pt>
                <c:pt idx="412">
                  <c:v>#N/A</c:v>
                </c:pt>
                <c:pt idx="413">
                  <c:v>2006</c:v>
                </c:pt>
                <c:pt idx="414">
                  <c:v>1986</c:v>
                </c:pt>
                <c:pt idx="415">
                  <c:v>#N/A</c:v>
                </c:pt>
                <c:pt idx="416">
                  <c:v>#N/A</c:v>
                </c:pt>
                <c:pt idx="417">
                  <c:v>#N/A</c:v>
                </c:pt>
                <c:pt idx="418">
                  <c:v>#N/A</c:v>
                </c:pt>
                <c:pt idx="419">
                  <c:v>#N/A</c:v>
                </c:pt>
                <c:pt idx="420">
                  <c:v>#N/A</c:v>
                </c:pt>
                <c:pt idx="421">
                  <c:v>#N/A</c:v>
                </c:pt>
                <c:pt idx="422">
                  <c:v>1995</c:v>
                </c:pt>
                <c:pt idx="423">
                  <c:v>#N/A</c:v>
                </c:pt>
                <c:pt idx="424">
                  <c:v>#N/A</c:v>
                </c:pt>
                <c:pt idx="425">
                  <c:v>#N/A</c:v>
                </c:pt>
                <c:pt idx="426">
                  <c:v>#N/A</c:v>
                </c:pt>
                <c:pt idx="427">
                  <c:v>#N/A</c:v>
                </c:pt>
                <c:pt idx="428">
                  <c:v>#N/A</c:v>
                </c:pt>
                <c:pt idx="429">
                  <c:v>#N/A</c:v>
                </c:pt>
                <c:pt idx="430">
                  <c:v>2019</c:v>
                </c:pt>
                <c:pt idx="431">
                  <c:v>#N/A</c:v>
                </c:pt>
                <c:pt idx="432">
                  <c:v>#N/A</c:v>
                </c:pt>
                <c:pt idx="433">
                  <c:v>#N/A</c:v>
                </c:pt>
                <c:pt idx="434">
                  <c:v>2001</c:v>
                </c:pt>
                <c:pt idx="435">
                  <c:v>#N/A</c:v>
                </c:pt>
                <c:pt idx="436">
                  <c:v>#N/A</c:v>
                </c:pt>
                <c:pt idx="437">
                  <c:v>#N/A</c:v>
                </c:pt>
                <c:pt idx="438">
                  <c:v>#N/A</c:v>
                </c:pt>
                <c:pt idx="439">
                  <c:v>#N/A</c:v>
                </c:pt>
                <c:pt idx="440">
                  <c:v>#N/A</c:v>
                </c:pt>
                <c:pt idx="441">
                  <c:v>#N/A</c:v>
                </c:pt>
                <c:pt idx="442">
                  <c:v>#N/A</c:v>
                </c:pt>
                <c:pt idx="443">
                  <c:v>#N/A</c:v>
                </c:pt>
                <c:pt idx="444">
                  <c:v>2020</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2012</c:v>
                </c:pt>
                <c:pt idx="462">
                  <c:v>2011</c:v>
                </c:pt>
                <c:pt idx="463">
                  <c:v>1987</c:v>
                </c:pt>
                <c:pt idx="464">
                  <c:v>#N/A</c:v>
                </c:pt>
                <c:pt idx="465">
                  <c:v>#N/A</c:v>
                </c:pt>
                <c:pt idx="466">
                  <c:v>#N/A</c:v>
                </c:pt>
                <c:pt idx="467">
                  <c:v>2002</c:v>
                </c:pt>
                <c:pt idx="468">
                  <c:v>2003</c:v>
                </c:pt>
                <c:pt idx="469">
                  <c:v>2020</c:v>
                </c:pt>
                <c:pt idx="470">
                  <c:v>2022</c:v>
                </c:pt>
                <c:pt idx="471">
                  <c:v>#N/A</c:v>
                </c:pt>
                <c:pt idx="472">
                  <c:v>#N/A</c:v>
                </c:pt>
                <c:pt idx="473">
                  <c:v>#N/A</c:v>
                </c:pt>
                <c:pt idx="474">
                  <c:v>#N/A</c:v>
                </c:pt>
                <c:pt idx="475">
                  <c:v>#N/A</c:v>
                </c:pt>
                <c:pt idx="476">
                  <c:v>#N/A</c:v>
                </c:pt>
                <c:pt idx="477">
                  <c:v>#N/A</c:v>
                </c:pt>
                <c:pt idx="478">
                  <c:v>#N/A</c:v>
                </c:pt>
                <c:pt idx="479">
                  <c:v>#N/A</c:v>
                </c:pt>
                <c:pt idx="480">
                  <c:v>#N/A</c:v>
                </c:pt>
                <c:pt idx="481">
                  <c:v>2023</c:v>
                </c:pt>
                <c:pt idx="482">
                  <c:v>#N/A</c:v>
                </c:pt>
                <c:pt idx="483">
                  <c:v>1983</c:v>
                </c:pt>
                <c:pt idx="484">
                  <c:v>#N/A</c:v>
                </c:pt>
                <c:pt idx="485">
                  <c:v>#N/A</c:v>
                </c:pt>
                <c:pt idx="486">
                  <c:v>#N/A</c:v>
                </c:pt>
                <c:pt idx="487">
                  <c:v>#N/A</c:v>
                </c:pt>
                <c:pt idx="488">
                  <c:v>#N/A</c:v>
                </c:pt>
                <c:pt idx="489">
                  <c:v>2011</c:v>
                </c:pt>
                <c:pt idx="490">
                  <c:v>#N/A</c:v>
                </c:pt>
                <c:pt idx="491">
                  <c:v>#N/A</c:v>
                </c:pt>
                <c:pt idx="492">
                  <c:v>#N/A</c:v>
                </c:pt>
                <c:pt idx="493">
                  <c:v>2016</c:v>
                </c:pt>
                <c:pt idx="494">
                  <c:v>1995</c:v>
                </c:pt>
                <c:pt idx="495">
                  <c:v>#N/A</c:v>
                </c:pt>
                <c:pt idx="496">
                  <c:v>#N/A</c:v>
                </c:pt>
                <c:pt idx="497">
                  <c:v>#N/A</c:v>
                </c:pt>
                <c:pt idx="498">
                  <c:v>#N/A</c:v>
                </c:pt>
                <c:pt idx="499">
                  <c:v>#N/A</c:v>
                </c:pt>
                <c:pt idx="500">
                  <c:v>#N/A</c:v>
                </c:pt>
                <c:pt idx="501">
                  <c:v>#N/A</c:v>
                </c:pt>
                <c:pt idx="502">
                  <c:v>#N/A</c:v>
                </c:pt>
                <c:pt idx="503">
                  <c:v>#N/A</c:v>
                </c:pt>
                <c:pt idx="504">
                  <c:v>1987</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1987</c:v>
                </c:pt>
                <c:pt idx="531">
                  <c:v>2015</c:v>
                </c:pt>
                <c:pt idx="532">
                  <c:v>2019</c:v>
                </c:pt>
                <c:pt idx="533">
                  <c:v>2017</c:v>
                </c:pt>
                <c:pt idx="534">
                  <c:v>#N/A</c:v>
                </c:pt>
                <c:pt idx="535">
                  <c:v>#N/A</c:v>
                </c:pt>
                <c:pt idx="536">
                  <c:v>2014</c:v>
                </c:pt>
                <c:pt idx="537">
                  <c:v>2019</c:v>
                </c:pt>
                <c:pt idx="538">
                  <c:v>#N/A</c:v>
                </c:pt>
                <c:pt idx="539">
                  <c:v>#N/A</c:v>
                </c:pt>
                <c:pt idx="540">
                  <c:v>#N/A</c:v>
                </c:pt>
                <c:pt idx="541">
                  <c:v>#N/A</c:v>
                </c:pt>
                <c:pt idx="542">
                  <c:v>2022</c:v>
                </c:pt>
                <c:pt idx="543">
                  <c:v>#N/A</c:v>
                </c:pt>
                <c:pt idx="544">
                  <c:v>2025</c:v>
                </c:pt>
                <c:pt idx="545">
                  <c:v>#N/A</c:v>
                </c:pt>
                <c:pt idx="546">
                  <c:v>#N/A</c:v>
                </c:pt>
                <c:pt idx="547">
                  <c:v>#N/A</c:v>
                </c:pt>
                <c:pt idx="548">
                  <c:v>#N/A</c:v>
                </c:pt>
                <c:pt idx="549">
                  <c:v>2023</c:v>
                </c:pt>
                <c:pt idx="550">
                  <c:v>#N/A</c:v>
                </c:pt>
                <c:pt idx="551">
                  <c:v>2015</c:v>
                </c:pt>
                <c:pt idx="552">
                  <c:v>#N/A</c:v>
                </c:pt>
                <c:pt idx="553">
                  <c:v>#N/A</c:v>
                </c:pt>
                <c:pt idx="554">
                  <c:v>#N/A</c:v>
                </c:pt>
                <c:pt idx="555">
                  <c:v>#N/A</c:v>
                </c:pt>
                <c:pt idx="556">
                  <c:v>#N/A</c:v>
                </c:pt>
                <c:pt idx="557">
                  <c:v>#N/A</c:v>
                </c:pt>
                <c:pt idx="558">
                  <c:v>#N/A</c:v>
                </c:pt>
                <c:pt idx="559">
                  <c:v>#N/A</c:v>
                </c:pt>
                <c:pt idx="560">
                  <c:v>2012</c:v>
                </c:pt>
                <c:pt idx="561">
                  <c:v>#N/A</c:v>
                </c:pt>
                <c:pt idx="562">
                  <c:v>#N/A</c:v>
                </c:pt>
                <c:pt idx="563">
                  <c:v>#N/A</c:v>
                </c:pt>
                <c:pt idx="564">
                  <c:v>#N/A</c:v>
                </c:pt>
                <c:pt idx="565">
                  <c:v>#N/A</c:v>
                </c:pt>
                <c:pt idx="566">
                  <c:v>#N/A</c:v>
                </c:pt>
                <c:pt idx="567">
                  <c:v>#N/A</c:v>
                </c:pt>
                <c:pt idx="568">
                  <c:v>#N/A</c:v>
                </c:pt>
                <c:pt idx="569">
                  <c:v>#N/A</c:v>
                </c:pt>
                <c:pt idx="570">
                  <c:v>2009</c:v>
                </c:pt>
                <c:pt idx="571">
                  <c:v>2007</c:v>
                </c:pt>
                <c:pt idx="572">
                  <c:v>2012</c:v>
                </c:pt>
                <c:pt idx="573">
                  <c:v>2005</c:v>
                </c:pt>
                <c:pt idx="574">
                  <c:v>2020</c:v>
                </c:pt>
                <c:pt idx="575">
                  <c:v>2015</c:v>
                </c:pt>
                <c:pt idx="576">
                  <c:v>#N/A</c:v>
                </c:pt>
                <c:pt idx="577">
                  <c:v>#N/A</c:v>
                </c:pt>
                <c:pt idx="578">
                  <c:v>#N/A</c:v>
                </c:pt>
                <c:pt idx="579">
                  <c:v>#N/A</c:v>
                </c:pt>
                <c:pt idx="580">
                  <c:v>2003</c:v>
                </c:pt>
                <c:pt idx="581">
                  <c:v>#N/A</c:v>
                </c:pt>
                <c:pt idx="582">
                  <c:v>#N/A</c:v>
                </c:pt>
                <c:pt idx="583">
                  <c:v>#N/A</c:v>
                </c:pt>
                <c:pt idx="584">
                  <c:v>#N/A</c:v>
                </c:pt>
                <c:pt idx="585">
                  <c:v>2023</c:v>
                </c:pt>
                <c:pt idx="586">
                  <c:v>2014</c:v>
                </c:pt>
                <c:pt idx="587">
                  <c:v>#N/A</c:v>
                </c:pt>
                <c:pt idx="588">
                  <c:v>#N/A</c:v>
                </c:pt>
                <c:pt idx="589">
                  <c:v>#N/A</c:v>
                </c:pt>
                <c:pt idx="590">
                  <c:v>1992</c:v>
                </c:pt>
                <c:pt idx="591">
                  <c:v>#N/A</c:v>
                </c:pt>
                <c:pt idx="592">
                  <c:v>#N/A</c:v>
                </c:pt>
                <c:pt idx="593">
                  <c:v>2026</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2020</c:v>
                </c:pt>
                <c:pt idx="609">
                  <c:v>2024</c:v>
                </c:pt>
                <c:pt idx="610">
                  <c:v>2026</c:v>
                </c:pt>
                <c:pt idx="611">
                  <c:v>#N/A</c:v>
                </c:pt>
                <c:pt idx="612">
                  <c:v>#N/A</c:v>
                </c:pt>
                <c:pt idx="613">
                  <c:v>#N/A</c:v>
                </c:pt>
                <c:pt idx="614">
                  <c:v>#N/A</c:v>
                </c:pt>
                <c:pt idx="615">
                  <c:v>#N/A</c:v>
                </c:pt>
                <c:pt idx="616">
                  <c:v>#N/A</c:v>
                </c:pt>
                <c:pt idx="617">
                  <c:v>#N/A</c:v>
                </c:pt>
                <c:pt idx="618">
                  <c:v>#N/A</c:v>
                </c:pt>
                <c:pt idx="619">
                  <c:v>#N/A</c:v>
                </c:pt>
                <c:pt idx="620">
                  <c:v>#N/A</c:v>
                </c:pt>
                <c:pt idx="621">
                  <c:v>#N/A</c:v>
                </c:pt>
                <c:pt idx="622">
                  <c:v>1980</c:v>
                </c:pt>
                <c:pt idx="623">
                  <c:v>#N/A</c:v>
                </c:pt>
                <c:pt idx="624">
                  <c:v>2019</c:v>
                </c:pt>
                <c:pt idx="625">
                  <c:v>#N/A</c:v>
                </c:pt>
                <c:pt idx="626">
                  <c:v>#N/A</c:v>
                </c:pt>
                <c:pt idx="627">
                  <c:v>2007</c:v>
                </c:pt>
                <c:pt idx="628">
                  <c:v>#N/A</c:v>
                </c:pt>
                <c:pt idx="629">
                  <c:v>#N/A</c:v>
                </c:pt>
                <c:pt idx="630">
                  <c:v>#N/A</c:v>
                </c:pt>
                <c:pt idx="631">
                  <c:v>#N/A</c:v>
                </c:pt>
                <c:pt idx="632">
                  <c:v>#N/A</c:v>
                </c:pt>
                <c:pt idx="633">
                  <c:v>#N/A</c:v>
                </c:pt>
                <c:pt idx="634">
                  <c:v>#N/A</c:v>
                </c:pt>
                <c:pt idx="635">
                  <c:v>#N/A</c:v>
                </c:pt>
                <c:pt idx="636">
                  <c:v>#N/A</c:v>
                </c:pt>
                <c:pt idx="637">
                  <c:v>2023</c:v>
                </c:pt>
                <c:pt idx="638">
                  <c:v>#N/A</c:v>
                </c:pt>
                <c:pt idx="639">
                  <c:v>2014</c:v>
                </c:pt>
                <c:pt idx="640">
                  <c:v>#N/A</c:v>
                </c:pt>
                <c:pt idx="641">
                  <c:v>#N/A</c:v>
                </c:pt>
                <c:pt idx="642">
                  <c:v>#N/A</c:v>
                </c:pt>
                <c:pt idx="643">
                  <c:v>#N/A</c:v>
                </c:pt>
                <c:pt idx="644">
                  <c:v>#N/A</c:v>
                </c:pt>
                <c:pt idx="645">
                  <c:v>#N/A</c:v>
                </c:pt>
                <c:pt idx="646">
                  <c:v>#N/A</c:v>
                </c:pt>
                <c:pt idx="647">
                  <c:v>#N/A</c:v>
                </c:pt>
                <c:pt idx="648">
                  <c:v>#N/A</c:v>
                </c:pt>
                <c:pt idx="649">
                  <c:v>#N/A</c:v>
                </c:pt>
                <c:pt idx="650">
                  <c:v>#N/A</c:v>
                </c:pt>
                <c:pt idx="651">
                  <c:v>2010</c:v>
                </c:pt>
                <c:pt idx="652">
                  <c:v>#N/A</c:v>
                </c:pt>
                <c:pt idx="653">
                  <c:v>#N/A</c:v>
                </c:pt>
                <c:pt idx="654">
                  <c:v>#N/A</c:v>
                </c:pt>
                <c:pt idx="655">
                  <c:v>#N/A</c:v>
                </c:pt>
                <c:pt idx="656">
                  <c:v>#N/A</c:v>
                </c:pt>
                <c:pt idx="657">
                  <c:v>#N/A</c:v>
                </c:pt>
                <c:pt idx="658">
                  <c:v>#N/A</c:v>
                </c:pt>
                <c:pt idx="659">
                  <c:v>#N/A</c:v>
                </c:pt>
                <c:pt idx="660">
                  <c:v>#N/A</c:v>
                </c:pt>
                <c:pt idx="661">
                  <c:v>#N/A</c:v>
                </c:pt>
                <c:pt idx="662">
                  <c:v>2015</c:v>
                </c:pt>
                <c:pt idx="663">
                  <c:v>#N/A</c:v>
                </c:pt>
                <c:pt idx="664">
                  <c:v>#N/A</c:v>
                </c:pt>
                <c:pt idx="665">
                  <c:v>#N/A</c:v>
                </c:pt>
                <c:pt idx="666">
                  <c:v>#N/A</c:v>
                </c:pt>
                <c:pt idx="667">
                  <c:v>2014</c:v>
                </c:pt>
                <c:pt idx="668">
                  <c:v>#N/A</c:v>
                </c:pt>
                <c:pt idx="669">
                  <c:v>2008</c:v>
                </c:pt>
                <c:pt idx="670">
                  <c:v>2000</c:v>
                </c:pt>
                <c:pt idx="671">
                  <c:v>2010</c:v>
                </c:pt>
                <c:pt idx="672">
                  <c:v>2002</c:v>
                </c:pt>
                <c:pt idx="673">
                  <c:v>1996</c:v>
                </c:pt>
                <c:pt idx="674">
                  <c:v>2001</c:v>
                </c:pt>
                <c:pt idx="675">
                  <c:v>2024</c:v>
                </c:pt>
                <c:pt idx="676">
                  <c:v>2010</c:v>
                </c:pt>
                <c:pt idx="677">
                  <c:v>#N/A</c:v>
                </c:pt>
                <c:pt idx="678">
                  <c:v>#N/A</c:v>
                </c:pt>
                <c:pt idx="679">
                  <c:v>#N/A</c:v>
                </c:pt>
                <c:pt idx="680">
                  <c:v>#N/A</c:v>
                </c:pt>
                <c:pt idx="681">
                  <c:v>#N/A</c:v>
                </c:pt>
                <c:pt idx="682">
                  <c:v>2012</c:v>
                </c:pt>
                <c:pt idx="683">
                  <c:v>#N/A</c:v>
                </c:pt>
                <c:pt idx="684">
                  <c:v>#N/A</c:v>
                </c:pt>
                <c:pt idx="685">
                  <c:v>#N/A</c:v>
                </c:pt>
                <c:pt idx="686">
                  <c:v>#N/A</c:v>
                </c:pt>
                <c:pt idx="687">
                  <c:v>#N/A</c:v>
                </c:pt>
                <c:pt idx="688">
                  <c:v>2006</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2022</c:v>
                </c:pt>
                <c:pt idx="703">
                  <c:v>2023</c:v>
                </c:pt>
                <c:pt idx="704">
                  <c:v>#N/A</c:v>
                </c:pt>
                <c:pt idx="705">
                  <c:v>#N/A</c:v>
                </c:pt>
                <c:pt idx="706">
                  <c:v>#N/A</c:v>
                </c:pt>
                <c:pt idx="707">
                  <c:v>2016</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2014</c:v>
                </c:pt>
                <c:pt idx="721">
                  <c:v>#N/A</c:v>
                </c:pt>
                <c:pt idx="722">
                  <c:v>#N/A</c:v>
                </c:pt>
                <c:pt idx="723">
                  <c:v>#N/A</c:v>
                </c:pt>
                <c:pt idx="724">
                  <c:v>#N/A</c:v>
                </c:pt>
                <c:pt idx="725">
                  <c:v>#N/A</c:v>
                </c:pt>
                <c:pt idx="726">
                  <c:v>#N/A</c:v>
                </c:pt>
                <c:pt idx="727">
                  <c:v>#N/A</c:v>
                </c:pt>
                <c:pt idx="728">
                  <c:v>#N/A</c:v>
                </c:pt>
                <c:pt idx="729">
                  <c:v>#N/A</c:v>
                </c:pt>
                <c:pt idx="730">
                  <c:v>#N/A</c:v>
                </c:pt>
                <c:pt idx="731">
                  <c:v>2020</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1982</c:v>
                </c:pt>
                <c:pt idx="748">
                  <c:v>#N/A</c:v>
                </c:pt>
                <c:pt idx="749">
                  <c:v>#N/A</c:v>
                </c:pt>
                <c:pt idx="750">
                  <c:v>2013</c:v>
                </c:pt>
                <c:pt idx="751">
                  <c:v>#N/A</c:v>
                </c:pt>
                <c:pt idx="752">
                  <c:v>#N/A</c:v>
                </c:pt>
                <c:pt idx="753">
                  <c:v>#N/A</c:v>
                </c:pt>
                <c:pt idx="754">
                  <c:v>#N/A</c:v>
                </c:pt>
                <c:pt idx="755">
                  <c:v>#N/A</c:v>
                </c:pt>
                <c:pt idx="756">
                  <c:v>#N/A</c:v>
                </c:pt>
                <c:pt idx="757">
                  <c:v>#N/A</c:v>
                </c:pt>
                <c:pt idx="758">
                  <c:v>1998</c:v>
                </c:pt>
                <c:pt idx="759">
                  <c:v>#N/A</c:v>
                </c:pt>
                <c:pt idx="760">
                  <c:v>2017</c:v>
                </c:pt>
                <c:pt idx="761">
                  <c:v>#N/A</c:v>
                </c:pt>
                <c:pt idx="762">
                  <c:v>2006</c:v>
                </c:pt>
                <c:pt idx="763">
                  <c:v>#N/A</c:v>
                </c:pt>
                <c:pt idx="764">
                  <c:v>#N/A</c:v>
                </c:pt>
                <c:pt idx="765">
                  <c:v>#N/A</c:v>
                </c:pt>
                <c:pt idx="766">
                  <c:v>#N/A</c:v>
                </c:pt>
                <c:pt idx="767">
                  <c:v>#N/A</c:v>
                </c:pt>
                <c:pt idx="768">
                  <c:v>#N/A</c:v>
                </c:pt>
                <c:pt idx="769">
                  <c:v>#N/A</c:v>
                </c:pt>
                <c:pt idx="770">
                  <c:v>#N/A</c:v>
                </c:pt>
                <c:pt idx="771">
                  <c:v>#N/A</c:v>
                </c:pt>
                <c:pt idx="772">
                  <c:v>#N/A</c:v>
                </c:pt>
                <c:pt idx="773">
                  <c:v>#N/A</c:v>
                </c:pt>
                <c:pt idx="774">
                  <c:v>2021</c:v>
                </c:pt>
                <c:pt idx="775">
                  <c:v>2000</c:v>
                </c:pt>
                <c:pt idx="776">
                  <c:v>#N/A</c:v>
                </c:pt>
                <c:pt idx="777">
                  <c:v>#N/A</c:v>
                </c:pt>
                <c:pt idx="778">
                  <c:v>2014</c:v>
                </c:pt>
                <c:pt idx="779">
                  <c:v>2013</c:v>
                </c:pt>
                <c:pt idx="780">
                  <c:v>#N/A</c:v>
                </c:pt>
                <c:pt idx="781">
                  <c:v>#N/A</c:v>
                </c:pt>
                <c:pt idx="782">
                  <c:v>#N/A</c:v>
                </c:pt>
                <c:pt idx="783">
                  <c:v>#N/A</c:v>
                </c:pt>
                <c:pt idx="784">
                  <c:v>#N/A</c:v>
                </c:pt>
                <c:pt idx="785">
                  <c:v>#N/A</c:v>
                </c:pt>
                <c:pt idx="786">
                  <c:v>#N/A</c:v>
                </c:pt>
                <c:pt idx="787">
                  <c:v>2004</c:v>
                </c:pt>
                <c:pt idx="788">
                  <c:v>#N/A</c:v>
                </c:pt>
                <c:pt idx="789">
                  <c:v>#N/A</c:v>
                </c:pt>
                <c:pt idx="790">
                  <c:v>#N/A</c:v>
                </c:pt>
                <c:pt idx="791">
                  <c:v>#N/A</c:v>
                </c:pt>
                <c:pt idx="792">
                  <c:v>#N/A</c:v>
                </c:pt>
                <c:pt idx="793">
                  <c:v>#N/A</c:v>
                </c:pt>
                <c:pt idx="794">
                  <c:v>#N/A</c:v>
                </c:pt>
                <c:pt idx="795">
                  <c:v>2014</c:v>
                </c:pt>
                <c:pt idx="796">
                  <c:v>#N/A</c:v>
                </c:pt>
                <c:pt idx="797">
                  <c:v>#N/A</c:v>
                </c:pt>
                <c:pt idx="798">
                  <c:v>#N/A</c:v>
                </c:pt>
                <c:pt idx="799">
                  <c:v>#N/A</c:v>
                </c:pt>
                <c:pt idx="800">
                  <c:v>#N/A</c:v>
                </c:pt>
                <c:pt idx="801">
                  <c:v>#N/A</c:v>
                </c:pt>
                <c:pt idx="802">
                  <c:v>#N/A</c:v>
                </c:pt>
                <c:pt idx="803">
                  <c:v>#N/A</c:v>
                </c:pt>
                <c:pt idx="804">
                  <c:v>#N/A</c:v>
                </c:pt>
                <c:pt idx="805">
                  <c:v>#N/A</c:v>
                </c:pt>
                <c:pt idx="806">
                  <c:v>#N/A</c:v>
                </c:pt>
                <c:pt idx="807">
                  <c:v>1999</c:v>
                </c:pt>
                <c:pt idx="808">
                  <c:v>2002</c:v>
                </c:pt>
                <c:pt idx="809">
                  <c:v>1993</c:v>
                </c:pt>
                <c:pt idx="810">
                  <c:v>2025</c:v>
                </c:pt>
                <c:pt idx="811">
                  <c:v>2024</c:v>
                </c:pt>
                <c:pt idx="812">
                  <c:v>2021</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2012</c:v>
                </c:pt>
                <c:pt idx="827">
                  <c:v>2021</c:v>
                </c:pt>
                <c:pt idx="828">
                  <c:v>#N/A</c:v>
                </c:pt>
                <c:pt idx="829">
                  <c:v>#N/A</c:v>
                </c:pt>
                <c:pt idx="830">
                  <c:v>#N/A</c:v>
                </c:pt>
                <c:pt idx="831">
                  <c:v>#N/A</c:v>
                </c:pt>
                <c:pt idx="832">
                  <c:v>#N/A</c:v>
                </c:pt>
                <c:pt idx="833">
                  <c:v>#N/A</c:v>
                </c:pt>
                <c:pt idx="834">
                  <c:v>#N/A</c:v>
                </c:pt>
                <c:pt idx="835">
                  <c:v>1992</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1998</c:v>
                </c:pt>
                <c:pt idx="853">
                  <c:v>#N/A</c:v>
                </c:pt>
                <c:pt idx="854">
                  <c:v>#N/A</c:v>
                </c:pt>
                <c:pt idx="855">
                  <c:v>#N/A</c:v>
                </c:pt>
                <c:pt idx="856">
                  <c:v>#N/A</c:v>
                </c:pt>
                <c:pt idx="857">
                  <c:v>2023</c:v>
                </c:pt>
                <c:pt idx="858">
                  <c:v>#N/A</c:v>
                </c:pt>
                <c:pt idx="859">
                  <c:v>#N/A</c:v>
                </c:pt>
                <c:pt idx="860">
                  <c:v>2011</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2017</c:v>
                </c:pt>
                <c:pt idx="886">
                  <c:v>2010</c:v>
                </c:pt>
                <c:pt idx="887">
                  <c:v>1994</c:v>
                </c:pt>
                <c:pt idx="888">
                  <c:v>#N/A</c:v>
                </c:pt>
                <c:pt idx="889">
                  <c:v>#N/A</c:v>
                </c:pt>
                <c:pt idx="890">
                  <c:v>#N/A</c:v>
                </c:pt>
                <c:pt idx="891">
                  <c:v>2025</c:v>
                </c:pt>
                <c:pt idx="892">
                  <c:v>#N/A</c:v>
                </c:pt>
                <c:pt idx="893">
                  <c:v>#N/A</c:v>
                </c:pt>
                <c:pt idx="894">
                  <c:v>2022</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numCache>
            </c:numRef>
          </c:xVal>
          <c:yVal>
            <c:numRef>
              <c:f>'Map Calc'!$N$1:$N$950</c:f>
              <c:numCache>
                <c:formatCode>General</c:formatCode>
                <c:ptCount val="950"/>
                <c:pt idx="0">
                  <c:v>0</c:v>
                </c:pt>
                <c:pt idx="1">
                  <c:v>#N/A</c:v>
                </c:pt>
                <c:pt idx="2">
                  <c:v>4.069</c:v>
                </c:pt>
                <c:pt idx="3">
                  <c:v>#N/A</c:v>
                </c:pt>
                <c:pt idx="4">
                  <c:v>#N/A</c:v>
                </c:pt>
                <c:pt idx="5">
                  <c:v>#N/A</c:v>
                </c:pt>
                <c:pt idx="6">
                  <c:v>#N/A</c:v>
                </c:pt>
                <c:pt idx="7">
                  <c:v>#N/A</c:v>
                </c:pt>
                <c:pt idx="8">
                  <c:v>4.2069999999999999</c:v>
                </c:pt>
                <c:pt idx="9">
                  <c:v>4.2300000000000004</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4.5750000000000002</c:v>
                </c:pt>
                <c:pt idx="25">
                  <c:v>4.5979999999999999</c:v>
                </c:pt>
                <c:pt idx="26">
                  <c:v>#N/A</c:v>
                </c:pt>
                <c:pt idx="27">
                  <c:v>#N/A</c:v>
                </c:pt>
                <c:pt idx="28">
                  <c:v>#N/A</c:v>
                </c:pt>
                <c:pt idx="29">
                  <c:v>#N/A</c:v>
                </c:pt>
                <c:pt idx="30">
                  <c:v>4.7130000000000001</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4.2990000000000004</c:v>
                </c:pt>
                <c:pt idx="47">
                  <c:v>#N/A</c:v>
                </c:pt>
                <c:pt idx="48">
                  <c:v>#N/A</c:v>
                </c:pt>
                <c:pt idx="49">
                  <c:v>#N/A</c:v>
                </c:pt>
                <c:pt idx="50">
                  <c:v>#N/A</c:v>
                </c:pt>
                <c:pt idx="51">
                  <c:v>4.4139999999999997</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4.0919999999999996</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4.6440000000000001</c:v>
                </c:pt>
                <c:pt idx="96">
                  <c:v>#N/A</c:v>
                </c:pt>
                <c:pt idx="97">
                  <c:v>#N/A</c:v>
                </c:pt>
                <c:pt idx="98">
                  <c:v>#N/A</c:v>
                </c:pt>
                <c:pt idx="99">
                  <c:v>#N/A</c:v>
                </c:pt>
                <c:pt idx="100">
                  <c:v>4.7590000000000003</c:v>
                </c:pt>
                <c:pt idx="101">
                  <c:v>#N/A</c:v>
                </c:pt>
                <c:pt idx="102">
                  <c:v>#N/A</c:v>
                </c:pt>
                <c:pt idx="103">
                  <c:v>4.0460000000000003</c:v>
                </c:pt>
                <c:pt idx="104">
                  <c:v>4.069</c:v>
                </c:pt>
                <c:pt idx="105">
                  <c:v>4.0919999999999996</c:v>
                </c:pt>
                <c:pt idx="106">
                  <c:v>4.1150000000000002</c:v>
                </c:pt>
                <c:pt idx="107">
                  <c:v>#N/A</c:v>
                </c:pt>
                <c:pt idx="108">
                  <c:v>4.1609999999999996</c:v>
                </c:pt>
                <c:pt idx="109">
                  <c:v>4.1840000000000002</c:v>
                </c:pt>
                <c:pt idx="110">
                  <c:v>4.2069999999999999</c:v>
                </c:pt>
                <c:pt idx="111">
                  <c:v>4.2300000000000004</c:v>
                </c:pt>
                <c:pt idx="112">
                  <c:v>#N/A</c:v>
                </c:pt>
                <c:pt idx="113">
                  <c:v>#N/A</c:v>
                </c:pt>
                <c:pt idx="114">
                  <c:v>4.2990000000000004</c:v>
                </c:pt>
                <c:pt idx="115">
                  <c:v>#N/A</c:v>
                </c:pt>
                <c:pt idx="116">
                  <c:v>4.3449999999999998</c:v>
                </c:pt>
                <c:pt idx="117">
                  <c:v>#N/A</c:v>
                </c:pt>
                <c:pt idx="118">
                  <c:v>#N/A</c:v>
                </c:pt>
                <c:pt idx="119">
                  <c:v>#N/A</c:v>
                </c:pt>
                <c:pt idx="120">
                  <c:v>#N/A</c:v>
                </c:pt>
                <c:pt idx="121">
                  <c:v>#N/A</c:v>
                </c:pt>
                <c:pt idx="122">
                  <c:v>#N/A</c:v>
                </c:pt>
                <c:pt idx="123">
                  <c:v>4.5060000000000002</c:v>
                </c:pt>
                <c:pt idx="124">
                  <c:v>4.5289999999999999</c:v>
                </c:pt>
                <c:pt idx="125">
                  <c:v>4.5519999999999996</c:v>
                </c:pt>
                <c:pt idx="126">
                  <c:v>#N/A</c:v>
                </c:pt>
                <c:pt idx="127">
                  <c:v>#N/A</c:v>
                </c:pt>
                <c:pt idx="128">
                  <c:v>#N/A</c:v>
                </c:pt>
                <c:pt idx="129">
                  <c:v>#N/A</c:v>
                </c:pt>
                <c:pt idx="130">
                  <c:v>#N/A</c:v>
                </c:pt>
                <c:pt idx="131">
                  <c:v>#N/A</c:v>
                </c:pt>
                <c:pt idx="132">
                  <c:v>#N/A</c:v>
                </c:pt>
                <c:pt idx="133">
                  <c:v>#N/A</c:v>
                </c:pt>
                <c:pt idx="134">
                  <c:v>#N/A</c:v>
                </c:pt>
                <c:pt idx="135">
                  <c:v>#N/A</c:v>
                </c:pt>
                <c:pt idx="136">
                  <c:v>#N/A</c:v>
                </c:pt>
                <c:pt idx="137">
                  <c:v>4.0460000000000003</c:v>
                </c:pt>
                <c:pt idx="138">
                  <c:v>#N/A</c:v>
                </c:pt>
                <c:pt idx="139">
                  <c:v>#N/A</c:v>
                </c:pt>
                <c:pt idx="140">
                  <c:v>#N/A</c:v>
                </c:pt>
                <c:pt idx="141">
                  <c:v>#N/A</c:v>
                </c:pt>
                <c:pt idx="142">
                  <c:v>#N/A</c:v>
                </c:pt>
                <c:pt idx="143">
                  <c:v>#N/A</c:v>
                </c:pt>
                <c:pt idx="144">
                  <c:v>#N/A</c:v>
                </c:pt>
                <c:pt idx="145">
                  <c:v>#N/A</c:v>
                </c:pt>
                <c:pt idx="146">
                  <c:v>#N/A</c:v>
                </c:pt>
                <c:pt idx="147">
                  <c:v>4.2759999999999998</c:v>
                </c:pt>
                <c:pt idx="148">
                  <c:v>#N/A</c:v>
                </c:pt>
                <c:pt idx="149">
                  <c:v>#N/A</c:v>
                </c:pt>
                <c:pt idx="150">
                  <c:v>#N/A</c:v>
                </c:pt>
                <c:pt idx="151">
                  <c:v>#N/A</c:v>
                </c:pt>
                <c:pt idx="152">
                  <c:v>#N/A</c:v>
                </c:pt>
                <c:pt idx="153">
                  <c:v>#N/A</c:v>
                </c:pt>
                <c:pt idx="154">
                  <c:v>#N/A</c:v>
                </c:pt>
                <c:pt idx="155">
                  <c:v>#N/A</c:v>
                </c:pt>
                <c:pt idx="156">
                  <c:v>4.4829999999999997</c:v>
                </c:pt>
                <c:pt idx="157">
                  <c:v>#N/A</c:v>
                </c:pt>
                <c:pt idx="158">
                  <c:v>4.5289999999999999</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4.6210000000000004</c:v>
                </c:pt>
                <c:pt idx="197">
                  <c:v>#N/A</c:v>
                </c:pt>
                <c:pt idx="198">
                  <c:v>#N/A</c:v>
                </c:pt>
                <c:pt idx="199">
                  <c:v>#N/A</c:v>
                </c:pt>
                <c:pt idx="200">
                  <c:v>4.7130000000000001</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4.5979999999999999</c:v>
                </c:pt>
                <c:pt idx="230">
                  <c:v>#N/A</c:v>
                </c:pt>
                <c:pt idx="231">
                  <c:v>#N/A</c:v>
                </c:pt>
                <c:pt idx="232">
                  <c:v>#N/A</c:v>
                </c:pt>
                <c:pt idx="233">
                  <c:v>4.6899999999999995</c:v>
                </c:pt>
                <c:pt idx="234">
                  <c:v>4.7130000000000001</c:v>
                </c:pt>
                <c:pt idx="235">
                  <c:v>4.7359999999999998</c:v>
                </c:pt>
                <c:pt idx="236">
                  <c:v>4.7590000000000003</c:v>
                </c:pt>
                <c:pt idx="237">
                  <c:v>#N/A</c:v>
                </c:pt>
                <c:pt idx="238">
                  <c:v>#N/A</c:v>
                </c:pt>
                <c:pt idx="239">
                  <c:v>#N/A</c:v>
                </c:pt>
                <c:pt idx="240">
                  <c:v>#N/A</c:v>
                </c:pt>
                <c:pt idx="241">
                  <c:v>#N/A</c:v>
                </c:pt>
                <c:pt idx="242">
                  <c:v>#N/A</c:v>
                </c:pt>
                <c:pt idx="243">
                  <c:v>#N/A</c:v>
                </c:pt>
                <c:pt idx="244">
                  <c:v>#N/A</c:v>
                </c:pt>
                <c:pt idx="245">
                  <c:v>4.1840000000000002</c:v>
                </c:pt>
                <c:pt idx="246">
                  <c:v>#N/A</c:v>
                </c:pt>
                <c:pt idx="247">
                  <c:v>4.2300000000000004</c:v>
                </c:pt>
                <c:pt idx="248">
                  <c:v>#N/A</c:v>
                </c:pt>
                <c:pt idx="249">
                  <c:v>4.2759999999999998</c:v>
                </c:pt>
                <c:pt idx="250">
                  <c:v>#N/A</c:v>
                </c:pt>
                <c:pt idx="251">
                  <c:v>4.3220000000000001</c:v>
                </c:pt>
                <c:pt idx="252">
                  <c:v>#N/A</c:v>
                </c:pt>
                <c:pt idx="253">
                  <c:v>#N/A</c:v>
                </c:pt>
                <c:pt idx="254">
                  <c:v>4.391</c:v>
                </c:pt>
                <c:pt idx="255">
                  <c:v>#N/A</c:v>
                </c:pt>
                <c:pt idx="256">
                  <c:v>#N/A</c:v>
                </c:pt>
                <c:pt idx="257">
                  <c:v>#N/A</c:v>
                </c:pt>
                <c:pt idx="258">
                  <c:v>#N/A</c:v>
                </c:pt>
                <c:pt idx="259">
                  <c:v>#N/A</c:v>
                </c:pt>
                <c:pt idx="260">
                  <c:v>#N/A</c:v>
                </c:pt>
                <c:pt idx="261">
                  <c:v>#N/A</c:v>
                </c:pt>
                <c:pt idx="262">
                  <c:v>#N/A</c:v>
                </c:pt>
                <c:pt idx="263">
                  <c:v>4.5979999999999999</c:v>
                </c:pt>
                <c:pt idx="264">
                  <c:v>4.6210000000000004</c:v>
                </c:pt>
                <c:pt idx="265">
                  <c:v>#N/A</c:v>
                </c:pt>
                <c:pt idx="266">
                  <c:v>#N/A</c:v>
                </c:pt>
                <c:pt idx="267">
                  <c:v>#N/A</c:v>
                </c:pt>
                <c:pt idx="268">
                  <c:v>#N/A</c:v>
                </c:pt>
                <c:pt idx="269">
                  <c:v>#N/A</c:v>
                </c:pt>
                <c:pt idx="270">
                  <c:v>#N/A</c:v>
                </c:pt>
                <c:pt idx="271">
                  <c:v>4</c:v>
                </c:pt>
                <c:pt idx="272">
                  <c:v>4.0229999999999997</c:v>
                </c:pt>
                <c:pt idx="273">
                  <c:v>4.0460000000000003</c:v>
                </c:pt>
                <c:pt idx="274">
                  <c:v>#N/A</c:v>
                </c:pt>
                <c:pt idx="275">
                  <c:v>#N/A</c:v>
                </c:pt>
                <c:pt idx="276">
                  <c:v>#N/A</c:v>
                </c:pt>
                <c:pt idx="277">
                  <c:v>#N/A</c:v>
                </c:pt>
                <c:pt idx="278">
                  <c:v>#N/A</c:v>
                </c:pt>
                <c:pt idx="279">
                  <c:v>4.1840000000000002</c:v>
                </c:pt>
                <c:pt idx="280">
                  <c:v>#N/A</c:v>
                </c:pt>
                <c:pt idx="281">
                  <c:v>#N/A</c:v>
                </c:pt>
                <c:pt idx="282">
                  <c:v>#N/A</c:v>
                </c:pt>
                <c:pt idx="283">
                  <c:v>4.2759999999999998</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4.5979999999999999</c:v>
                </c:pt>
                <c:pt idx="298">
                  <c:v>#N/A</c:v>
                </c:pt>
                <c:pt idx="299">
                  <c:v>#N/A</c:v>
                </c:pt>
                <c:pt idx="300">
                  <c:v>#N/A</c:v>
                </c:pt>
                <c:pt idx="301">
                  <c:v>4.6899999999999995</c:v>
                </c:pt>
                <c:pt idx="302">
                  <c:v>4.7130000000000001</c:v>
                </c:pt>
                <c:pt idx="303">
                  <c:v>#N/A</c:v>
                </c:pt>
                <c:pt idx="304">
                  <c:v>#N/A</c:v>
                </c:pt>
                <c:pt idx="305">
                  <c:v>#N/A</c:v>
                </c:pt>
                <c:pt idx="306">
                  <c:v>#N/A</c:v>
                </c:pt>
                <c:pt idx="307">
                  <c:v>4.0460000000000003</c:v>
                </c:pt>
                <c:pt idx="308">
                  <c:v>4.069</c:v>
                </c:pt>
                <c:pt idx="309">
                  <c:v>4.0919999999999996</c:v>
                </c:pt>
                <c:pt idx="310">
                  <c:v>#N/A</c:v>
                </c:pt>
                <c:pt idx="311">
                  <c:v>#N/A</c:v>
                </c:pt>
                <c:pt idx="312">
                  <c:v>#N/A</c:v>
                </c:pt>
                <c:pt idx="313">
                  <c:v>#N/A</c:v>
                </c:pt>
                <c:pt idx="314">
                  <c:v>#N/A</c:v>
                </c:pt>
                <c:pt idx="315">
                  <c:v>4.2300000000000004</c:v>
                </c:pt>
                <c:pt idx="316">
                  <c:v>#N/A</c:v>
                </c:pt>
                <c:pt idx="317">
                  <c:v>#N/A</c:v>
                </c:pt>
                <c:pt idx="318">
                  <c:v>#N/A</c:v>
                </c:pt>
                <c:pt idx="319">
                  <c:v>#N/A</c:v>
                </c:pt>
                <c:pt idx="320">
                  <c:v>#N/A</c:v>
                </c:pt>
                <c:pt idx="321">
                  <c:v>#N/A</c:v>
                </c:pt>
                <c:pt idx="322">
                  <c:v>4.391</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4.0229999999999997</c:v>
                </c:pt>
                <c:pt idx="341">
                  <c:v>4.0460000000000003</c:v>
                </c:pt>
                <c:pt idx="342">
                  <c:v>#N/A</c:v>
                </c:pt>
                <c:pt idx="343">
                  <c:v>#N/A</c:v>
                </c:pt>
                <c:pt idx="344">
                  <c:v>#N/A</c:v>
                </c:pt>
                <c:pt idx="345">
                  <c:v>#N/A</c:v>
                </c:pt>
                <c:pt idx="346">
                  <c:v>#N/A</c:v>
                </c:pt>
                <c:pt idx="347">
                  <c:v>#N/A</c:v>
                </c:pt>
                <c:pt idx="348">
                  <c:v>#N/A</c:v>
                </c:pt>
                <c:pt idx="349">
                  <c:v>#N/A</c:v>
                </c:pt>
                <c:pt idx="350">
                  <c:v>#N/A</c:v>
                </c:pt>
                <c:pt idx="351">
                  <c:v>4.2759999999999998</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4.7130000000000001</c:v>
                </c:pt>
                <c:pt idx="371">
                  <c:v>4.7359999999999998</c:v>
                </c:pt>
                <c:pt idx="372">
                  <c:v>4.7590000000000003</c:v>
                </c:pt>
                <c:pt idx="373">
                  <c:v>#N/A</c:v>
                </c:pt>
                <c:pt idx="374">
                  <c:v>#N/A</c:v>
                </c:pt>
                <c:pt idx="375">
                  <c:v>#N/A</c:v>
                </c:pt>
                <c:pt idx="376">
                  <c:v>4.069</c:v>
                </c:pt>
                <c:pt idx="377">
                  <c:v>#N/A</c:v>
                </c:pt>
                <c:pt idx="378">
                  <c:v>4.1150000000000002</c:v>
                </c:pt>
                <c:pt idx="379">
                  <c:v>#N/A</c:v>
                </c:pt>
                <c:pt idx="380">
                  <c:v>#N/A</c:v>
                </c:pt>
                <c:pt idx="381">
                  <c:v>#N/A</c:v>
                </c:pt>
                <c:pt idx="382">
                  <c:v>4.2069999999999999</c:v>
                </c:pt>
                <c:pt idx="383">
                  <c:v>#N/A</c:v>
                </c:pt>
                <c:pt idx="384">
                  <c:v>4.2530000000000001</c:v>
                </c:pt>
                <c:pt idx="385">
                  <c:v>#N/A</c:v>
                </c:pt>
                <c:pt idx="386">
                  <c:v>#N/A</c:v>
                </c:pt>
                <c:pt idx="387">
                  <c:v>#N/A</c:v>
                </c:pt>
                <c:pt idx="388">
                  <c:v>#N/A</c:v>
                </c:pt>
                <c:pt idx="389">
                  <c:v>#N/A</c:v>
                </c:pt>
                <c:pt idx="390">
                  <c:v>#N/A</c:v>
                </c:pt>
                <c:pt idx="391">
                  <c:v>#N/A</c:v>
                </c:pt>
                <c:pt idx="392">
                  <c:v>#N/A</c:v>
                </c:pt>
                <c:pt idx="393">
                  <c:v>4.46</c:v>
                </c:pt>
                <c:pt idx="394">
                  <c:v>4.4829999999999997</c:v>
                </c:pt>
                <c:pt idx="395">
                  <c:v>4.5060000000000002</c:v>
                </c:pt>
                <c:pt idx="396">
                  <c:v>#N/A</c:v>
                </c:pt>
                <c:pt idx="397">
                  <c:v>#N/A</c:v>
                </c:pt>
                <c:pt idx="398">
                  <c:v>4.5750000000000002</c:v>
                </c:pt>
                <c:pt idx="399">
                  <c:v>#N/A</c:v>
                </c:pt>
                <c:pt idx="400">
                  <c:v>#N/A</c:v>
                </c:pt>
                <c:pt idx="401">
                  <c:v>#N/A</c:v>
                </c:pt>
                <c:pt idx="402">
                  <c:v>4.6669999999999998</c:v>
                </c:pt>
                <c:pt idx="403">
                  <c:v>#N/A</c:v>
                </c:pt>
                <c:pt idx="404">
                  <c:v>#N/A</c:v>
                </c:pt>
                <c:pt idx="405">
                  <c:v>#N/A</c:v>
                </c:pt>
                <c:pt idx="406">
                  <c:v>#N/A</c:v>
                </c:pt>
                <c:pt idx="407">
                  <c:v>#N/A</c:v>
                </c:pt>
                <c:pt idx="408">
                  <c:v>#N/A</c:v>
                </c:pt>
                <c:pt idx="409">
                  <c:v>#N/A</c:v>
                </c:pt>
                <c:pt idx="410">
                  <c:v>#N/A</c:v>
                </c:pt>
                <c:pt idx="411">
                  <c:v>#N/A</c:v>
                </c:pt>
                <c:pt idx="412">
                  <c:v>4.1150000000000002</c:v>
                </c:pt>
                <c:pt idx="413">
                  <c:v>#N/A</c:v>
                </c:pt>
                <c:pt idx="414">
                  <c:v>4.1609999999999996</c:v>
                </c:pt>
                <c:pt idx="415">
                  <c:v>4.1840000000000002</c:v>
                </c:pt>
                <c:pt idx="416">
                  <c:v>#N/A</c:v>
                </c:pt>
                <c:pt idx="417">
                  <c:v>#N/A</c:v>
                </c:pt>
                <c:pt idx="418">
                  <c:v>#N/A</c:v>
                </c:pt>
                <c:pt idx="419">
                  <c:v>#N/A</c:v>
                </c:pt>
                <c:pt idx="420">
                  <c:v>#N/A</c:v>
                </c:pt>
                <c:pt idx="421">
                  <c:v>#N/A</c:v>
                </c:pt>
                <c:pt idx="422">
                  <c:v>#N/A</c:v>
                </c:pt>
                <c:pt idx="423">
                  <c:v>4.3680000000000003</c:v>
                </c:pt>
                <c:pt idx="424">
                  <c:v>#N/A</c:v>
                </c:pt>
                <c:pt idx="425">
                  <c:v>#N/A</c:v>
                </c:pt>
                <c:pt idx="426">
                  <c:v>#N/A</c:v>
                </c:pt>
                <c:pt idx="427">
                  <c:v>#N/A</c:v>
                </c:pt>
                <c:pt idx="428">
                  <c:v>#N/A</c:v>
                </c:pt>
                <c:pt idx="429">
                  <c:v>#N/A</c:v>
                </c:pt>
                <c:pt idx="430">
                  <c:v>#N/A</c:v>
                </c:pt>
                <c:pt idx="431">
                  <c:v>4.5519999999999996</c:v>
                </c:pt>
                <c:pt idx="432">
                  <c:v>#N/A</c:v>
                </c:pt>
                <c:pt idx="433">
                  <c:v>#N/A</c:v>
                </c:pt>
                <c:pt idx="434">
                  <c:v>#N/A</c:v>
                </c:pt>
                <c:pt idx="435">
                  <c:v>4.6440000000000001</c:v>
                </c:pt>
                <c:pt idx="436">
                  <c:v>#N/A</c:v>
                </c:pt>
                <c:pt idx="437">
                  <c:v>#N/A</c:v>
                </c:pt>
                <c:pt idx="438">
                  <c:v>#N/A</c:v>
                </c:pt>
                <c:pt idx="439">
                  <c:v>#N/A</c:v>
                </c:pt>
                <c:pt idx="440">
                  <c:v>#N/A</c:v>
                </c:pt>
                <c:pt idx="441">
                  <c:v>#N/A</c:v>
                </c:pt>
                <c:pt idx="442">
                  <c:v>#N/A</c:v>
                </c:pt>
                <c:pt idx="443">
                  <c:v>#N/A</c:v>
                </c:pt>
                <c:pt idx="444">
                  <c:v>#N/A</c:v>
                </c:pt>
                <c:pt idx="445">
                  <c:v>4.0919999999999996</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4.4829999999999997</c:v>
                </c:pt>
                <c:pt idx="463">
                  <c:v>4.5060000000000002</c:v>
                </c:pt>
                <c:pt idx="464">
                  <c:v>4.5289999999999999</c:v>
                </c:pt>
                <c:pt idx="465">
                  <c:v>#N/A</c:v>
                </c:pt>
                <c:pt idx="466">
                  <c:v>#N/A</c:v>
                </c:pt>
                <c:pt idx="467">
                  <c:v>#N/A</c:v>
                </c:pt>
                <c:pt idx="468">
                  <c:v>4.6210000000000004</c:v>
                </c:pt>
                <c:pt idx="469">
                  <c:v>4.6440000000000001</c:v>
                </c:pt>
                <c:pt idx="470">
                  <c:v>4.6669999999999998</c:v>
                </c:pt>
                <c:pt idx="471">
                  <c:v>4.6899999999999995</c:v>
                </c:pt>
                <c:pt idx="472">
                  <c:v>#N/A</c:v>
                </c:pt>
                <c:pt idx="473">
                  <c:v>#N/A</c:v>
                </c:pt>
                <c:pt idx="474">
                  <c:v>#N/A</c:v>
                </c:pt>
                <c:pt idx="475">
                  <c:v>#N/A</c:v>
                </c:pt>
                <c:pt idx="476">
                  <c:v>#N/A</c:v>
                </c:pt>
                <c:pt idx="477">
                  <c:v>#N/A</c:v>
                </c:pt>
                <c:pt idx="478">
                  <c:v>#N/A</c:v>
                </c:pt>
                <c:pt idx="479">
                  <c:v>#N/A</c:v>
                </c:pt>
                <c:pt idx="480">
                  <c:v>#N/A</c:v>
                </c:pt>
                <c:pt idx="481">
                  <c:v>#N/A</c:v>
                </c:pt>
                <c:pt idx="482">
                  <c:v>4.1609999999999996</c:v>
                </c:pt>
                <c:pt idx="483">
                  <c:v>#N/A</c:v>
                </c:pt>
                <c:pt idx="484">
                  <c:v>4.2069999999999999</c:v>
                </c:pt>
                <c:pt idx="485">
                  <c:v>#N/A</c:v>
                </c:pt>
                <c:pt idx="486">
                  <c:v>#N/A</c:v>
                </c:pt>
                <c:pt idx="487">
                  <c:v>#N/A</c:v>
                </c:pt>
                <c:pt idx="488">
                  <c:v>#N/A</c:v>
                </c:pt>
                <c:pt idx="489">
                  <c:v>#N/A</c:v>
                </c:pt>
                <c:pt idx="490">
                  <c:v>4.3449999999999998</c:v>
                </c:pt>
                <c:pt idx="491">
                  <c:v>#N/A</c:v>
                </c:pt>
                <c:pt idx="492">
                  <c:v>#N/A</c:v>
                </c:pt>
                <c:pt idx="493">
                  <c:v>#N/A</c:v>
                </c:pt>
                <c:pt idx="494">
                  <c:v>4.4370000000000003</c:v>
                </c:pt>
                <c:pt idx="495">
                  <c:v>4.46</c:v>
                </c:pt>
                <c:pt idx="496">
                  <c:v>#N/A</c:v>
                </c:pt>
                <c:pt idx="497">
                  <c:v>#N/A</c:v>
                </c:pt>
                <c:pt idx="498">
                  <c:v>#N/A</c:v>
                </c:pt>
                <c:pt idx="499">
                  <c:v>#N/A</c:v>
                </c:pt>
                <c:pt idx="500">
                  <c:v>#N/A</c:v>
                </c:pt>
                <c:pt idx="501">
                  <c:v>#N/A</c:v>
                </c:pt>
                <c:pt idx="502">
                  <c:v>#N/A</c:v>
                </c:pt>
                <c:pt idx="503">
                  <c:v>#N/A</c:v>
                </c:pt>
                <c:pt idx="504">
                  <c:v>#N/A</c:v>
                </c:pt>
                <c:pt idx="505">
                  <c:v>4.6899999999999995</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4.5060000000000002</c:v>
                </c:pt>
                <c:pt idx="532">
                  <c:v>4.5289999999999999</c:v>
                </c:pt>
                <c:pt idx="533">
                  <c:v>4.5519999999999996</c:v>
                </c:pt>
                <c:pt idx="534">
                  <c:v>4.5750000000000002</c:v>
                </c:pt>
                <c:pt idx="535">
                  <c:v>#N/A</c:v>
                </c:pt>
                <c:pt idx="536">
                  <c:v>#N/A</c:v>
                </c:pt>
                <c:pt idx="537">
                  <c:v>4.6440000000000001</c:v>
                </c:pt>
                <c:pt idx="538">
                  <c:v>4.6669999999999998</c:v>
                </c:pt>
                <c:pt idx="539">
                  <c:v>#N/A</c:v>
                </c:pt>
                <c:pt idx="540">
                  <c:v>#N/A</c:v>
                </c:pt>
                <c:pt idx="541">
                  <c:v>#N/A</c:v>
                </c:pt>
                <c:pt idx="542">
                  <c:v>#N/A</c:v>
                </c:pt>
                <c:pt idx="543">
                  <c:v>4</c:v>
                </c:pt>
                <c:pt idx="544">
                  <c:v>#N/A</c:v>
                </c:pt>
                <c:pt idx="545">
                  <c:v>4.0460000000000003</c:v>
                </c:pt>
                <c:pt idx="546">
                  <c:v>#N/A</c:v>
                </c:pt>
                <c:pt idx="547">
                  <c:v>#N/A</c:v>
                </c:pt>
                <c:pt idx="548">
                  <c:v>#N/A</c:v>
                </c:pt>
                <c:pt idx="549">
                  <c:v>#N/A</c:v>
                </c:pt>
                <c:pt idx="550">
                  <c:v>4.1609999999999996</c:v>
                </c:pt>
                <c:pt idx="551">
                  <c:v>#N/A</c:v>
                </c:pt>
                <c:pt idx="552">
                  <c:v>4.2069999999999999</c:v>
                </c:pt>
                <c:pt idx="553">
                  <c:v>#N/A</c:v>
                </c:pt>
                <c:pt idx="554">
                  <c:v>#N/A</c:v>
                </c:pt>
                <c:pt idx="555">
                  <c:v>#N/A</c:v>
                </c:pt>
                <c:pt idx="556">
                  <c:v>#N/A</c:v>
                </c:pt>
                <c:pt idx="557">
                  <c:v>#N/A</c:v>
                </c:pt>
                <c:pt idx="558">
                  <c:v>#N/A</c:v>
                </c:pt>
                <c:pt idx="559">
                  <c:v>#N/A</c:v>
                </c:pt>
                <c:pt idx="560">
                  <c:v>#N/A</c:v>
                </c:pt>
                <c:pt idx="561">
                  <c:v>4.4139999999999997</c:v>
                </c:pt>
                <c:pt idx="562">
                  <c:v>#N/A</c:v>
                </c:pt>
                <c:pt idx="563">
                  <c:v>#N/A</c:v>
                </c:pt>
                <c:pt idx="564">
                  <c:v>#N/A</c:v>
                </c:pt>
                <c:pt idx="565">
                  <c:v>#N/A</c:v>
                </c:pt>
                <c:pt idx="566">
                  <c:v>#N/A</c:v>
                </c:pt>
                <c:pt idx="567">
                  <c:v>#N/A</c:v>
                </c:pt>
                <c:pt idx="568">
                  <c:v>#N/A</c:v>
                </c:pt>
                <c:pt idx="569">
                  <c:v>#N/A</c:v>
                </c:pt>
                <c:pt idx="570">
                  <c:v>#N/A</c:v>
                </c:pt>
                <c:pt idx="571">
                  <c:v>4.6440000000000001</c:v>
                </c:pt>
                <c:pt idx="572">
                  <c:v>4.6669999999999998</c:v>
                </c:pt>
                <c:pt idx="573">
                  <c:v>4.6899999999999995</c:v>
                </c:pt>
                <c:pt idx="574">
                  <c:v>4.7130000000000001</c:v>
                </c:pt>
                <c:pt idx="575">
                  <c:v>4.7359999999999998</c:v>
                </c:pt>
                <c:pt idx="576">
                  <c:v>4.7590000000000003</c:v>
                </c:pt>
                <c:pt idx="577">
                  <c:v>#N/A</c:v>
                </c:pt>
                <c:pt idx="578">
                  <c:v>#N/A</c:v>
                </c:pt>
                <c:pt idx="579">
                  <c:v>#N/A</c:v>
                </c:pt>
                <c:pt idx="580">
                  <c:v>#N/A</c:v>
                </c:pt>
                <c:pt idx="581">
                  <c:v>4.0919999999999996</c:v>
                </c:pt>
                <c:pt idx="582">
                  <c:v>#N/A</c:v>
                </c:pt>
                <c:pt idx="583">
                  <c:v>#N/A</c:v>
                </c:pt>
                <c:pt idx="584">
                  <c:v>#N/A</c:v>
                </c:pt>
                <c:pt idx="585">
                  <c:v>#N/A</c:v>
                </c:pt>
                <c:pt idx="586">
                  <c:v>4.2069999999999999</c:v>
                </c:pt>
                <c:pt idx="587">
                  <c:v>4.2300000000000004</c:v>
                </c:pt>
                <c:pt idx="588">
                  <c:v>#N/A</c:v>
                </c:pt>
                <c:pt idx="589">
                  <c:v>#N/A</c:v>
                </c:pt>
                <c:pt idx="590">
                  <c:v>#N/A</c:v>
                </c:pt>
                <c:pt idx="591">
                  <c:v>4.3220000000000001</c:v>
                </c:pt>
                <c:pt idx="592">
                  <c:v>#N/A</c:v>
                </c:pt>
                <c:pt idx="593">
                  <c:v>#N/A</c:v>
                </c:pt>
                <c:pt idx="594">
                  <c:v>4.391</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4.7359999999999998</c:v>
                </c:pt>
                <c:pt idx="610">
                  <c:v>4.7590000000000003</c:v>
                </c:pt>
                <c:pt idx="611">
                  <c:v>4</c:v>
                </c:pt>
                <c:pt idx="612">
                  <c:v>#N/A</c:v>
                </c:pt>
                <c:pt idx="613">
                  <c:v>#N/A</c:v>
                </c:pt>
                <c:pt idx="614">
                  <c:v>#N/A</c:v>
                </c:pt>
                <c:pt idx="615">
                  <c:v>#N/A</c:v>
                </c:pt>
                <c:pt idx="616">
                  <c:v>#N/A</c:v>
                </c:pt>
                <c:pt idx="617">
                  <c:v>#N/A</c:v>
                </c:pt>
                <c:pt idx="618">
                  <c:v>#N/A</c:v>
                </c:pt>
                <c:pt idx="619">
                  <c:v>#N/A</c:v>
                </c:pt>
                <c:pt idx="620">
                  <c:v>#N/A</c:v>
                </c:pt>
                <c:pt idx="621">
                  <c:v>#N/A</c:v>
                </c:pt>
                <c:pt idx="622">
                  <c:v>#N/A</c:v>
                </c:pt>
                <c:pt idx="623">
                  <c:v>4.2759999999999998</c:v>
                </c:pt>
                <c:pt idx="624">
                  <c:v>#N/A</c:v>
                </c:pt>
                <c:pt idx="625">
                  <c:v>4.3220000000000001</c:v>
                </c:pt>
                <c:pt idx="626">
                  <c:v>#N/A</c:v>
                </c:pt>
                <c:pt idx="627">
                  <c:v>#N/A</c:v>
                </c:pt>
                <c:pt idx="628">
                  <c:v>4.391</c:v>
                </c:pt>
                <c:pt idx="629">
                  <c:v>#N/A</c:v>
                </c:pt>
                <c:pt idx="630">
                  <c:v>#N/A</c:v>
                </c:pt>
                <c:pt idx="631">
                  <c:v>#N/A</c:v>
                </c:pt>
                <c:pt idx="632">
                  <c:v>#N/A</c:v>
                </c:pt>
                <c:pt idx="633">
                  <c:v>#N/A</c:v>
                </c:pt>
                <c:pt idx="634">
                  <c:v>#N/A</c:v>
                </c:pt>
                <c:pt idx="635">
                  <c:v>#N/A</c:v>
                </c:pt>
                <c:pt idx="636">
                  <c:v>#N/A</c:v>
                </c:pt>
                <c:pt idx="637">
                  <c:v>#N/A</c:v>
                </c:pt>
                <c:pt idx="638">
                  <c:v>4.6210000000000004</c:v>
                </c:pt>
                <c:pt idx="639">
                  <c:v>#N/A</c:v>
                </c:pt>
                <c:pt idx="640">
                  <c:v>4.6669999999999998</c:v>
                </c:pt>
                <c:pt idx="641">
                  <c:v>#N/A</c:v>
                </c:pt>
                <c:pt idx="642">
                  <c:v>#N/A</c:v>
                </c:pt>
                <c:pt idx="643">
                  <c:v>#N/A</c:v>
                </c:pt>
                <c:pt idx="644">
                  <c:v>#N/A</c:v>
                </c:pt>
                <c:pt idx="645">
                  <c:v>#N/A</c:v>
                </c:pt>
                <c:pt idx="646">
                  <c:v>#N/A</c:v>
                </c:pt>
                <c:pt idx="647">
                  <c:v>#N/A</c:v>
                </c:pt>
                <c:pt idx="648">
                  <c:v>#N/A</c:v>
                </c:pt>
                <c:pt idx="649">
                  <c:v>#N/A</c:v>
                </c:pt>
                <c:pt idx="650">
                  <c:v>#N/A</c:v>
                </c:pt>
                <c:pt idx="651">
                  <c:v>#N/A</c:v>
                </c:pt>
                <c:pt idx="652">
                  <c:v>4.1609999999999996</c:v>
                </c:pt>
                <c:pt idx="653">
                  <c:v>#N/A</c:v>
                </c:pt>
                <c:pt idx="654">
                  <c:v>#N/A</c:v>
                </c:pt>
                <c:pt idx="655">
                  <c:v>#N/A</c:v>
                </c:pt>
                <c:pt idx="656">
                  <c:v>#N/A</c:v>
                </c:pt>
                <c:pt idx="657">
                  <c:v>#N/A</c:v>
                </c:pt>
                <c:pt idx="658">
                  <c:v>#N/A</c:v>
                </c:pt>
                <c:pt idx="659">
                  <c:v>#N/A</c:v>
                </c:pt>
                <c:pt idx="660">
                  <c:v>#N/A</c:v>
                </c:pt>
                <c:pt idx="661">
                  <c:v>#N/A</c:v>
                </c:pt>
                <c:pt idx="662">
                  <c:v>#N/A</c:v>
                </c:pt>
                <c:pt idx="663">
                  <c:v>4.4139999999999997</c:v>
                </c:pt>
                <c:pt idx="664">
                  <c:v>#N/A</c:v>
                </c:pt>
                <c:pt idx="665">
                  <c:v>#N/A</c:v>
                </c:pt>
                <c:pt idx="666">
                  <c:v>#N/A</c:v>
                </c:pt>
                <c:pt idx="667">
                  <c:v>#N/A</c:v>
                </c:pt>
                <c:pt idx="668">
                  <c:v>4.5289999999999999</c:v>
                </c:pt>
                <c:pt idx="669">
                  <c:v>#N/A</c:v>
                </c:pt>
                <c:pt idx="670">
                  <c:v>4.5750000000000002</c:v>
                </c:pt>
                <c:pt idx="671">
                  <c:v>4.5979999999999999</c:v>
                </c:pt>
                <c:pt idx="672">
                  <c:v>4.6210000000000004</c:v>
                </c:pt>
                <c:pt idx="673">
                  <c:v>4.6440000000000001</c:v>
                </c:pt>
                <c:pt idx="674">
                  <c:v>4.6669999999999998</c:v>
                </c:pt>
                <c:pt idx="675">
                  <c:v>4.6899999999999995</c:v>
                </c:pt>
                <c:pt idx="676">
                  <c:v>4.7130000000000001</c:v>
                </c:pt>
                <c:pt idx="677">
                  <c:v>4.7359999999999998</c:v>
                </c:pt>
                <c:pt idx="678">
                  <c:v>#N/A</c:v>
                </c:pt>
                <c:pt idx="679">
                  <c:v>#N/A</c:v>
                </c:pt>
                <c:pt idx="680">
                  <c:v>#N/A</c:v>
                </c:pt>
                <c:pt idx="681">
                  <c:v>#N/A</c:v>
                </c:pt>
                <c:pt idx="682">
                  <c:v>#N/A</c:v>
                </c:pt>
                <c:pt idx="683">
                  <c:v>4.0919999999999996</c:v>
                </c:pt>
                <c:pt idx="684">
                  <c:v>#N/A</c:v>
                </c:pt>
                <c:pt idx="685">
                  <c:v>#N/A</c:v>
                </c:pt>
                <c:pt idx="686">
                  <c:v>#N/A</c:v>
                </c:pt>
                <c:pt idx="687">
                  <c:v>#N/A</c:v>
                </c:pt>
                <c:pt idx="688">
                  <c:v>#N/A</c:v>
                </c:pt>
                <c:pt idx="689">
                  <c:v>4.2300000000000004</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4.5519999999999996</c:v>
                </c:pt>
                <c:pt idx="704">
                  <c:v>4.5750000000000002</c:v>
                </c:pt>
                <c:pt idx="705">
                  <c:v>#N/A</c:v>
                </c:pt>
                <c:pt idx="706">
                  <c:v>#N/A</c:v>
                </c:pt>
                <c:pt idx="707">
                  <c:v>#N/A</c:v>
                </c:pt>
                <c:pt idx="708">
                  <c:v>4.6669999999999998</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4.1840000000000002</c:v>
                </c:pt>
                <c:pt idx="722">
                  <c:v>#N/A</c:v>
                </c:pt>
                <c:pt idx="723">
                  <c:v>#N/A</c:v>
                </c:pt>
                <c:pt idx="724">
                  <c:v>#N/A</c:v>
                </c:pt>
                <c:pt idx="725">
                  <c:v>#N/A</c:v>
                </c:pt>
                <c:pt idx="726">
                  <c:v>#N/A</c:v>
                </c:pt>
                <c:pt idx="727">
                  <c:v>#N/A</c:v>
                </c:pt>
                <c:pt idx="728">
                  <c:v>#N/A</c:v>
                </c:pt>
                <c:pt idx="729">
                  <c:v>#N/A</c:v>
                </c:pt>
                <c:pt idx="730">
                  <c:v>#N/A</c:v>
                </c:pt>
                <c:pt idx="731">
                  <c:v>#N/A</c:v>
                </c:pt>
                <c:pt idx="732">
                  <c:v>4.4370000000000003</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4.0229999999999997</c:v>
                </c:pt>
                <c:pt idx="749">
                  <c:v>#N/A</c:v>
                </c:pt>
                <c:pt idx="750">
                  <c:v>#N/A</c:v>
                </c:pt>
                <c:pt idx="751">
                  <c:v>4.0919999999999996</c:v>
                </c:pt>
                <c:pt idx="752">
                  <c:v>#N/A</c:v>
                </c:pt>
                <c:pt idx="753">
                  <c:v>#N/A</c:v>
                </c:pt>
                <c:pt idx="754">
                  <c:v>#N/A</c:v>
                </c:pt>
                <c:pt idx="755">
                  <c:v>#N/A</c:v>
                </c:pt>
                <c:pt idx="756">
                  <c:v>#N/A</c:v>
                </c:pt>
                <c:pt idx="757">
                  <c:v>#N/A</c:v>
                </c:pt>
                <c:pt idx="758">
                  <c:v>#N/A</c:v>
                </c:pt>
                <c:pt idx="759">
                  <c:v>4.2759999999999998</c:v>
                </c:pt>
                <c:pt idx="760">
                  <c:v>#N/A</c:v>
                </c:pt>
                <c:pt idx="761">
                  <c:v>4.3220000000000001</c:v>
                </c:pt>
                <c:pt idx="762">
                  <c:v>#N/A</c:v>
                </c:pt>
                <c:pt idx="763">
                  <c:v>4.3680000000000003</c:v>
                </c:pt>
                <c:pt idx="764">
                  <c:v>#N/A</c:v>
                </c:pt>
                <c:pt idx="765">
                  <c:v>#N/A</c:v>
                </c:pt>
                <c:pt idx="766">
                  <c:v>#N/A</c:v>
                </c:pt>
                <c:pt idx="767">
                  <c:v>#N/A</c:v>
                </c:pt>
                <c:pt idx="768">
                  <c:v>#N/A</c:v>
                </c:pt>
                <c:pt idx="769">
                  <c:v>#N/A</c:v>
                </c:pt>
                <c:pt idx="770">
                  <c:v>#N/A</c:v>
                </c:pt>
                <c:pt idx="771">
                  <c:v>#N/A</c:v>
                </c:pt>
                <c:pt idx="772">
                  <c:v>#N/A</c:v>
                </c:pt>
                <c:pt idx="773">
                  <c:v>#N/A</c:v>
                </c:pt>
                <c:pt idx="774">
                  <c:v>#N/A</c:v>
                </c:pt>
                <c:pt idx="775">
                  <c:v>4.6440000000000001</c:v>
                </c:pt>
                <c:pt idx="776">
                  <c:v>4.6669999999999998</c:v>
                </c:pt>
                <c:pt idx="777">
                  <c:v>#N/A</c:v>
                </c:pt>
                <c:pt idx="778">
                  <c:v>#N/A</c:v>
                </c:pt>
                <c:pt idx="779">
                  <c:v>4.7359999999999998</c:v>
                </c:pt>
                <c:pt idx="780">
                  <c:v>4.7590000000000003</c:v>
                </c:pt>
                <c:pt idx="781">
                  <c:v>#N/A</c:v>
                </c:pt>
                <c:pt idx="782">
                  <c:v>#N/A</c:v>
                </c:pt>
                <c:pt idx="783">
                  <c:v>#N/A</c:v>
                </c:pt>
                <c:pt idx="784">
                  <c:v>#N/A</c:v>
                </c:pt>
                <c:pt idx="785">
                  <c:v>#N/A</c:v>
                </c:pt>
                <c:pt idx="786">
                  <c:v>#N/A</c:v>
                </c:pt>
                <c:pt idx="787">
                  <c:v>#N/A</c:v>
                </c:pt>
                <c:pt idx="788">
                  <c:v>4.1609999999999996</c:v>
                </c:pt>
                <c:pt idx="789">
                  <c:v>#N/A</c:v>
                </c:pt>
                <c:pt idx="790">
                  <c:v>#N/A</c:v>
                </c:pt>
                <c:pt idx="791">
                  <c:v>#N/A</c:v>
                </c:pt>
                <c:pt idx="792">
                  <c:v>#N/A</c:v>
                </c:pt>
                <c:pt idx="793">
                  <c:v>#N/A</c:v>
                </c:pt>
                <c:pt idx="794">
                  <c:v>#N/A</c:v>
                </c:pt>
                <c:pt idx="795">
                  <c:v>#N/A</c:v>
                </c:pt>
                <c:pt idx="796">
                  <c:v>4.3449999999999998</c:v>
                </c:pt>
                <c:pt idx="797">
                  <c:v>#N/A</c:v>
                </c:pt>
                <c:pt idx="798">
                  <c:v>#N/A</c:v>
                </c:pt>
                <c:pt idx="799">
                  <c:v>#N/A</c:v>
                </c:pt>
                <c:pt idx="800">
                  <c:v>#N/A</c:v>
                </c:pt>
                <c:pt idx="801">
                  <c:v>#N/A</c:v>
                </c:pt>
                <c:pt idx="802">
                  <c:v>#N/A</c:v>
                </c:pt>
                <c:pt idx="803">
                  <c:v>#N/A</c:v>
                </c:pt>
                <c:pt idx="804">
                  <c:v>#N/A</c:v>
                </c:pt>
                <c:pt idx="805">
                  <c:v>#N/A</c:v>
                </c:pt>
                <c:pt idx="806">
                  <c:v>#N/A</c:v>
                </c:pt>
                <c:pt idx="807">
                  <c:v>#N/A</c:v>
                </c:pt>
                <c:pt idx="808">
                  <c:v>4.6210000000000004</c:v>
                </c:pt>
                <c:pt idx="809">
                  <c:v>4.6440000000000001</c:v>
                </c:pt>
                <c:pt idx="810">
                  <c:v>4.6669999999999998</c:v>
                </c:pt>
                <c:pt idx="811">
                  <c:v>4.6899999999999995</c:v>
                </c:pt>
                <c:pt idx="812">
                  <c:v>4.7130000000000001</c:v>
                </c:pt>
                <c:pt idx="813">
                  <c:v>4.7359999999999998</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4.2759999999999998</c:v>
                </c:pt>
                <c:pt idx="828">
                  <c:v>4.2990000000000004</c:v>
                </c:pt>
                <c:pt idx="829">
                  <c:v>#N/A</c:v>
                </c:pt>
                <c:pt idx="830">
                  <c:v>#N/A</c:v>
                </c:pt>
                <c:pt idx="831">
                  <c:v>#N/A</c:v>
                </c:pt>
                <c:pt idx="832">
                  <c:v>#N/A</c:v>
                </c:pt>
                <c:pt idx="833">
                  <c:v>#N/A</c:v>
                </c:pt>
                <c:pt idx="834">
                  <c:v>#N/A</c:v>
                </c:pt>
                <c:pt idx="835">
                  <c:v>#N/A</c:v>
                </c:pt>
                <c:pt idx="836">
                  <c:v>4.4829999999999997</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4.0919999999999996</c:v>
                </c:pt>
                <c:pt idx="854">
                  <c:v>#N/A</c:v>
                </c:pt>
                <c:pt idx="855">
                  <c:v>#N/A</c:v>
                </c:pt>
                <c:pt idx="856">
                  <c:v>#N/A</c:v>
                </c:pt>
                <c:pt idx="857">
                  <c:v>#N/A</c:v>
                </c:pt>
                <c:pt idx="858">
                  <c:v>4.2069999999999999</c:v>
                </c:pt>
                <c:pt idx="859">
                  <c:v>#N/A</c:v>
                </c:pt>
                <c:pt idx="860">
                  <c:v>#N/A</c:v>
                </c:pt>
                <c:pt idx="861">
                  <c:v>4.2759999999999998</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4.069</c:v>
                </c:pt>
                <c:pt idx="887">
                  <c:v>4.0919999999999996</c:v>
                </c:pt>
                <c:pt idx="888">
                  <c:v>4.1150000000000002</c:v>
                </c:pt>
                <c:pt idx="889">
                  <c:v>#N/A</c:v>
                </c:pt>
                <c:pt idx="890">
                  <c:v>#N/A</c:v>
                </c:pt>
                <c:pt idx="891">
                  <c:v>#N/A</c:v>
                </c:pt>
                <c:pt idx="892">
                  <c:v>4.2069999999999999</c:v>
                </c:pt>
                <c:pt idx="893">
                  <c:v>#N/A</c:v>
                </c:pt>
                <c:pt idx="894">
                  <c:v>#N/A</c:v>
                </c:pt>
                <c:pt idx="895">
                  <c:v>4.2759999999999998</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numCache>
            </c:numRef>
          </c:yVal>
          <c:smooth val="1"/>
          <c:extLst>
            <c:ext xmlns:c16="http://schemas.microsoft.com/office/drawing/2014/chart" uri="{C3380CC4-5D6E-409C-BE32-E72D297353CC}">
              <c16:uniqueId val="{00000003-2901-434A-93BD-A45102E004E1}"/>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n-US"/>
                  <a:t>Release year</a:t>
                </a:r>
              </a:p>
            </c:rich>
          </c:tx>
          <c:overlay val="1"/>
        </c:title>
        <c:numFmt formatCode="General"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n-US"/>
                  <a:t>1 Action   2 Strategy   3 Deckbuilder   4 Traditional</a:t>
                </a:r>
              </a:p>
            </c:rich>
          </c:tx>
          <c:overlay val="1"/>
        </c:title>
        <c:numFmt formatCode="General"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56029</xdr:colOff>
      <xdr:row>26</xdr:row>
      <xdr:rowOff>179294</xdr:rowOff>
    </xdr:from>
    <xdr:ext cx="9360000" cy="3240000"/>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705970</xdr:colOff>
      <xdr:row>27</xdr:row>
      <xdr:rowOff>22411</xdr:rowOff>
    </xdr:from>
    <xdr:ext cx="9360000" cy="3240000"/>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56029</xdr:colOff>
      <xdr:row>44</xdr:row>
      <xdr:rowOff>100852</xdr:rowOff>
    </xdr:from>
    <xdr:ext cx="9360000" cy="3240000"/>
    <xdr:graphicFrame macro="">
      <xdr:nvGraphicFramePr>
        <xdr:cNvPr id="4" name="Chart 3">
          <a:extLst>
            <a:ext uri="{FF2B5EF4-FFF2-40B4-BE49-F238E27FC236}">
              <a16:creationId xmlns:a16="http://schemas.microsoft.com/office/drawing/2014/main" id="{00000000-0008-0000-1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8</xdr:col>
      <xdr:colOff>403411</xdr:colOff>
      <xdr:row>44</xdr:row>
      <xdr:rowOff>100852</xdr:rowOff>
    </xdr:from>
    <xdr:ext cx="9360000" cy="3240000"/>
    <xdr:graphicFrame macro="">
      <xdr:nvGraphicFramePr>
        <xdr:cNvPr id="5" name="Chart 4">
          <a:extLst>
            <a:ext uri="{FF2B5EF4-FFF2-40B4-BE49-F238E27FC236}">
              <a16:creationId xmlns:a16="http://schemas.microsoft.com/office/drawing/2014/main" id="{00000000-0008-0000-1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100853</xdr:colOff>
      <xdr:row>61</xdr:row>
      <xdr:rowOff>112059</xdr:rowOff>
    </xdr:from>
    <xdr:ext cx="9360000" cy="3240000"/>
    <xdr:graphicFrame macro="">
      <xdr:nvGraphicFramePr>
        <xdr:cNvPr id="6" name="Chart 5">
          <a:extLst>
            <a:ext uri="{FF2B5EF4-FFF2-40B4-BE49-F238E27FC236}">
              <a16:creationId xmlns:a16="http://schemas.microsoft.com/office/drawing/2014/main" id="{00000000-0008-0000-1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8</xdr:col>
      <xdr:colOff>537882</xdr:colOff>
      <xdr:row>61</xdr:row>
      <xdr:rowOff>156882</xdr:rowOff>
    </xdr:from>
    <xdr:ext cx="9360000" cy="3240000"/>
    <xdr:graphicFrame macro="">
      <xdr:nvGraphicFramePr>
        <xdr:cNvPr id="7" name="Chart 6">
          <a:extLst>
            <a:ext uri="{FF2B5EF4-FFF2-40B4-BE49-F238E27FC236}">
              <a16:creationId xmlns:a16="http://schemas.microsoft.com/office/drawing/2014/main" id="{00000000-0008-0000-1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224117</xdr:colOff>
      <xdr:row>79</xdr:row>
      <xdr:rowOff>134471</xdr:rowOff>
    </xdr:from>
    <xdr:ext cx="9360000" cy="3240000"/>
    <xdr:graphicFrame macro="">
      <xdr:nvGraphicFramePr>
        <xdr:cNvPr id="8" name="Chart 7">
          <a:extLst>
            <a:ext uri="{FF2B5EF4-FFF2-40B4-BE49-F238E27FC236}">
              <a16:creationId xmlns:a16="http://schemas.microsoft.com/office/drawing/2014/main" id="{00000000-0008-0000-1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8</xdr:col>
      <xdr:colOff>537882</xdr:colOff>
      <xdr:row>80</xdr:row>
      <xdr:rowOff>0</xdr:rowOff>
    </xdr:from>
    <xdr:ext cx="12240000" cy="4680000"/>
    <xdr:graphicFrame macro="">
      <xdr:nvGraphicFramePr>
        <xdr:cNvPr id="9" name="Chart 8">
          <a:extLst>
            <a:ext uri="{FF2B5EF4-FFF2-40B4-BE49-F238E27FC236}">
              <a16:creationId xmlns:a16="http://schemas.microsoft.com/office/drawing/2014/main" id="{00000000-0008-0000-1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896" totalsRowShown="0">
  <autoFilter ref="A1:J896" xr:uid="{00000000-0009-0000-0100-000001000000}"/>
  <sortState xmlns:xlrd2="http://schemas.microsoft.com/office/spreadsheetml/2017/richdata2" ref="A2:J896">
    <sortCondition ref="A884:A896"/>
  </sortState>
  <tableColumns count="10">
    <tableColumn id="1" xr3:uid="{00000000-0010-0000-0000-000001000000}" name="Name"/>
    <tableColumn id="2" xr3:uid="{00000000-0010-0000-0000-000002000000}" name="Year"/>
    <tableColumn id="3" xr3:uid="{00000000-0010-0000-0000-000003000000}" name="Type"/>
    <tableColumn id="4" xr3:uid="{00000000-0010-0000-0000-000004000000}" name="Connected?"/>
    <tableColumn id="5" xr3:uid="{00000000-0010-0000-0000-000005000000}" name="Influencer?"/>
    <tableColumn id="6" xr3:uid="{00000000-0010-0000-0000-000006000000}" name="Tags"/>
    <tableColumn id="7" xr3:uid="{00000000-0010-0000-0000-000007000000}" name="File"/>
    <tableColumn id="8" xr3:uid="{00000000-0010-0000-0000-000008000000}" name="Owned"/>
    <tableColumn id="9" xr3:uid="{00000000-0010-0000-0000-000009000000}" name="File Location"/>
    <tableColumn id="10" xr3:uid="{00000000-0010-0000-0000-00000A000000}" name="Steam Pag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F1473" totalsRowShown="0">
  <autoFilter ref="A1:F1473" xr:uid="{00000000-0009-0000-0100-000002000000}"/>
  <sortState xmlns:xlrd2="http://schemas.microsoft.com/office/spreadsheetml/2017/richdata2" ref="A2:F1472">
    <sortCondition ref="B1441:B1472"/>
  </sortState>
  <tableColumns count="6">
    <tableColumn id="1" xr3:uid="{00000000-0010-0000-0100-000001000000}" name="Influencer"/>
    <tableColumn id="2" xr3:uid="{00000000-0010-0000-0100-000002000000}" name="Influencee"/>
    <tableColumn id="3" xr3:uid="{00000000-0010-0000-0100-000003000000}" name="Influencer Time"/>
    <tableColumn id="4" xr3:uid="{00000000-0010-0000-0100-000004000000}" name="Dev/Series Relation"/>
    <tableColumn id="5" xr3:uid="{00000000-0010-0000-0100-000005000000}" name="Source"/>
    <tableColumn id="6" xr3:uid="{00000000-0010-0000-0100-000006000000}" name="Proof"/>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532" displayName="Table532" ref="A1:Q12" totalsRowShown="0" headerRowCellStyle="Normal" dataCellStyle="Normal">
  <autoFilter ref="A1:Q12" xr:uid="{00000000-0009-0000-0100-000003000000}"/>
  <sortState xmlns:xlrd2="http://schemas.microsoft.com/office/spreadsheetml/2017/richdata2" ref="A2:Q12">
    <sortCondition ref="A6:A12"/>
  </sortState>
  <tableColumns count="17">
    <tableColumn id="1" xr3:uid="{00000000-0010-0000-0200-000001000000}" name="Name"/>
    <tableColumn id="2" xr3:uid="{00000000-0010-0000-0200-000002000000}" name="Game"/>
    <tableColumn id="3" xr3:uid="{00000000-0010-0000-0200-000003000000}" name="Health"/>
    <tableColumn id="4" xr3:uid="{00000000-0010-0000-0200-000004000000}" name="Gold"/>
    <tableColumn id="5" xr3:uid="{00000000-0010-0000-0200-000005000000}" name="Bash"/>
    <tableColumn id="6" xr3:uid="{00000000-0010-0000-0200-000006000000}" name="Dash"/>
    <tableColumn id="7" xr3:uid="{00000000-0010-0000-0200-000007000000}" name="Push"/>
    <tableColumn id="8" xr3:uid="{00000000-0010-0000-0200-000008000000}" name="Transmute"/>
    <tableColumn id="9" xr3:uid="{00000000-0010-0000-0200-000009000000}" name="Scramble"/>
    <tableColumn id="10" xr3:uid="{00000000-0010-0000-0200-00000A000000}" name="Bombs"/>
    <tableColumn id="11" xr3:uid="{00000000-0010-0000-0200-00000B000000}" name="Keys"/>
    <tableColumn id="12" xr3:uid="{00000000-0010-0000-0200-00000C000000}" name="Random"/>
    <tableColumn id="13" xr3:uid="{00000000-0010-0000-0200-00000D000000}" name="Level Up"/>
    <tableColumn id="14" xr3:uid="{00000000-0010-0000-0200-00000E000000}" name="Reward"/>
    <tableColumn id="15" xr3:uid="{00000000-0010-0000-0200-00000F000000}" name="Description"/>
    <tableColumn id="16" xr3:uid="{00000000-0010-0000-0200-000010000000}" name="Starting loadout"/>
    <tableColumn id="17" xr3:uid="{00000000-0010-0000-0200-000011000000}" name="Fil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33" displayName="Table33" ref="A1:J61" totalsRowShown="0">
  <autoFilter ref="A1:J61" xr:uid="{00000000-0009-0000-0100-000004000000}"/>
  <sortState xmlns:xlrd2="http://schemas.microsoft.com/office/spreadsheetml/2017/richdata2" ref="A2:J61">
    <sortCondition ref="A48:A61"/>
  </sortState>
  <tableColumns count="10">
    <tableColumn id="1" xr3:uid="{00000000-0010-0000-0300-000001000000}" name="Name"/>
    <tableColumn id="2" xr3:uid="{00000000-0010-0000-0300-000002000000}" name="Rating"/>
    <tableColumn id="3" xr3:uid="{00000000-0010-0000-0300-000003000000}" name="Type"/>
    <tableColumn id="4" xr3:uid="{00000000-0010-0000-0300-000004000000}" name="Description"/>
    <tableColumn id="5" xr3:uid="{00000000-0010-0000-0300-000005000000}" name="Effect"/>
    <tableColumn id="6" xr3:uid="{00000000-0010-0000-0300-000006000000}" name="Reference"/>
    <tableColumn id="7" xr3:uid="{00000000-0010-0000-0300-000007000000}" name="tags"/>
    <tableColumn id="8" xr3:uid="{00000000-0010-0000-0300-000008000000}" name="pools"/>
    <tableColumn id="9" xr3:uid="{00000000-0010-0000-0300-000009000000}" name="File"/>
    <tableColumn id="10" xr3:uid="{00000000-0010-0000-0300-00000A000000}" name="Sorting"/>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34" displayName="Table34" ref="A1:N65" totalsRowShown="0">
  <autoFilter ref="A1:N65" xr:uid="{00000000-0009-0000-0100-000005000000}"/>
  <sortState xmlns:xlrd2="http://schemas.microsoft.com/office/spreadsheetml/2017/richdata2" ref="A2:L65">
    <sortCondition ref="B2:B65"/>
    <sortCondition ref="C2:C65"/>
    <sortCondition ref="A2:A65"/>
  </sortState>
  <tableColumns count="14">
    <tableColumn id="1" xr3:uid="{00000000-0010-0000-0400-000001000000}" name="Name"/>
    <tableColumn id="2" xr3:uid="{00000000-0010-0000-0400-000002000000}" name="Type"/>
    <tableColumn id="3" xr3:uid="{00000000-0010-0000-0400-000003000000}" name="Difficulty"/>
    <tableColumn id="4" xr3:uid="{00000000-0010-0000-0400-000004000000}" name="Size"/>
    <tableColumn id="5" xr3:uid="{00000000-0010-0000-0400-000005000000}" name="Game"/>
    <tableColumn id="6" xr3:uid="{00000000-0010-0000-0400-000006000000}" name="Health"/>
    <tableColumn id="7" xr3:uid="{00000000-0010-0000-0400-000007000000}" name="Damage"/>
    <tableColumn id="8" xr3:uid="{00000000-0010-0000-0400-000008000000}" name="Goal Type"/>
    <tableColumn id="9" xr3:uid="{00000000-0010-0000-0400-000009000000}" name="Goal"/>
    <tableColumn id="10" xr3:uid="{00000000-0010-0000-0400-00000A000000}" name="Ability"/>
    <tableColumn id="11" xr3:uid="{00000000-0010-0000-0400-00000B000000}" name="File"/>
    <tableColumn id="12" xr3:uid="{00000000-0010-0000-0400-00000C000000}" name="Tag"/>
    <tableColumn id="13" xr3:uid="{00000000-0010-0000-0400-00000D000000}" name="Ticked"/>
    <tableColumn id="14" xr3:uid="{00000000-0010-0000-0400-00000E000000}" name="Coun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32" displayName="Table32" ref="A1:O48" totalsRowShown="0">
  <autoFilter ref="A1:O48" xr:uid="{00000000-0009-0000-0100-000006000000}"/>
  <sortState xmlns:xlrd2="http://schemas.microsoft.com/office/spreadsheetml/2017/richdata2" ref="A2:M48">
    <sortCondition ref="B2:B48"/>
    <sortCondition ref="C2:C48"/>
    <sortCondition ref="A2:A48"/>
  </sortState>
  <tableColumns count="15">
    <tableColumn id="1" xr3:uid="{00000000-0010-0000-0500-000001000000}" name="Name"/>
    <tableColumn id="2" xr3:uid="{00000000-0010-0000-0500-000002000000}" name="Type"/>
    <tableColumn id="3" xr3:uid="{00000000-0010-0000-0500-000003000000}" name="Difficulty"/>
    <tableColumn id="4" xr3:uid="{00000000-0010-0000-0500-000004000000}" name="Size"/>
    <tableColumn id="5" xr3:uid="{00000000-0010-0000-0500-000005000000}" name="Game"/>
    <tableColumn id="6" xr3:uid="{00000000-0010-0000-0500-000006000000}" name="Health"/>
    <tableColumn id="7" xr3:uid="{00000000-0010-0000-0500-000007000000}" name="Damage"/>
    <tableColumn id="8" xr3:uid="{00000000-0010-0000-0500-000008000000}" name="Goal Type"/>
    <tableColumn id="9" xr3:uid="{00000000-0010-0000-0500-000009000000}" name="Goal"/>
    <tableColumn id="10" xr3:uid="{00000000-0010-0000-0500-00000A000000}" name="Ability"/>
    <tableColumn id="11" xr3:uid="{00000000-0010-0000-0500-00000B000000}" name="File"/>
    <tableColumn id="12" xr3:uid="{00000000-0010-0000-0500-00000C000000}" name="Tag"/>
    <tableColumn id="13" xr3:uid="{00000000-0010-0000-0500-00000D000000}" name="Phases"/>
    <tableColumn id="14" xr3:uid="{00000000-0010-0000-0500-00000E000000}" name="Ticked"/>
    <tableColumn id="15" xr3:uid="{00000000-0010-0000-0500-00000F000000}" name="Coun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B3B4986F-86F2-4597-8B56-C34EAD028576}" name="Table47" displayName="Table47" ref="A1:E32" totalsRowShown="0">
  <autoFilter ref="A1:E32" xr:uid="{B3B4986F-86F2-4597-8B56-C34EAD028576}"/>
  <sortState xmlns:xlrd2="http://schemas.microsoft.com/office/spreadsheetml/2017/richdata2" ref="A2:E31">
    <sortCondition ref="A16:A31"/>
  </sortState>
  <tableColumns count="5">
    <tableColumn id="1" xr3:uid="{00000000-0010-0000-0600-000001000000}" name="Name"/>
    <tableColumn id="2" xr3:uid="{00000000-0010-0000-0600-000002000000}" name="Type"/>
    <tableColumn id="3" xr3:uid="{00000000-0010-0000-0600-000003000000}" name="Variables"/>
    <tableColumn id="4" xr3:uid="{00000000-0010-0000-0600-000004000000}" name="Description"/>
    <tableColumn id="5" xr3:uid="{00000000-0010-0000-0600-000005000000}" name="Effec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37" displayName="Table37" ref="A1:M8" totalsRowShown="0">
  <autoFilter ref="A1:M8" xr:uid="{00000000-0009-0000-0100-000007000000}"/>
  <sortState xmlns:xlrd2="http://schemas.microsoft.com/office/spreadsheetml/2017/richdata2" ref="A2:M6">
    <sortCondition ref="A5:A6"/>
  </sortState>
  <tableColumns count="13">
    <tableColumn id="1" xr3:uid="{00000000-0010-0000-0700-000001000000}" name="Name"/>
    <tableColumn id="2" xr3:uid="{00000000-0010-0000-0700-000002000000}" name="Type"/>
    <tableColumn id="3" xr3:uid="{00000000-0010-0000-0700-000003000000}" name="Game"/>
    <tableColumn id="4" xr3:uid="{00000000-0010-0000-0700-000004000000}" name="On Player"/>
    <tableColumn id="5" xr3:uid="{00000000-0010-0000-0700-000005000000}" name="On Player Effect"/>
    <tableColumn id="6" xr3:uid="{00000000-0010-0000-0700-000006000000}" name="On Enemy"/>
    <tableColumn id="7" xr3:uid="{00000000-0010-0000-0700-000007000000}" name="On Enemy Effect"/>
    <tableColumn id="8" xr3:uid="{00000000-0010-0000-0700-000008000000}" name="Combat"/>
    <tableColumn id="9" xr3:uid="{00000000-0010-0000-0700-000009000000}" name="Decrease"/>
    <tableColumn id="10" xr3:uid="{00000000-0010-0000-0700-00000A000000}" name="EnemyOnly"/>
    <tableColumn id="11" xr3:uid="{00000000-0010-0000-0700-00000B000000}" name="Enemy Combat Effect"/>
    <tableColumn id="12" xr3:uid="{00000000-0010-0000-0700-00000C000000}" name="Stackable"/>
    <tableColumn id="13" xr3:uid="{00000000-0010-0000-0700-00000D000000}" name="Imag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38" displayName="Table38" ref="A1:AL17" totalsRowShown="0">
  <autoFilter ref="A1:AL17" xr:uid="{00000000-0009-0000-0100-000008000000}"/>
  <sortState xmlns:xlrd2="http://schemas.microsoft.com/office/spreadsheetml/2017/richdata2" ref="A2:AL17">
    <sortCondition ref="A13:A17"/>
  </sortState>
  <tableColumns count="38">
    <tableColumn id="1" xr3:uid="{00000000-0010-0000-0800-000001000000}" name="Event"/>
    <tableColumn id="2" xr3:uid="{00000000-0010-0000-0800-000002000000}" name="Game"/>
    <tableColumn id="3" xr3:uid="{00000000-0010-0000-0800-000003000000}" name="Tier"/>
    <tableColumn id="4" xr3:uid="{00000000-0010-0000-0800-000004000000}" name="Where"/>
    <tableColumn id="5" xr3:uid="{00000000-0010-0000-0800-000005000000}" name="Requirement"/>
    <tableColumn id="6" xr3:uid="{00000000-0010-0000-0800-000006000000}" name="Trigger"/>
    <tableColumn id="7" xr3:uid="{00000000-0010-0000-0800-000007000000}" name="Rarity"/>
    <tableColumn id="8" xr3:uid="{00000000-0010-0000-0800-000008000000}" name="Image"/>
    <tableColumn id="9" xr3:uid="{00000000-0010-0000-0800-000009000000}" name="Prompt"/>
    <tableColumn id="10" xr3:uid="{00000000-0010-0000-0800-00000A000000}" name="Opens With"/>
    <tableColumn id="11" xr3:uid="{00000000-0010-0000-0800-00000B000000}" name="Goal Met"/>
    <tableColumn id="12" xr3:uid="{00000000-0010-0000-0800-00000C000000}" name="Goal Missed"/>
    <tableColumn id="13" xr3:uid="{00000000-0010-0000-0800-00000D000000}" name="Chance Won"/>
    <tableColumn id="14" xr3:uid="{00000000-0010-0000-0800-00000E000000}" name="Chance Lost"/>
    <tableColumn id="15" xr3:uid="{00000000-0010-0000-0800-00000F000000}" name="Choice 1"/>
    <tableColumn id="16" xr3:uid="{00000000-0010-0000-0800-000010000000}" name="Repeat 1"/>
    <tableColumn id="17" xr3:uid="{00000000-0010-0000-0800-000011000000}" name="Result 1"/>
    <tableColumn id="18" xr3:uid="{00000000-0010-0000-0800-000012000000}" name="Effect 1"/>
    <tableColumn id="19" xr3:uid="{00000000-0010-0000-0800-000013000000}" name="Choice 2"/>
    <tableColumn id="20" xr3:uid="{00000000-0010-0000-0800-000014000000}" name="Repeat 2"/>
    <tableColumn id="21" xr3:uid="{00000000-0010-0000-0800-000015000000}" name="Result 2"/>
    <tableColumn id="22" xr3:uid="{00000000-0010-0000-0800-000016000000}" name="Effect 2"/>
    <tableColumn id="23" xr3:uid="{00000000-0010-0000-0800-000017000000}" name="Choice 3"/>
    <tableColumn id="24" xr3:uid="{00000000-0010-0000-0800-000018000000}" name="Repeat 3"/>
    <tableColumn id="25" xr3:uid="{00000000-0010-0000-0800-000019000000}" name="Result 3"/>
    <tableColumn id="26" xr3:uid="{00000000-0010-0000-0800-00001A000000}" name="Effect 3"/>
    <tableColumn id="27" xr3:uid="{00000000-0010-0000-0800-00001B000000}" name="Choice 4"/>
    <tableColumn id="28" xr3:uid="{00000000-0010-0000-0800-00001C000000}" name="Repeat 4"/>
    <tableColumn id="29" xr3:uid="{00000000-0010-0000-0800-00001D000000}" name="Result 4"/>
    <tableColumn id="30" xr3:uid="{00000000-0010-0000-0800-00001E000000}" name="Effect 4"/>
    <tableColumn id="31" xr3:uid="{00000000-0010-0000-0800-00001F000000}" name="Choice 5"/>
    <tableColumn id="32" xr3:uid="{00000000-0010-0000-0800-000020000000}" name="Repeat 5"/>
    <tableColumn id="33" xr3:uid="{00000000-0010-0000-0800-000021000000}" name="Result 5"/>
    <tableColumn id="34" xr3:uid="{00000000-0010-0000-0800-000022000000}" name="Effect 5"/>
    <tableColumn id="35" xr3:uid="{00000000-0010-0000-0800-000023000000}" name="Choice 6"/>
    <tableColumn id="36" xr3:uid="{00000000-0010-0000-0800-000024000000}" name="Repeat 6"/>
    <tableColumn id="37" xr3:uid="{00000000-0010-0000-0800-000025000000}" name="Result 6"/>
    <tableColumn id="38" xr3:uid="{00000000-0010-0000-0800-000026000000}" name="Effect 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4B2D17DB-B773-4722-B212-4474DB6E4080}" name="Table49" displayName="Table49" ref="A1:I21" totalsRowShown="0">
  <autoFilter ref="A1:I21" xr:uid="{4B2D17DB-B773-4722-B212-4474DB6E4080}"/>
  <sortState xmlns:xlrd2="http://schemas.microsoft.com/office/spreadsheetml/2017/richdata2" ref="A2:I21">
    <sortCondition ref="A14:A21"/>
  </sortState>
  <tableColumns count="9">
    <tableColumn id="1" xr3:uid="{00000000-0010-0000-0900-000001000000}" name="Name"/>
    <tableColumn id="2" xr3:uid="{00000000-0010-0000-0900-000002000000}" name="Rarity"/>
    <tableColumn id="8" xr3:uid="{E8ABD5C5-ED09-4093-B32F-61CCB3D793D5}" name="Type"/>
    <tableColumn id="3" xr3:uid="{00000000-0010-0000-0900-000003000000}" name="Description"/>
    <tableColumn id="4" xr3:uid="{00000000-0010-0000-0900-000004000000}" name="Effect"/>
    <tableColumn id="9" xr3:uid="{AC192974-5173-4D07-A080-68A554828683}" name="Tags"/>
    <tableColumn id="5" xr3:uid="{00000000-0010-0000-0900-000005000000}" name="Game"/>
    <tableColumn id="6" xr3:uid="{00000000-0010-0000-0900-000006000000}" name="Image"/>
    <tableColumn id="7" xr3:uid="{00000000-0010-0000-0900-000007000000}" name="Icon Imag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35" displayName="Table35" ref="A1:I9" totalsRowShown="0">
  <autoFilter ref="A1:I9" xr:uid="{00000000-0009-0000-0100-000009000000}"/>
  <sortState xmlns:xlrd2="http://schemas.microsoft.com/office/spreadsheetml/2017/richdata2" ref="A2:E7">
    <sortCondition ref="A4:A7"/>
  </sortState>
  <tableColumns count="9">
    <tableColumn id="1" xr3:uid="{00000000-0010-0000-0800-000001000000}" name="Scrolls"/>
    <tableColumn id="2" xr3:uid="{00000000-0010-0000-0800-000002000000}" name="Game"/>
    <tableColumn id="3" xr3:uid="{00000000-0010-0000-0800-000003000000}" name="Preference"/>
    <tableColumn id="4" xr3:uid="{00000000-0010-0000-0800-000004000000}" name="Rarity"/>
    <tableColumn id="5" xr3:uid="{00000000-0010-0000-0800-000005000000}" name="Description"/>
    <tableColumn id="6" xr3:uid="{00000000-0010-0000-0800-000006000000}" name="Effect"/>
    <tableColumn id="9" xr3:uid="{ADEB6B9A-1196-4F2F-AAE3-6406D0A7CAC4}" name="Tags"/>
    <tableColumn id="7" xr3:uid="{00000000-0010-0000-0800-000007000000}" name="File"/>
    <tableColumn id="8" xr3:uid="{00000000-0010-0000-0800-000008000000}" name="No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44" displayName="Table44" ref="K1:L37" totalsRowShown="0">
  <autoFilter ref="K1:L37" xr:uid="{00000000-0009-0000-0100-00000A000000}"/>
  <sortState xmlns:xlrd2="http://schemas.microsoft.com/office/spreadsheetml/2017/richdata2" ref="K2:L37">
    <sortCondition ref="L13:L37"/>
  </sortState>
  <tableColumns count="2">
    <tableColumn id="1" xr3:uid="{00000000-0010-0000-0900-000001000000}" name="Random Scroll Name" dataDxfId="1"/>
    <tableColumn id="2" xr3:uid="{00000000-0010-0000-0900-000002000000}" name="Gam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46" displayName="Table46" ref="N1:O40" totalsRowShown="0">
  <autoFilter ref="N1:O40" xr:uid="{00000000-0009-0000-0100-00000B000000}"/>
  <sortState xmlns:xlrd2="http://schemas.microsoft.com/office/spreadsheetml/2017/richdata2" ref="N2:O40">
    <sortCondition ref="N11:N40"/>
  </sortState>
  <tableColumns count="2">
    <tableColumn id="1" xr3:uid="{00000000-0010-0000-0A00-000001000000}" name="Random Scroll Part" dataDxfId="0"/>
    <tableColumn id="2" xr3:uid="{00000000-0010-0000-0A00-000002000000}" name="Gam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43" displayName="Table43" ref="A1:G11" totalsRowShown="0">
  <autoFilter ref="A1:G11" xr:uid="{00000000-0009-0000-0100-00000C000000}"/>
  <sortState xmlns:xlrd2="http://schemas.microsoft.com/office/spreadsheetml/2017/richdata2" ref="A2:G11">
    <sortCondition ref="A5:A11"/>
  </sortState>
  <tableColumns count="7">
    <tableColumn id="1" xr3:uid="{00000000-0010-0000-0D00-000001000000}" name="Name"/>
    <tableColumn id="2" xr3:uid="{00000000-0010-0000-0D00-000002000000}" name="Preference"/>
    <tableColumn id="3" xr3:uid="{00000000-0010-0000-0D00-000003000000}" name="Description"/>
    <tableColumn id="4" xr3:uid="{00000000-0010-0000-0D00-000004000000}" name="Effect"/>
    <tableColumn id="5" xr3:uid="{00000000-0010-0000-0D00-000005000000}" name="Horse Description"/>
    <tableColumn id="6" xr3:uid="{00000000-0010-0000-0D00-000006000000}" name="Horse Effect"/>
    <tableColumn id="7" xr3:uid="{00000000-0010-0000-0D00-000007000000}" name="Notes"/>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45" displayName="Table45" ref="A1:J16" totalsRowShown="0">
  <autoFilter ref="A1:J16" xr:uid="{00000000-0009-0000-0100-00000D000000}"/>
  <tableColumns count="10">
    <tableColumn id="1" xr3:uid="{00000000-0010-0000-0C00-000001000000}" name="Name"/>
    <tableColumn id="2" xr3:uid="{00000000-0010-0000-0C00-000002000000}" name="Rarity"/>
    <tableColumn id="3" xr3:uid="{00000000-0010-0000-0C00-000003000000}" name="Preference"/>
    <tableColumn id="4" xr3:uid="{00000000-0010-0000-0C00-000004000000}" name="On Player"/>
    <tableColumn id="5" xr3:uid="{00000000-0010-0000-0C00-000005000000}" name="On Player Effect"/>
    <tableColumn id="6" xr3:uid="{00000000-0010-0000-0C00-000006000000}" name="On Tile"/>
    <tableColumn id="7" xr3:uid="{00000000-0010-0000-0C00-000007000000}" name="On Tile Effect"/>
    <tableColumn id="10" xr3:uid="{2DCE74A2-C021-4D3B-8BFE-A7D8FB9389FC}" name="Tags"/>
    <tableColumn id="8" xr3:uid="{00000000-0010-0000-0C00-000008000000}" name="Reference"/>
    <tableColumn id="9" xr3:uid="{00000000-0010-0000-0C00-000009000000}" name="Fil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516DD2D2-D2D6-406C-90FD-446DB475286A}" name="Table52" displayName="Table52" ref="A1:J13" totalsRowShown="0">
  <autoFilter ref="A1:J13" xr:uid="{516DD2D2-D2D6-406C-90FD-446DB475286A}"/>
  <sortState xmlns:xlrd2="http://schemas.microsoft.com/office/spreadsheetml/2017/richdata2" ref="A2:J13">
    <sortCondition ref="A9:A13"/>
  </sortState>
  <tableColumns count="10">
    <tableColumn id="1" xr3:uid="{00000000-0010-0000-0F00-000001000000}" name="Name"/>
    <tableColumn id="2" xr3:uid="{00000000-0010-0000-0F00-000002000000}" name="Rarity"/>
    <tableColumn id="3" xr3:uid="{00000000-0010-0000-0F00-000003000000}" name="Game"/>
    <tableColumn id="4" xr3:uid="{00000000-0010-0000-0F00-000004000000}" name="Preference"/>
    <tableColumn id="5" xr3:uid="{00000000-0010-0000-0F00-000005000000}" name="Type"/>
    <tableColumn id="6" xr3:uid="{00000000-0010-0000-0F00-000006000000}" name="Charges"/>
    <tableColumn id="7" xr3:uid="{00000000-0010-0000-0F00-000007000000}" name="Description"/>
    <tableColumn id="8" xr3:uid="{00000000-0010-0000-0F00-000008000000}" name="Effect"/>
    <tableColumn id="10" xr3:uid="{0AEC4FCF-338A-4D31-91BA-0421B8D28E05}" name="Tags"/>
    <tableColumn id="9" xr3:uid="{00000000-0010-0000-0F00-000009000000}" name="Fil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092B8EE-14AD-44C2-B11E-A3053582A1BC}" name="Table54" displayName="Table54" ref="A1:I19" totalsRowShown="0">
  <autoFilter ref="A1:I19" xr:uid="{1092B8EE-14AD-44C2-B11E-A3053582A1BC}"/>
  <sortState xmlns:xlrd2="http://schemas.microsoft.com/office/spreadsheetml/2017/richdata2" ref="A2:I19">
    <sortCondition ref="A10:A19"/>
  </sortState>
  <tableColumns count="9">
    <tableColumn id="1" xr3:uid="{00000000-0010-0000-1000-000001000000}" name="Name"/>
    <tableColumn id="2" xr3:uid="{00000000-0010-0000-1000-000002000000}" name="Rarity"/>
    <tableColumn id="3" xr3:uid="{00000000-0010-0000-1000-000003000000}" name="Size"/>
    <tableColumn id="4" xr3:uid="{00000000-0010-0000-1000-000004000000}" name="Type"/>
    <tableColumn id="5" xr3:uid="{00000000-0010-0000-1000-000005000000}" name="Description"/>
    <tableColumn id="6" xr3:uid="{00000000-0010-0000-1000-000006000000}" name="Effect"/>
    <tableColumn id="7" xr3:uid="{00000000-0010-0000-1000-000007000000}" name="Tag"/>
    <tableColumn id="8" xr3:uid="{00000000-0010-0000-1000-000008000000}" name="Game"/>
    <tableColumn id="9" xr3:uid="{00000000-0010-0000-1000-000009000000}" name="Imag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50E9A3-12C1-4233-9079-768002A86194}" name="Table58" displayName="Table58" ref="A1:N11" totalsRowShown="0">
  <autoFilter ref="A1:N11" xr:uid="{A550E9A3-12C1-4233-9079-768002A86194}"/>
  <sortState xmlns:xlrd2="http://schemas.microsoft.com/office/spreadsheetml/2017/richdata2" ref="A2:N11">
    <sortCondition ref="A8:A11"/>
  </sortState>
  <tableColumns count="14">
    <tableColumn id="1" xr3:uid="{00000000-0010-0000-1100-000001000000}" name="Name"/>
    <tableColumn id="2" xr3:uid="{00000000-0010-0000-1100-000002000000}" name="Rarity"/>
    <tableColumn id="3" xr3:uid="{00000000-0010-0000-1100-000003000000}" name="Size"/>
    <tableColumn id="4" xr3:uid="{00000000-0010-0000-1100-000004000000}" name="Aim"/>
    <tableColumn id="5" xr3:uid="{00000000-0010-0000-1100-000005000000}" name="Area"/>
    <tableColumn id="6" xr3:uid="{00000000-0010-0000-1100-000006000000}" name="Effect"/>
    <tableColumn id="7" xr3:uid="{00000000-0010-0000-1100-000007000000}" name="Type"/>
    <tableColumn id="8" xr3:uid="{00000000-0010-0000-1100-000008000000}" name="Passive"/>
    <tableColumn id="9" xr3:uid="{00000000-0010-0000-1100-000009000000}" name="Passive Effect"/>
    <tableColumn id="10" xr3:uid="{00000000-0010-0000-1100-00000A000000}" name="Goal"/>
    <tableColumn id="11" xr3:uid="{00000000-0010-0000-1100-00000B000000}" name="Charge"/>
    <tableColumn id="12" xr3:uid="{00000000-0010-0000-1100-00000C000000}" name="Tag"/>
    <tableColumn id="13" xr3:uid="{00000000-0010-0000-1100-00000D000000}" name="Game"/>
    <tableColumn id="14" xr3:uid="{00000000-0010-0000-1100-00000E000000}" name="Imag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BBC5F582-C54A-4AE8-BA81-88D0181DA387}" name="Table59" displayName="Table59" ref="A1:D7" totalsRowShown="0">
  <autoFilter ref="A1:D7" xr:uid="{BBC5F582-C54A-4AE8-BA81-88D0181DA387}"/>
  <sortState xmlns:xlrd2="http://schemas.microsoft.com/office/spreadsheetml/2017/richdata2" ref="A2:D6">
    <sortCondition ref="A5:A6"/>
  </sortState>
  <tableColumns count="4">
    <tableColumn id="1" xr3:uid="{00000000-0010-0000-1200-000001000000}" name="Name"/>
    <tableColumn id="2" xr3:uid="{00000000-0010-0000-1200-000002000000}" name="Requirement 1"/>
    <tableColumn id="3" xr3:uid="{00000000-0010-0000-1200-000003000000}" name="Requirement 2"/>
    <tableColumn id="4" xr3:uid="{00000000-0010-0000-1200-000004000000}" name="Outcom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4D726520-3752-4B8A-A6D8-123E65EBF495}" name="Table57" displayName="Table57" ref="A1:G6" totalsRowShown="0">
  <autoFilter ref="A1:G6" xr:uid="{4D726520-3752-4B8A-A6D8-123E65EBF495}"/>
  <sortState xmlns:xlrd2="http://schemas.microsoft.com/office/spreadsheetml/2017/richdata2" ref="A2:G6">
    <sortCondition ref="A4:A6"/>
  </sortState>
  <tableColumns count="7">
    <tableColumn id="1" xr3:uid="{00000000-0010-0000-1300-000001000000}" name="Name"/>
    <tableColumn id="2" xr3:uid="{00000000-0010-0000-1300-000002000000}" name="Rarity"/>
    <tableColumn id="3" xr3:uid="{00000000-0010-0000-1300-000003000000}" name="Size"/>
    <tableColumn id="4" xr3:uid="{00000000-0010-0000-1300-000004000000}" name="Description"/>
    <tableColumn id="5" xr3:uid="{00000000-0010-0000-1300-000005000000}" name="Effect"/>
    <tableColumn id="6" xr3:uid="{00000000-0010-0000-1300-000006000000}" name="Game"/>
    <tableColumn id="7" xr3:uid="{00000000-0010-0000-1300-000007000000}" name="Imag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40" displayName="Table40" ref="A1:AK3" totalsRowShown="0">
  <autoFilter ref="A1:AK3" xr:uid="{00000000-0009-0000-0100-00000E000000}"/>
  <tableColumns count="37">
    <tableColumn id="1" xr3:uid="{00000000-0010-0000-0D00-000001000000}" name="Name"/>
    <tableColumn id="2" xr3:uid="{00000000-0010-0000-0D00-000002000000}" name="Game"/>
    <tableColumn id="3" xr3:uid="{00000000-0010-0000-0D00-000003000000}" name="Tag"/>
    <tableColumn id="4" xr3:uid="{00000000-0010-0000-0D00-000004000000}" name="Image"/>
    <tableColumn id="5" xr3:uid="{00000000-0010-0000-0D00-000005000000}" name="Rarity"/>
    <tableColumn id="6" xr3:uid="{00000000-0010-0000-0D00-000006000000}" name="Limit"/>
    <tableColumn id="7" xr3:uid="{00000000-0010-0000-0D00-000007000000}" name="Unique"/>
    <tableColumn id="8" xr3:uid="{00000000-0010-0000-0D00-000008000000}" name="Where"/>
    <tableColumn id="9" xr3:uid="{00000000-0010-0000-0D00-000009000000}" name="Requirement"/>
    <tableColumn id="10" xr3:uid="{00000000-0010-0000-0D00-00000A000000}" name="Trigger"/>
    <tableColumn id="11" xr3:uid="{00000000-0010-0000-0D00-00000B000000}" name="Prompt"/>
    <tableColumn id="12" xr3:uid="{00000000-0010-0000-0D00-00000C000000}" name="Chance Won"/>
    <tableColumn id="13" xr3:uid="{00000000-0010-0000-0D00-00000D000000}" name="Chance Lost"/>
    <tableColumn id="14" xr3:uid="{00000000-0010-0000-0D00-00000E000000}" name="Choice 1"/>
    <tableColumn id="15" xr3:uid="{00000000-0010-0000-0D00-00000F000000}" name="Repeat 1"/>
    <tableColumn id="16" xr3:uid="{00000000-0010-0000-0D00-000010000000}" name="Result 1"/>
    <tableColumn id="17" xr3:uid="{00000000-0010-0000-0D00-000011000000}" name="Effect 1"/>
    <tableColumn id="18" xr3:uid="{00000000-0010-0000-0D00-000012000000}" name="Choice 2"/>
    <tableColumn id="19" xr3:uid="{00000000-0010-0000-0D00-000013000000}" name="Repeat 2"/>
    <tableColumn id="20" xr3:uid="{00000000-0010-0000-0D00-000014000000}" name="Result 2"/>
    <tableColumn id="21" xr3:uid="{00000000-0010-0000-0D00-000015000000}" name="Effect 2"/>
    <tableColumn id="22" xr3:uid="{00000000-0010-0000-0D00-000016000000}" name="Choice 3"/>
    <tableColumn id="23" xr3:uid="{00000000-0010-0000-0D00-000017000000}" name="Repeat 3"/>
    <tableColumn id="24" xr3:uid="{00000000-0010-0000-0D00-000018000000}" name="Result 3"/>
    <tableColumn id="25" xr3:uid="{00000000-0010-0000-0D00-000019000000}" name="Effect 3"/>
    <tableColumn id="26" xr3:uid="{00000000-0010-0000-0D00-00001A000000}" name="Choice 4"/>
    <tableColumn id="27" xr3:uid="{00000000-0010-0000-0D00-00001B000000}" name="Repeat 4"/>
    <tableColumn id="28" xr3:uid="{00000000-0010-0000-0D00-00001C000000}" name="Result 4"/>
    <tableColumn id="29" xr3:uid="{00000000-0010-0000-0D00-00001D000000}" name="Effect 4"/>
    <tableColumn id="30" xr3:uid="{00000000-0010-0000-0D00-00001E000000}" name="Choice 5"/>
    <tableColumn id="31" xr3:uid="{00000000-0010-0000-0D00-00001F000000}" name="Repeat 5"/>
    <tableColumn id="32" xr3:uid="{00000000-0010-0000-0D00-000020000000}" name="Result 5"/>
    <tableColumn id="33" xr3:uid="{00000000-0010-0000-0D00-000021000000}" name="Effect 5"/>
    <tableColumn id="34" xr3:uid="{00000000-0010-0000-0D00-000022000000}" name="Choice 6"/>
    <tableColumn id="35" xr3:uid="{00000000-0010-0000-0D00-000023000000}" name="Repeat 6"/>
    <tableColumn id="36" xr3:uid="{00000000-0010-0000-0D00-000024000000}" name="Result 6"/>
    <tableColumn id="37" xr3:uid="{00000000-0010-0000-0D00-000025000000}" name="Effect 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39" displayName="Table39" ref="A1:F4" totalsRowShown="0">
  <autoFilter ref="A1:F4" xr:uid="{00000000-0009-0000-0100-00000F000000}"/>
  <sortState xmlns:xlrd2="http://schemas.microsoft.com/office/spreadsheetml/2017/richdata2" ref="A2:F4">
    <sortCondition ref="A3:A4"/>
  </sortState>
  <tableColumns count="6">
    <tableColumn id="1" xr3:uid="{00000000-0010-0000-0E00-000001000000}" name="Curse"/>
    <tableColumn id="2" xr3:uid="{00000000-0010-0000-0E00-000002000000}" name="Game"/>
    <tableColumn id="3" xr3:uid="{00000000-0010-0000-0E00-000003000000}" name="Condition"/>
    <tableColumn id="4" xr3:uid="{00000000-0010-0000-0E00-000004000000}" name="Penalty"/>
    <tableColumn id="5" xr3:uid="{00000000-0010-0000-0E00-000005000000}" name="Timer"/>
    <tableColumn id="6" xr3:uid="{00000000-0010-0000-0E00-000006000000}" name="Imag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41" displayName="Table41" ref="A1:F3" totalsRowShown="0">
  <autoFilter ref="A1:F3" xr:uid="{00000000-0009-0000-0100-000010000000}"/>
  <tableColumns count="6">
    <tableColumn id="1" xr3:uid="{00000000-0010-0000-1200-000001000000}" name="Name"/>
    <tableColumn id="2" xr3:uid="{00000000-0010-0000-1200-000002000000}" name="Description"/>
    <tableColumn id="3" xr3:uid="{00000000-0010-0000-1200-000003000000}" name="Effect"/>
    <tableColumn id="4" xr3:uid="{00000000-0010-0000-1200-000004000000}" name="Interactions"/>
    <tableColumn id="5" xr3:uid="{00000000-0010-0000-1200-000005000000}" name="Decay"/>
    <tableColumn id="6" xr3:uid="{00000000-0010-0000-1200-000006000000}" name="Img"/>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42" displayName="Table42" ref="A1:G2" totalsRowShown="0">
  <autoFilter ref="A1:G2" xr:uid="{00000000-0009-0000-0100-000011000000}"/>
  <tableColumns count="7">
    <tableColumn id="1" xr3:uid="{00000000-0010-0000-1000-000001000000}" name="Name"/>
    <tableColumn id="2" xr3:uid="{00000000-0010-0000-1000-000002000000}" name="Type"/>
    <tableColumn id="3" xr3:uid="{00000000-0010-0000-1000-000003000000}" name="Description"/>
    <tableColumn id="4" xr3:uid="{00000000-0010-0000-1000-000004000000}" name="Effect"/>
    <tableColumn id="5" xr3:uid="{00000000-0010-0000-1000-000005000000}" name="Interactions"/>
    <tableColumn id="6" xr3:uid="{00000000-0010-0000-1000-000006000000}" name="Health"/>
    <tableColumn id="7" xr3:uid="{00000000-0010-0000-1000-000007000000}" name="Img"/>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D9CB0616-57A8-46CA-B3EA-28C3D11729AC}" name="Table53" displayName="Table53" ref="A1:J145" totalsRowShown="0">
  <autoFilter ref="A1:J145" xr:uid="{D9CB0616-57A8-46CA-B3EA-28C3D11729AC}"/>
  <sortState xmlns:xlrd2="http://schemas.microsoft.com/office/spreadsheetml/2017/richdata2" ref="A2:J135">
    <sortCondition ref="A29:A135"/>
  </sortState>
  <tableColumns count="10">
    <tableColumn id="1" xr3:uid="{00000000-0010-0000-1800-000001000000}" name="Goal"/>
    <tableColumn id="2" xr3:uid="{00000000-0010-0000-1800-000002000000}" name="Type"/>
    <tableColumn id="3" xr3:uid="{00000000-0010-0000-1800-000003000000}" name="Difficulty"/>
    <tableColumn id="4" xr3:uid="{00000000-0010-0000-1800-000004000000}" name="Owner Sheet"/>
    <tableColumn id="5" xr3:uid="{00000000-0010-0000-1800-000005000000}" name="Owner"/>
    <tableColumn id="6" xr3:uid="{00000000-0010-0000-1800-000006000000}" name="Owner Detail"/>
    <tableColumn id="7" xr3:uid="{00000000-0010-0000-1800-000007000000}" name="Relation"/>
    <tableColumn id="8" xr3:uid="{00000000-0010-0000-1800-000008000000}" name="Ticked"/>
    <tableColumn id="9" xr3:uid="{00000000-0010-0000-1800-000009000000}" name="Count"/>
    <tableColumn id="10" xr3:uid="{00000000-0010-0000-1800-00000A000000}" name="Tags"/>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36" displayName="Table36" ref="A1:I3" totalsRowShown="0">
  <autoFilter ref="A1:I3" xr:uid="{00000000-0009-0000-0100-000012000000}"/>
  <tableColumns count="9">
    <tableColumn id="1" xr3:uid="{00000000-0010-0000-1100-000001000000}" name="Name"/>
    <tableColumn id="9" xr3:uid="{00000000-0010-0000-1100-000009000000}" name="Game"/>
    <tableColumn id="2" xr3:uid="{00000000-0010-0000-1100-000002000000}" name="Difficulty"/>
    <tableColumn id="3" xr3:uid="{00000000-0010-0000-1100-000003000000}" name="Goal Type"/>
    <tableColumn id="4" xr3:uid="{00000000-0010-0000-1100-000004000000}" name="Goal"/>
    <tableColumn id="5" xr3:uid="{00000000-0010-0000-1100-000005000000}" name="Goal Effect"/>
    <tableColumn id="10" xr3:uid="{00000000-0010-0000-1100-00000A000000}" name="Limit"/>
    <tableColumn id="6" xr3:uid="{00000000-0010-0000-1100-000006000000}" name="Extra Effect"/>
    <tableColumn id="7" xr3:uid="{00000000-0010-0000-1100-000007000000}" name="Enemy Type"/>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1488E5C4-2A91-4674-9CD8-0B77B8CFB172}" name="Table48" displayName="Table48" ref="A1:S158" totalsRowShown="0">
  <autoFilter ref="A1:S158" xr:uid="{1488E5C4-2A91-4674-9CD8-0B77B8CFB172}"/>
  <sortState xmlns:xlrd2="http://schemas.microsoft.com/office/spreadsheetml/2017/richdata2" ref="A2:S147">
    <sortCondition ref="C2:C147"/>
    <sortCondition ref="A2:A147"/>
  </sortState>
  <tableColumns count="19">
    <tableColumn id="1" xr3:uid="{AAAA803A-420E-42E4-83C9-F34B69DBA715}" name="Node"/>
    <tableColumn id="20" xr3:uid="{9F3A0757-E2EB-4EF8-A500-39C188B1A975}" name="Otainable"/>
    <tableColumn id="2" xr3:uid="{B668B858-FB12-446D-97C2-5347BC535F5A}" name="Node Type"/>
    <tableColumn id="4" xr3:uid="{A125E630-4CB7-4E95-BE8E-DFA2DDBEAA68}" name="System 1"/>
    <tableColumn id="5" xr3:uid="{510469A3-56CC-47F6-89B3-BC34E2FA082D}" name="Subsystem 1"/>
    <tableColumn id="17" xr3:uid="{006E90B8-4084-41C0-8BDE-C66AD17DE16B}" name="Trigger1"/>
    <tableColumn id="6" xr3:uid="{B161C2B1-CE21-45D5-B13B-36FCF8C04C65}" name="Dir 1"/>
    <tableColumn id="7" xr3:uid="{7F4251EC-97B6-49E4-AA84-44C4A6B0A712}" name="System 2"/>
    <tableColumn id="8" xr3:uid="{C2785CB3-1442-47A7-A968-51A6FBE20F63}" name="Subsystem 2"/>
    <tableColumn id="18" xr3:uid="{903F96C7-C584-417E-9F49-7AA088A6B829}" name="Trigger 2"/>
    <tableColumn id="9" xr3:uid="{7EED430A-00D3-44E2-A195-0FA0C4593749}" name="Dir 2"/>
    <tableColumn id="10" xr3:uid="{B9853B41-68BF-4F18-AF95-5D271C96CA15}" name="System 3"/>
    <tableColumn id="11" xr3:uid="{DCA91D22-EE52-455D-8498-C0AFD9D8E147}" name="Subsystem 3"/>
    <tableColumn id="12" xr3:uid="{970D574E-DBF1-42E0-9CDE-6CDE38A5A4FB}" name="Trigger 3"/>
    <tableColumn id="19" xr3:uid="{8645A46A-FB12-47B3-8C4A-C1FF293EFA00}" name="Dir 3"/>
    <tableColumn id="3" xr3:uid="{6241F3D8-5114-4D8E-AEFE-F633A6882E7F}" name="System 4"/>
    <tableColumn id="13" xr3:uid="{4B6BA615-C25C-4856-99A8-82F6F0C039C2}" name="Subsystem 4"/>
    <tableColumn id="14" xr3:uid="{534B7523-7FA0-4FF8-95BA-6C37962A6585}" name="Trigger 4"/>
    <tableColumn id="15" xr3:uid="{4AF4DD09-816E-4A40-8334-C977BAD45FDB}" name="Dir 4"/>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24733AE7-A885-4E0D-8586-C70A38097446}" name="Table50" displayName="Table50" ref="W15:W20" totalsRowShown="0">
  <autoFilter ref="W15:W20" xr:uid="{24733AE7-A885-4E0D-8586-C70A38097446}"/>
  <tableColumns count="1">
    <tableColumn id="1" xr3:uid="{DA9DDF47-D647-4AF3-9351-0F2CE10CCCD2}" name="Loot"/>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122B7FB3-A60E-4060-AB70-515C5FBF11F9}" name="Table51" displayName="Table51" ref="U1:V63" totalsRowShown="0">
  <autoFilter ref="U1:V63" xr:uid="{122B7FB3-A60E-4060-AB70-515C5FBF11F9}"/>
  <sortState xmlns:xlrd2="http://schemas.microsoft.com/office/spreadsheetml/2017/richdata2" ref="U2:V53">
    <sortCondition ref="U13:U53"/>
  </sortState>
  <tableColumns count="2">
    <tableColumn id="1" xr3:uid="{82E001BE-3818-493B-9B38-AEB69348528B}" name="Subsystem"/>
    <tableColumn id="2" xr3:uid="{811ADC91-8965-4D46-BB94-DA81884CD06D}" name="Good Dir"/>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806F4B1-D4A5-4944-9EE7-99BF7E696B20}" name="Table55" displayName="Table55" ref="W11:W13" totalsRowShown="0">
  <autoFilter ref="W11:W13" xr:uid="{F806F4B1-D4A5-4944-9EE7-99BF7E696B20}"/>
  <tableColumns count="1">
    <tableColumn id="1" xr3:uid="{E695D20C-6917-4231-A43C-83FE57347915}" name="Collectables"/>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C20B211-EBAC-4696-9173-6EA2E9F2F8E8}" name="Table56" displayName="Table56" ref="W3:W9" totalsRowShown="0">
  <autoFilter ref="W3:W9" xr:uid="{8C20B211-EBAC-4696-9173-6EA2E9F2F8E8}"/>
  <tableColumns count="1">
    <tableColumn id="1" xr3:uid="{6605CB2D-8862-4371-AD5D-47AE614633C2}" name="Resource"/>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7" displayName="Table7" ref="A1:E39" totalsRowShown="0">
  <autoFilter ref="A1:E39" xr:uid="{00000000-0009-0000-0100-000013000000}"/>
  <tableColumns count="5">
    <tableColumn id="1" xr3:uid="{00000000-0010-0000-1200-000001000000}" name="Name"/>
    <tableColumn id="2" xr3:uid="{00000000-0010-0000-1200-000002000000}" name="Difficulty"/>
    <tableColumn id="3" xr3:uid="{00000000-0010-0000-1200-000003000000}" name="Game"/>
    <tableColumn id="4" xr3:uid="{00000000-0010-0000-1200-000004000000}" name="Type"/>
    <tableColumn id="5" xr3:uid="{00000000-0010-0000-1200-000005000000}" name="Effect"/>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3" displayName="Table3" ref="A1:J127" totalsRowShown="0">
  <autoFilter ref="A1:J127" xr:uid="{00000000-0009-0000-0100-000014000000}"/>
  <sortState xmlns:xlrd2="http://schemas.microsoft.com/office/spreadsheetml/2017/richdata2" ref="A2:J127">
    <sortCondition ref="A118:A127"/>
  </sortState>
  <tableColumns count="10">
    <tableColumn id="1" xr3:uid="{00000000-0010-0000-1300-000001000000}" name="Name"/>
    <tableColumn id="2" xr3:uid="{00000000-0010-0000-1300-000002000000}" name="Rating"/>
    <tableColumn id="3" xr3:uid="{00000000-0010-0000-1300-000003000000}" name="Type"/>
    <tableColumn id="4" xr3:uid="{00000000-0010-0000-1300-000004000000}" name="Description"/>
    <tableColumn id="5" xr3:uid="{00000000-0010-0000-1300-000005000000}" name="Effect"/>
    <tableColumn id="6" xr3:uid="{00000000-0010-0000-1300-000006000000}" name="Reference"/>
    <tableColumn id="7" xr3:uid="{00000000-0010-0000-1300-000007000000}" name="tags"/>
    <tableColumn id="8" xr3:uid="{00000000-0010-0000-1300-000008000000}" name="File"/>
    <tableColumn id="9" xr3:uid="{00000000-0010-0000-1300-000009000000}" name="Requirement"/>
    <tableColumn id="10" xr3:uid="{00000000-0010-0000-1300-00000A000000}" name="Sorting"/>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3" displayName="Table23" ref="A1:M5" totalsRowShown="0">
  <autoFilter ref="A1:M5" xr:uid="{00000000-0009-0000-0100-000015000000}"/>
  <tableColumns count="13">
    <tableColumn id="1" xr3:uid="{00000000-0010-0000-1400-000001000000}" name="Name "/>
    <tableColumn id="2" xr3:uid="{00000000-0010-0000-1400-000002000000}" name="Game"/>
    <tableColumn id="3" xr3:uid="{00000000-0010-0000-1400-000003000000}" name="Type"/>
    <tableColumn id="4" xr3:uid="{00000000-0010-0000-1400-000004000000}" name="Difficulty"/>
    <tableColumn id="5" xr3:uid="{00000000-0010-0000-1400-000005000000}" name="Diffuculty Roll"/>
    <tableColumn id="6" xr3:uid="{00000000-0010-0000-1400-000006000000}" name="Rarity"/>
    <tableColumn id="7" xr3:uid="{00000000-0010-0000-1400-000007000000}" name="Possible Inputs"/>
    <tableColumn id="8" xr3:uid="{00000000-0010-0000-1400-000008000000}" name="Possible Outputs"/>
    <tableColumn id="9" xr3:uid="{00000000-0010-0000-1400-000009000000}" name="Multipath"/>
    <tableColumn id="10" xr3:uid="{00000000-0010-0000-1400-00000A000000}" name="Img"/>
    <tableColumn id="11" xr3:uid="{00000000-0010-0000-1400-00000B000000}" name="Run Limit"/>
    <tableColumn id="12" xr3:uid="{00000000-0010-0000-1400-00000C000000}" name="Requirement"/>
    <tableColumn id="13" xr3:uid="{00000000-0010-0000-1400-00000D000000}" name="Tags"/>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30" displayName="Table30" ref="A1:K8" totalsRowShown="0">
  <autoFilter ref="A1:K8" xr:uid="{00000000-0009-0000-0100-000016000000}"/>
  <tableColumns count="11">
    <tableColumn id="1" xr3:uid="{00000000-0010-0000-1500-000001000000}" name="Name"/>
    <tableColumn id="2" xr3:uid="{00000000-0010-0000-1500-000002000000}" name="Type"/>
    <tableColumn id="3" xr3:uid="{00000000-0010-0000-1500-000003000000}" name="Rarity"/>
    <tableColumn id="4" xr3:uid="{00000000-0010-0000-1500-000004000000}" name="Description"/>
    <tableColumn id="5" xr3:uid="{00000000-0010-0000-1500-000005000000}" name="Effect"/>
    <tableColumn id="6" xr3:uid="{00000000-0010-0000-1500-000006000000}" name="npc"/>
    <tableColumn id="7" xr3:uid="{00000000-0010-0000-1500-000007000000}" name="Reference"/>
    <tableColumn id="8" xr3:uid="{00000000-0010-0000-1500-000008000000}" name="Requirements"/>
    <tableColumn id="9" xr3:uid="{00000000-0010-0000-1500-000009000000}" name="Requirement Effect"/>
    <tableColumn id="10" xr3:uid="{00000000-0010-0000-1500-00000A000000}" name="Img"/>
    <tableColumn id="11" xr3:uid="{00000000-0010-0000-1500-00000B000000}" name="Tags"/>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7" displayName="Table27" ref="A1:M13" totalsRowShown="0">
  <autoFilter ref="A1:M13" xr:uid="{00000000-0009-0000-0100-000017000000}"/>
  <tableColumns count="13">
    <tableColumn id="1" xr3:uid="{00000000-0010-0000-1600-000001000000}" name="Name"/>
    <tableColumn id="2" xr3:uid="{00000000-0010-0000-1600-000002000000}" name="Type"/>
    <tableColumn id="3" xr3:uid="{00000000-0010-0000-1600-000003000000}" name="Difficulty"/>
    <tableColumn id="4" xr3:uid="{00000000-0010-0000-1600-000004000000}" name="Weight"/>
    <tableColumn id="5" xr3:uid="{00000000-0010-0000-1600-000005000000}" name="Min HP"/>
    <tableColumn id="6" xr3:uid="{00000000-0010-0000-1600-000006000000}" name="Max HP"/>
    <tableColumn id="7" xr3:uid="{00000000-0010-0000-1600-000007000000}" name="Ability"/>
    <tableColumn id="8" xr3:uid="{00000000-0010-0000-1600-000008000000}" name="Game"/>
    <tableColumn id="9" xr3:uid="{00000000-0010-0000-1600-000009000000}" name="Location"/>
    <tableColumn id="10" xr3:uid="{00000000-0010-0000-1600-00000A000000}" name="Moves"/>
    <tableColumn id="11" xr3:uid="{00000000-0010-0000-1600-00000B000000}" name="File"/>
    <tableColumn id="12" xr3:uid="{00000000-0010-0000-1600-00000C000000}" name="Variant"/>
    <tableColumn id="13" xr3:uid="{00000000-0010-0000-1600-00000D000000}" name="Tag"/>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8" displayName="Table28" ref="A1:T7" totalsRowShown="0">
  <autoFilter ref="A1:T7" xr:uid="{00000000-0009-0000-0100-000018000000}"/>
  <tableColumns count="20">
    <tableColumn id="1" xr3:uid="{00000000-0010-0000-1700-000001000000}" name="Name"/>
    <tableColumn id="2" xr3:uid="{00000000-0010-0000-1700-000002000000}" name="Id"/>
    <tableColumn id="3" xr3:uid="{00000000-0010-0000-1700-000003000000}" name="Difficulty"/>
    <tableColumn id="4" xr3:uid="{00000000-0010-0000-1700-000004000000}" name="Weight"/>
    <tableColumn id="5" xr3:uid="{00000000-0010-0000-1700-000005000000}" name="Game"/>
    <tableColumn id="6" xr3:uid="{00000000-0010-0000-1700-000006000000}" name="Min HP"/>
    <tableColumn id="7" xr3:uid="{00000000-0010-0000-1700-000007000000}" name="Max HP"/>
    <tableColumn id="8" xr3:uid="{00000000-0010-0000-1700-000008000000}" name="Speed"/>
    <tableColumn id="9" xr3:uid="{00000000-0010-0000-1700-000009000000}" name="Size"/>
    <tableColumn id="10" xr3:uid="{00000000-0010-0000-1700-00000A000000}" name="Behavior"/>
    <tableColumn id="11" xr3:uid="{00000000-0010-0000-1700-00000B000000}" name="Stop Distance"/>
    <tableColumn id="12" xr3:uid="{00000000-0010-0000-1700-00000C000000}" name="Attacks"/>
    <tableColumn id="13" xr3:uid="{00000000-0010-0000-1700-00000D000000}" name="Color"/>
    <tableColumn id="14" xr3:uid="{00000000-0010-0000-1700-00000E000000}" name="Directional"/>
    <tableColumn id="15" xr3:uid="{00000000-0010-0000-1700-00000F000000}" name="Motion"/>
    <tableColumn id="16" xr3:uid="{00000000-0010-0000-1700-000010000000}" name="Attack Style"/>
    <tableColumn id="17" xr3:uid="{00000000-0010-0000-1700-000011000000}" name="Layers"/>
    <tableColumn id="18" xr3:uid="{00000000-0010-0000-1700-000012000000}" name="Animations"/>
    <tableColumn id="19" xr3:uid="{00000000-0010-0000-1700-000013000000}" name="Ability"/>
    <tableColumn id="20" xr3:uid="{00000000-0010-0000-1700-000014000000}" name="Tag"/>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11" displayName="Table11" ref="A1:E17" totalsRowShown="0">
  <autoFilter ref="A1:E17" xr:uid="{00000000-0009-0000-0100-000019000000}"/>
  <tableColumns count="5">
    <tableColumn id="1" xr3:uid="{00000000-0010-0000-1800-000001000000}" name="Name"/>
    <tableColumn id="2" xr3:uid="{00000000-0010-0000-1800-000002000000}" name="Type"/>
    <tableColumn id="3" xr3:uid="{00000000-0010-0000-1800-000003000000}" name="Challenge"/>
    <tableColumn id="4" xr3:uid="{00000000-0010-0000-1800-000004000000}" name="Penalty Card"/>
    <tableColumn id="5" xr3:uid="{00000000-0010-0000-1800-000005000000}" name="Effect"/>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14" displayName="Table14" ref="A1:K61" totalsRowShown="0">
  <autoFilter ref="A1:K61" xr:uid="{00000000-0009-0000-0100-00001A000000}"/>
  <tableColumns count="11">
    <tableColumn id="1" xr3:uid="{00000000-0010-0000-1900-000001000000}" name="Name"/>
    <tableColumn id="2" xr3:uid="{00000000-0010-0000-1900-000002000000}" name="Description"/>
    <tableColumn id="3" xr3:uid="{00000000-0010-0000-1900-000003000000}" name="Type"/>
    <tableColumn id="4" xr3:uid="{00000000-0010-0000-1900-000004000000}" name="Stackable"/>
    <tableColumn id="5" xr3:uid="{00000000-0010-0000-1900-000005000000}" name="Max Stack"/>
    <tableColumn id="6" xr3:uid="{00000000-0010-0000-1900-000006000000}" name="Decay"/>
    <tableColumn id="7" xr3:uid="{00000000-0010-0000-1900-000007000000}" name="Who"/>
    <tableColumn id="8" xr3:uid="{00000000-0010-0000-1900-000008000000}" name="Preference"/>
    <tableColumn id="9" xr3:uid="{00000000-0010-0000-1900-000009000000}" name="File"/>
    <tableColumn id="10" xr3:uid="{00000000-0010-0000-1900-00000A000000}" name="Rarity"/>
    <tableColumn id="11" xr3:uid="{00000000-0010-0000-1900-00000B000000}" name="File2"/>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5" displayName="Table25" ref="A1:M43" totalsRowShown="0">
  <autoFilter ref="A1:M43" xr:uid="{00000000-0009-0000-0100-00001B000000}"/>
  <tableColumns count="13">
    <tableColumn id="1" xr3:uid="{00000000-0010-0000-1A00-000001000000}" name="Name"/>
    <tableColumn id="2" xr3:uid="{00000000-0010-0000-1A00-000002000000}" name="Description"/>
    <tableColumn id="3" xr3:uid="{00000000-0010-0000-1A00-000003000000}" name="Effect"/>
    <tableColumn id="4" xr3:uid="{00000000-0010-0000-1A00-000004000000}" name="Type"/>
    <tableColumn id="5" xr3:uid="{00000000-0010-0000-1A00-000005000000}" name="Stackable"/>
    <tableColumn id="6" xr3:uid="{00000000-0010-0000-1A00-000006000000}" name="Max Stack"/>
    <tableColumn id="7" xr3:uid="{00000000-0010-0000-1A00-000007000000}" name="Decay"/>
    <tableColumn id="8" xr3:uid="{00000000-0010-0000-1A00-000008000000}" name="Who"/>
    <tableColumn id="9" xr3:uid="{00000000-0010-0000-1A00-000009000000}" name="Preference"/>
    <tableColumn id="10" xr3:uid="{00000000-0010-0000-1A00-00000A000000}" name="Icon"/>
    <tableColumn id="11" xr3:uid="{00000000-0010-0000-1A00-00000B000000}" name="Rarity"/>
    <tableColumn id="12" xr3:uid="{00000000-0010-0000-1A00-00000C000000}" name="Translates"/>
    <tableColumn id="13" xr3:uid="{00000000-0010-0000-1A00-00000D000000}" name="Per-Mode"/>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7" displayName="Table17" ref="A1:E8" totalsRowShown="0">
  <autoFilter ref="A1:E8" xr:uid="{00000000-0009-0000-0100-00001C000000}"/>
  <tableColumns count="5">
    <tableColumn id="1" xr3:uid="{00000000-0010-0000-1B00-000001000000}" name="Name"/>
    <tableColumn id="2" xr3:uid="{00000000-0010-0000-1B00-000002000000}" name="Effect on Attack"/>
    <tableColumn id="3" xr3:uid="{00000000-0010-0000-1B00-000003000000}" name="Extra Effects "/>
    <tableColumn id="4" xr3:uid="{00000000-0010-0000-1B00-000004000000}" name="Extra Effects 2"/>
    <tableColumn id="5" xr3:uid="{00000000-0010-0000-1B00-000005000000}" name="Color"/>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316" displayName="Table1316" ref="A1:D30" totalsRowShown="0">
  <autoFilter ref="A1:D30" xr:uid="{00000000-0009-0000-0100-00001D000000}"/>
  <tableColumns count="4">
    <tableColumn id="1" xr3:uid="{00000000-0010-0000-1C00-000001000000}" name="Name"/>
    <tableColumn id="2" xr3:uid="{00000000-0010-0000-1C00-000002000000}" name="Description"/>
    <tableColumn id="3" xr3:uid="{00000000-0010-0000-1C00-000003000000}" name="Can Be Attached To"/>
    <tableColumn id="4" xr3:uid="{00000000-0010-0000-1C00-000004000000}" name="Forms"/>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24" displayName="Table24" ref="A1:M22" totalsRowShown="0">
  <autoFilter ref="A1:M22" xr:uid="{00000000-0009-0000-0100-00001E000000}"/>
  <tableColumns count="13">
    <tableColumn id="1" xr3:uid="{00000000-0010-0000-1D00-000001000000}" name="Name"/>
    <tableColumn id="2" xr3:uid="{00000000-0010-0000-1D00-000002000000}" name="Deckbuilder"/>
    <tableColumn id="3" xr3:uid="{00000000-0010-0000-1D00-000003000000}" name="Action"/>
    <tableColumn id="4" xr3:uid="{00000000-0010-0000-1D00-000004000000}" name="Strategy"/>
    <tableColumn id="5" xr3:uid="{00000000-0010-0000-1D00-000005000000}" name="Has Value"/>
    <tableColumn id="6" xr3:uid="{00000000-0010-0000-1D00-000006000000}" name="Uses"/>
    <tableColumn id="7" xr3:uid="{00000000-0010-0000-1D00-000007000000}" name="Forms"/>
    <tableColumn id="8" xr3:uid="{00000000-0010-0000-1D00-000008000000}" name="Key"/>
    <tableColumn id="9" xr3:uid="{00000000-0010-0000-1D00-000009000000}" name="Hook"/>
    <tableColumn id="10" xr3:uid="{00000000-0010-0000-1D00-00000A000000}" name="Expr"/>
    <tableColumn id="11" xr3:uid="{00000000-0010-0000-1D00-00000B000000}" name="DB Verb"/>
    <tableColumn id="12" xr3:uid="{00000000-0010-0000-1D00-00000C000000}" name="Action Verb"/>
    <tableColumn id="13" xr3:uid="{00000000-0010-0000-1D00-00000D000000}" name="Strategy Verb"/>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21" displayName="Table21" ref="A1:M13" totalsRowShown="0">
  <autoFilter ref="A1:M13" xr:uid="{00000000-0009-0000-0100-00001F000000}"/>
  <tableColumns count="13">
    <tableColumn id="1" xr3:uid="{00000000-0010-0000-1E00-000001000000}" name="Name"/>
    <tableColumn id="2" xr3:uid="{00000000-0010-0000-1E00-000002000000}" name="Rarity"/>
    <tableColumn id="3" xr3:uid="{00000000-0010-0000-1E00-000003000000}" name="Critical Success"/>
    <tableColumn id="4" xr3:uid="{00000000-0010-0000-1E00-000004000000}" name="Critical Success Effect"/>
    <tableColumn id="5" xr3:uid="{00000000-0010-0000-1E00-000005000000}" name="Success"/>
    <tableColumn id="6" xr3:uid="{00000000-0010-0000-1E00-000006000000}" name="Success Effect"/>
    <tableColumn id="7" xr3:uid="{00000000-0010-0000-1E00-000007000000}" name="Fail"/>
    <tableColumn id="8" xr3:uid="{00000000-0010-0000-1E00-000008000000}" name="Fail Effect"/>
    <tableColumn id="9" xr3:uid="{00000000-0010-0000-1E00-000009000000}" name="Critical Fail"/>
    <tableColumn id="10" xr3:uid="{00000000-0010-0000-1E00-00000A000000}" name="Critical Fail Effect"/>
    <tableColumn id="11" xr3:uid="{00000000-0010-0000-1E00-00000B000000}" name="Reference"/>
    <tableColumn id="12" xr3:uid="{00000000-0010-0000-1E00-00000C000000}" name="Preference"/>
    <tableColumn id="13" xr3:uid="{00000000-0010-0000-1E00-00000D000000}" name="File"/>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20" displayName="Table20" ref="A1:E13" totalsRowShown="0">
  <autoFilter ref="A1:E13" xr:uid="{00000000-0009-0000-0100-000020000000}"/>
  <tableColumns count="5">
    <tableColumn id="1" xr3:uid="{00000000-0010-0000-1F00-000001000000}" name="Name"/>
    <tableColumn id="2" xr3:uid="{00000000-0010-0000-1F00-000002000000}" name="Rarity"/>
    <tableColumn id="3" xr3:uid="{00000000-0010-0000-1F00-000003000000}" name="Effect"/>
    <tableColumn id="4" xr3:uid="{00000000-0010-0000-1F00-000004000000}" name="Reference"/>
    <tableColumn id="5" xr3:uid="{00000000-0010-0000-1F00-000005000000}" name="File"/>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5" displayName="Table5" ref="A1:X7" totalsRowShown="0">
  <autoFilter ref="A1:X7" xr:uid="{00000000-0009-0000-0100-000021000000}"/>
  <tableColumns count="24">
    <tableColumn id="1" xr3:uid="{00000000-0010-0000-2000-000001000000}" name="Name"/>
    <tableColumn id="2" xr3:uid="{00000000-0010-0000-2000-000002000000}" name="Game"/>
    <tableColumn id="3" xr3:uid="{00000000-0010-0000-2000-000003000000}" name="Health"/>
    <tableColumn id="4" xr3:uid="{00000000-0010-0000-2000-000004000000}" name="Energy"/>
    <tableColumn id="5" xr3:uid="{00000000-0010-0000-2000-000005000000}" name="Str"/>
    <tableColumn id="6" xr3:uid="{00000000-0010-0000-2000-000006000000}" name="Dex"/>
    <tableColumn id="7" xr3:uid="{00000000-0010-0000-2000-000007000000}" name="Int"/>
    <tableColumn id="8" xr3:uid="{00000000-0010-0000-2000-000008000000}" name="Cha"/>
    <tableColumn id="9" xr3:uid="{00000000-0010-0000-2000-000009000000}" name="Random"/>
    <tableColumn id="10" xr3:uid="{00000000-0010-0000-2000-00000A000000}" name="Reroll"/>
    <tableColumn id="11" xr3:uid="{00000000-0010-0000-2000-00000B000000}" name="Dash"/>
    <tableColumn id="12" xr3:uid="{00000000-0010-0000-2000-00000C000000}" name="Skip"/>
    <tableColumn id="13" xr3:uid="{00000000-0010-0000-2000-00000D000000}" name="Discovery"/>
    <tableColumn id="14" xr3:uid="{00000000-0010-0000-2000-00000E000000}" name="FoV"/>
    <tableColumn id="15" xr3:uid="{00000000-0010-0000-2000-00000F000000}" name="Luck"/>
    <tableColumn id="16" xr3:uid="{00000000-0010-0000-2000-000010000000}" name="Level Up"/>
    <tableColumn id="17" xr3:uid="{00000000-0010-0000-2000-000011000000}" name="Reward"/>
    <tableColumn id="18" xr3:uid="{00000000-0010-0000-2000-000012000000}" name="Description"/>
    <tableColumn id="19" xr3:uid="{00000000-0010-0000-2000-000013000000}" name="Combat Style"/>
    <tableColumn id="20" xr3:uid="{00000000-0010-0000-2000-000014000000}" name="Strikes"/>
    <tableColumn id="21" xr3:uid="{00000000-0010-0000-2000-000015000000}" name="Defends"/>
    <tableColumn id="22" xr3:uid="{00000000-0010-0000-2000-000016000000}" name="Unique 1"/>
    <tableColumn id="23" xr3:uid="{00000000-0010-0000-2000-000017000000}" name="Unique 2"/>
    <tableColumn id="24" xr3:uid="{00000000-0010-0000-2000-000018000000}" name="Starting items"/>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18" displayName="Table18" ref="A1:J209" totalsRowShown="0">
  <autoFilter ref="A1:J209" xr:uid="{00000000-0009-0000-0100-000022000000}"/>
  <tableColumns count="10">
    <tableColumn id="1" xr3:uid="{00000000-0010-0000-2100-000001000000}" name="Name"/>
    <tableColumn id="2" xr3:uid="{00000000-0010-0000-2100-000002000000}" name="Rarity"/>
    <tableColumn id="3" xr3:uid="{00000000-0010-0000-2100-000003000000}" name="Type"/>
    <tableColumn id="4" xr3:uid="{00000000-0010-0000-2100-000004000000}" name="Cost"/>
    <tableColumn id="5" xr3:uid="{00000000-0010-0000-2100-000005000000}" name="Description"/>
    <tableColumn id="6" xr3:uid="{00000000-0010-0000-2100-000006000000}" name="Upgraded Description"/>
    <tableColumn id="7" xr3:uid="{00000000-0010-0000-2100-000007000000}" name="Upgraded Cost"/>
    <tableColumn id="8" xr3:uid="{00000000-0010-0000-2100-000008000000}" name="Img"/>
    <tableColumn id="9" xr3:uid="{00000000-0010-0000-2100-000009000000}" name="Game"/>
    <tableColumn id="10" xr3:uid="{00000000-0010-0000-2100-00000A000000}" name="Tags"/>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22" displayName="Table22" ref="A1:O171" totalsRowShown="0">
  <autoFilter ref="A1:O171" xr:uid="{00000000-0009-0000-0100-000023000000}"/>
  <sortState xmlns:xlrd2="http://schemas.microsoft.com/office/spreadsheetml/2017/richdata2" ref="A2:O171">
    <sortCondition ref="A149:A171"/>
  </sortState>
  <tableColumns count="15">
    <tableColumn id="1" xr3:uid="{00000000-0010-0000-2200-000001000000}" name="Name"/>
    <tableColumn id="2" xr3:uid="{00000000-0010-0000-2200-000002000000}" name="Rarity"/>
    <tableColumn id="3" xr3:uid="{00000000-0010-0000-2200-000003000000}" name="Type"/>
    <tableColumn id="4" xr3:uid="{00000000-0010-0000-2200-000004000000}" name="Cost"/>
    <tableColumn id="5" xr3:uid="{00000000-0010-0000-2200-000005000000}" name="Description"/>
    <tableColumn id="6" xr3:uid="{00000000-0010-0000-2200-000006000000}" name="Effects"/>
    <tableColumn id="7" xr3:uid="{00000000-0010-0000-2200-000007000000}" name="↑ Description"/>
    <tableColumn id="8" xr3:uid="{00000000-0010-0000-2200-000008000000}" name="↑ Effects"/>
    <tableColumn id="9" xr3:uid="{00000000-0010-0000-2200-000009000000}" name="↑ Cost"/>
    <tableColumn id="10" xr3:uid="{00000000-0010-0000-2200-00000A000000}" name="Attack"/>
    <tableColumn id="11" xr3:uid="{00000000-0010-0000-2200-00000B000000}" name="Img"/>
    <tableColumn id="12" xr3:uid="{00000000-0010-0000-2200-00000C000000}" name="Game"/>
    <tableColumn id="13" xr3:uid="{00000000-0010-0000-2200-00000D000000}" name="Keywords"/>
    <tableColumn id="14" xr3:uid="{00000000-0010-0000-2200-00000E000000}" name="Element"/>
    <tableColumn id="15" xr3:uid="{00000000-0010-0000-2200-00000F000000}" name="Tags"/>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26" displayName="Table26" ref="A1:F2" totalsRowShown="0">
  <autoFilter ref="A1:F2" xr:uid="{00000000-0009-0000-0100-000024000000}"/>
  <tableColumns count="6">
    <tableColumn id="1" xr3:uid="{00000000-0010-0000-2300-000001000000}" name="Name"/>
    <tableColumn id="2" xr3:uid="{00000000-0010-0000-2300-000002000000}" name="Requirement 1"/>
    <tableColumn id="3" xr3:uid="{00000000-0010-0000-2300-000003000000}" name="Requirement 2"/>
    <tableColumn id="4" xr3:uid="{00000000-0010-0000-2300-000004000000}" name="Description"/>
    <tableColumn id="5" xr3:uid="{00000000-0010-0000-2300-000005000000}" name="Effect"/>
    <tableColumn id="6" xr3:uid="{00000000-0010-0000-2300-000006000000}" name="Visual"/>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3" displayName="Table13" ref="A1:F21" totalsRowShown="0">
  <autoFilter ref="A1:F21" xr:uid="{00000000-0009-0000-0100-000025000000}"/>
  <tableColumns count="6">
    <tableColumn id="1" xr3:uid="{00000000-0010-0000-2400-000001000000}" name="Name"/>
    <tableColumn id="2" xr3:uid="{00000000-0010-0000-2400-000002000000}" name="Description"/>
    <tableColumn id="3" xr3:uid="{00000000-0010-0000-2400-000003000000}" name="Preferred Target"/>
    <tableColumn id="4" xr3:uid="{00000000-0010-0000-2400-000004000000}" name="File"/>
    <tableColumn id="5" xr3:uid="{00000000-0010-0000-2400-000005000000}" name="Scaling"/>
    <tableColumn id="6" xr3:uid="{00000000-0010-0000-2400-000006000000}" name="Rarity"/>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4" displayName="Table4" ref="A1:I20" totalsRowShown="0">
  <autoFilter ref="A1:I20" xr:uid="{00000000-0009-0000-0100-000026000000}"/>
  <tableColumns count="9">
    <tableColumn id="1" xr3:uid="{00000000-0010-0000-2500-000001000000}" name="Name"/>
    <tableColumn id="2" xr3:uid="{00000000-0010-0000-2500-000002000000}" name="Cost"/>
    <tableColumn id="3" xr3:uid="{00000000-0010-0000-2500-000003000000}" name="Rarity"/>
    <tableColumn id="4" xr3:uid="{00000000-0010-0000-2500-000004000000}" name="Description"/>
    <tableColumn id="5" xr3:uid="{00000000-0010-0000-2500-000005000000}" name="Keywords"/>
    <tableColumn id="6" xr3:uid="{00000000-0010-0000-2500-000006000000}" name="Bonus"/>
    <tableColumn id="7" xr3:uid="{00000000-0010-0000-2500-000007000000}" name="Game"/>
    <tableColumn id="8" xr3:uid="{00000000-0010-0000-2500-000008000000}" name="Element"/>
    <tableColumn id="9" xr3:uid="{00000000-0010-0000-2500-000009000000}" name="File"/>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9" displayName="Table9" ref="A1:E39" totalsRowShown="0">
  <autoFilter ref="A1:E39" xr:uid="{00000000-0009-0000-0100-000027000000}"/>
  <tableColumns count="5">
    <tableColumn id="1" xr3:uid="{00000000-0010-0000-2600-000001000000}" name="Name"/>
    <tableColumn id="2" xr3:uid="{00000000-0010-0000-2600-000002000000}" name="Rarity"/>
    <tableColumn id="3" xr3:uid="{00000000-0010-0000-2600-000003000000}" name="Types"/>
    <tableColumn id="4" xr3:uid="{00000000-0010-0000-2600-000004000000}" name="Game"/>
    <tableColumn id="5" xr3:uid="{00000000-0010-0000-2600-000005000000}" name="Image"/>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10" displayName="Table10" ref="A1:M37" totalsRowShown="0">
  <autoFilter ref="A1:M37" xr:uid="{00000000-0009-0000-0100-000028000000}"/>
  <tableColumns count="13">
    <tableColumn id="1" xr3:uid="{00000000-0010-0000-2700-000001000000}" name="Name"/>
    <tableColumn id="2" xr3:uid="{00000000-0010-0000-2700-000002000000}" name="Type"/>
    <tableColumn id="3" xr3:uid="{00000000-0010-0000-2700-000003000000}" name="Difficulty"/>
    <tableColumn id="4" xr3:uid="{00000000-0010-0000-2700-000004000000}" name="Weight"/>
    <tableColumn id="5" xr3:uid="{00000000-0010-0000-2700-000005000000}" name="Min HP"/>
    <tableColumn id="6" xr3:uid="{00000000-0010-0000-2700-000006000000}" name="Max HP"/>
    <tableColumn id="7" xr3:uid="{00000000-0010-0000-2700-000007000000}" name="Ability"/>
    <tableColumn id="8" xr3:uid="{00000000-0010-0000-2700-000008000000}" name="Game"/>
    <tableColumn id="9" xr3:uid="{00000000-0010-0000-2700-000009000000}" name="Location"/>
    <tableColumn id="10" xr3:uid="{00000000-0010-0000-2700-00000A000000}" name="Pattern"/>
    <tableColumn id="11" xr3:uid="{00000000-0010-0000-2700-00000B000000}" name="File"/>
    <tableColumn id="12" xr3:uid="{00000000-0010-0000-2700-00000C000000}" name="Variant"/>
    <tableColumn id="13" xr3:uid="{00000000-0010-0000-2700-00000D000000}" name="Tag"/>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able29" displayName="Table29" ref="A1:Q6" totalsRowShown="0">
  <autoFilter ref="A1:Q6" xr:uid="{00000000-0009-0000-0100-000029000000}"/>
  <tableColumns count="17">
    <tableColumn id="1" xr3:uid="{00000000-0010-0000-2800-000001000000}" name="Name"/>
    <tableColumn id="2" xr3:uid="{00000000-0010-0000-2800-000002000000}" name="Id"/>
    <tableColumn id="3" xr3:uid="{00000000-0010-0000-2800-000003000000}" name="Difficulty"/>
    <tableColumn id="4" xr3:uid="{00000000-0010-0000-2800-000004000000}" name="Weight"/>
    <tableColumn id="5" xr3:uid="{00000000-0010-0000-2800-000005000000}" name="Game"/>
    <tableColumn id="6" xr3:uid="{00000000-0010-0000-2800-000006000000}" name="Tag"/>
    <tableColumn id="7" xr3:uid="{00000000-0010-0000-2800-000007000000}" name="Min HP"/>
    <tableColumn id="8" xr3:uid="{00000000-0010-0000-2800-000008000000}" name="Max HP"/>
    <tableColumn id="9" xr3:uid="{00000000-0010-0000-2800-000009000000}" name="Speed"/>
    <tableColumn id="10" xr3:uid="{00000000-0010-0000-2800-00000A000000}" name="Glyph"/>
    <tableColumn id="11" xr3:uid="{00000000-0010-0000-2800-00000B000000}" name="Color"/>
    <tableColumn id="12" xr3:uid="{00000000-0010-0000-2800-00000C000000}" name="File"/>
    <tableColumn id="13" xr3:uid="{00000000-0010-0000-2800-00000D000000}" name="Min Floor"/>
    <tableColumn id="14" xr3:uid="{00000000-0010-0000-2800-00000E000000}" name="Spawn Weight"/>
    <tableColumn id="15" xr3:uid="{00000000-0010-0000-2800-00000F000000}" name="Gold"/>
    <tableColumn id="16" xr3:uid="{00000000-0010-0000-2800-000010000000}" name="Intents"/>
    <tableColumn id="17" xr3:uid="{00000000-0010-0000-2800-000011000000}" name="Ability"/>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able16" displayName="Table16" ref="A1:I19" totalsRowShown="0">
  <autoFilter ref="A1:I19" xr:uid="{00000000-0009-0000-0100-00002A000000}"/>
  <tableColumns count="9">
    <tableColumn id="1" xr3:uid="{00000000-0010-0000-2900-000001000000}" name="Name"/>
    <tableColumn id="2" xr3:uid="{00000000-0010-0000-2900-000002000000}" name="Sides"/>
    <tableColumn id="3" xr3:uid="{00000000-0010-0000-2900-000003000000}" name="Side 1"/>
    <tableColumn id="4" xr3:uid="{00000000-0010-0000-2900-000004000000}" name="Side 2"/>
    <tableColumn id="5" xr3:uid="{00000000-0010-0000-2900-000005000000}" name="Side 3"/>
    <tableColumn id="6" xr3:uid="{00000000-0010-0000-2900-000006000000}" name="Side 4"/>
    <tableColumn id="7" xr3:uid="{00000000-0010-0000-2900-000007000000}" name="Side 5"/>
    <tableColumn id="8" xr3:uid="{00000000-0010-0000-2900-000008000000}" name="Side 6"/>
    <tableColumn id="9" xr3:uid="{00000000-0010-0000-2900-000009000000}" name="Game"/>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able19" displayName="Table19" ref="A1:E8" totalsRowShown="0">
  <autoFilter ref="A1:E8" xr:uid="{00000000-0009-0000-0100-00002B000000}"/>
  <tableColumns count="5">
    <tableColumn id="1" xr3:uid="{00000000-0010-0000-2A00-000001000000}" name="Name"/>
    <tableColumn id="2" xr3:uid="{00000000-0010-0000-2A00-000002000000}" name="Year"/>
    <tableColumn id="3" xr3:uid="{00000000-0010-0000-2A00-000003000000}" name="Original"/>
    <tableColumn id="4" xr3:uid="{00000000-0010-0000-2A00-000004000000}" name="File"/>
    <tableColumn id="5" xr3:uid="{00000000-0010-0000-2A00-000005000000}" name="Link"/>
  </tableColumns>
  <tableStyleInfo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8" displayName="Table8" ref="A1:C11" totalsRowShown="0">
  <autoFilter ref="A1:C11" xr:uid="{00000000-0009-0000-0100-00002C000000}"/>
  <tableColumns count="3">
    <tableColumn id="1" xr3:uid="{00000000-0010-0000-2B00-000001000000}" name="Name"/>
    <tableColumn id="2" xr3:uid="{00000000-0010-0000-2B00-000002000000}" name="Description"/>
    <tableColumn id="3" xr3:uid="{00000000-0010-0000-2B00-000003000000}" name="Type"/>
  </tableColumns>
  <tableStyleInfo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6" displayName="Table6" ref="A1:F61" totalsRowShown="0">
  <autoFilter ref="A1:F61" xr:uid="{00000000-0009-0000-0100-00002D000000}"/>
  <tableColumns count="6">
    <tableColumn id="1" xr3:uid="{00000000-0010-0000-2C00-000001000000}" name="Name"/>
    <tableColumn id="2" xr3:uid="{00000000-0010-0000-2C00-000002000000}" name="Stat"/>
    <tableColumn id="3" xr3:uid="{00000000-0010-0000-2C00-000003000000}" name="Power"/>
    <tableColumn id="4" xr3:uid="{00000000-0010-0000-2C00-000004000000}" name="Duration"/>
    <tableColumn id="5" xr3:uid="{00000000-0010-0000-2C00-000005000000}" name="Description"/>
    <tableColumn id="6" xr3:uid="{00000000-0010-0000-2C00-000006000000}" name="Type"/>
  </tableColumns>
  <tableStyleInfo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2" displayName="Table12" ref="A1:B42" totalsRowShown="0">
  <autoFilter ref="A1:B42" xr:uid="{00000000-0009-0000-0100-00002E000000}"/>
  <tableColumns count="2">
    <tableColumn id="1" xr3:uid="{00000000-0010-0000-2D00-000001000000}" name="Goal"/>
    <tableColumn id="2" xr3:uid="{00000000-0010-0000-2D00-000002000000}" name="Difficult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tore.steampowered.com/app/252610/Death_Road_to_Canada/" TargetMode="External"/><Relationship Id="rId21" Type="http://schemas.openxmlformats.org/officeDocument/2006/relationships/hyperlink" Target="https://store.steampowered.com/app/1056840/Arcanium_Rise_of_Akhan/" TargetMode="External"/><Relationship Id="rId324" Type="http://schemas.openxmlformats.org/officeDocument/2006/relationships/hyperlink" Target="https://store.steampowered.com/app/2854740/Nunholy/" TargetMode="External"/><Relationship Id="rId531" Type="http://schemas.openxmlformats.org/officeDocument/2006/relationships/hyperlink" Target="https://store.steampowered.com/app/1732070/ZHP_Unlosing_Ranger_vs_Darkdeath_Evilman/" TargetMode="External"/><Relationship Id="rId170" Type="http://schemas.openxmlformats.org/officeDocument/2006/relationships/hyperlink" Target="https://store.steampowered.com/app/1209490/Exit_the_Gungeon/" TargetMode="External"/><Relationship Id="rId268" Type="http://schemas.openxmlformats.org/officeDocument/2006/relationships/hyperlink" Target="https://store.steampowered.com/app/1404850/Luck_be_a_Landlord/" TargetMode="External"/><Relationship Id="rId475" Type="http://schemas.openxmlformats.org/officeDocument/2006/relationships/hyperlink" Target="https://store.steampowered.com/app/2753900/The_King_is_Watching/" TargetMode="External"/><Relationship Id="rId32" Type="http://schemas.openxmlformats.org/officeDocument/2006/relationships/hyperlink" Target="https://store.steampowered.com/app/1970580/Backpack_Hero/" TargetMode="External"/><Relationship Id="rId128" Type="http://schemas.openxmlformats.org/officeDocument/2006/relationships/hyperlink" Target="https://store.steampowered.com/app/3339780/Desktop_Survivors_98/" TargetMode="External"/><Relationship Id="rId335" Type="http://schemas.openxmlformats.org/officeDocument/2006/relationships/hyperlink" Target="https://store.steampowered.com/app/3179860/Pairs__Perils/" TargetMode="External"/><Relationship Id="rId542" Type="http://schemas.openxmlformats.org/officeDocument/2006/relationships/hyperlink" Target="https://store.steampowered.com/app/2105840/Order_Automatica/" TargetMode="External"/><Relationship Id="rId181" Type="http://schemas.openxmlformats.org/officeDocument/2006/relationships/hyperlink" Target="https://store.steampowered.com/app/1201830/For_The_Warp/" TargetMode="External"/><Relationship Id="rId402" Type="http://schemas.openxmlformats.org/officeDocument/2006/relationships/hyperlink" Target="https://store.steampowered.com/app/1919460/Seraphs_Last_Stand/" TargetMode="External"/><Relationship Id="rId279" Type="http://schemas.openxmlformats.org/officeDocument/2006/relationships/hyperlink" Target="https://store.steampowered.com/app/2644610/Menace_from_the_Deep/" TargetMode="External"/><Relationship Id="rId486" Type="http://schemas.openxmlformats.org/officeDocument/2006/relationships/hyperlink" Target="https://store.steampowered.com/app/3405540/Tiny_Auto_Knights" TargetMode="External"/><Relationship Id="rId43" Type="http://schemas.openxmlformats.org/officeDocument/2006/relationships/hyperlink" Target="https://store.steampowered.com/app/1072640/Beat_Blast/" TargetMode="External"/><Relationship Id="rId139" Type="http://schemas.openxmlformats.org/officeDocument/2006/relationships/hyperlink" Target="https://store.steampowered.com/app/3590290/DIVE_or_DIE__Children_of_Rain/" TargetMode="External"/><Relationship Id="rId346" Type="http://schemas.openxmlformats.org/officeDocument/2006/relationships/hyperlink" Target="https://store.steampowered.com/app/365900/Pixel_Dungeon/" TargetMode="External"/><Relationship Id="rId553" Type="http://schemas.openxmlformats.org/officeDocument/2006/relationships/hyperlink" Target="https://store.steampowered.com/app/2129810/Reignbreaker/" TargetMode="External"/><Relationship Id="rId192" Type="http://schemas.openxmlformats.org/officeDocument/2006/relationships/hyperlink" Target="https://store.steampowered.com/app/1255650/Geometry_Arena/" TargetMode="External"/><Relationship Id="rId206" Type="http://schemas.openxmlformats.org/officeDocument/2006/relationships/hyperlink" Target="https://store.steampowered.com/app/2218400/Greedland/" TargetMode="External"/><Relationship Id="rId413" Type="http://schemas.openxmlformats.org/officeDocument/2006/relationships/hyperlink" Target="https://store.steampowered.com/app/3085620/Skys_The_Limit_MAHJONG/" TargetMode="External"/><Relationship Id="rId497" Type="http://schemas.openxmlformats.org/officeDocument/2006/relationships/hyperlink" Target="https://store.steampowered.com/app/1038370/Trials_of_Fire/" TargetMode="External"/><Relationship Id="rId357" Type="http://schemas.openxmlformats.org/officeDocument/2006/relationships/hyperlink" Target="https://store.steampowered.com/app/1108370/Ratropolis/" TargetMode="External"/><Relationship Id="rId54" Type="http://schemas.openxmlformats.org/officeDocument/2006/relationships/hyperlink" Target="https://store.steampowered.com/app/2747550/Bloodshed/" TargetMode="External"/><Relationship Id="rId217" Type="http://schemas.openxmlformats.org/officeDocument/2006/relationships/hyperlink" Target="https://store.steampowered.com/app/2218750/Halls_of_Torment/" TargetMode="External"/><Relationship Id="rId564" Type="http://schemas.openxmlformats.org/officeDocument/2006/relationships/hyperlink" Target="https://store.steampowered.com/app/2902170/Kernel_Hearts/" TargetMode="External"/><Relationship Id="rId424" Type="http://schemas.openxmlformats.org/officeDocument/2006/relationships/hyperlink" Target="https://store.steampowered.com/app/2066020/Soulstone_Survivors/" TargetMode="External"/><Relationship Id="rId270" Type="http://schemas.openxmlformats.org/officeDocument/2006/relationships/hyperlink" Target="https://store.steampowered.com/app/4092940/Lucky_Shot/" TargetMode="External"/><Relationship Id="rId65" Type="http://schemas.openxmlformats.org/officeDocument/2006/relationships/hyperlink" Target="https://store.steampowered.com/app/2835570/Buckshot_Roulette/" TargetMode="External"/><Relationship Id="rId130" Type="http://schemas.openxmlformats.org/officeDocument/2006/relationships/hyperlink" Target="https://store.steampowered.com/app/2693930/Dice__Fold/" TargetMode="External"/><Relationship Id="rId368" Type="http://schemas.openxmlformats.org/officeDocument/2006/relationships/hyperlink" Target="https://store.steampowered.com/app/2058570/Rift_Wizard_2/" TargetMode="External"/><Relationship Id="rId575" Type="http://schemas.openxmlformats.org/officeDocument/2006/relationships/hyperlink" Target="https://store.steampowered.com/app/2769780/CleanFall/" TargetMode="External"/><Relationship Id="rId228" Type="http://schemas.openxmlformats.org/officeDocument/2006/relationships/hyperlink" Target="https://store.steampowered.com/app/1201540/HELLCARD/" TargetMode="External"/><Relationship Id="rId435" Type="http://schemas.openxmlformats.org/officeDocument/2006/relationships/hyperlink" Target="https://store.steampowered.com/app/311720/Sproggiwood/" TargetMode="External"/><Relationship Id="rId281" Type="http://schemas.openxmlformats.org/officeDocument/2006/relationships/hyperlink" Target="https://store.steampowered.com/app/1590760/Metal_Slug_Tactics/" TargetMode="External"/><Relationship Id="rId502" Type="http://schemas.openxmlformats.org/officeDocument/2006/relationships/hyperlink" Target="https://store.steampowered.com/app/3224770/Umamusume_Pretty_Derby/" TargetMode="External"/><Relationship Id="rId76" Type="http://schemas.openxmlformats.org/officeDocument/2006/relationships/hyperlink" Target="https://store.steampowered.com/app/2336200/Choo_Choo_Survivor/" TargetMode="External"/><Relationship Id="rId141" Type="http://schemas.openxmlformats.org/officeDocument/2006/relationships/hyperlink" Target="https://store.steampowered.com/app/1637320/Dome_Keeper/" TargetMode="External"/><Relationship Id="rId379" Type="http://schemas.openxmlformats.org/officeDocument/2006/relationships/hyperlink" Target="https://store.steampowered.com/app/787810/Rogue_Heroes_Ruins_of_Tasos/" TargetMode="External"/><Relationship Id="rId586" Type="http://schemas.openxmlformats.org/officeDocument/2006/relationships/hyperlink" Target="https://store.steampowered.com/app/3199360/Skull_Horde/" TargetMode="External"/><Relationship Id="rId7" Type="http://schemas.openxmlformats.org/officeDocument/2006/relationships/hyperlink" Target="https://store.steampowered.com/app/274700/868HACK/" TargetMode="External"/><Relationship Id="rId239" Type="http://schemas.openxmlformats.org/officeDocument/2006/relationships/hyperlink" Target="https://store.steampowered.com/app/1835970/ICEwall/" TargetMode="External"/><Relationship Id="rId446" Type="http://schemas.openxmlformats.org/officeDocument/2006/relationships/hyperlink" Target="https://store.steampowered.com/app/304650/SUNLESS_SEA/" TargetMode="External"/><Relationship Id="rId292" Type="http://schemas.openxmlformats.org/officeDocument/2006/relationships/hyperlink" Target="https://store.steampowered.com/app/3141630/Montabi/" TargetMode="External"/><Relationship Id="rId306" Type="http://schemas.openxmlformats.org/officeDocument/2006/relationships/hyperlink" Target="https://store.steampowered.com/app/2852980/Necroking/" TargetMode="External"/><Relationship Id="rId45" Type="http://schemas.openxmlformats.org/officeDocument/2006/relationships/hyperlink" Target="https://store.steampowered.com/app/1803400/Beneath_Oresa/" TargetMode="External"/><Relationship Id="rId87" Type="http://schemas.openxmlformats.org/officeDocument/2006/relationships/hyperlink" Target="https://store.steampowered.com/app/1203360/Core_Defense/" TargetMode="External"/><Relationship Id="rId110" Type="http://schemas.openxmlformats.org/officeDocument/2006/relationships/hyperlink" Target="https://store.steampowered.com/app/1940340/Darkest_Dungeon_II/" TargetMode="External"/><Relationship Id="rId348" Type="http://schemas.openxmlformats.org/officeDocument/2006/relationships/hyperlink" Target="https://store.steampowered.com/app/3948580/Plinbo_Roguelike_Plinko/" TargetMode="External"/><Relationship Id="rId513" Type="http://schemas.openxmlformats.org/officeDocument/2006/relationships/hyperlink" Target="https://store.steampowered.com/app/2187290/Wall_World/" TargetMode="External"/><Relationship Id="rId555" Type="http://schemas.openxmlformats.org/officeDocument/2006/relationships/hyperlink" Target="https://store.steampowered.com/app/4595710/Rangedrifter/" TargetMode="External"/><Relationship Id="rId152" Type="http://schemas.openxmlformats.org/officeDocument/2006/relationships/hyperlink" Target="https://store.steampowered.com/app/1824580/Dungeon_Drafters/" TargetMode="External"/><Relationship Id="rId194" Type="http://schemas.openxmlformats.org/officeDocument/2006/relationships/hyperlink" Target="https://store.steampowered.com/app/3558190/GnollHack/" TargetMode="External"/><Relationship Id="rId208" Type="http://schemas.openxmlformats.org/officeDocument/2006/relationships/hyperlink" Target="https://store.steampowered.com/app/3072640/Guidus_Zero/" TargetMode="External"/><Relationship Id="rId415" Type="http://schemas.openxmlformats.org/officeDocument/2006/relationships/hyperlink" Target="https://store.steampowered.com/app/646570/Slay_the_Spire/" TargetMode="External"/><Relationship Id="rId457" Type="http://schemas.openxmlformats.org/officeDocument/2006/relationships/hyperlink" Target="https://store.steampowered.com/app/1804270/Swordship/" TargetMode="External"/><Relationship Id="rId261" Type="http://schemas.openxmlformats.org/officeDocument/2006/relationships/hyperlink" Target="https://store.steampowered.com/app/978520/Legend_of_Keepers_Career_of_a_Dungeon_Manager/" TargetMode="External"/><Relationship Id="rId499" Type="http://schemas.openxmlformats.org/officeDocument/2006/relationships/hyperlink" Target="https://store.steampowered.com/app/3802470/Turnbound/" TargetMode="External"/><Relationship Id="rId14" Type="http://schemas.openxmlformats.org/officeDocument/2006/relationships/hyperlink" Target="https://store.steampowered.com/app/2288470/Aethermancer/" TargetMode="External"/><Relationship Id="rId56" Type="http://schemas.openxmlformats.org/officeDocument/2006/relationships/hyperlink" Target="https://store.steampowered.com/app/1968730/Bounty_of_One/" TargetMode="External"/><Relationship Id="rId317" Type="http://schemas.openxmlformats.org/officeDocument/2006/relationships/hyperlink" Target="https://store.steampowered.com/app/1737340/Noobs_Want_to_Live/" TargetMode="External"/><Relationship Id="rId359" Type="http://schemas.openxmlformats.org/officeDocument/2006/relationships/hyperlink" Target="https://store.steampowered.com/app/200210/Realm_of_the_Mad_God_Exalt/" TargetMode="External"/><Relationship Id="rId524" Type="http://schemas.openxmlformats.org/officeDocument/2006/relationships/hyperlink" Target="https://store.steampowered.com/app/2193540/Wizard_of_Legend_2/" TargetMode="External"/><Relationship Id="rId566" Type="http://schemas.openxmlformats.org/officeDocument/2006/relationships/hyperlink" Target="https://store.steampowered.com/app/3166810/Insider_Trading/" TargetMode="External"/><Relationship Id="rId98" Type="http://schemas.openxmlformats.org/officeDocument/2006/relationships/hyperlink" Target="https://store.steampowered.com/app/344740/CRYPTARK/" TargetMode="External"/><Relationship Id="rId121" Type="http://schemas.openxmlformats.org/officeDocument/2006/relationships/hyperlink" Target="https://store.steampowered.com/app/3179730/Deck_of_Haunts/" TargetMode="External"/><Relationship Id="rId163" Type="http://schemas.openxmlformats.org/officeDocument/2006/relationships/hyperlink" Target="https://store.steampowered.com/app/1135230/Ember_Knights/" TargetMode="External"/><Relationship Id="rId219" Type="http://schemas.openxmlformats.org/officeDocument/2006/relationships/hyperlink" Target="https://store.steampowered.com/app/3075410/Hand_of_Fate_Hordes/" TargetMode="External"/><Relationship Id="rId370" Type="http://schemas.openxmlformats.org/officeDocument/2006/relationships/hyperlink" Target="https://store.steampowered.com/app/2008050/Right_and_Down/" TargetMode="External"/><Relationship Id="rId426" Type="http://schemas.openxmlformats.org/officeDocument/2006/relationships/hyperlink" Target="https://store.steampowered.com/app/371430/Space_Grunts/" TargetMode="External"/><Relationship Id="rId230" Type="http://schemas.openxmlformats.org/officeDocument/2006/relationships/hyperlink" Target="https://store.steampowered.com/app/2181610/Heretics_Fork/" TargetMode="External"/><Relationship Id="rId468" Type="http://schemas.openxmlformats.org/officeDocument/2006/relationships/hyperlink" Target="https://store.steampowered.com/app/1913120/Tears_of_Metal/" TargetMode="External"/><Relationship Id="rId25" Type="http://schemas.openxmlformats.org/officeDocument/2006/relationships/hyperlink" Target="https://store.steampowered.com/app/2780710/Asgards_Fall__Viking_Survivors/" TargetMode="External"/><Relationship Id="rId67" Type="http://schemas.openxmlformats.org/officeDocument/2006/relationships/hyperlink" Target="https://store.steampowered.com/app/378030/Cardinal_Quest_2/" TargetMode="External"/><Relationship Id="rId272" Type="http://schemas.openxmlformats.org/officeDocument/2006/relationships/hyperlink" Target="https://store.steampowered.com/app/1184810/Mainframe_Defenders/" TargetMode="External"/><Relationship Id="rId328" Type="http://schemas.openxmlformats.org/officeDocument/2006/relationships/hyperlink" Target="https://store.steampowered.com/app/1163600/Omega_Labyrinth_Life/" TargetMode="External"/><Relationship Id="rId535" Type="http://schemas.openxmlformats.org/officeDocument/2006/relationships/hyperlink" Target="https://store.steampowered.com/app/1434540/Zoeti/" TargetMode="External"/><Relationship Id="rId577" Type="http://schemas.openxmlformats.org/officeDocument/2006/relationships/hyperlink" Target="https://store.steampowered.com/app/3333700/The_Royal_Writ/" TargetMode="External"/><Relationship Id="rId132" Type="http://schemas.openxmlformats.org/officeDocument/2006/relationships/hyperlink" Target="https://store.steampowered.com/app/3435260/Dice_With_Death/" TargetMode="External"/><Relationship Id="rId174" Type="http://schemas.openxmlformats.org/officeDocument/2006/relationships/hyperlink" Target="https://store.steampowered.com/app/1265820/Fights_in_Tight_Spaces/" TargetMode="External"/><Relationship Id="rId381" Type="http://schemas.openxmlformats.org/officeDocument/2006/relationships/hyperlink" Target="https://store.steampowered.com/app/1253920/Rogue_Legacy_2/" TargetMode="External"/><Relationship Id="rId241" Type="http://schemas.openxmlformats.org/officeDocument/2006/relationships/hyperlink" Target="https://store.steampowered.com/app/509570/In_Celebration_of_Violence/" TargetMode="External"/><Relationship Id="rId437" Type="http://schemas.openxmlformats.org/officeDocument/2006/relationships/hyperlink" Target="https://store.steampowered.com/app/3908810/Stackflow/" TargetMode="External"/><Relationship Id="rId479" Type="http://schemas.openxmlformats.org/officeDocument/2006/relationships/hyperlink" Target="https://store.steampowered.com/app/2096510/The_Ouroboros_King/" TargetMode="External"/><Relationship Id="rId36" Type="http://schemas.openxmlformats.org/officeDocument/2006/relationships/hyperlink" Target="https://store.steampowered.com/app/2667120/Ballionaire/" TargetMode="External"/><Relationship Id="rId283" Type="http://schemas.openxmlformats.org/officeDocument/2006/relationships/hyperlink" Target="https://store.steampowered.com/app/1490610/METALLIC_CHILD/" TargetMode="External"/><Relationship Id="rId339" Type="http://schemas.openxmlformats.org/officeDocument/2006/relationships/hyperlink" Target="https://store.steampowered.com/app/3808690/Pathogenic/" TargetMode="External"/><Relationship Id="rId490" Type="http://schemas.openxmlformats.org/officeDocument/2006/relationships/hyperlink" Target="https://store.steampowered.com/app/3601130/Touhou_Crawl/" TargetMode="External"/><Relationship Id="rId504" Type="http://schemas.openxmlformats.org/officeDocument/2006/relationships/hyperlink" Target="https://store.steampowered.com/app/351700/UnReal_World/" TargetMode="External"/><Relationship Id="rId546" Type="http://schemas.openxmlformats.org/officeDocument/2006/relationships/hyperlink" Target="https://store.steampowered.com/app/943140/Sparklite/" TargetMode="External"/><Relationship Id="rId78" Type="http://schemas.openxmlformats.org/officeDocument/2006/relationships/hyperlink" Target="https://store.steampowered.com/app/3923750/Chosen_Garden/" TargetMode="External"/><Relationship Id="rId101" Type="http://schemas.openxmlformats.org/officeDocument/2006/relationships/hyperlink" Target="https://store.steampowered.com/app/1313140/Cult_of_the_Lamb/" TargetMode="External"/><Relationship Id="rId143" Type="http://schemas.openxmlformats.org/officeDocument/2006/relationships/hyperlink" Target="https://store.steampowered.com/app/219740/Dont_Starve/" TargetMode="External"/><Relationship Id="rId185" Type="http://schemas.openxmlformats.org/officeDocument/2006/relationships/hyperlink" Target="https://store.steampowered.com/app/212680/FTL_Faster_Than_Light/" TargetMode="External"/><Relationship Id="rId350" Type="http://schemas.openxmlformats.org/officeDocument/2006/relationships/hyperlink" Target="https://store.steampowered.com/app/3618850/Pronoun_Palace/" TargetMode="External"/><Relationship Id="rId406" Type="http://schemas.openxmlformats.org/officeDocument/2006/relationships/hyperlink" Target="https://store.steampowered.com/app/2178480/Shiren_the_Wanderer_The_Mystery_Dungeon_of_Serpentcoil_Island/" TargetMode="External"/><Relationship Id="rId588" Type="http://schemas.openxmlformats.org/officeDocument/2006/relationships/hyperlink" Target="https://store.steampowered.com/app/2116920/Runic_Survivor/" TargetMode="External"/><Relationship Id="rId9" Type="http://schemas.openxmlformats.org/officeDocument/2006/relationships/hyperlink" Target="https://store.steampowered.com/app/603530/A_Robot_Named_Fight/" TargetMode="External"/><Relationship Id="rId210" Type="http://schemas.openxmlformats.org/officeDocument/2006/relationships/hyperlink" Target="https://store.steampowered.com/app/3112010/Gumballs__Dungeons/" TargetMode="External"/><Relationship Id="rId392" Type="http://schemas.openxmlformats.org/officeDocument/2006/relationships/hyperlink" Target="https://store.steampowered.com/app/3542380/Rune_Dice/" TargetMode="External"/><Relationship Id="rId448" Type="http://schemas.openxmlformats.org/officeDocument/2006/relationships/hyperlink" Target="https://store.steampowered.com/app/1767170/Super_Bullet_Break/" TargetMode="External"/><Relationship Id="rId252" Type="http://schemas.openxmlformats.org/officeDocument/2006/relationships/hyperlink" Target="https://store.steampowered.com/app/3032830/Katanaut/" TargetMode="External"/><Relationship Id="rId294" Type="http://schemas.openxmlformats.org/officeDocument/2006/relationships/hyperlink" Target="https://store.steampowered.com/app/606150/Moonlighter/" TargetMode="External"/><Relationship Id="rId308" Type="http://schemas.openxmlformats.org/officeDocument/2006/relationships/hyperlink" Target="https://store.steampowered.com/app/2277320/Necrosmith_2/" TargetMode="External"/><Relationship Id="rId515" Type="http://schemas.openxmlformats.org/officeDocument/2006/relationships/hyperlink" Target="https://store.steampowered.com/app/659540/Warsim_The_Realm_of_Aslona/" TargetMode="External"/><Relationship Id="rId47" Type="http://schemas.openxmlformats.org/officeDocument/2006/relationships/hyperlink" Target="https://store.steampowered.com/app/2789810/Bingle_Bingle/" TargetMode="External"/><Relationship Id="rId89" Type="http://schemas.openxmlformats.org/officeDocument/2006/relationships/hyperlink" Target="https://store.steampowered.com/app/774801/Crab_Champions/" TargetMode="External"/><Relationship Id="rId112" Type="http://schemas.openxmlformats.org/officeDocument/2006/relationships/hyperlink" Target="https://store.steampowered.com/app/588650/Dead_Cells/" TargetMode="External"/><Relationship Id="rId154" Type="http://schemas.openxmlformats.org/officeDocument/2006/relationships/hyperlink" Target="https://store.steampowered.com/app/288120/Dungeonmans/" TargetMode="External"/><Relationship Id="rId361" Type="http://schemas.openxmlformats.org/officeDocument/2006/relationships/hyperlink" Target="https://store.steampowered.com/app/2055500/Repetendium/" TargetMode="External"/><Relationship Id="rId557" Type="http://schemas.openxmlformats.org/officeDocument/2006/relationships/hyperlink" Target="https://store.steampowered.com/app/4150860/The_Loopler/" TargetMode="External"/><Relationship Id="rId196" Type="http://schemas.openxmlformats.org/officeDocument/2006/relationships/hyperlink" Target="https://store.steampowered.com/app/2008510/Go_Mecha_Ball/" TargetMode="External"/><Relationship Id="rId417" Type="http://schemas.openxmlformats.org/officeDocument/2006/relationships/hyperlink" Target="https://store.steampowered.com/app/1775490/Slice__Dice/" TargetMode="External"/><Relationship Id="rId459" Type="http://schemas.openxmlformats.org/officeDocument/2006/relationships/hyperlink" Target="https://store.steampowered.com/app/528230/SYNTHETIK_Legion_Rising/" TargetMode="External"/><Relationship Id="rId16" Type="http://schemas.openxmlformats.org/officeDocument/2006/relationships/hyperlink" Target="https://store.steampowered.com/app/1668690/Alina_of_the_Arena/" TargetMode="External"/><Relationship Id="rId221" Type="http://schemas.openxmlformats.org/officeDocument/2006/relationships/hyperlink" Target="https://store.steampowered.com/app/1796470/Haste/" TargetMode="External"/><Relationship Id="rId263" Type="http://schemas.openxmlformats.org/officeDocument/2006/relationships/hyperlink" Target="https://store.steampowered.com/app/1452070/LONE_RUIN/" TargetMode="External"/><Relationship Id="rId319" Type="http://schemas.openxmlformats.org/officeDocument/2006/relationships/hyperlink" Target="https://store.steampowered.com/app/2068280/Nordic_Ashes_Survivors_of_Ragnarok/" TargetMode="External"/><Relationship Id="rId470" Type="http://schemas.openxmlformats.org/officeDocument/2006/relationships/hyperlink" Target="https://store.steampowered.com/app/1244800/Terraformers/" TargetMode="External"/><Relationship Id="rId526" Type="http://schemas.openxmlformats.org/officeDocument/2006/relationships/hyperlink" Target="https://store.steampowered.com/app/3140120/Wordatro/" TargetMode="External"/><Relationship Id="rId58" Type="http://schemas.openxmlformats.org/officeDocument/2006/relationships/hyperlink" Target="https://store.steampowered.com/app/1286350/BPM_BULLETS_PER_MINUTE/" TargetMode="External"/><Relationship Id="rId123" Type="http://schemas.openxmlformats.org/officeDocument/2006/relationships/hyperlink" Target="https://store.steampowered.com/app/325090/Deep_Dungeons_of_Doom/" TargetMode="External"/><Relationship Id="rId330" Type="http://schemas.openxmlformats.org/officeDocument/2006/relationships/hyperlink" Target="https://store.steampowered.com/app/266210/One_Way_Heroics/" TargetMode="External"/><Relationship Id="rId568" Type="http://schemas.openxmlformats.org/officeDocument/2006/relationships/hyperlink" Target="https://store.steampowered.com/app/4053960/Lexispell/" TargetMode="External"/><Relationship Id="rId165" Type="http://schemas.openxmlformats.org/officeDocument/2006/relationships/hyperlink" Target="https://store.steampowered.com/app/2343600/Endgame_of_Devil/" TargetMode="External"/><Relationship Id="rId372" Type="http://schemas.openxmlformats.org/officeDocument/2006/relationships/hyperlink" Target="https://store.steampowered.com/app/3308190/Ringer/" TargetMode="External"/><Relationship Id="rId428" Type="http://schemas.openxmlformats.org/officeDocument/2006/relationships/hyperlink" Target="https://store.steampowered.com/app/1990110/SpellRogue/" TargetMode="External"/><Relationship Id="rId232" Type="http://schemas.openxmlformats.org/officeDocument/2006/relationships/hyperlink" Target="https://store.steampowered.com/app/619820/Heroes_of_Hammerwatch_II/" TargetMode="External"/><Relationship Id="rId274" Type="http://schemas.openxmlformats.org/officeDocument/2006/relationships/hyperlink" Target="https://store.steampowered.com/app/2542350/Masks_of_the_Void_Origins/" TargetMode="External"/><Relationship Id="rId481" Type="http://schemas.openxmlformats.org/officeDocument/2006/relationships/hyperlink" Target="https://store.steampowered.com/app/1727590/THE_SPIRIT_LIFT/" TargetMode="External"/><Relationship Id="rId27" Type="http://schemas.openxmlformats.org/officeDocument/2006/relationships/hyperlink" Target="https://store.steampowered.com/app/1755830/Astrea_SixSided_Oracles/" TargetMode="External"/><Relationship Id="rId69" Type="http://schemas.openxmlformats.org/officeDocument/2006/relationships/hyperlink" Target="https://store.steampowered.com/app/3128280/Cats__Dice/" TargetMode="External"/><Relationship Id="rId134" Type="http://schemas.openxmlformats.org/officeDocument/2006/relationships/hyperlink" Target="https://store.steampowered.com/app/2501600/DICEOMANCER/" TargetMode="External"/><Relationship Id="rId537" Type="http://schemas.openxmlformats.org/officeDocument/2006/relationships/hyperlink" Target="https://store.steampowered.com/app/2125420/Zorbus/" TargetMode="External"/><Relationship Id="rId579" Type="http://schemas.openxmlformats.org/officeDocument/2006/relationships/hyperlink" Target="https://store.steampowered.com/app/2427700/Backpack_Battles/" TargetMode="External"/><Relationship Id="rId80" Type="http://schemas.openxmlformats.org/officeDocument/2006/relationships/hyperlink" Target="https://store.steampowered.com/app/3314790/CloverPit/" TargetMode="External"/><Relationship Id="rId176" Type="http://schemas.openxmlformats.org/officeDocument/2006/relationships/hyperlink" Target="https://store.steampowered.com/app/401710/Flinthook/" TargetMode="External"/><Relationship Id="rId341" Type="http://schemas.openxmlformats.org/officeDocument/2006/relationships/hyperlink" Target="https://store.steampowered.com/app/1296610/Peglin/" TargetMode="External"/><Relationship Id="rId383" Type="http://schemas.openxmlformats.org/officeDocument/2006/relationships/hyperlink" Target="https://store.steampowered.com/app/1494560/Rogue_Voltage/" TargetMode="External"/><Relationship Id="rId439" Type="http://schemas.openxmlformats.org/officeDocument/2006/relationships/hyperlink" Target="https://store.steampowered.com/app/2060750/Star_Survivor/" TargetMode="External"/><Relationship Id="rId590" Type="http://schemas.openxmlformats.org/officeDocument/2006/relationships/table" Target="../tables/table1.xml"/><Relationship Id="rId201" Type="http://schemas.openxmlformats.org/officeDocument/2006/relationships/hyperlink" Target="https://store.steampowered.com/app/1245430/Golden_Light/" TargetMode="External"/><Relationship Id="rId243" Type="http://schemas.openxmlformats.org/officeDocument/2006/relationships/hyperlink" Target="https://store.steampowered.com/app/3141310/Inkshade/" TargetMode="External"/><Relationship Id="rId285" Type="http://schemas.openxmlformats.org/officeDocument/2006/relationships/hyperlink" Target="https://store.steampowered.com/app/2455920/Mimic_Logic/" TargetMode="External"/><Relationship Id="rId450" Type="http://schemas.openxmlformats.org/officeDocument/2006/relationships/hyperlink" Target="https://store.steampowered.com/app/224820/Super_House_of_Dead_Ninjas/" TargetMode="External"/><Relationship Id="rId506" Type="http://schemas.openxmlformats.org/officeDocument/2006/relationships/hyperlink" Target="https://store.steampowered.com/app/1794680/Vampire_Survivors/" TargetMode="External"/><Relationship Id="rId38" Type="http://schemas.openxmlformats.org/officeDocument/2006/relationships/hyperlink" Target="https://store.steampowered.com/app/3664320/BARDA_Backpack_Roguelike/" TargetMode="External"/><Relationship Id="rId103" Type="http://schemas.openxmlformats.org/officeDocument/2006/relationships/hyperlink" Target="https://store.steampowered.com/app/2967670/Cupiclaw/" TargetMode="External"/><Relationship Id="rId310" Type="http://schemas.openxmlformats.org/officeDocument/2006/relationships/hyperlink" Target="https://store.steampowered.com/app/2735580/Netherworld_Covenant/" TargetMode="External"/><Relationship Id="rId492" Type="http://schemas.openxmlformats.org/officeDocument/2006/relationships/hyperlink" Target="https://store.steampowered.com/app/1005120/Touhou_Genso_Wanderer_Lotus_Labyrinth_R/" TargetMode="External"/><Relationship Id="rId548" Type="http://schemas.openxmlformats.org/officeDocument/2006/relationships/hyperlink" Target="https://store.steampowered.com/app/1618380?snr=5000_5100__" TargetMode="External"/><Relationship Id="rId91" Type="http://schemas.openxmlformats.org/officeDocument/2006/relationships/hyperlink" Target="https://store.steampowered.com/app/293780/Crawl/" TargetMode="External"/><Relationship Id="rId145" Type="http://schemas.openxmlformats.org/officeDocument/2006/relationships/hyperlink" Target="https://store.steampowered.com/app/1967260/Double_Dragon_Gaiden_Rise_Of_The_Dragons/" TargetMode="External"/><Relationship Id="rId187" Type="http://schemas.openxmlformats.org/officeDocument/2006/relationships/hyperlink" Target="https://store.steampowered.com/app/465200/Fury_Unleashed/" TargetMode="External"/><Relationship Id="rId352" Type="http://schemas.openxmlformats.org/officeDocument/2006/relationships/hyperlink" Target="https://store.steampowered.com/app/2059170/Quasimorph/" TargetMode="External"/><Relationship Id="rId394" Type="http://schemas.openxmlformats.org/officeDocument/2006/relationships/hyperlink" Target="https://store.steampowered.com/app/3656560/Runeveil/" TargetMode="External"/><Relationship Id="rId408" Type="http://schemas.openxmlformats.org/officeDocument/2006/relationships/hyperlink" Target="https://store.steampowered.com/app/2084000/Shogun_Showdown/" TargetMode="External"/><Relationship Id="rId212" Type="http://schemas.openxmlformats.org/officeDocument/2006/relationships/hyperlink" Target="https://store.steampowered.com/app/1512480/Gunlocked/" TargetMode="External"/><Relationship Id="rId254" Type="http://schemas.openxmlformats.org/officeDocument/2006/relationships/hyperlink" Target="https://store.steampowered.com/app/2002220/Keepers_Toll/" TargetMode="External"/><Relationship Id="rId49" Type="http://schemas.openxmlformats.org/officeDocument/2006/relationships/hyperlink" Target="https://store.steampowered.com/app/3100370/Black_Jacket/" TargetMode="External"/><Relationship Id="rId114" Type="http://schemas.openxmlformats.org/officeDocument/2006/relationships/hyperlink" Target="https://store.steampowered.com/app/3512300/Dead_Finger_Dice/" TargetMode="External"/><Relationship Id="rId296" Type="http://schemas.openxmlformats.org/officeDocument/2006/relationships/hyperlink" Target="https://store.steampowered.com/app/3052450/Morimens/" TargetMode="External"/><Relationship Id="rId461" Type="http://schemas.openxmlformats.org/officeDocument/2006/relationships/hyperlink" Target="https://store.steampowered.com/app/1199030/Tainted_Grail_Conquest/" TargetMode="External"/><Relationship Id="rId517" Type="http://schemas.openxmlformats.org/officeDocument/2006/relationships/hyperlink" Target="https://store.steampowered.com/app/307110/We_Need_To_Go_Deeper/" TargetMode="External"/><Relationship Id="rId559" Type="http://schemas.openxmlformats.org/officeDocument/2006/relationships/hyperlink" Target="https://store.steampowered.com/app/3271280/Shroom_and_Gloom/" TargetMode="External"/><Relationship Id="rId60" Type="http://schemas.openxmlformats.org/officeDocument/2006/relationships/hyperlink" Target="https://store.steampowered.com/app/1394130/Breach_Wanderers/" TargetMode="External"/><Relationship Id="rId156" Type="http://schemas.openxmlformats.org/officeDocument/2006/relationships/hyperlink" Target="https://store.steampowered.com/app/98800/Dungeons_of_Dredmor/" TargetMode="External"/><Relationship Id="rId198" Type="http://schemas.openxmlformats.org/officeDocument/2006/relationships/hyperlink" Target="https://store.steampowered.com/app/2687400/GODBREAKERS/" TargetMode="External"/><Relationship Id="rId321" Type="http://schemas.openxmlformats.org/officeDocument/2006/relationships/hyperlink" Target="https://store.steampowered.com/app/681730/Nowhere_Prophet/" TargetMode="External"/><Relationship Id="rId363" Type="http://schemas.openxmlformats.org/officeDocument/2006/relationships/hyperlink" Target="https://store.steampowered.com/app/2185780/Return_to_abyss/" TargetMode="External"/><Relationship Id="rId419" Type="http://schemas.openxmlformats.org/officeDocument/2006/relationships/hyperlink" Target="https://store.steampowered.com/app/3631290/Slots__Daggers/" TargetMode="External"/><Relationship Id="rId570" Type="http://schemas.openxmlformats.org/officeDocument/2006/relationships/hyperlink" Target="https://store.steampowered.com/app/2468100/Pyrene/" TargetMode="External"/><Relationship Id="rId223" Type="http://schemas.openxmlformats.org/officeDocument/2006/relationships/hyperlink" Target="https://store.steampowered.com/app/2824490/He_is_Coming/" TargetMode="External"/><Relationship Id="rId430" Type="http://schemas.openxmlformats.org/officeDocument/2006/relationships/hyperlink" Target="https://store.steampowered.com/app/418530/Spelunky_2/" TargetMode="External"/><Relationship Id="rId18" Type="http://schemas.openxmlformats.org/officeDocument/2006/relationships/hyperlink" Target="https://store.steampowered.com/app/333300/ADOM_Ancient_Domains_Of_Mystery/" TargetMode="External"/><Relationship Id="rId265" Type="http://schemas.openxmlformats.org/officeDocument/2006/relationships/hyperlink" Target="https://store.steampowered.com/app/1282730/Loop_Hero/" TargetMode="External"/><Relationship Id="rId472" Type="http://schemas.openxmlformats.org/officeDocument/2006/relationships/hyperlink" Target="https://store.steampowered.com/app/113200/The_Binding_of_Isaac/" TargetMode="External"/><Relationship Id="rId528" Type="http://schemas.openxmlformats.org/officeDocument/2006/relationships/hyperlink" Target="https://store.steampowered.com/app/3640430/Worlds_Upon_The_Wind/" TargetMode="External"/><Relationship Id="rId125" Type="http://schemas.openxmlformats.org/officeDocument/2006/relationships/hyperlink" Target="https://store.steampowered.com/app/3720420/Demon_Lord_Just_a_Block/" TargetMode="External"/><Relationship Id="rId167" Type="http://schemas.openxmlformats.org/officeDocument/2006/relationships/hyperlink" Target="https://store.steampowered.com/app/311690/Enter_the_Gungeon/" TargetMode="External"/><Relationship Id="rId332" Type="http://schemas.openxmlformats.org/officeDocument/2006/relationships/hyperlink" Target="https://store.steampowered.com/app/1608640/OTXO/" TargetMode="External"/><Relationship Id="rId374" Type="http://schemas.openxmlformats.org/officeDocument/2006/relationships/hyperlink" Target="https://store.steampowered.com/app/632360/Risk_of_Rain_2/" TargetMode="External"/><Relationship Id="rId581" Type="http://schemas.openxmlformats.org/officeDocument/2006/relationships/hyperlink" Target="https://store.steampowered.com/app/3917700/Dicevaders/" TargetMode="External"/><Relationship Id="rId71" Type="http://schemas.openxmlformats.org/officeDocument/2006/relationships/hyperlink" Target="https://store.steampowered.com/app/333640/Caves_of_Qud/" TargetMode="External"/><Relationship Id="rId234" Type="http://schemas.openxmlformats.org/officeDocument/2006/relationships/hyperlink" Target="https://store.steampowered.com/app/2420510/HoloCure__Save_the_Fans/" TargetMode="External"/><Relationship Id="rId2" Type="http://schemas.openxmlformats.org/officeDocument/2006/relationships/hyperlink" Target="https://store.steampowered.com/app/1966900/20_Minutes_Till_Dawn/" TargetMode="External"/><Relationship Id="rId29" Type="http://schemas.openxmlformats.org/officeDocument/2006/relationships/hyperlink" Target="https://store.steampowered.com/app/1234940/Astronarch/" TargetMode="External"/><Relationship Id="rId276" Type="http://schemas.openxmlformats.org/officeDocument/2006/relationships/hyperlink" Target="https://store.steampowered.com/app/3385370/Maze_Mice/" TargetMode="External"/><Relationship Id="rId441" Type="http://schemas.openxmlformats.org/officeDocument/2006/relationships/hyperlink" Target="https://store.steampowered.com/app/2097570/StarVaders/" TargetMode="External"/><Relationship Id="rId483" Type="http://schemas.openxmlformats.org/officeDocument/2006/relationships/hyperlink" Target="https://store.steampowered.com/app/1056490/The_World_is_Your_Weapon/" TargetMode="External"/><Relationship Id="rId539" Type="http://schemas.openxmlformats.org/officeDocument/2006/relationships/hyperlink" Target="https://store.steampowered.com/app/2766910/PengPong/" TargetMode="External"/><Relationship Id="rId40" Type="http://schemas.openxmlformats.org/officeDocument/2006/relationships/hyperlink" Target="https://store.steampowered.com/app/365360/Battle_Brothers/" TargetMode="External"/><Relationship Id="rId136" Type="http://schemas.openxmlformats.org/officeDocument/2006/relationships/hyperlink" Target="https://store.steampowered.com/app/2026820/Die_in_the_Dungeon/" TargetMode="External"/><Relationship Id="rId178" Type="http://schemas.openxmlformats.org/officeDocument/2006/relationships/hyperlink" Target="https://store.steampowered.com/app/2206240/Footgun_Underground/" TargetMode="External"/><Relationship Id="rId301" Type="http://schemas.openxmlformats.org/officeDocument/2006/relationships/hyperlink" Target="https://store.steampowered.com/app/1625450/Muck/" TargetMode="External"/><Relationship Id="rId343" Type="http://schemas.openxmlformats.org/officeDocument/2006/relationships/hyperlink" Target="https://store.steampowered.com/app/2479320/Pesticide_Not_Required/" TargetMode="External"/><Relationship Id="rId550" Type="http://schemas.openxmlformats.org/officeDocument/2006/relationships/hyperlink" Target="https://store.steampowered.com/app/2488590/Dungeons_of_Blood_and_Dream/" TargetMode="External"/><Relationship Id="rId82" Type="http://schemas.openxmlformats.org/officeDocument/2006/relationships/hyperlink" Target="https://store.steampowered.com/app/2179850/Cobalt_Core/" TargetMode="External"/><Relationship Id="rId203" Type="http://schemas.openxmlformats.org/officeDocument/2006/relationships/hyperlink" Target="https://store.steampowered.com/app/437570/GoNNER/" TargetMode="External"/><Relationship Id="rId385" Type="http://schemas.openxmlformats.org/officeDocument/2006/relationships/hyperlink" Target="https://store.steampowered.com/app/1076200/Roguebook/" TargetMode="External"/><Relationship Id="rId245" Type="http://schemas.openxmlformats.org/officeDocument/2006/relationships/hyperlink" Target="https://store.steampowered.com/app/1385100/Insurmountable/" TargetMode="External"/><Relationship Id="rId287" Type="http://schemas.openxmlformats.org/officeDocument/2006/relationships/hyperlink" Target="https://store.steampowered.com/app/1660290/Monmusu_Gladiator/" TargetMode="External"/><Relationship Id="rId410" Type="http://schemas.openxmlformats.org/officeDocument/2006/relationships/hyperlink" Target="https://store.steampowered.com/app/4594150/Sir_We_Have_an_Orc_Problem" TargetMode="External"/><Relationship Id="rId452" Type="http://schemas.openxmlformats.org/officeDocument/2006/relationships/hyperlink" Target="https://store.steampowered.com/app/442210/Switchcars/" TargetMode="External"/><Relationship Id="rId494" Type="http://schemas.openxmlformats.org/officeDocument/2006/relationships/hyperlink" Target="https://store.steampowered.com/app/593700/Tower_Fortress/" TargetMode="External"/><Relationship Id="rId508" Type="http://schemas.openxmlformats.org/officeDocument/2006/relationships/hyperlink" Target="https://store.steampowered.com/app/3741860/Vital_Shell/" TargetMode="External"/><Relationship Id="rId105" Type="http://schemas.openxmlformats.org/officeDocument/2006/relationships/hyperlink" Target="https://store.steampowered.com/app/1123770/Curse_of_the_Dead_Gods/" TargetMode="External"/><Relationship Id="rId147" Type="http://schemas.openxmlformats.org/officeDocument/2006/relationships/hyperlink" Target="https://store.steampowered.com/app/3103780/DRAPLINE/" TargetMode="External"/><Relationship Id="rId312" Type="http://schemas.openxmlformats.org/officeDocument/2006/relationships/hyperlink" Target="https://store.steampowered.com/app/3668370/Night_Swarm/" TargetMode="External"/><Relationship Id="rId354" Type="http://schemas.openxmlformats.org/officeDocument/2006/relationships/hyperlink" Target="https://store.steampowered.com/app/3784030/RACCOIN_Coin_Pusher_Roguelike/" TargetMode="External"/><Relationship Id="rId51" Type="http://schemas.openxmlformats.org/officeDocument/2006/relationships/hyperlink" Target="https://store.steampowered.com/app/2193050/Bleak_Sword_DX/" TargetMode="External"/><Relationship Id="rId93" Type="http://schemas.openxmlformats.org/officeDocument/2006/relationships/hyperlink" Target="https://store.steampowered.com/app/1619520/Cross_Blitz/" TargetMode="External"/><Relationship Id="rId189" Type="http://schemas.openxmlformats.org/officeDocument/2006/relationships/hyperlink" Target="https://store.steampowered.com/app/1565090/GearHead_Caramel/" TargetMode="External"/><Relationship Id="rId396" Type="http://schemas.openxmlformats.org/officeDocument/2006/relationships/hyperlink" Target="https://store.steampowered.com/app/1639080/Sandwalkers/" TargetMode="External"/><Relationship Id="rId561" Type="http://schemas.openxmlformats.org/officeDocument/2006/relationships/hyperlink" Target="https://store.steampowered.com/app/2605790/Deep_Rock_Galactic_Rogue_Core/" TargetMode="External"/><Relationship Id="rId214" Type="http://schemas.openxmlformats.org/officeDocument/2006/relationships/hyperlink" Target="https://store.steampowered.com/app/1260590/Hadean_Tactics/" TargetMode="External"/><Relationship Id="rId256" Type="http://schemas.openxmlformats.org/officeDocument/2006/relationships/hyperlink" Target="https://store.steampowered.com/app/496300/Kingdom_New_Lands/" TargetMode="External"/><Relationship Id="rId298" Type="http://schemas.openxmlformats.org/officeDocument/2006/relationships/hyperlink" Target="https://store.steampowered.com/app/574090/MOTHERGUNSHIP/" TargetMode="External"/><Relationship Id="rId421" Type="http://schemas.openxmlformats.org/officeDocument/2006/relationships/hyperlink" Target="https://store.steampowered.com/app/2178990/Sodaman/" TargetMode="External"/><Relationship Id="rId463" Type="http://schemas.openxmlformats.org/officeDocument/2006/relationships/hyperlink" Target="https://store.steampowered.com/app/259680/Tales_of_MajEyal/" TargetMode="External"/><Relationship Id="rId519" Type="http://schemas.openxmlformats.org/officeDocument/2006/relationships/hyperlink" Target="https://store.steampowered.com/app/1016790/West_of_Dead/" TargetMode="External"/><Relationship Id="rId116" Type="http://schemas.openxmlformats.org/officeDocument/2006/relationships/hyperlink" Target="https://store.steampowered.com/app/2334730/Death_Must_Die/" TargetMode="External"/><Relationship Id="rId158" Type="http://schemas.openxmlformats.org/officeDocument/2006/relationships/hyperlink" Target="https://store.steampowered.com/app/975370/Dwarf_Fortress/" TargetMode="External"/><Relationship Id="rId323" Type="http://schemas.openxmlformats.org/officeDocument/2006/relationships/hyperlink" Target="https://store.steampowered.com/app/242680/Nuclear_Throne/" TargetMode="External"/><Relationship Id="rId530" Type="http://schemas.openxmlformats.org/officeDocument/2006/relationships/hyperlink" Target="https://store.steampowered.com/app/2459750/Yohane_the_Parhelion__NUMAZU_in_the_MIRAGE/" TargetMode="External"/><Relationship Id="rId20" Type="http://schemas.openxmlformats.org/officeDocument/2006/relationships/hyperlink" Target="https://store.steampowered.com/app/2332970/ARC_SEED/" TargetMode="External"/><Relationship Id="rId62" Type="http://schemas.openxmlformats.org/officeDocument/2006/relationships/hyperlink" Target="https://store.steampowered.com/app/3473250/BroomSweeper/" TargetMode="External"/><Relationship Id="rId365" Type="http://schemas.openxmlformats.org/officeDocument/2006/relationships/hyperlink" Target="https://store.steampowered.com/app/1175460/Revita/" TargetMode="External"/><Relationship Id="rId572" Type="http://schemas.openxmlformats.org/officeDocument/2006/relationships/hyperlink" Target="https://store.steampowered.com/app/2082410/Anomaly_Collapse/" TargetMode="External"/><Relationship Id="rId225" Type="http://schemas.openxmlformats.org/officeDocument/2006/relationships/hyperlink" Target="https://store.steampowered.com/app/297120/Heavy_Bullets/" TargetMode="External"/><Relationship Id="rId267" Type="http://schemas.openxmlformats.org/officeDocument/2006/relationships/hyperlink" Target="https://store.steampowered.com/app/2638050/Lost_For_Swords/" TargetMode="External"/><Relationship Id="rId432" Type="http://schemas.openxmlformats.org/officeDocument/2006/relationships/hyperlink" Target="https://store.steampowered.com/app/1914580/Spirit_Hunters_Infinite_Horde/" TargetMode="External"/><Relationship Id="rId474" Type="http://schemas.openxmlformats.org/officeDocument/2006/relationships/hyperlink" Target="https://store.steampowered.com/app/318600/The_Flame_in_the_Flood/" TargetMode="External"/><Relationship Id="rId127" Type="http://schemas.openxmlformats.org/officeDocument/2006/relationships/hyperlink" Target="https://store.steampowered.com/app/1588340/Demonlore/" TargetMode="External"/><Relationship Id="rId31" Type="http://schemas.openxmlformats.org/officeDocument/2006/relationships/hyperlink" Target="https://store.steampowered.com/app/757320/Atomicrops/" TargetMode="External"/><Relationship Id="rId73" Type="http://schemas.openxmlformats.org/officeDocument/2006/relationships/hyperlink" Target="https://store.steampowered.com/app/2308000/Centipede_Gun/" TargetMode="External"/><Relationship Id="rId169" Type="http://schemas.openxmlformats.org/officeDocument/2006/relationships/hyperlink" Target="https://store.steampowered.com/app/2281820/Evolings/" TargetMode="External"/><Relationship Id="rId334" Type="http://schemas.openxmlformats.org/officeDocument/2006/relationships/hyperlink" Target="https://store.steampowered.com/app/3410180/Overlooting/" TargetMode="External"/><Relationship Id="rId376" Type="http://schemas.openxmlformats.org/officeDocument/2006/relationships/hyperlink" Target="https://store.steampowered.com/app/692890/Roboquest/" TargetMode="External"/><Relationship Id="rId541" Type="http://schemas.openxmlformats.org/officeDocument/2006/relationships/hyperlink" Target="https://store.steampowered.com/app/2543510/GUNTOUCHABLES/" TargetMode="External"/><Relationship Id="rId583" Type="http://schemas.openxmlformats.org/officeDocument/2006/relationships/hyperlink" Target="https://store.steampowered.com/app/2427450/Flick_Shot_Rogues/" TargetMode="External"/><Relationship Id="rId4" Type="http://schemas.openxmlformats.org/officeDocument/2006/relationships/hyperlink" Target="https://store.steampowered.com/app/1029210/30XX/" TargetMode="External"/><Relationship Id="rId180" Type="http://schemas.openxmlformats.org/officeDocument/2006/relationships/hyperlink" Target="https://store.steampowered.com/app/1676840/For_The_King_II/" TargetMode="External"/><Relationship Id="rId236" Type="http://schemas.openxmlformats.org/officeDocument/2006/relationships/hyperlink" Target="https://store.steampowered.com/app/3934270/How_Many_Dudes/" TargetMode="External"/><Relationship Id="rId278" Type="http://schemas.openxmlformats.org/officeDocument/2006/relationships/hyperlink" Target="https://store.steampowered.com/app/3405340/Megabonk/" TargetMode="External"/><Relationship Id="rId401" Type="http://schemas.openxmlformats.org/officeDocument/2006/relationships/hyperlink" Target="https://store.steampowered.com/app/3039930/Seedborne_Soldiers/" TargetMode="External"/><Relationship Id="rId443" Type="http://schemas.openxmlformats.org/officeDocument/2006/relationships/hyperlink" Target="https://store.steampowered.com/app/442780/STRAFE_Gold_Edition/" TargetMode="External"/><Relationship Id="rId303" Type="http://schemas.openxmlformats.org/officeDocument/2006/relationships/hyperlink" Target="https://store.steampowered.com/app/2508940/Mythical_Concept_STARNAUT/" TargetMode="External"/><Relationship Id="rId485" Type="http://schemas.openxmlformats.org/officeDocument/2006/relationships/hyperlink" Target="https://store.steampowered.com/app/1290330/Time_Wasters/" TargetMode="External"/><Relationship Id="rId42" Type="http://schemas.openxmlformats.org/officeDocument/2006/relationships/hyperlink" Target="https://store.steampowered.com/app/2499520/Be_My_Horde/" TargetMode="External"/><Relationship Id="rId84" Type="http://schemas.openxmlformats.org/officeDocument/2006/relationships/hyperlink" Target="https://store.steampowered.com/app/940710/Colt_Canyon/" TargetMode="External"/><Relationship Id="rId138" Type="http://schemas.openxmlformats.org/officeDocument/2006/relationships/hyperlink" Target="https://store.steampowered.com/app/2083160/Disfigure/" TargetMode="External"/><Relationship Id="rId345" Type="http://schemas.openxmlformats.org/officeDocument/2006/relationships/hyperlink" Target="https://store.steampowered.com/app/2797650/Pip_My_Dice/" TargetMode="External"/><Relationship Id="rId387" Type="http://schemas.openxmlformats.org/officeDocument/2006/relationships/hyperlink" Target="https://store.steampowered.com/app/1443100/RogueSlide/" TargetMode="External"/><Relationship Id="rId510" Type="http://schemas.openxmlformats.org/officeDocument/2006/relationships/hyperlink" Target="https://store.steampowered.com/app/2005210/Void_Scrappers/" TargetMode="External"/><Relationship Id="rId552" Type="http://schemas.openxmlformats.org/officeDocument/2006/relationships/hyperlink" Target="https://store.steampowered.com/app/1721110/Abyssus/" TargetMode="External"/><Relationship Id="rId191" Type="http://schemas.openxmlformats.org/officeDocument/2006/relationships/hyperlink" Target="https://store.steampowered.com/app/4130120/Genome_Guardian_2/" TargetMode="External"/><Relationship Id="rId205" Type="http://schemas.openxmlformats.org/officeDocument/2006/relationships/hyperlink" Target="https://store.steampowered.com/app/981430/Gordian_Quest/" TargetMode="External"/><Relationship Id="rId247" Type="http://schemas.openxmlformats.org/officeDocument/2006/relationships/hyperlink" Target="https://store.steampowered.com/app/2576200/Into_The_Grid/" TargetMode="External"/><Relationship Id="rId412" Type="http://schemas.openxmlformats.org/officeDocument/2006/relationships/hyperlink" Target="https://store.steampowered.com/app/381020/Sky_Rogue/" TargetMode="External"/><Relationship Id="rId107" Type="http://schemas.openxmlformats.org/officeDocument/2006/relationships/hyperlink" Target="https://store.steampowered.com/app/718590/Dark_Devotion/" TargetMode="External"/><Relationship Id="rId289" Type="http://schemas.openxmlformats.org/officeDocument/2006/relationships/hyperlink" Target="https://store.steampowered.com/app/1102190/Monster_Train/" TargetMode="External"/><Relationship Id="rId454" Type="http://schemas.openxmlformats.org/officeDocument/2006/relationships/hyperlink" Target="https://store.steampowered.com/app/1243890/Sword_of_the_Necromancer/" TargetMode="External"/><Relationship Id="rId496" Type="http://schemas.openxmlformats.org/officeDocument/2006/relationships/hyperlink" Target="https://store.steampowered.com/app/1709900/Tower_Tactics_Liberation/" TargetMode="External"/><Relationship Id="rId11" Type="http://schemas.openxmlformats.org/officeDocument/2006/relationships/hyperlink" Target="https://store.steampowered.com/app/1904480/Absolum/" TargetMode="External"/><Relationship Id="rId53" Type="http://schemas.openxmlformats.org/officeDocument/2006/relationships/hyperlink" Target="https://store.steampowered.com/app/2837350/Block_Tower_TD_2/" TargetMode="External"/><Relationship Id="rId149" Type="http://schemas.openxmlformats.org/officeDocument/2006/relationships/hyperlink" Target="https://store.steampowered.com/app/2525310/Drop_Duchy/" TargetMode="External"/><Relationship Id="rId314" Type="http://schemas.openxmlformats.org/officeDocument/2006/relationships/hyperlink" Target="https://store.steampowered.com/app/881100/Noita/" TargetMode="External"/><Relationship Id="rId356" Type="http://schemas.openxmlformats.org/officeDocument/2006/relationships/hyperlink" Target="https://store.steampowered.com/app/314410/Rampage_Knights/" TargetMode="External"/><Relationship Id="rId398" Type="http://schemas.openxmlformats.org/officeDocument/2006/relationships/hyperlink" Target="https://store.steampowered.com/app/2084300/Schism/" TargetMode="External"/><Relationship Id="rId521" Type="http://schemas.openxmlformats.org/officeDocument/2006/relationships/hyperlink" Target="https://store.steampowered.com/app/4206270/Wireworks/" TargetMode="External"/><Relationship Id="rId563" Type="http://schemas.openxmlformats.org/officeDocument/2006/relationships/hyperlink" Target="https://store.steampowered.com/app/3351280/Tinker_Shot/" TargetMode="External"/><Relationship Id="rId95" Type="http://schemas.openxmlformats.org/officeDocument/2006/relationships/hyperlink" Target="https://store.steampowered.com/app/1098610/Crush_the_Industry/" TargetMode="External"/><Relationship Id="rId160" Type="http://schemas.openxmlformats.org/officeDocument/2006/relationships/hyperlink" Target="https://store.steampowered.com/app/252630/Eldritch/" TargetMode="External"/><Relationship Id="rId216" Type="http://schemas.openxmlformats.org/officeDocument/2006/relationships/hyperlink" Target="https://store.steampowered.com/app/1145350/Hades_II/" TargetMode="External"/><Relationship Id="rId423" Type="http://schemas.openxmlformats.org/officeDocument/2006/relationships/hyperlink" Target="https://store.steampowered.com/app/463980/Solitairica/" TargetMode="External"/><Relationship Id="rId258" Type="http://schemas.openxmlformats.org/officeDocument/2006/relationships/hyperlink" Target="https://store.steampowered.com/app/3093400/Knightica/" TargetMode="External"/><Relationship Id="rId465" Type="http://schemas.openxmlformats.org/officeDocument/2006/relationships/hyperlink" Target="https://store.steampowered.com/app/628770/Tangledeep/" TargetMode="External"/><Relationship Id="rId22" Type="http://schemas.openxmlformats.org/officeDocument/2006/relationships/hyperlink" Target="https://store.steampowered.com/app/4252700/Archon_Soul/" TargetMode="External"/><Relationship Id="rId64" Type="http://schemas.openxmlformats.org/officeDocument/2006/relationships/hyperlink" Target="https://store.steampowered.com/app/1734320/Brutal_Orchestra/" TargetMode="External"/><Relationship Id="rId118" Type="http://schemas.openxmlformats.org/officeDocument/2006/relationships/hyperlink" Target="https://store.steampowered.com/app/1619570/Death_Roads_Tournament/" TargetMode="External"/><Relationship Id="rId325" Type="http://schemas.openxmlformats.org/officeDocument/2006/relationships/hyperlink" Target="https://store.steampowered.com/app/1373260/Obsidian_Prince/" TargetMode="External"/><Relationship Id="rId367" Type="http://schemas.openxmlformats.org/officeDocument/2006/relationships/hyperlink" Target="https://store.steampowered.com/app/1271280/Rift_Wizard/" TargetMode="External"/><Relationship Id="rId532" Type="http://schemas.openxmlformats.org/officeDocument/2006/relationships/hyperlink" Target="https://store.steampowered.com/app/2229560/Zet_Zillions/" TargetMode="External"/><Relationship Id="rId574" Type="http://schemas.openxmlformats.org/officeDocument/2006/relationships/hyperlink" Target="https://store.steampowered.com/app/3087930/Pebble_Knights/" TargetMode="External"/><Relationship Id="rId171" Type="http://schemas.openxmlformats.org/officeDocument/2006/relationships/hyperlink" Target="https://store.steampowered.com/app/2605600/Facehand/" TargetMode="External"/><Relationship Id="rId227" Type="http://schemas.openxmlformats.org/officeDocument/2006/relationships/hyperlink" Target="https://store.steampowered.com/app/3372060/Hell_Maiden/" TargetMode="External"/><Relationship Id="rId269" Type="http://schemas.openxmlformats.org/officeDocument/2006/relationships/hyperlink" Target="https://store.steampowered.com/app/2404510/Lucky_Hero/" TargetMode="External"/><Relationship Id="rId434" Type="http://schemas.openxmlformats.org/officeDocument/2006/relationships/hyperlink" Target="https://store.steampowered.com/app/1078200/Spirits_Abyss/" TargetMode="External"/><Relationship Id="rId476" Type="http://schemas.openxmlformats.org/officeDocument/2006/relationships/hyperlink" Target="https://store.steampowered.com/app/2563800/The_Last_Game/" TargetMode="External"/><Relationship Id="rId33" Type="http://schemas.openxmlformats.org/officeDocument/2006/relationships/hyperlink" Target="https://store.steampowered.com/app/688420/Bad_North_Jotunn_Edition/" TargetMode="External"/><Relationship Id="rId129" Type="http://schemas.openxmlformats.org/officeDocument/2006/relationships/hyperlink" Target="https://store.steampowered.com/app/1227280/Despots_Game_Dystopian_Battle_Simulator/" TargetMode="External"/><Relationship Id="rId280" Type="http://schemas.openxmlformats.org/officeDocument/2006/relationships/hyperlink" Target="https://store.steampowered.com/app/3519530/Merge_Maestro/" TargetMode="External"/><Relationship Id="rId336" Type="http://schemas.openxmlformats.org/officeDocument/2006/relationships/hyperlink" Target="https://store.steampowered.com/app/1504250/Paper_Planet/" TargetMode="External"/><Relationship Id="rId501" Type="http://schemas.openxmlformats.org/officeDocument/2006/relationships/hyperlink" Target="https://store.steampowered.com/app/1266820/Ultimate_ADOM__Caverns_of_Chaos/" TargetMode="External"/><Relationship Id="rId543" Type="http://schemas.openxmlformats.org/officeDocument/2006/relationships/hyperlink" Target="https://store.steampowered.com/app/3484940/Curse_of_Pirates/" TargetMode="External"/><Relationship Id="rId75" Type="http://schemas.openxmlformats.org/officeDocument/2006/relationships/hyperlink" Target="https://store.steampowered.com/app/330020/Children_of_Morta/" TargetMode="External"/><Relationship Id="rId140" Type="http://schemas.openxmlformats.org/officeDocument/2006/relationships/hyperlink" Target="https://store.steampowered.com/app/3839300/Dogpile/" TargetMode="External"/><Relationship Id="rId182" Type="http://schemas.openxmlformats.org/officeDocument/2006/relationships/hyperlink" Target="https://store.steampowered.com/app/1766390/FORWARD_Escape_the_Fold__Ultimate_Edition/" TargetMode="External"/><Relationship Id="rId378" Type="http://schemas.openxmlformats.org/officeDocument/2006/relationships/hyperlink" Target="https://store.steampowered.com/app/1443430/Rogue/" TargetMode="External"/><Relationship Id="rId403" Type="http://schemas.openxmlformats.org/officeDocument/2006/relationships/hyperlink" Target="https://store.steampowered.com/app/3069050/Serpents_Gaze/" TargetMode="External"/><Relationship Id="rId585" Type="http://schemas.openxmlformats.org/officeDocument/2006/relationships/hyperlink" Target="https://store.steampowered.com/app/1968630/Stories_from_the_Outbreak/" TargetMode="External"/><Relationship Id="rId6" Type="http://schemas.openxmlformats.org/officeDocument/2006/relationships/hyperlink" Target="https://store.steampowered.com/app/3304110/868BACK/" TargetMode="External"/><Relationship Id="rId238" Type="http://schemas.openxmlformats.org/officeDocument/2006/relationships/hyperlink" Target="https://store.steampowered.com/app/3109580/I_Am_Legion_Stand_Survivors/" TargetMode="External"/><Relationship Id="rId445" Type="http://schemas.openxmlformats.org/officeDocument/2006/relationships/hyperlink" Target="https://store.steampowered.com/app/535480/Sundered_Eldritch_Edition/" TargetMode="External"/><Relationship Id="rId487" Type="http://schemas.openxmlformats.org/officeDocument/2006/relationships/hyperlink" Target="https://store.steampowered.com/app/2088570/Tiny_Rogues/" TargetMode="External"/><Relationship Id="rId291" Type="http://schemas.openxmlformats.org/officeDocument/2006/relationships/hyperlink" Target="https://store.steampowered.com/app/296710/Monstrum/" TargetMode="External"/><Relationship Id="rId305" Type="http://schemas.openxmlformats.org/officeDocument/2006/relationships/hyperlink" Target="https://store.steampowered.com/app/1786830/NecroBouncer/" TargetMode="External"/><Relationship Id="rId347" Type="http://schemas.openxmlformats.org/officeDocument/2006/relationships/hyperlink" Target="https://store.steampowered.com/app/1599600/PlateUp/" TargetMode="External"/><Relationship Id="rId512" Type="http://schemas.openxmlformats.org/officeDocument/2006/relationships/hyperlink" Target="https://store.steampowered.com/app/2464530/VOIN/" TargetMode="External"/><Relationship Id="rId44" Type="http://schemas.openxmlformats.org/officeDocument/2006/relationships/hyperlink" Target="https://store.steampowered.com/app/3007660/Bella_Wants_Blood/" TargetMode="External"/><Relationship Id="rId86" Type="http://schemas.openxmlformats.org/officeDocument/2006/relationships/hyperlink" Target="https://store.steampowered.com/app/318230/Convoy/" TargetMode="External"/><Relationship Id="rId151" Type="http://schemas.openxmlformats.org/officeDocument/2006/relationships/hyperlink" Target="https://store.steampowered.com/app/861330/Dungeon_Deathball/" TargetMode="External"/><Relationship Id="rId389" Type="http://schemas.openxmlformats.org/officeDocument/2006/relationships/hyperlink" Target="https://store.steampowered.com/app/2904290/RollScape/" TargetMode="External"/><Relationship Id="rId554" Type="http://schemas.openxmlformats.org/officeDocument/2006/relationships/hyperlink" Target="https://store.steampowered.com/app/3561220/Pass_the_Fear/" TargetMode="External"/><Relationship Id="rId193" Type="http://schemas.openxmlformats.org/officeDocument/2006/relationships/hyperlink" Target="https://store.steampowered.com/app/1667700/Geometry_Arena_2/" TargetMode="External"/><Relationship Id="rId207" Type="http://schemas.openxmlformats.org/officeDocument/2006/relationships/hyperlink" Target="https://store.steampowered.com/app/601840/Griftlands/" TargetMode="External"/><Relationship Id="rId249" Type="http://schemas.openxmlformats.org/officeDocument/2006/relationships/hyperlink" Target="https://store.steampowered.com/app/811320/Jupiter_Hell/" TargetMode="External"/><Relationship Id="rId414" Type="http://schemas.openxmlformats.org/officeDocument/2006/relationships/hyperlink" Target="https://store.steampowered.com/app/598060/Slashers_Keep/" TargetMode="External"/><Relationship Id="rId456" Type="http://schemas.openxmlformats.org/officeDocument/2006/relationships/hyperlink" Target="https://store.steampowered.com/app/233700/Sword_of_the_Stars_The_Pit/" TargetMode="External"/><Relationship Id="rId498" Type="http://schemas.openxmlformats.org/officeDocument/2006/relationships/hyperlink" Target="https://store.steampowered.com/app/457890/TumbleSeed/" TargetMode="External"/><Relationship Id="rId13" Type="http://schemas.openxmlformats.org/officeDocument/2006/relationships/hyperlink" Target="https://store.steampowered.com/app/1385380/Across_the_Obelisk/" TargetMode="External"/><Relationship Id="rId109" Type="http://schemas.openxmlformats.org/officeDocument/2006/relationships/hyperlink" Target="https://store.steampowered.com/app/262060/Darkest_Dungeon/" TargetMode="External"/><Relationship Id="rId260" Type="http://schemas.openxmlformats.org/officeDocument/2006/relationships/hyperlink" Target="https://store.steampowered.com/app/1808320/Lake_of_Creatures/" TargetMode="External"/><Relationship Id="rId316" Type="http://schemas.openxmlformats.org/officeDocument/2006/relationships/hyperlink" Target="https://store.steampowered.com/app/2225960/Noobs_Are_Coming/" TargetMode="External"/><Relationship Id="rId523" Type="http://schemas.openxmlformats.org/officeDocument/2006/relationships/hyperlink" Target="https://store.steampowered.com/app/445980/Wizard_of_Legend/" TargetMode="External"/><Relationship Id="rId55" Type="http://schemas.openxmlformats.org/officeDocument/2006/relationships/hyperlink" Target="https://store.steampowered.com/app/1944570/Boneraiser_Minions/" TargetMode="External"/><Relationship Id="rId97" Type="http://schemas.openxmlformats.org/officeDocument/2006/relationships/hyperlink" Target="https://store.steampowered.com/app/247080/Crypt_of_the_NecroDancer/" TargetMode="External"/><Relationship Id="rId120" Type="http://schemas.openxmlformats.org/officeDocument/2006/relationships/hyperlink" Target="https://store.steampowered.com/app/1016730/Deck_of_Ashes/" TargetMode="External"/><Relationship Id="rId358" Type="http://schemas.openxmlformats.org/officeDocument/2006/relationships/hyperlink" Target="https://store.steampowered.com/app/2071280/Ravenswatch/" TargetMode="External"/><Relationship Id="rId565" Type="http://schemas.openxmlformats.org/officeDocument/2006/relationships/hyperlink" Target="https://store.steampowered.com/app/3088700/Driving_Rogue/" TargetMode="External"/><Relationship Id="rId162" Type="http://schemas.openxmlformats.org/officeDocument/2006/relationships/hyperlink" Target="https://store.steampowered.com/app/2489560/Elewar_Fused_Survivors/" TargetMode="External"/><Relationship Id="rId218" Type="http://schemas.openxmlformats.org/officeDocument/2006/relationships/hyperlink" Target="https://store.steampowered.com/app/266510/Hand_of_Fate/" TargetMode="External"/><Relationship Id="rId425" Type="http://schemas.openxmlformats.org/officeDocument/2006/relationships/hyperlink" Target="https://store.steampowered.com/app/1144910/Space_Gladiators" TargetMode="External"/><Relationship Id="rId467" Type="http://schemas.openxmlformats.org/officeDocument/2006/relationships/hyperlink" Target="https://store.steampowered.com/app/1566200/Tape_to_Tape/" TargetMode="External"/><Relationship Id="rId271" Type="http://schemas.openxmlformats.org/officeDocument/2006/relationships/hyperlink" Target="https://store.steampowered.com/app/2369580/Mad_King_Redemption/" TargetMode="External"/><Relationship Id="rId24" Type="http://schemas.openxmlformats.org/officeDocument/2006/relationships/hyperlink" Target="https://store.steampowered.com/app/3100310/Arms_of_God/" TargetMode="External"/><Relationship Id="rId66" Type="http://schemas.openxmlformats.org/officeDocument/2006/relationships/hyperlink" Target="https://store.steampowered.com/app/298560/Captain_Forever_Remix/" TargetMode="External"/><Relationship Id="rId131" Type="http://schemas.openxmlformats.org/officeDocument/2006/relationships/hyperlink" Target="https://store.steampowered.com/app/3112170/Dice_Legends" TargetMode="External"/><Relationship Id="rId327" Type="http://schemas.openxmlformats.org/officeDocument/2006/relationships/hyperlink" Target="https://store.steampowered.com/app/3375890/Ogre_Chambers_2222/" TargetMode="External"/><Relationship Id="rId369" Type="http://schemas.openxmlformats.org/officeDocument/2006/relationships/hyperlink" Target="https://store.steampowered.com/app/4366330/Rift_Wizard_3/" TargetMode="External"/><Relationship Id="rId534" Type="http://schemas.openxmlformats.org/officeDocument/2006/relationships/hyperlink" Target="https://store.steampowered.com/app/1159560/Ziggurat_2/" TargetMode="External"/><Relationship Id="rId576" Type="http://schemas.openxmlformats.org/officeDocument/2006/relationships/hyperlink" Target="https://store.steampowered.com/app/2881800/SuperTaxCity/" TargetMode="External"/><Relationship Id="rId173" Type="http://schemas.openxmlformats.org/officeDocument/2006/relationships/hyperlink" Target="https://store.steampowered.com/app/2332260/Feed_the_Deep/" TargetMode="External"/><Relationship Id="rId229" Type="http://schemas.openxmlformats.org/officeDocument/2006/relationships/hyperlink" Target="https://store.steampowered.com/app/1295630/Helskate/" TargetMode="External"/><Relationship Id="rId380" Type="http://schemas.openxmlformats.org/officeDocument/2006/relationships/hyperlink" Target="https://store.steampowered.com/app/241600/Rogue_Legacy/" TargetMode="External"/><Relationship Id="rId436" Type="http://schemas.openxmlformats.org/officeDocument/2006/relationships/hyperlink" Target="https://store.steampowered.com/app/2573200/Squeaky_Squad/" TargetMode="External"/><Relationship Id="rId240" Type="http://schemas.openxmlformats.org/officeDocument/2006/relationships/hyperlink" Target="https://store.steampowered.com/app/595140/Immortal_Redneck/" TargetMode="External"/><Relationship Id="rId478" Type="http://schemas.openxmlformats.org/officeDocument/2006/relationships/hyperlink" Target="https://store.steampowered.com/app/1148650/The_Legend_of_BumBo/" TargetMode="External"/><Relationship Id="rId35" Type="http://schemas.openxmlformats.org/officeDocument/2006/relationships/hyperlink" Target="https://store.steampowered.com/app/2062430/BALL_x_PIT/" TargetMode="External"/><Relationship Id="rId77" Type="http://schemas.openxmlformats.org/officeDocument/2006/relationships/hyperlink" Target="https://store.steampowered.com/app/3494210/Choo_Choo_Survivor_2/" TargetMode="External"/><Relationship Id="rId100" Type="http://schemas.openxmlformats.org/officeDocument/2006/relationships/hyperlink" Target="https://store.steampowered.com/app/3144340/Cult_of_PiN/" TargetMode="External"/><Relationship Id="rId282" Type="http://schemas.openxmlformats.org/officeDocument/2006/relationships/hyperlink" Target="https://store.steampowered.com/app/1173200/Metal_Unit/" TargetMode="External"/><Relationship Id="rId338" Type="http://schemas.openxmlformats.org/officeDocument/2006/relationships/hyperlink" Target="https://store.steampowered.com/app/2128270/Path_of_Achra/" TargetMode="External"/><Relationship Id="rId503" Type="http://schemas.openxmlformats.org/officeDocument/2006/relationships/hyperlink" Target="https://store.steampowered.com/app/656350/UnderMine/" TargetMode="External"/><Relationship Id="rId545" Type="http://schemas.openxmlformats.org/officeDocument/2006/relationships/hyperlink" Target="https://store.steampowered.com/app/3624140/Wanderburg/" TargetMode="External"/><Relationship Id="rId587" Type="http://schemas.openxmlformats.org/officeDocument/2006/relationships/hyperlink" Target="https://store.steampowered.com/app/2444750/Shape_of_Dreams/" TargetMode="External"/><Relationship Id="rId8" Type="http://schemas.openxmlformats.org/officeDocument/2006/relationships/hyperlink" Target="https://store.steampowered.com/app/2784470/9_Kings/" TargetMode="External"/><Relationship Id="rId142" Type="http://schemas.openxmlformats.org/officeDocument/2006/relationships/hyperlink" Target="https://store.steampowered.com/app/3930510/Dont_Let_It_Starve/" TargetMode="External"/><Relationship Id="rId184" Type="http://schemas.openxmlformats.org/officeDocument/2006/relationships/hyperlink" Target="https://store.steampowered.com/app/3585160/From_The_Top/" TargetMode="External"/><Relationship Id="rId391" Type="http://schemas.openxmlformats.org/officeDocument/2006/relationships/hyperlink" Target="https://store.steampowered.com/app/1557740/ROUNDS/" TargetMode="External"/><Relationship Id="rId405" Type="http://schemas.openxmlformats.org/officeDocument/2006/relationships/hyperlink" Target="https://store.steampowered.com/app/1286580/Ship_of_Fools/" TargetMode="External"/><Relationship Id="rId447" Type="http://schemas.openxmlformats.org/officeDocument/2006/relationships/hyperlink" Target="https://store.steampowered.com/app/1714040/Super_Auto_Pets/" TargetMode="External"/><Relationship Id="rId251" Type="http://schemas.openxmlformats.org/officeDocument/2006/relationships/hyperlink" Target="https://store.steampowered.com/app/2125540/Kdomon_Hyper_Auto_Battlers/" TargetMode="External"/><Relationship Id="rId489" Type="http://schemas.openxmlformats.org/officeDocument/2006/relationships/hyperlink" Target="https://store.steampowered.com/app/1165470/TombStar/" TargetMode="External"/><Relationship Id="rId46" Type="http://schemas.openxmlformats.org/officeDocument/2006/relationships/hyperlink" Target="https://store.steampowered.com/app/1730080/Beyond_the_Long_Night/" TargetMode="External"/><Relationship Id="rId293" Type="http://schemas.openxmlformats.org/officeDocument/2006/relationships/hyperlink" Target="https://store.steampowered.com/app/320040/Moon_Hunters/" TargetMode="External"/><Relationship Id="rId307" Type="http://schemas.openxmlformats.org/officeDocument/2006/relationships/hyperlink" Target="https://store.steampowered.com/app/1949190/Necrosmith/" TargetMode="External"/><Relationship Id="rId349" Type="http://schemas.openxmlformats.org/officeDocument/2006/relationships/hyperlink" Target="https://store.steampowered.com/app/2870280/Pogo_Rogue/" TargetMode="External"/><Relationship Id="rId514" Type="http://schemas.openxmlformats.org/officeDocument/2006/relationships/hyperlink" Target="https://store.steampowered.com/app/3178350/WARRIORS_Abyss/" TargetMode="External"/><Relationship Id="rId556" Type="http://schemas.openxmlformats.org/officeDocument/2006/relationships/hyperlink" Target="https://store.steampowered.com/app/3180340/RIG_Riot/" TargetMode="External"/><Relationship Id="rId88" Type="http://schemas.openxmlformats.org/officeDocument/2006/relationships/hyperlink" Target="https://store.steampowered.com/app/1601740/Corpse_Keeper/" TargetMode="External"/><Relationship Id="rId111" Type="http://schemas.openxmlformats.org/officeDocument/2006/relationships/hyperlink" Target="https://store.steampowered.com/app/1868140/DAVE_THE_DIVER/" TargetMode="External"/><Relationship Id="rId153" Type="http://schemas.openxmlformats.org/officeDocument/2006/relationships/hyperlink" Target="https://store.steampowered.com/app/429620/Dungeon_Rushers/" TargetMode="External"/><Relationship Id="rId195" Type="http://schemas.openxmlformats.org/officeDocument/2006/relationships/hyperlink" Target="https://store.steampowered.com/app/3133060/Gnomes/" TargetMode="External"/><Relationship Id="rId209" Type="http://schemas.openxmlformats.org/officeDocument/2006/relationships/hyperlink" Target="https://store.steampowered.com/app/317820/Guild_of_Dungeoneering_Ultimate_Edition/" TargetMode="External"/><Relationship Id="rId360" Type="http://schemas.openxmlformats.org/officeDocument/2006/relationships/hyperlink" Target="https://store.steampowered.com/app/296970/Renowned_Explorers_International_Society/" TargetMode="External"/><Relationship Id="rId416" Type="http://schemas.openxmlformats.org/officeDocument/2006/relationships/hyperlink" Target="https://store.steampowered.com/app/2868840/Slay_the_Spire_2/" TargetMode="External"/><Relationship Id="rId220" Type="http://schemas.openxmlformats.org/officeDocument/2006/relationships/hyperlink" Target="https://store.steampowered.com/app/662540/Haque/" TargetMode="External"/><Relationship Id="rId458" Type="http://schemas.openxmlformats.org/officeDocument/2006/relationships/hyperlink" Target="https://store.steampowered.com/app/1763250/SWORN/" TargetMode="External"/><Relationship Id="rId15" Type="http://schemas.openxmlformats.org/officeDocument/2006/relationships/hyperlink" Target="https://store.steampowered.com/app/1479140/AKxolotl_Together/" TargetMode="External"/><Relationship Id="rId57" Type="http://schemas.openxmlformats.org/officeDocument/2006/relationships/hyperlink" Target="https://store.steampowered.com/app/674930/Boyfriend_Dungeon/" TargetMode="External"/><Relationship Id="rId262" Type="http://schemas.openxmlformats.org/officeDocument/2006/relationships/hyperlink" Target="https://store.steampowered.com/app/2111090/Lets_Revolution/" TargetMode="External"/><Relationship Id="rId318" Type="http://schemas.openxmlformats.org/officeDocument/2006/relationships/hyperlink" Target="https://store.steampowered.com/app/3028310/Nordhold/" TargetMode="External"/><Relationship Id="rId525" Type="http://schemas.openxmlformats.org/officeDocument/2006/relationships/hyperlink" Target="https://store.steampowered.com/app/1274210/WizardChess/" TargetMode="External"/><Relationship Id="rId567" Type="http://schemas.openxmlformats.org/officeDocument/2006/relationships/hyperlink" Target="https://store.steampowered.com/app/3823370/Beyond_Words/" TargetMode="External"/><Relationship Id="rId99" Type="http://schemas.openxmlformats.org/officeDocument/2006/relationships/hyperlink" Target="https://store.steampowered.com/app/3332600/Cubic_Cosmos/" TargetMode="External"/><Relationship Id="rId122" Type="http://schemas.openxmlformats.org/officeDocument/2006/relationships/hyperlink" Target="https://store.steampowered.com/app/2870340/Decktamer/" TargetMode="External"/><Relationship Id="rId164" Type="http://schemas.openxmlformats.org/officeDocument/2006/relationships/hyperlink" Target="https://store.steampowered.com/app/2459550/Emberward/" TargetMode="External"/><Relationship Id="rId371" Type="http://schemas.openxmlformats.org/officeDocument/2006/relationships/hyperlink" Target="https://store.steampowered.com/app/998740/Ring_of_Pain/" TargetMode="External"/><Relationship Id="rId427" Type="http://schemas.openxmlformats.org/officeDocument/2006/relationships/hyperlink" Target="https://store.steampowered.com/app/2007530/Spellbook_Demonslayers/" TargetMode="External"/><Relationship Id="rId469" Type="http://schemas.openxmlformats.org/officeDocument/2006/relationships/hyperlink" Target="https://store.steampowered.com/app/2996040/Teenage_Mutant_Ninja_Turtles_Splintered_Fate/" TargetMode="External"/><Relationship Id="rId26" Type="http://schemas.openxmlformats.org/officeDocument/2006/relationships/hyperlink" Target="https://store.steampowered.com/app/1280930/Astral_Ascent/" TargetMode="External"/><Relationship Id="rId231" Type="http://schemas.openxmlformats.org/officeDocument/2006/relationships/hyperlink" Target="https://store.steampowered.com/app/677120/Heroes_of_Hammerwatch/" TargetMode="External"/><Relationship Id="rId273" Type="http://schemas.openxmlformats.org/officeDocument/2006/relationships/hyperlink" Target="https://store.steampowered.com/app/630720/Mana_Spark/" TargetMode="External"/><Relationship Id="rId329" Type="http://schemas.openxmlformats.org/officeDocument/2006/relationships/hyperlink" Target="https://store.steampowered.com/app/960690/One_Step_From_Eden/" TargetMode="External"/><Relationship Id="rId480" Type="http://schemas.openxmlformats.org/officeDocument/2006/relationships/hyperlink" Target="https://store.steampowered.com/app/2717880/The_Rogue_Prince_of_Persia/" TargetMode="External"/><Relationship Id="rId536" Type="http://schemas.openxmlformats.org/officeDocument/2006/relationships/hyperlink" Target="https://store.steampowered.com/app/3282420/Zoominoes/" TargetMode="External"/><Relationship Id="rId68" Type="http://schemas.openxmlformats.org/officeDocument/2006/relationships/hyperlink" Target="https://store.steampowered.com/app/315840/Catacomb_Kids/" TargetMode="External"/><Relationship Id="rId133" Type="http://schemas.openxmlformats.org/officeDocument/2006/relationships/hyperlink" Target="https://store.steampowered.com/app/1996430/Dicefolk/" TargetMode="External"/><Relationship Id="rId175" Type="http://schemas.openxmlformats.org/officeDocument/2006/relationships/hyperlink" Target="https://store.steampowered.com/app/3000120/FISH_FEAR_ME/" TargetMode="External"/><Relationship Id="rId340" Type="http://schemas.openxmlformats.org/officeDocument/2006/relationships/hyperlink" Target="https://store.steampowered.com/app/1142080/Pawnbarian/" TargetMode="External"/><Relationship Id="rId578" Type="http://schemas.openxmlformats.org/officeDocument/2006/relationships/hyperlink" Target="https://store.steampowered.com/app/456670/Hand_of_Fate_2/" TargetMode="External"/><Relationship Id="rId200" Type="http://schemas.openxmlformats.org/officeDocument/2006/relationships/hyperlink" Target="https://store.steampowered.com/app/497800/Golden_Krone_Hotel/" TargetMode="External"/><Relationship Id="rId382" Type="http://schemas.openxmlformats.org/officeDocument/2006/relationships/hyperlink" Target="https://store.steampowered.com/app/1069690/Rogue_Lords/" TargetMode="External"/><Relationship Id="rId438" Type="http://schemas.openxmlformats.org/officeDocument/2006/relationships/hyperlink" Target="https://store.steampowered.com/app/603960/Star_of_Providence/" TargetMode="External"/><Relationship Id="rId242" Type="http://schemas.openxmlformats.org/officeDocument/2006/relationships/hyperlink" Target="https://store.steampowered.com/app/1062810/Inkbound/" TargetMode="External"/><Relationship Id="rId284" Type="http://schemas.openxmlformats.org/officeDocument/2006/relationships/hyperlink" Target="https://store.steampowered.com/app/686060/Mewgenics/" TargetMode="External"/><Relationship Id="rId491" Type="http://schemas.openxmlformats.org/officeDocument/2006/relationships/hyperlink" Target="https://store.steampowered.com/app/1847150/Touhou_Genso_Wanderer_FORESIGHT/" TargetMode="External"/><Relationship Id="rId505" Type="http://schemas.openxmlformats.org/officeDocument/2006/relationships/hyperlink" Target="https://store.steampowered.com/app/2206270/Vampire_Hunters/" TargetMode="External"/><Relationship Id="rId37" Type="http://schemas.openxmlformats.org/officeDocument/2006/relationships/hyperlink" Target="https://store.steampowered.com/app/1075740/Banners_of_Ruin/" TargetMode="External"/><Relationship Id="rId79" Type="http://schemas.openxmlformats.org/officeDocument/2006/relationships/hyperlink" Target="https://store.steampowered.com/app/1188930/Chrono_Ark/" TargetMode="External"/><Relationship Id="rId102" Type="http://schemas.openxmlformats.org/officeDocument/2006/relationships/hyperlink" Target="https://store.steampowered.com/app/718670/Cultist_Simulator/" TargetMode="External"/><Relationship Id="rId144" Type="http://schemas.openxmlformats.org/officeDocument/2006/relationships/hyperlink" Target="https://store.steampowered.com/app/322330/Dont_Starve_Together/" TargetMode="External"/><Relationship Id="rId547" Type="http://schemas.openxmlformats.org/officeDocument/2006/relationships/hyperlink" Target="https://store.steampowered.com/app/2423290/Handmancers/" TargetMode="External"/><Relationship Id="rId589" Type="http://schemas.openxmlformats.org/officeDocument/2006/relationships/hyperlink" Target="https://store.steampowered.com/app/699920/Despotism_3k/" TargetMode="External"/><Relationship Id="rId90" Type="http://schemas.openxmlformats.org/officeDocument/2006/relationships/hyperlink" Target="https://store.steampowered.com/app/2137760/Crafty_Survivors/" TargetMode="External"/><Relationship Id="rId186" Type="http://schemas.openxmlformats.org/officeDocument/2006/relationships/hyperlink" Target="https://store.steampowered.com/app/225280/Full_Mojo_Rampage/" TargetMode="External"/><Relationship Id="rId351" Type="http://schemas.openxmlformats.org/officeDocument/2006/relationships/hyperlink" Target="https://store.steampowered.com/app/2053360/PUTRID_SHOT_ULTRA/" TargetMode="External"/><Relationship Id="rId393" Type="http://schemas.openxmlformats.org/officeDocument/2006/relationships/hyperlink" Target="https://store.steampowered.com/app/3073990/Runeborn/" TargetMode="External"/><Relationship Id="rId407" Type="http://schemas.openxmlformats.org/officeDocument/2006/relationships/hyperlink" Target="https://store.steampowered.com/app/1178790/Shiren_the_Wanderer_The_Tower_of_Fortune_and_the_Dice_of_Fate/" TargetMode="External"/><Relationship Id="rId449" Type="http://schemas.openxmlformats.org/officeDocument/2006/relationships/hyperlink" Target="https://store.steampowered.com/app/2289750/Super_Fantasy_Kingdom/" TargetMode="External"/><Relationship Id="rId211" Type="http://schemas.openxmlformats.org/officeDocument/2006/relationships/hyperlink" Target="https://store.steampowered.com/app/1217060/Gunfire_Reborn/" TargetMode="External"/><Relationship Id="rId253" Type="http://schemas.openxmlformats.org/officeDocument/2006/relationships/hyperlink" Target="https://store.steampowered.com/app/329970/KeeperRL/" TargetMode="External"/><Relationship Id="rId295" Type="http://schemas.openxmlformats.org/officeDocument/2006/relationships/hyperlink" Target="https://store.steampowered.com/app/2373630/Moonring/" TargetMode="External"/><Relationship Id="rId309" Type="http://schemas.openxmlformats.org/officeDocument/2006/relationships/hyperlink" Target="https://store.steampowered.com/app/788100/Neon_Abyss/" TargetMode="External"/><Relationship Id="rId460" Type="http://schemas.openxmlformats.org/officeDocument/2006/relationships/hyperlink" Target="https://store.steampowered.com/app/3337380/Tabletop_Tavern/" TargetMode="External"/><Relationship Id="rId516" Type="http://schemas.openxmlformats.org/officeDocument/2006/relationships/hyperlink" Target="https://store.steampowered.com/app/264160/WazHack/" TargetMode="External"/><Relationship Id="rId48" Type="http://schemas.openxmlformats.org/officeDocument/2006/relationships/hyperlink" Target="https://store.steampowered.com/app/3689520/Bioprototype/" TargetMode="External"/><Relationship Id="rId113" Type="http://schemas.openxmlformats.org/officeDocument/2006/relationships/hyperlink" Target="https://store.steampowered.com/app/1484720/Dead_Estate/" TargetMode="External"/><Relationship Id="rId320" Type="http://schemas.openxmlformats.org/officeDocument/2006/relationships/hyperlink" Target="https://store.steampowered.com/app/858210/Nova_Drift/" TargetMode="External"/><Relationship Id="rId558" Type="http://schemas.openxmlformats.org/officeDocument/2006/relationships/hyperlink" Target="https://store.steampowered.com/app/3363560/Shard_Squad/" TargetMode="External"/><Relationship Id="rId155" Type="http://schemas.openxmlformats.org/officeDocument/2006/relationships/hyperlink" Target="https://store.steampowered.com/app/2400510/Dungeons__Degenerate_Gamblers/" TargetMode="External"/><Relationship Id="rId197" Type="http://schemas.openxmlformats.org/officeDocument/2006/relationships/hyperlink" Target="https://store.steampowered.com/app/2342950/God_Of_Weapons/" TargetMode="External"/><Relationship Id="rId362" Type="http://schemas.openxmlformats.org/officeDocument/2006/relationships/hyperlink" Target="https://store.steampowered.com/app/3509430/Replicat/?curator_clanid=45876201" TargetMode="External"/><Relationship Id="rId418" Type="http://schemas.openxmlformats.org/officeDocument/2006/relationships/hyperlink" Target="https://store.steampowered.com/app/2348610/Slime_3K_Rise_Against_Despot/" TargetMode="External"/><Relationship Id="rId222" Type="http://schemas.openxmlformats.org/officeDocument/2006/relationships/hyperlink" Target="https://store.steampowered.com/app/1740720/Have_a_Nice_Death/" TargetMode="External"/><Relationship Id="rId264" Type="http://schemas.openxmlformats.org/officeDocument/2006/relationships/hyperlink" Target="https://store.steampowered.com/app/2056210/LONESTAR/" TargetMode="External"/><Relationship Id="rId471" Type="http://schemas.openxmlformats.org/officeDocument/2006/relationships/hyperlink" Target="https://store.steampowered.com/app/3596700/TerraTech_Legion/" TargetMode="External"/><Relationship Id="rId17" Type="http://schemas.openxmlformats.org/officeDocument/2006/relationships/hyperlink" Target="https://store.steampowered.com/app/1372660/An_Amazing_Wizard/" TargetMode="External"/><Relationship Id="rId59" Type="http://schemas.openxmlformats.org/officeDocument/2006/relationships/hyperlink" Target="https://store.steampowered.com/app/2451820/Brawl_Tactics_Origins/" TargetMode="External"/><Relationship Id="rId124" Type="http://schemas.openxmlformats.org/officeDocument/2006/relationships/hyperlink" Target="https://store.steampowered.com/app/1552080/Deepest_Chamber_Resurrection/" TargetMode="External"/><Relationship Id="rId527" Type="http://schemas.openxmlformats.org/officeDocument/2006/relationships/hyperlink" Target="https://store.steampowered.com/app/1732090/Words_Can_Kill/" TargetMode="External"/><Relationship Id="rId569" Type="http://schemas.openxmlformats.org/officeDocument/2006/relationships/hyperlink" Target="https://store.steampowered.com/app/238280/Legend_of_Dungeon/" TargetMode="External"/><Relationship Id="rId70" Type="http://schemas.openxmlformats.org/officeDocument/2006/relationships/hyperlink" Target="https://store.steampowered.com/app/452060/Caveblazers/" TargetMode="External"/><Relationship Id="rId166" Type="http://schemas.openxmlformats.org/officeDocument/2006/relationships/hyperlink" Target="https://store.steampowered.com/app/1425000/Endless_Alice/" TargetMode="External"/><Relationship Id="rId331" Type="http://schemas.openxmlformats.org/officeDocument/2006/relationships/hyperlink" Target="https://store.steampowered.com/app/1688320/OneBit_Adventure/" TargetMode="External"/><Relationship Id="rId373" Type="http://schemas.openxmlformats.org/officeDocument/2006/relationships/hyperlink" Target="https://store.steampowered.com/app/248820/Risk_of_Rain_2013/" TargetMode="External"/><Relationship Id="rId429" Type="http://schemas.openxmlformats.org/officeDocument/2006/relationships/hyperlink" Target="https://store.steampowered.com/app/239350/Spelunky/" TargetMode="External"/><Relationship Id="rId580" Type="http://schemas.openxmlformats.org/officeDocument/2006/relationships/hyperlink" Target="https://store.steampowered.com/app/2796640/The_Magus_Circle/" TargetMode="External"/><Relationship Id="rId1" Type="http://schemas.openxmlformats.org/officeDocument/2006/relationships/hyperlink" Target="https://store.steampowered.com/app/3734890/2_Fights_in_2_Tight_Spaces/" TargetMode="External"/><Relationship Id="rId233" Type="http://schemas.openxmlformats.org/officeDocument/2006/relationships/hyperlink" Target="https://store.steampowered.com/app/3059390/Hexagod/" TargetMode="External"/><Relationship Id="rId440" Type="http://schemas.openxmlformats.org/officeDocument/2006/relationships/hyperlink" Target="https://store.steampowered.com/app/3201010/Starlight_Revolver/" TargetMode="External"/><Relationship Id="rId28" Type="http://schemas.openxmlformats.org/officeDocument/2006/relationships/hyperlink" Target="https://store.steampowered.com/app/3503440/Astro_Prospector/" TargetMode="External"/><Relationship Id="rId275" Type="http://schemas.openxmlformats.org/officeDocument/2006/relationships/hyperlink" Target="https://store.steampowered.com/app/3009310/Master_of_Piece/" TargetMode="External"/><Relationship Id="rId300" Type="http://schemas.openxmlformats.org/officeDocument/2006/relationships/hyperlink" Target="https://store.steampowered.com/app/1214670/Mr_Suns_Hatbox/" TargetMode="External"/><Relationship Id="rId482" Type="http://schemas.openxmlformats.org/officeDocument/2006/relationships/hyperlink" Target="https://store.steampowered.com/app/986040/The_Unliving/" TargetMode="External"/><Relationship Id="rId538" Type="http://schemas.openxmlformats.org/officeDocument/2006/relationships/hyperlink" Target="https://store.steampowered.com/app/4075620/Combolands_Roguelike_Citybuilder/" TargetMode="External"/><Relationship Id="rId81" Type="http://schemas.openxmlformats.org/officeDocument/2006/relationships/hyperlink" Target="https://store.steampowered.com/app/2453360/Cluckmech_Oasis/" TargetMode="External"/><Relationship Id="rId135" Type="http://schemas.openxmlformats.org/officeDocument/2006/relationships/hyperlink" Target="https://store.steampowered.com/app/861540/Dicey_Dungeons/" TargetMode="External"/><Relationship Id="rId177" Type="http://schemas.openxmlformats.org/officeDocument/2006/relationships/hyperlink" Target="https://store.steampowered.com/app/3219010/Fogpiercer/" TargetMode="External"/><Relationship Id="rId342" Type="http://schemas.openxmlformats.org/officeDocument/2006/relationships/hyperlink" Target="https://store.steampowered.com/app/4403010/Pegs_X_Stickers/" TargetMode="External"/><Relationship Id="rId384" Type="http://schemas.openxmlformats.org/officeDocument/2006/relationships/hyperlink" Target="https://store.steampowered.com/app/2067920/Rogue_Genesia/" TargetMode="External"/><Relationship Id="rId202" Type="http://schemas.openxmlformats.org/officeDocument/2006/relationships/hyperlink" Target="https://store.steampowered.com/app/1579020/Golfie/" TargetMode="External"/><Relationship Id="rId244" Type="http://schemas.openxmlformats.org/officeDocument/2006/relationships/hyperlink" Target="https://store.steampowered.com/app/1092790/Inscryption/" TargetMode="External"/><Relationship Id="rId39" Type="http://schemas.openxmlformats.org/officeDocument/2006/relationships/hyperlink" Target="https://store.steampowered.com/app/371970/Barony/" TargetMode="External"/><Relationship Id="rId286" Type="http://schemas.openxmlformats.org/officeDocument/2006/relationships/hyperlink" Target="https://store.steampowered.com/app/2102320/MISTROGUE_Mist_and_the_Living_Dungeons/" TargetMode="External"/><Relationship Id="rId451" Type="http://schemas.openxmlformats.org/officeDocument/2006/relationships/hyperlink" Target="https://store.steampowered.com/app/1375900/Swarm_Grinder/" TargetMode="External"/><Relationship Id="rId493" Type="http://schemas.openxmlformats.org/officeDocument/2006/relationships/hyperlink" Target="https://store.steampowered.com/app/2009860/Tower_Escape/" TargetMode="External"/><Relationship Id="rId507" Type="http://schemas.openxmlformats.org/officeDocument/2006/relationships/hyperlink" Target="https://store.steampowered.com/app/1135810/Vault_of_the_Void/" TargetMode="External"/><Relationship Id="rId549" Type="http://schemas.openxmlformats.org/officeDocument/2006/relationships/hyperlink" Target="https://store.steampowered.com/app/2564520/Lost_in_Random_The_Eternal_Die/" TargetMode="External"/><Relationship Id="rId50" Type="http://schemas.openxmlformats.org/officeDocument/2006/relationships/hyperlink" Target="https://store.steampowered.com/app/585710/Blazing_Beaks/" TargetMode="External"/><Relationship Id="rId104" Type="http://schemas.openxmlformats.org/officeDocument/2006/relationships/hyperlink" Target="https://store.steampowered.com/app/358130/Curious_Expedition/" TargetMode="External"/><Relationship Id="rId146" Type="http://schemas.openxmlformats.org/officeDocument/2006/relationships/hyperlink" Target="https://store.steampowered.com/app/360740/Downwell/" TargetMode="External"/><Relationship Id="rId188" Type="http://schemas.openxmlformats.org/officeDocument/2006/relationships/hyperlink" Target="https://store.steampowered.com/app/1536620/Galactic_Glitch/" TargetMode="External"/><Relationship Id="rId311" Type="http://schemas.openxmlformats.org/officeDocument/2006/relationships/hyperlink" Target="https://store.steampowered.com/app/1048350/Nigate_Tale/" TargetMode="External"/><Relationship Id="rId353" Type="http://schemas.openxmlformats.org/officeDocument/2006/relationships/hyperlink" Target="https://store.steampowered.com/app/270050/Quest_of_Dungeons/" TargetMode="External"/><Relationship Id="rId395" Type="http://schemas.openxmlformats.org/officeDocument/2006/relationships/hyperlink" Target="https://store.steampowered.com/app/2113040/RUNGORE/" TargetMode="External"/><Relationship Id="rId409" Type="http://schemas.openxmlformats.org/officeDocument/2006/relationships/hyperlink" Target="https://store.steampowered.com/app/1972440/Shotgun_King_The_Final_Checkmate/" TargetMode="External"/><Relationship Id="rId560" Type="http://schemas.openxmlformats.org/officeDocument/2006/relationships/hyperlink" Target="https://store.steampowered.com/app/4557380/Batomon_Showdown/" TargetMode="External"/><Relationship Id="rId92" Type="http://schemas.openxmlformats.org/officeDocument/2006/relationships/hyperlink" Target="https://store.steampowered.com/app/2348090/Crop_Rotation/" TargetMode="External"/><Relationship Id="rId213" Type="http://schemas.openxmlformats.org/officeDocument/2006/relationships/hyperlink" Target="https://store.steampowered.com/app/3492830/Gunlocked_2/" TargetMode="External"/><Relationship Id="rId420" Type="http://schemas.openxmlformats.org/officeDocument/2006/relationships/hyperlink" Target="https://store.steampowered.com/app/915310/SNKRX/" TargetMode="External"/><Relationship Id="rId255" Type="http://schemas.openxmlformats.org/officeDocument/2006/relationships/hyperlink" Target="https://store.steampowered.com/app/3093050/Kill_The_Music/" TargetMode="External"/><Relationship Id="rId297" Type="http://schemas.openxmlformats.org/officeDocument/2006/relationships/hyperlink" Target="https://store.steampowered.com/app/1494810/Mortal_Sin/" TargetMode="External"/><Relationship Id="rId462" Type="http://schemas.openxmlformats.org/officeDocument/2006/relationships/hyperlink" Target="https://store.steampowered.com/app/2435090/Talented/" TargetMode="External"/><Relationship Id="rId518" Type="http://schemas.openxmlformats.org/officeDocument/2006/relationships/hyperlink" Target="https://store.steampowered.com/app/226120/Weird_Worlds_Return_to_Infinite_Space/" TargetMode="External"/><Relationship Id="rId115" Type="http://schemas.openxmlformats.org/officeDocument/2006/relationships/hyperlink" Target="https://store.steampowered.com/app/2646720/Dead_Weight/" TargetMode="External"/><Relationship Id="rId157" Type="http://schemas.openxmlformats.org/officeDocument/2006/relationships/hyperlink" Target="https://store.steampowered.com/app/753420/Dungreed/" TargetMode="External"/><Relationship Id="rId322" Type="http://schemas.openxmlformats.org/officeDocument/2006/relationships/hyperlink" Target="https://store.steampowered.com/app/3191030/Nubbys_Number_Factory/" TargetMode="External"/><Relationship Id="rId364" Type="http://schemas.openxmlformats.org/officeDocument/2006/relationships/hyperlink" Target="https://store.steampowered.com/app/1649240/Returnal/" TargetMode="External"/><Relationship Id="rId61" Type="http://schemas.openxmlformats.org/officeDocument/2006/relationships/hyperlink" Target="https://store.steampowered.com/app/2118810/Breachway/" TargetMode="External"/><Relationship Id="rId199" Type="http://schemas.openxmlformats.org/officeDocument/2006/relationships/hyperlink" Target="https://store.steampowered.com/app/1154810/Going_Under/" TargetMode="External"/><Relationship Id="rId571" Type="http://schemas.openxmlformats.org/officeDocument/2006/relationships/hyperlink" Target="https://store.steampowered.com/app/1865930/Space_Prison/" TargetMode="External"/><Relationship Id="rId19" Type="http://schemas.openxmlformats.org/officeDocument/2006/relationships/hyperlink" Target="https://store.steampowered.com/app/2116850/Another_Farm_Roguelike/" TargetMode="External"/><Relationship Id="rId224" Type="http://schemas.openxmlformats.org/officeDocument/2006/relationships/hyperlink" Target="https://store.steampowered.com/app/268130/Heat_Signature/" TargetMode="External"/><Relationship Id="rId266" Type="http://schemas.openxmlformats.org/officeDocument/2006/relationships/hyperlink" Target="https://store.steampowered.com/app/1494260/Loot_River/" TargetMode="External"/><Relationship Id="rId431" Type="http://schemas.openxmlformats.org/officeDocument/2006/relationships/hyperlink" Target="https://store.steampowered.com/app/2917350/Spin_Hero/" TargetMode="External"/><Relationship Id="rId473" Type="http://schemas.openxmlformats.org/officeDocument/2006/relationships/hyperlink" Target="https://store.steampowered.com/app/250900/The_Binding_of_Isaac_Rebirth/" TargetMode="External"/><Relationship Id="rId529" Type="http://schemas.openxmlformats.org/officeDocument/2006/relationships/hyperlink" Target="https://store.steampowered.com/app/2163330/Yet_Another_Zombie_Survivors/" TargetMode="External"/><Relationship Id="rId30" Type="http://schemas.openxmlformats.org/officeDocument/2006/relationships/hyperlink" Target="https://store.steampowered.com/app/2228490/Atomic_Owl/" TargetMode="External"/><Relationship Id="rId126" Type="http://schemas.openxmlformats.org/officeDocument/2006/relationships/hyperlink" Target="https://store.steampowered.com/app/3444020/Demonic_Mahjong/" TargetMode="External"/><Relationship Id="rId168" Type="http://schemas.openxmlformats.org/officeDocument/2006/relationships/hyperlink" Target="https://store.steampowered.com/app/3526710/Everything_is_Crab_The_Animal_Evolution_Roguelite/" TargetMode="External"/><Relationship Id="rId333" Type="http://schemas.openxmlformats.org/officeDocument/2006/relationships/hyperlink" Target="https://store.steampowered.com/app/262790/Our_Darker_Purpose/" TargetMode="External"/><Relationship Id="rId540" Type="http://schemas.openxmlformats.org/officeDocument/2006/relationships/hyperlink" Target="https://store.steampowered.com/app/4195110/Ultrapool/" TargetMode="External"/><Relationship Id="rId72" Type="http://schemas.openxmlformats.org/officeDocument/2006/relationships/hyperlink" Target="https://store.steampowered.com/app/1084220/Cavity_Busters/" TargetMode="External"/><Relationship Id="rId375" Type="http://schemas.openxmlformats.org/officeDocument/2006/relationships/hyperlink" Target="https://store.steampowered.com/app/1337520/Risk_of_Rain_Returns/" TargetMode="External"/><Relationship Id="rId582" Type="http://schemas.openxmlformats.org/officeDocument/2006/relationships/hyperlink" Target="https://store.steampowered.com/app/1918040/Army_of_Ruin/" TargetMode="External"/><Relationship Id="rId3" Type="http://schemas.openxmlformats.org/officeDocument/2006/relationships/hyperlink" Target="https://store.steampowered.com/app/322110/20XX/" TargetMode="External"/><Relationship Id="rId235" Type="http://schemas.openxmlformats.org/officeDocument/2006/relationships/hyperlink" Target="https://store.steampowered.com/app/4215730/HoloDungeon_Koyori_vs_HollowLive_in_Honsha_Tower/" TargetMode="External"/><Relationship Id="rId277" Type="http://schemas.openxmlformats.org/officeDocument/2006/relationships/hyperlink" Target="https://store.steampowered.com/app/1842510/Mechanibot/" TargetMode="External"/><Relationship Id="rId400" Type="http://schemas.openxmlformats.org/officeDocument/2006/relationships/hyperlink" Target="https://store.steampowered.com/app/2111870/Section_13/" TargetMode="External"/><Relationship Id="rId442" Type="http://schemas.openxmlformats.org/officeDocument/2006/relationships/hyperlink" Target="https://store.steampowered.com/app/2085540/Stick_It_to_the_Stickman/" TargetMode="External"/><Relationship Id="rId484" Type="http://schemas.openxmlformats.org/officeDocument/2006/relationships/hyperlink" Target="https://store.steampowered.com/app/2211390/Time_Survivors/" TargetMode="External"/><Relationship Id="rId137" Type="http://schemas.openxmlformats.org/officeDocument/2006/relationships/hyperlink" Target="https://store.steampowered.com/app/1442840/DIG__Deep_In_Galaxies/" TargetMode="External"/><Relationship Id="rId302" Type="http://schemas.openxmlformats.org/officeDocument/2006/relationships/hyperlink" Target="https://store.steampowered.com/app/409000/Mystery_Chronicle_One_Way_Heroics/" TargetMode="External"/><Relationship Id="rId344" Type="http://schemas.openxmlformats.org/officeDocument/2006/relationships/hyperlink" Target="https://store.steampowered.com/app/2088840/Picayune_Dreams/" TargetMode="External"/><Relationship Id="rId41" Type="http://schemas.openxmlformats.org/officeDocument/2006/relationships/hyperlink" Target="https://store.steampowered.com/app/1421290/Battle_Shapers/" TargetMode="External"/><Relationship Id="rId83" Type="http://schemas.openxmlformats.org/officeDocument/2006/relationships/hyperlink" Target="https://store.steampowered.com/app/264690/Coin_Crypt/" TargetMode="External"/><Relationship Id="rId179" Type="http://schemas.openxmlformats.org/officeDocument/2006/relationships/hyperlink" Target="https://store.steampowered.com/app/527230/For_The_King/" TargetMode="External"/><Relationship Id="rId386" Type="http://schemas.openxmlformats.org/officeDocument/2006/relationships/hyperlink" Target="https://store.steampowered.com/app/265990/Rogues_Tale/" TargetMode="External"/><Relationship Id="rId551" Type="http://schemas.openxmlformats.org/officeDocument/2006/relationships/hyperlink" Target="https://store.steampowered.com/app/2132850/Rabbit_and_Steel/" TargetMode="External"/><Relationship Id="rId190" Type="http://schemas.openxmlformats.org/officeDocument/2006/relationships/hyperlink" Target="https://store.steampowered.com/app/2891310/Genome_Guardian/" TargetMode="External"/><Relationship Id="rId204" Type="http://schemas.openxmlformats.org/officeDocument/2006/relationships/hyperlink" Target="https://store.steampowered.com/app/1117670/GONNER2/" TargetMode="External"/><Relationship Id="rId246" Type="http://schemas.openxmlformats.org/officeDocument/2006/relationships/hyperlink" Target="https://store.steampowered.com/app/590380/Into_the_Breach/" TargetMode="External"/><Relationship Id="rId288" Type="http://schemas.openxmlformats.org/officeDocument/2006/relationships/hyperlink" Target="https://store.steampowered.com/app/496620/Monster_Slayers/" TargetMode="External"/><Relationship Id="rId411" Type="http://schemas.openxmlformats.org/officeDocument/2006/relationships/hyperlink" Target="https://store.steampowered.com/app/1147560/Skul_The_Hero_Slayer/" TargetMode="External"/><Relationship Id="rId453" Type="http://schemas.openxmlformats.org/officeDocument/2006/relationships/hyperlink" Target="https://store.steampowered.com/app/2231080/Sword_of_Fargoal/" TargetMode="External"/><Relationship Id="rId509" Type="http://schemas.openxmlformats.org/officeDocument/2006/relationships/hyperlink" Target="https://store.steampowered.com/app/857980/Void_Bastards/" TargetMode="External"/><Relationship Id="rId106" Type="http://schemas.openxmlformats.org/officeDocument/2006/relationships/hyperlink" Target="https://store.steampowered.com/app/2449040/Cursorblade/" TargetMode="External"/><Relationship Id="rId313" Type="http://schemas.openxmlformats.org/officeDocument/2006/relationships/hyperlink" Target="https://store.steampowered.com/app/2738990/Node_Farm/" TargetMode="External"/><Relationship Id="rId495" Type="http://schemas.openxmlformats.org/officeDocument/2006/relationships/hyperlink" Target="https://store.steampowered.com/app/266110/Tower_of_Guns/" TargetMode="External"/><Relationship Id="rId10" Type="http://schemas.openxmlformats.org/officeDocument/2006/relationships/hyperlink" Target="https://store.steampowered.com/app/551860/Abandon_Ship/" TargetMode="External"/><Relationship Id="rId52" Type="http://schemas.openxmlformats.org/officeDocument/2006/relationships/hyperlink" Target="https://store.steampowered.com/app/2427570/Block_Tower_TD/" TargetMode="External"/><Relationship Id="rId94" Type="http://schemas.openxmlformats.org/officeDocument/2006/relationships/hyperlink" Target="https://store.steampowered.com/app/1000010/Crown_Trick/" TargetMode="External"/><Relationship Id="rId148" Type="http://schemas.openxmlformats.org/officeDocument/2006/relationships/hyperlink" Target="https://store.steampowered.com/app/1040420/Dreamscaper/" TargetMode="External"/><Relationship Id="rId355" Type="http://schemas.openxmlformats.org/officeDocument/2006/relationships/hyperlink" Target="https://store.steampowered.com/app/2311990/Rack_and_Slay/" TargetMode="External"/><Relationship Id="rId397" Type="http://schemas.openxmlformats.org/officeDocument/2006/relationships/hyperlink" Target="https://store.steampowered.com/app/2181720/Scarlet_Tower/" TargetMode="External"/><Relationship Id="rId520" Type="http://schemas.openxmlformats.org/officeDocument/2006/relationships/hyperlink" Target="https://store.steampowered.com/app/1811990/Wildfrost/" TargetMode="External"/><Relationship Id="rId562" Type="http://schemas.openxmlformats.org/officeDocument/2006/relationships/hyperlink" Target="https://store.steampowered.com/app/4283360/Legionbound/" TargetMode="External"/><Relationship Id="rId215" Type="http://schemas.openxmlformats.org/officeDocument/2006/relationships/hyperlink" Target="https://store.steampowered.com/app/1145360/Hades/" TargetMode="External"/><Relationship Id="rId257" Type="http://schemas.openxmlformats.org/officeDocument/2006/relationships/hyperlink" Target="https://store.steampowered.com/app/2217740/Kitty_Survivors_Rogues_of_Catmere/" TargetMode="External"/><Relationship Id="rId422" Type="http://schemas.openxmlformats.org/officeDocument/2006/relationships/hyperlink" Target="https://store.steampowered.com/app/2738490/Sol_Cesto/" TargetMode="External"/><Relationship Id="rId464" Type="http://schemas.openxmlformats.org/officeDocument/2006/relationships/hyperlink" Target="https://store.steampowered.com/app/1725410/Talespinner/" TargetMode="External"/><Relationship Id="rId299" Type="http://schemas.openxmlformats.org/officeDocument/2006/relationships/hyperlink" Target="https://store.steampowered.com/app/1931240/MOTHERGUNSHIP_FORGE/" TargetMode="External"/><Relationship Id="rId63" Type="http://schemas.openxmlformats.org/officeDocument/2006/relationships/hyperlink" Target="https://store.steampowered.com/app/1942280/Brotato/" TargetMode="External"/><Relationship Id="rId159" Type="http://schemas.openxmlformats.org/officeDocument/2006/relationships/hyperlink" Target="https://store.steampowered.com/app/2622380/ELDEN_RING_NIGHTREIGN/" TargetMode="External"/><Relationship Id="rId366" Type="http://schemas.openxmlformats.org/officeDocument/2006/relationships/hyperlink" Target="https://store.steampowered.com/app/2951580/Rhythm_Witch_Beat_Death/" TargetMode="External"/><Relationship Id="rId573" Type="http://schemas.openxmlformats.org/officeDocument/2006/relationships/hyperlink" Target="https://store.steampowered.com/app/2450400/Trash_of_the_Titans/" TargetMode="External"/><Relationship Id="rId226" Type="http://schemas.openxmlformats.org/officeDocument/2006/relationships/hyperlink" Target="https://store.steampowered.com/app/1782460/Hell_Clock/" TargetMode="External"/><Relationship Id="rId433" Type="http://schemas.openxmlformats.org/officeDocument/2006/relationships/hyperlink" Target="https://store.steampowered.com/app/1835240/Spiritfall/" TargetMode="External"/><Relationship Id="rId74" Type="http://schemas.openxmlformats.org/officeDocument/2006/relationships/hyperlink" Target="https://store.steampowered.com/app/2065000/Chess_Survivors/" TargetMode="External"/><Relationship Id="rId377" Type="http://schemas.openxmlformats.org/officeDocument/2006/relationships/hyperlink" Target="https://store.steampowered.com/app/3069810/Rocket_Rats/" TargetMode="External"/><Relationship Id="rId500" Type="http://schemas.openxmlformats.org/officeDocument/2006/relationships/hyperlink" Target="https://store.steampowered.com/app/2259260/Tyrants_Realm/" TargetMode="External"/><Relationship Id="rId584" Type="http://schemas.openxmlformats.org/officeDocument/2006/relationships/hyperlink" Target="https://store.steampowered.com/app/651670/Star_Renegades/" TargetMode="External"/><Relationship Id="rId5" Type="http://schemas.openxmlformats.org/officeDocument/2006/relationships/hyperlink" Target="https://store.steampowered.com/app/958520/33_Immortals/" TargetMode="External"/><Relationship Id="rId237" Type="http://schemas.openxmlformats.org/officeDocument/2006/relationships/hyperlink" Target="https://store.steampowered.com/app/342610/HyperRogue/" TargetMode="External"/><Relationship Id="rId444" Type="http://schemas.openxmlformats.org/officeDocument/2006/relationships/hyperlink" Target="https://store.steampowered.com/app/512900/Streets_of_Rogue/" TargetMode="External"/><Relationship Id="rId290" Type="http://schemas.openxmlformats.org/officeDocument/2006/relationships/hyperlink" Target="https://store.steampowered.com/app/2934220/Monsters_are_Coming/" TargetMode="External"/><Relationship Id="rId304" Type="http://schemas.openxmlformats.org/officeDocument/2006/relationships/hyperlink" Target="https://store.steampowered.com/app/1535100/Nadir_A_Grimdark_Deckbuilder/" TargetMode="External"/><Relationship Id="rId388" Type="http://schemas.openxmlformats.org/officeDocument/2006/relationships/hyperlink" Target="https://store.steampowered.com/app/1585910/Roll/" TargetMode="External"/><Relationship Id="rId511" Type="http://schemas.openxmlformats.org/officeDocument/2006/relationships/hyperlink" Target="https://store.steampowered.com/app/1304680/Voidigo/" TargetMode="External"/><Relationship Id="rId85" Type="http://schemas.openxmlformats.org/officeDocument/2006/relationships/hyperlink" Target="https://store.steampowered.com/app/1061880/Conan_Chop_Chop/" TargetMode="External"/><Relationship Id="rId150" Type="http://schemas.openxmlformats.org/officeDocument/2006/relationships/hyperlink" Target="https://store.steampowered.com/app/2356780/Dungeon_Clawler/" TargetMode="External"/><Relationship Id="rId248" Type="http://schemas.openxmlformats.org/officeDocument/2006/relationships/hyperlink" Target="https://store.steampowered.com/app/807120/Iratus_Lord_of_the_Dead/" TargetMode="External"/><Relationship Id="rId455" Type="http://schemas.openxmlformats.org/officeDocument/2006/relationships/hyperlink" Target="https://store.steampowered.com/app/2782880/Sword_of_the_Necromancer_Resurrection/" TargetMode="External"/><Relationship Id="rId12" Type="http://schemas.openxmlformats.org/officeDocument/2006/relationships/hyperlink" Target="https://store.steampowered.com/app/1815570/Aces__Adventures/" TargetMode="External"/><Relationship Id="rId108" Type="http://schemas.openxmlformats.org/officeDocument/2006/relationships/hyperlink" Target="https://store.steampowered.com/app/3088070/Dark_Light_Survivor/" TargetMode="External"/><Relationship Id="rId315" Type="http://schemas.openxmlformats.org/officeDocument/2006/relationships/hyperlink" Target="https://store.steampowered.com/app/1929870/Nomad_Survival/" TargetMode="External"/><Relationship Id="rId522" Type="http://schemas.openxmlformats.org/officeDocument/2006/relationships/hyperlink" Target="https://store.steampowered.com/app/3156770/Witchfire/" TargetMode="External"/><Relationship Id="rId96" Type="http://schemas.openxmlformats.org/officeDocument/2006/relationships/hyperlink" Target="https://store.steampowered.com/app/873940/Crying_Suns/" TargetMode="External"/><Relationship Id="rId161" Type="http://schemas.openxmlformats.org/officeDocument/2006/relationships/hyperlink" Target="https://store.steampowered.com/app/2217740/Kitty_Survivors_Rogues_of_Catmere/" TargetMode="External"/><Relationship Id="rId399" Type="http://schemas.openxmlformats.org/officeDocument/2006/relationships/hyperlink" Target="https://store.steampowered.com/app/1037020/ScourgeBringer/" TargetMode="External"/><Relationship Id="rId259" Type="http://schemas.openxmlformats.org/officeDocument/2006/relationships/hyperlink" Target="https://store.steampowered.com/app/2315400/Knights_in_Tight_Spaces/" TargetMode="External"/><Relationship Id="rId466" Type="http://schemas.openxmlformats.org/officeDocument/2006/relationships/hyperlink" Target="https://store.steampowered.com/app/2245620/Tangy_TD/" TargetMode="External"/><Relationship Id="rId23" Type="http://schemas.openxmlformats.org/officeDocument/2006/relationships/hyperlink" Target="https://store.steampowered.com/app/2779570/Archons/" TargetMode="External"/><Relationship Id="rId119" Type="http://schemas.openxmlformats.org/officeDocument/2006/relationships/hyperlink" Target="https://store.steampowered.com/app/326150/Death_Skid_Marks/" TargetMode="External"/><Relationship Id="rId326" Type="http://schemas.openxmlformats.org/officeDocument/2006/relationships/hyperlink" Target="https://store.steampowered.com/app/525620/Octogeddon/" TargetMode="External"/><Relationship Id="rId533" Type="http://schemas.openxmlformats.org/officeDocument/2006/relationships/hyperlink" Target="https://store.steampowered.com/app/308420/Ziggurat/" TargetMode="External"/><Relationship Id="rId172" Type="http://schemas.openxmlformats.org/officeDocument/2006/relationships/hyperlink" Target="https://store.steampowered.com/app/2305500/FAIRY_TAIL_DUNGEONS/" TargetMode="External"/><Relationship Id="rId477" Type="http://schemas.openxmlformats.org/officeDocument/2006/relationships/hyperlink" Target="https://store.steampowered.com/app/1105670/The_Last_Spell/" TargetMode="External"/><Relationship Id="rId337" Type="http://schemas.openxmlformats.org/officeDocument/2006/relationships/hyperlink" Target="https://store.steampowered.com/app/1347970/Patch_Quest/" TargetMode="External"/><Relationship Id="rId34" Type="http://schemas.openxmlformats.org/officeDocument/2006/relationships/hyperlink" Target="https://store.steampowered.com/app/2379780/Balatro/" TargetMode="External"/><Relationship Id="rId544" Type="http://schemas.openxmlformats.org/officeDocument/2006/relationships/hyperlink" Target="https://store.steampowered.com/app/4027450/Dragon_Quest_Heroes_Tornekos_Mystery_Dungeon_Classic_HD/" TargetMode="External"/><Relationship Id="rId183" Type="http://schemas.openxmlformats.org/officeDocument/2006/relationships/hyperlink" Target="https://store.steampowered.com/app/622370/Freaky_Awesome/" TargetMode="External"/><Relationship Id="rId390" Type="http://schemas.openxmlformats.org/officeDocument/2006/relationships/hyperlink" Target="https://store.steampowered.com/app/3399930/Roulette_Dungeon/" TargetMode="External"/><Relationship Id="rId404" Type="http://schemas.openxmlformats.org/officeDocument/2006/relationships/hyperlink" Target="https://store.steampowered.com/app/2202590/Shape_Shifter_Formations/" TargetMode="External"/><Relationship Id="rId250" Type="http://schemas.openxmlformats.org/officeDocument/2006/relationships/hyperlink" Target="https://store.steampowered.com/app/1059980/Just_King/" TargetMode="External"/><Relationship Id="rId488" Type="http://schemas.openxmlformats.org/officeDocument/2006/relationships/hyperlink" Target="https://store.steampowered.com/app/1909420/Tinyfolks/"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kickstarter.com/projects/thermitegames/corpse-keeper" TargetMode="External"/><Relationship Id="rId671" Type="http://schemas.openxmlformats.org/officeDocument/2006/relationships/hyperlink" Target="https://www.reddit.com/r/DestroyMyGame/comments/119wet3/looking_for_feedback_on_this_vs_inspired/" TargetMode="External"/><Relationship Id="rId769" Type="http://schemas.openxmlformats.org/officeDocument/2006/relationships/hyperlink" Target="https://steamcommunity.com/games/3123120/announcements/detail/502834694432228039" TargetMode="External"/><Relationship Id="rId21" Type="http://schemas.openxmlformats.org/officeDocument/2006/relationships/hyperlink" Target="https://roguebasin.com/index.php/LambdaRogue" TargetMode="External"/><Relationship Id="rId324" Type="http://schemas.openxmlformats.org/officeDocument/2006/relationships/hyperlink" Target="https://roguebasin.com/index.php/Dungeon_Crawl_Stone_Soup" TargetMode="External"/><Relationship Id="rId531" Type="http://schemas.openxmlformats.org/officeDocument/2006/relationships/hyperlink" Target="https://x.com/CLLC_studio/status/1925866594078453892" TargetMode="External"/><Relationship Id="rId629" Type="http://schemas.openxmlformats.org/officeDocument/2006/relationships/hyperlink" Target="https://github.com/ScottBurger/going_rogue_podcast/blob/master/docs/providence.md" TargetMode="External"/><Relationship Id="rId170" Type="http://schemas.openxmlformats.org/officeDocument/2006/relationships/hyperlink" Target="https://store.steampowered.com/news/app/2934220/view/698764742929416235?l=english" TargetMode="External"/><Relationship Id="rId836" Type="http://schemas.openxmlformats.org/officeDocument/2006/relationships/hyperlink" Target="https://www.gamedeveloper.com/business/paper-heroes-colm-larkin-and-guild-of-dungeoneering" TargetMode="External"/><Relationship Id="rId268" Type="http://schemas.openxmlformats.org/officeDocument/2006/relationships/hyperlink" Target="https://roguebasin.com/index.php/GearHead_Caramel" TargetMode="External"/><Relationship Id="rId475" Type="http://schemas.openxmlformats.org/officeDocument/2006/relationships/hyperlink" Target="https://www.reddit.com/r/WebGames/comments/1m6esqf/archon_soul_its_been_a_year_and_a_half_of_hard/" TargetMode="External"/><Relationship Id="rId682" Type="http://schemas.openxmlformats.org/officeDocument/2006/relationships/hyperlink" Target="https://store.epicgames.com/news/pengpong-s-hockey-pinball-chaos-was-the-result-of-a-game-jam?lang=vi" TargetMode="External"/><Relationship Id="rId903" Type="http://schemas.openxmlformats.org/officeDocument/2006/relationships/hyperlink" Target="https://www.gamedeveloper.com/game-platforms/eugene-paik-talks-about-vagante-a-roguelite-8-years-in-the-making" TargetMode="External"/><Relationship Id="rId32" Type="http://schemas.openxmlformats.org/officeDocument/2006/relationships/hyperlink" Target="https://www.reddit.com/r/IndieGaming/comments/1iooyqr/roguelike_autobattler_cute_creatures_what_do_you/" TargetMode="External"/><Relationship Id="rId128" Type="http://schemas.openxmlformats.org/officeDocument/2006/relationships/hyperlink" Target="https://shogunshowdown.wiki.gg/wiki/Shogun_Showdown" TargetMode="External"/><Relationship Id="rId335" Type="http://schemas.openxmlformats.org/officeDocument/2006/relationships/hyperlink" Target="https://x.com/Typin_/status/2033598772677140518?s=20" TargetMode="External"/><Relationship Id="rId542" Type="http://schemas.openxmlformats.org/officeDocument/2006/relationships/hyperlink" Target="https://store.steampowered.com/app/3035330/Dicealot/" TargetMode="External"/><Relationship Id="rId181" Type="http://schemas.openxmlformats.org/officeDocument/2006/relationships/hyperlink" Target="https://en.wikipedia.org/wiki/Teamfight_Tactics" TargetMode="External"/><Relationship Id="rId402" Type="http://schemas.openxmlformats.org/officeDocument/2006/relationships/hyperlink" Target="https://www.reddit.com/r/roguelites/comments/1ic44r5/my_angry_bird_roguelike_is_finally_out_on_steam/" TargetMode="External"/><Relationship Id="rId847" Type="http://schemas.openxmlformats.org/officeDocument/2006/relationships/hyperlink" Target="https://www.gamedeveloper.com/design/-play-86-interview-with-adom-creator-dr-thomas-biskup" TargetMode="External"/><Relationship Id="rId279" Type="http://schemas.openxmlformats.org/officeDocument/2006/relationships/hyperlink" Target="https://www.reddit.com/r/IndieGaming/comments/1pji5gu/dunjungle_the_monkey_action_roguelite_is_out_on/" TargetMode="External"/><Relationship Id="rId486" Type="http://schemas.openxmlformats.org/officeDocument/2006/relationships/hyperlink" Target="https://hardcoregamer.com/chaos-zero-nightmare-director-interview-tgs-2025/" TargetMode="External"/><Relationship Id="rId693" Type="http://schemas.openxmlformats.org/officeDocument/2006/relationships/hyperlink" Target="https://x.com/Mickanio/status/1555411757409001472" TargetMode="External"/><Relationship Id="rId707" Type="http://schemas.openxmlformats.org/officeDocument/2006/relationships/hyperlink" Target="https://www.youtube.com/watch?v=5xuW5r3ww6Y" TargetMode="External"/><Relationship Id="rId914" Type="http://schemas.openxmlformats.org/officeDocument/2006/relationships/hyperlink" Target="https://www.indiegamesdeveloper.com/showcases-and-interviews/developer-interview/noisy-head-games-interview-beyond-the-long-night/" TargetMode="External"/><Relationship Id="rId43" Type="http://schemas.openxmlformats.org/officeDocument/2006/relationships/hyperlink" Target="https://store.steampowered.com/app/3314790/CloverPit/" TargetMode="External"/><Relationship Id="rId139" Type="http://schemas.openxmlformats.org/officeDocument/2006/relationships/hyperlink" Target="https://x.com/JFGamesPR/status/1803711115047625170" TargetMode="External"/><Relationship Id="rId346" Type="http://schemas.openxmlformats.org/officeDocument/2006/relationships/hyperlink" Target="https://store.steampowered.com/app/3035330/Dicealot/" TargetMode="External"/><Relationship Id="rId553" Type="http://schemas.openxmlformats.org/officeDocument/2006/relationships/hyperlink" Target="https://forum.gamemaker.io/index.php?threads/cats-dice-a-big-number-dice-building-roguelike-inspired-by-games-such-as-balatro-and-slice-dice.114871/" TargetMode="External"/><Relationship Id="rId760" Type="http://schemas.openxmlformats.org/officeDocument/2006/relationships/hyperlink" Target="https://www.inven.co.kr/webzine/news/?news=194987" TargetMode="External"/><Relationship Id="rId192" Type="http://schemas.openxmlformats.org/officeDocument/2006/relationships/hyperlink" Target="https://store.steampowered.com/app/496620/Monster_Slayers/" TargetMode="External"/><Relationship Id="rId206" Type="http://schemas.openxmlformats.org/officeDocument/2006/relationships/hyperlink" Target="https://steamcommunity.com/app/1519490/discussions/0/5456682769556329213/" TargetMode="External"/><Relationship Id="rId413" Type="http://schemas.openxmlformats.org/officeDocument/2006/relationships/hyperlink" Target="https://www.gamedeveloper.com/business/marketing-on-the-app-store-the-cautionary-tale-of-i-100-rogues-i-" TargetMode="External"/><Relationship Id="rId858" Type="http://schemas.openxmlformats.org/officeDocument/2006/relationships/hyperlink" Target="https://valleesdeletrange.wordpress.com/2026/03/09/sol-cesto-le-bandit-manchot-et-ses-deux-tetes-entretien-avec-chariospirale-et-docgeraud/" TargetMode="External"/><Relationship Id="rId497" Type="http://schemas.openxmlformats.org/officeDocument/2006/relationships/hyperlink" Target="https://www.reddit.com/r/slaythespire/comments/1mqcqmg/dice_legends_a_love_letter_and_homage_to_slay_the/" TargetMode="External"/><Relationship Id="rId620" Type="http://schemas.openxmlformats.org/officeDocument/2006/relationships/hyperlink" Target="https://youtu.be/lr9xu3YNwZE" TargetMode="External"/><Relationship Id="rId718" Type="http://schemas.openxmlformats.org/officeDocument/2006/relationships/hyperlink" Target="https://www.youtube.com/watch?v=L0Yg-sCCPEo" TargetMode="External"/><Relationship Id="rId925" Type="http://schemas.openxmlformats.org/officeDocument/2006/relationships/hyperlink" Target="https://www.reddit.com/r/pcgaming/comments/1ix1kj1/comment/meiosvh/" TargetMode="External"/><Relationship Id="rId357" Type="http://schemas.openxmlformats.org/officeDocument/2006/relationships/hyperlink" Target="https://www.reddit.com/r/roguelikes/comments/1iyzkws/house_of_necrosis_demo_is_out_now_on_steam/" TargetMode="External"/><Relationship Id="rId54" Type="http://schemas.openxmlformats.org/officeDocument/2006/relationships/hyperlink" Target="https://store.steampowered.com/app/3205380/Omelet_You_Cook/" TargetMode="External"/><Relationship Id="rId217" Type="http://schemas.openxmlformats.org/officeDocument/2006/relationships/hyperlink" Target="https://rogueliker.com/vellum-inspirations/" TargetMode="External"/><Relationship Id="rId564" Type="http://schemas.openxmlformats.org/officeDocument/2006/relationships/hyperlink" Target="https://bsky.app/profile/dphrygian.com/post/3mgga4hmbg22r" TargetMode="External"/><Relationship Id="rId771" Type="http://schemas.openxmlformats.org/officeDocument/2006/relationships/hyperlink" Target="https://cliqist.com/2015/01/30/children-morta-interview/" TargetMode="External"/><Relationship Id="rId869" Type="http://schemas.openxmlformats.org/officeDocument/2006/relationships/hyperlink" Target="https://howtomarketagame.com/2025/08/13/gnomes-tower-defense-with-10-month-dev-time-hits-367484/" TargetMode="External"/><Relationship Id="rId424" Type="http://schemas.openxmlformats.org/officeDocument/2006/relationships/hyperlink" Target="https://www.reddit.com/r/IAmA/comments/9m53vr/after_a_failed_kickstarter_and_3_years_of_working/" TargetMode="External"/><Relationship Id="rId631" Type="http://schemas.openxmlformats.org/officeDocument/2006/relationships/hyperlink" Target="https://steamcommunity.com/app/2563800/discussions/0/4756451565242385846/" TargetMode="External"/><Relationship Id="rId729" Type="http://schemas.openxmlformats.org/officeDocument/2006/relationships/hyperlink" Target="https://www.youtube.com/shorts/VHSBsCiZ148" TargetMode="External"/><Relationship Id="rId270" Type="http://schemas.openxmlformats.org/officeDocument/2006/relationships/hyperlink" Target="https://roguebasin.com/index.php/ZMAngband" TargetMode="External"/><Relationship Id="rId65" Type="http://schemas.openxmlformats.org/officeDocument/2006/relationships/hyperlink" Target="https://www.reddit.com/r/Games/comments/1giltps/sodaman_tape_corps_balatro_inspired_roguelite/" TargetMode="External"/><Relationship Id="rId130" Type="http://schemas.openxmlformats.org/officeDocument/2006/relationships/hyperlink" Target="https://www.kickstarter.com/projects/1926605606/stoneshard-open-world-roguelike-rpg-with-tactical" TargetMode="External"/><Relationship Id="rId368" Type="http://schemas.openxmlformats.org/officeDocument/2006/relationships/hyperlink" Target="https://frozendepths.net/roguelike/info.php" TargetMode="External"/><Relationship Id="rId575" Type="http://schemas.openxmlformats.org/officeDocument/2006/relationships/hyperlink" Target="https://en.wikipedia.org/wiki/Streets_of_Rogue" TargetMode="External"/><Relationship Id="rId782" Type="http://schemas.openxmlformats.org/officeDocument/2006/relationships/hyperlink" Target="https://steamcommunity.com/games/3066570/announcements/detail/4356754561281185320" TargetMode="External"/><Relationship Id="rId228" Type="http://schemas.openxmlformats.org/officeDocument/2006/relationships/hyperlink" Target="https://www.gamedeveloper.com/design/ram-random-access-mayhem-s-body-swapping-mechanic-was-born-from-challenges-playing-roguelikes" TargetMode="External"/><Relationship Id="rId435" Type="http://schemas.openxmlformats.org/officeDocument/2006/relationships/hyperlink" Target="https://www.gamedeveloper.com/design/how-michael-brough-s-love-of-exploring-a-single-game-mechanic-beget-i-cinco-paus-i-" TargetMode="External"/><Relationship Id="rId642" Type="http://schemas.openxmlformats.org/officeDocument/2006/relationships/hyperlink" Target="https://steamcommunity.com/app/2563800/discussions/0/4756451565242385846/" TargetMode="External"/><Relationship Id="rId281" Type="http://schemas.openxmlformats.org/officeDocument/2006/relationships/hyperlink" Target="https://www.nettosgameroom.com/2025/09/interview-with-team-tapas-creators-of.html" TargetMode="External"/><Relationship Id="rId502" Type="http://schemas.openxmlformats.org/officeDocument/2006/relationships/hyperlink" Target="https://youtu.be/zLmdMjZtDs4" TargetMode="External"/><Relationship Id="rId76" Type="http://schemas.openxmlformats.org/officeDocument/2006/relationships/hyperlink" Target="https://steamcommunity.com/app/1823390/discussions/2/6893400166994423780/" TargetMode="External"/><Relationship Id="rId141" Type="http://schemas.openxmlformats.org/officeDocument/2006/relationships/hyperlink" Target="https://noisypixel.net/metal-unit-interview-waifus-2d-action-felix-soumpholphakdy/" TargetMode="External"/><Relationship Id="rId379" Type="http://schemas.openxmlformats.org/officeDocument/2006/relationships/hyperlink" Target="http://www.roguelikeradio.com/2013/09/this-is-episode-80-of-roguelike-radio.html" TargetMode="External"/><Relationship Id="rId586" Type="http://schemas.openxmlformats.org/officeDocument/2006/relationships/hyperlink" Target="https://www.gameskinny.com/culture/interview-with-colin-day-creator-of-rogue-wizards-and-founder-of-spellbind-studios/" TargetMode="External"/><Relationship Id="rId793" Type="http://schemas.openxmlformats.org/officeDocument/2006/relationships/hyperlink" Target="https://steamcommunity.com/games/2342950/announcements/detail/3801662447199262264" TargetMode="External"/><Relationship Id="rId807" Type="http://schemas.openxmlformats.org/officeDocument/2006/relationships/hyperlink" Target="https://steamcommunity.com/games/1494560/announcements/detail/4187858160655360600" TargetMode="External"/><Relationship Id="rId7" Type="http://schemas.openxmlformats.org/officeDocument/2006/relationships/hyperlink" Target="https://frozendepths.net/roguelike/info.php" TargetMode="External"/><Relationship Id="rId239" Type="http://schemas.openxmlformats.org/officeDocument/2006/relationships/hyperlink" Target="https://medium.com/@alexiskennedy/q-a-with-alexis-kennedy-co-founder-of-weather-factory-dd35393c66f3" TargetMode="External"/><Relationship Id="rId446" Type="http://schemas.openxmlformats.org/officeDocument/2006/relationships/hyperlink" Target="https://roguebasin.com/index.php/ROGUE-FP" TargetMode="External"/><Relationship Id="rId653" Type="http://schemas.openxmlformats.org/officeDocument/2006/relationships/hyperlink" Target="https://x.com/kagaya_wqy/status/1152559201945677825" TargetMode="External"/><Relationship Id="rId292" Type="http://schemas.openxmlformats.org/officeDocument/2006/relationships/hyperlink" Target="https://store.epicgames.com/en-US/news/super-fantasy-kingdom-city-builder-next-vampire-survivors-obsession" TargetMode="External"/><Relationship Id="rId306" Type="http://schemas.openxmlformats.org/officeDocument/2006/relationships/hyperlink" Target="https://x.com/imgame_official/status/1925464077654249724" TargetMode="External"/><Relationship Id="rId860" Type="http://schemas.openxmlformats.org/officeDocument/2006/relationships/hyperlink" Target="https://spacemyfriend.itch.io/cavity-busters" TargetMode="External"/><Relationship Id="rId87" Type="http://schemas.openxmlformats.org/officeDocument/2006/relationships/hyperlink" Target="https://gamingtrend.com/previews/little-angels-maid-survivors-preview-playx4-a-brotato-esque-horde-survival-game-with-anime-packaging-and-evolutions-to-the-genre/" TargetMode="External"/><Relationship Id="rId513" Type="http://schemas.openxmlformats.org/officeDocument/2006/relationships/hyperlink" Target="https://en.wikipedia.org/wiki/Luck_Be_a_Landlord" TargetMode="External"/><Relationship Id="rId597" Type="http://schemas.openxmlformats.org/officeDocument/2006/relationships/hyperlink" Target="https://x.com/mumpitzgames/status/1925572756806017381" TargetMode="External"/><Relationship Id="rId720" Type="http://schemas.openxmlformats.org/officeDocument/2006/relationships/hyperlink" Target="https://www.gamereactor.eu/trading-rock-and-stone-for-rogue-and-like-deep-rock-galactic-rogue-core-interview-with-ghost-ship-games-1721543/" TargetMode="External"/><Relationship Id="rId818" Type="http://schemas.openxmlformats.org/officeDocument/2006/relationships/hyperlink" Target="https://store.steampowered.com/app/2060750/Star_Survivor/" TargetMode="External"/><Relationship Id="rId152" Type="http://schemas.openxmlformats.org/officeDocument/2006/relationships/hyperlink" Target="https://x.com/tametick/status/1202248124221272064" TargetMode="External"/><Relationship Id="rId457" Type="http://schemas.openxmlformats.org/officeDocument/2006/relationships/hyperlink" Target="https://mcvuk.com/development-news/when-we-made-moonlighter/" TargetMode="External"/><Relationship Id="rId664" Type="http://schemas.openxmlformats.org/officeDocument/2006/relationships/hyperlink" Target="https://store.steampowered.com/app/2218400/Greedland/" TargetMode="External"/><Relationship Id="rId871" Type="http://schemas.openxmlformats.org/officeDocument/2006/relationships/hyperlink" Target="https://howtomarketagame.com/2025/08/13/gnomes-tower-defense-with-10-month-dev-time-hits-367484/" TargetMode="External"/><Relationship Id="rId14" Type="http://schemas.openxmlformats.org/officeDocument/2006/relationships/hyperlink" Target="https://x.com/ArturSmiarowski/status/1870390372389597210" TargetMode="External"/><Relationship Id="rId317" Type="http://schemas.openxmlformats.org/officeDocument/2006/relationships/hyperlink" Target="https://www.reddit.com/r/Games/comments/vftn02/pawnbarian_j4nw_a_chessinspired_tactical_puzzle/" TargetMode="External"/><Relationship Id="rId524" Type="http://schemas.openxmlformats.org/officeDocument/2006/relationships/hyperlink" Target="https://www.reddit.com/r/pokemon/comments/1rp0vq7/i_made_a_roguelike_pokemon_autobattler/" TargetMode="External"/><Relationship Id="rId731" Type="http://schemas.openxmlformats.org/officeDocument/2006/relationships/hyperlink" Target="https://x.com/NaiiveStudio/status/1986888642565193932?s=20" TargetMode="External"/><Relationship Id="rId98" Type="http://schemas.openxmlformats.org/officeDocument/2006/relationships/hyperlink" Target="https://www.youtube.com/watch?v=DASCE8BbvOI&amp;t=1s%20(Got%20to%20play%20the%20kickstarter%20version%20early)" TargetMode="External"/><Relationship Id="rId163" Type="http://schemas.openxmlformats.org/officeDocument/2006/relationships/hyperlink" Target="https://www.youtube.com/watch?v=xsmbVWflwpw" TargetMode="External"/><Relationship Id="rId370" Type="http://schemas.openxmlformats.org/officeDocument/2006/relationships/hyperlink" Target="http://roguebasin.com/index.php/IVAN" TargetMode="External"/><Relationship Id="rId829" Type="http://schemas.openxmlformats.org/officeDocument/2006/relationships/hyperlink" Target="https://v.daum.net/v/pIwu8NNfMg?f=p" TargetMode="External"/><Relationship Id="rId230" Type="http://schemas.openxmlformats.org/officeDocument/2006/relationships/hyperlink" Target="https://www.nme.com/news/gaming-news/crossy-road-creator-announces-space-western-shooter-tombstar-3258744" TargetMode="External"/><Relationship Id="rId468" Type="http://schemas.openxmlformats.org/officeDocument/2006/relationships/hyperlink" Target="https://www.reddit.com/r/Games/comments/10uappd/the_ouroboros_king_oriol_cosp_chess_based/" TargetMode="External"/><Relationship Id="rId675" Type="http://schemas.openxmlformats.org/officeDocument/2006/relationships/hyperlink" Target="https://www.scousegamer88.com/2021/03/31/astral-ascent-hibernian-workshop-interview/" TargetMode="External"/><Relationship Id="rId882" Type="http://schemas.openxmlformats.org/officeDocument/2006/relationships/hyperlink" Target="https://store.steampowered.com/app/2348610/Slime_3K_Rise_Against_Despot/" TargetMode="External"/><Relationship Id="rId25" Type="http://schemas.openxmlformats.org/officeDocument/2006/relationships/hyperlink" Target="https://roguebasin.com/index.php/Zangband" TargetMode="External"/><Relationship Id="rId328" Type="http://schemas.openxmlformats.org/officeDocument/2006/relationships/hyperlink" Target="https://store.steampowered.com/app/2113040/RUNGORE/" TargetMode="External"/><Relationship Id="rId535" Type="http://schemas.openxmlformats.org/officeDocument/2006/relationships/hyperlink" Target="https://x.com/sparklewing925/status/1926056500113346640" TargetMode="External"/><Relationship Id="rId742" Type="http://schemas.openxmlformats.org/officeDocument/2006/relationships/hyperlink" Target="https://www.indiedb.com/news/dev-blog-10-references-and-pop-culture-in-space-prison" TargetMode="External"/><Relationship Id="rId174" Type="http://schemas.openxmlformats.org/officeDocument/2006/relationships/hyperlink" Target="https://www.reddit.com/r/NintendoSwitch/comments/75yryq/hi_we_are_the_molasses_flood_creators_of_the/" TargetMode="External"/><Relationship Id="rId381" Type="http://schemas.openxmlformats.org/officeDocument/2006/relationships/hyperlink" Target="https://www.sohu.com/a/740136808_204824" TargetMode="External"/><Relationship Id="rId602" Type="http://schemas.openxmlformats.org/officeDocument/2006/relationships/hyperlink" Target="https://x.com/AnAmazingWizard/status/1489554155597352962?s=20" TargetMode="External"/><Relationship Id="rId241" Type="http://schemas.openxmlformats.org/officeDocument/2006/relationships/hyperlink" Target="https://www.pcgamer.com/turn-based-roguelike-deep-sky-derelicts-channels-darkest-dungeon-in-space/" TargetMode="External"/><Relationship Id="rId479" Type="http://schemas.openxmlformats.org/officeDocument/2006/relationships/hyperlink" Target="https://www.reddit.com/r/Games/comments/czn9i5/were_the_developers_of_atomicrops_an_action/" TargetMode="External"/><Relationship Id="rId686" Type="http://schemas.openxmlformats.org/officeDocument/2006/relationships/hyperlink" Target="https://store.epicgames.com/news/pengpong-s-hockey-pinball-chaos-was-the-result-of-a-game-jam?lang=vi" TargetMode="External"/><Relationship Id="rId893" Type="http://schemas.openxmlformats.org/officeDocument/2006/relationships/hyperlink" Target="https://turnbasedlovers.com/10-turns-interview/with-cobalt-core-devs/" TargetMode="External"/><Relationship Id="rId907" Type="http://schemas.openxmlformats.org/officeDocument/2006/relationships/hyperlink" Target="https://creators.spotify.com/pod/show/openindie/episodes/29---Pixlpunk---Tiny-Rogues---RubyDev---Austria-e2ainqm/a-aafpjfq" TargetMode="External"/><Relationship Id="rId36" Type="http://schemas.openxmlformats.org/officeDocument/2006/relationships/hyperlink" Target="https://www.reddit.com/r/IndieGaming/comments/13vr0mm/comment/jm7alk0/?context=3" TargetMode="External"/><Relationship Id="rId339" Type="http://schemas.openxmlformats.org/officeDocument/2006/relationships/hyperlink" Target="https://x.com/CLLC_studio/status/1925866594078453892" TargetMode="External"/><Relationship Id="rId546" Type="http://schemas.openxmlformats.org/officeDocument/2006/relationships/hyperlink" Target="https://youtu.be/VGMszILvj78" TargetMode="External"/><Relationship Id="rId753" Type="http://schemas.openxmlformats.org/officeDocument/2006/relationships/hyperlink" Target="https://www.youtube.com/watch?v=uKyeo6l_pAQ" TargetMode="External"/><Relationship Id="rId101" Type="http://schemas.openxmlformats.org/officeDocument/2006/relationships/hyperlink" Target="https://steamcommunity.com/app/1519490/discussions/0/5456682769556329213/" TargetMode="External"/><Relationship Id="rId185" Type="http://schemas.openxmlformats.org/officeDocument/2006/relationships/hyperlink" Target="https://gamerant.com/lone-ruin-interview-roguelike-indie-game-design-inspirations-visuals-coding/" TargetMode="External"/><Relationship Id="rId406" Type="http://schemas.openxmlformats.org/officeDocument/2006/relationships/hyperlink" Target="https://www.reddit.com/r/Games/comments/1ker0jk/rune_dice_smart_raven_studio_peglininspired/" TargetMode="External"/><Relationship Id="rId392" Type="http://schemas.openxmlformats.org/officeDocument/2006/relationships/hyperlink" Target="https://gamerant.com/lone-ruin-interview-roguelike-indie-game-design-inspirations-visuals-coding/" TargetMode="External"/><Relationship Id="rId613" Type="http://schemas.openxmlformats.org/officeDocument/2006/relationships/hyperlink" Target="https://www.sohu.com/a/740136808_204824" TargetMode="External"/><Relationship Id="rId697" Type="http://schemas.openxmlformats.org/officeDocument/2006/relationships/hyperlink" Target="https://games.gg/news/wanderburg-trailers-drive-150k-steam-wishlists/" TargetMode="External"/><Relationship Id="rId820" Type="http://schemas.openxmlformats.org/officeDocument/2006/relationships/hyperlink" Target="https://store.steampowered.com/app/2060750/Star_Survivor/" TargetMode="External"/><Relationship Id="rId918" Type="http://schemas.openxmlformats.org/officeDocument/2006/relationships/hyperlink" Target="https://legendofkeepers.fandom.com/wiki/Legend_of_Keepers" TargetMode="External"/><Relationship Id="rId252" Type="http://schemas.openxmlformats.org/officeDocument/2006/relationships/hyperlink" Target="https://screenrant.com/shape-of-dreams-eunseop-shim-interview/" TargetMode="External"/><Relationship Id="rId47" Type="http://schemas.openxmlformats.org/officeDocument/2006/relationships/hyperlink" Target="https://rocketadrift.itch.io/dead-finger-dice-a-billionaire-killing-game/devlog/963841/dead-finger-dice-demo-out-now" TargetMode="External"/><Relationship Id="rId112" Type="http://schemas.openxmlformats.org/officeDocument/2006/relationships/hyperlink" Target="https://www.reddit.com/r/IndieGaming/comments/evnabb/a_short_impression_of_insurmountable_our_new_game/" TargetMode="External"/><Relationship Id="rId557" Type="http://schemas.openxmlformats.org/officeDocument/2006/relationships/hyperlink" Target="https://www.siliconera.com/catacomb-kids-interview-spelunky-comparisons-and-the-early-access-gamble/" TargetMode="External"/><Relationship Id="rId764" Type="http://schemas.openxmlformats.org/officeDocument/2006/relationships/hyperlink" Target="https://cheerfulghost.com/jdodson/posts/1590/interview-with-death-road-to-canada-s-kepa-auwae" TargetMode="External"/><Relationship Id="rId196" Type="http://schemas.openxmlformats.org/officeDocument/2006/relationships/hyperlink" Target="https://www.gridsagegames.com/forums/index.php?topic=648.msg5316" TargetMode="External"/><Relationship Id="rId417" Type="http://schemas.openxmlformats.org/officeDocument/2006/relationships/hyperlink" Target="https://roguebasin.com/index.php?title=Wayward" TargetMode="External"/><Relationship Id="rId624" Type="http://schemas.openxmlformats.org/officeDocument/2006/relationships/hyperlink" Target="https://store.steampowered.com/news/app/3618850/view/527614642864786784?l=english" TargetMode="External"/><Relationship Id="rId831" Type="http://schemas.openxmlformats.org/officeDocument/2006/relationships/hyperlink" Target="https://www.gamespark.jp/article/2025/12/23/160936.html" TargetMode="External"/><Relationship Id="rId263" Type="http://schemas.openxmlformats.org/officeDocument/2006/relationships/hyperlink" Target="https://store.epicgames.com/en-US/news/darkblade-ascent-brings-the-roguelike-to-the-soulslike" TargetMode="External"/><Relationship Id="rId470" Type="http://schemas.openxmlformats.org/officeDocument/2006/relationships/hyperlink" Target="https://www.youtube.com/watch?v=9fxnPkfyHuA" TargetMode="External"/><Relationship Id="rId58" Type="http://schemas.openxmlformats.org/officeDocument/2006/relationships/hyperlink" Target="https://retconmagazine.com/how-raccoin-a-game-about-watching-a-machine-push-coins-came-to-life-interview/" TargetMode="External"/><Relationship Id="rId123" Type="http://schemas.openxmlformats.org/officeDocument/2006/relationships/hyperlink" Target="https://www.reddit.com/r/roguelites/comments/r8cay9/weve_been_developing_the_roguelite_escape_the_mad/" TargetMode="External"/><Relationship Id="rId330" Type="http://schemas.openxmlformats.org/officeDocument/2006/relationships/hyperlink" Target="https://youtu.be/DpEmpx4isOQ" TargetMode="External"/><Relationship Id="rId568" Type="http://schemas.openxmlformats.org/officeDocument/2006/relationships/hyperlink" Target="https://forums.tigsource.com/index.php?topic=41609.0" TargetMode="External"/><Relationship Id="rId775" Type="http://schemas.openxmlformats.org/officeDocument/2006/relationships/hyperlink" Target="https://www.gamesradar.com/modern-roguelikes-are-in-great-shape-but-where-does-the-genre-go-next/" TargetMode="External"/><Relationship Id="rId428" Type="http://schemas.openxmlformats.org/officeDocument/2006/relationships/hyperlink" Target="https://youtu.be/GWc7QppCPHM" TargetMode="External"/><Relationship Id="rId635" Type="http://schemas.openxmlformats.org/officeDocument/2006/relationships/hyperlink" Target="https://www.youtube.com/watch?v=giIIoIKntnw" TargetMode="External"/><Relationship Id="rId842" Type="http://schemas.openxmlformats.org/officeDocument/2006/relationships/hyperlink" Target="https://www.theyoungfolks.com/video-games/154551/interview-joris-dormans-details-the-gameplay-and-story-of-unexplored-2/" TargetMode="External"/><Relationship Id="rId274" Type="http://schemas.openxmlformats.org/officeDocument/2006/relationships/hyperlink" Target="https://youtu.be/HyhYA69y62c" TargetMode="External"/><Relationship Id="rId481" Type="http://schemas.openxmlformats.org/officeDocument/2006/relationships/hyperlink" Target="https://www.gamingonlinux.com/2024/07/bite-sized-roguelike-tower-defense-game-bella-wants-blood-releases-july-24/" TargetMode="External"/><Relationship Id="rId702" Type="http://schemas.openxmlformats.org/officeDocument/2006/relationships/hyperlink" Target="https://x.com/Handmancers/status/2038942935211798568?s=20" TargetMode="External"/><Relationship Id="rId69" Type="http://schemas.openxmlformats.org/officeDocument/2006/relationships/hyperlink" Target="https://gmtk.substack.com/p/how-i-made-word-play" TargetMode="External"/><Relationship Id="rId134" Type="http://schemas.openxmlformats.org/officeDocument/2006/relationships/hyperlink" Target="https://x.com/AnAmazingWizard/status/1489554155597352962?s=20" TargetMode="External"/><Relationship Id="rId579" Type="http://schemas.openxmlformats.org/officeDocument/2006/relationships/hyperlink" Target="https://www.reddit.com/r/roguelikes/comments/5zi6kq/y&#333;danji_coffeebreak_mobile_roguelike_themed_after/" TargetMode="External"/><Relationship Id="rId786" Type="http://schemas.openxmlformats.org/officeDocument/2006/relationships/hyperlink" Target="https://steamcommunity.com/games/3923750/announcements/detail/503962497384974869" TargetMode="External"/><Relationship Id="rId341" Type="http://schemas.openxmlformats.org/officeDocument/2006/relationships/hyperlink" Target="https://x.com/sparklewing925/status/1926056500113346640" TargetMode="External"/><Relationship Id="rId439" Type="http://schemas.openxmlformats.org/officeDocument/2006/relationships/hyperlink" Target="https://segadoes.com/2017/06/16/fatal-labyrinth/" TargetMode="External"/><Relationship Id="rId646" Type="http://schemas.openxmlformats.org/officeDocument/2006/relationships/hyperlink" Target="https://www.youtube.com/watch?v=txv0XsRrFwo" TargetMode="External"/><Relationship Id="rId201" Type="http://schemas.openxmlformats.org/officeDocument/2006/relationships/hyperlink" Target="https://www.gamedeveloper.com/game-platforms/eugene-paik-talks-about-vagante-a-roguelite-8-years-in-the-making" TargetMode="External"/><Relationship Id="rId285" Type="http://schemas.openxmlformats.org/officeDocument/2006/relationships/hyperlink" Target="https://youtu.be/tGdbRTxu4Ew" TargetMode="External"/><Relationship Id="rId506" Type="http://schemas.openxmlformats.org/officeDocument/2006/relationships/hyperlink" Target="https://www.pocketgamer.com/gordian-quest/interview/" TargetMode="External"/><Relationship Id="rId853" Type="http://schemas.openxmlformats.org/officeDocument/2006/relationships/hyperlink" Target="https://www.engadget.com/2013-08-15-wasteland-kings-is-vlambeers-next-big-little-game.html" TargetMode="External"/><Relationship Id="rId492" Type="http://schemas.openxmlformats.org/officeDocument/2006/relationships/hyperlink" Target="https://www.youtube.com/watch?v=7SjRhK9wdEE" TargetMode="External"/><Relationship Id="rId713" Type="http://schemas.openxmlformats.org/officeDocument/2006/relationships/hyperlink" Target="https://youtu.be/pkhzUQ39ts4" TargetMode="External"/><Relationship Id="rId797" Type="http://schemas.openxmlformats.org/officeDocument/2006/relationships/hyperlink" Target="https://steamcommunity.com/games/1914580/announcements/detail/3096792662638547858" TargetMode="External"/><Relationship Id="rId920" Type="http://schemas.openxmlformats.org/officeDocument/2006/relationships/hyperlink" Target="https://legendofkeepers.fandom.com/wiki/Legend_of_Keepers" TargetMode="External"/><Relationship Id="rId145" Type="http://schemas.openxmlformats.org/officeDocument/2006/relationships/hyperlink" Target="https://www.cbr.com/rogue-prince-of-persia-asadi-xye-dylan-eurlings-interview/" TargetMode="External"/><Relationship Id="rId352" Type="http://schemas.openxmlformats.org/officeDocument/2006/relationships/hyperlink" Target="https://roguebasin.com/index.php/Angband" TargetMode="External"/><Relationship Id="rId212" Type="http://schemas.openxmlformats.org/officeDocument/2006/relationships/hyperlink" Target="https://youtu.be/-I__TxhbQgw" TargetMode="External"/><Relationship Id="rId657" Type="http://schemas.openxmlformats.org/officeDocument/2006/relationships/hyperlink" Target="https://youtu.be/VGMszILvj78" TargetMode="External"/><Relationship Id="rId864" Type="http://schemas.openxmlformats.org/officeDocument/2006/relationships/hyperlink" Target="https://www.gamedeveloper.com/game-platforms/playing-catch-up-i-castle-of-the-winds-i-rick-saada" TargetMode="External"/><Relationship Id="rId296" Type="http://schemas.openxmlformats.org/officeDocument/2006/relationships/hyperlink" Target="https://rogueliker.com/vellum-inspirations/" TargetMode="External"/><Relationship Id="rId517" Type="http://schemas.openxmlformats.org/officeDocument/2006/relationships/hyperlink" Target="https://youtu.be/VGMszILvj78" TargetMode="External"/><Relationship Id="rId724" Type="http://schemas.openxmlformats.org/officeDocument/2006/relationships/hyperlink" Target="https://80.lv/articles/making-hack-and-slash-action-rpg-voin-as-solo-developer" TargetMode="External"/><Relationship Id="rId60" Type="http://schemas.openxmlformats.org/officeDocument/2006/relationships/hyperlink" Target="https://steamcommunity.com/games/2904290/announcements/detail/4185610799649293674" TargetMode="External"/><Relationship Id="rId156" Type="http://schemas.openxmlformats.org/officeDocument/2006/relationships/hyperlink" Target="https://steamcommunity.com/app/1823390/discussions/2/6893400166994423780/" TargetMode="External"/><Relationship Id="rId363" Type="http://schemas.openxmlformats.org/officeDocument/2006/relationships/hyperlink" Target="https://forums.tigsource.com/index.php?topic=25392.0" TargetMode="External"/><Relationship Id="rId570" Type="http://schemas.openxmlformats.org/officeDocument/2006/relationships/hyperlink" Target="https://www.youtube.com/watch?v=DASCE8BbvOI&amp;t=1s" TargetMode="External"/><Relationship Id="rId223" Type="http://schemas.openxmlformats.org/officeDocument/2006/relationships/hyperlink" Target="https://x.com/JFGamesPR/status/1803711115047625170" TargetMode="External"/><Relationship Id="rId430" Type="http://schemas.openxmlformats.org/officeDocument/2006/relationships/hyperlink" Target="https://www.reddit.com/r/pcgaming/comments/1f9y4d8/weve_been_making_our_totally_normal_coop_shooter/" TargetMode="External"/><Relationship Id="rId668" Type="http://schemas.openxmlformats.org/officeDocument/2006/relationships/hyperlink" Target="https://store.steampowered.com/app/2479320/Pesticide_Not_Required/" TargetMode="External"/><Relationship Id="rId875" Type="http://schemas.openxmlformats.org/officeDocument/2006/relationships/hyperlink" Target="https://www.gamedeveloper.com/production/prototyping-i-let-s-revolution-i-transforming-i-minesweeper-i-into-a-turn-based-strategy-roguelike" TargetMode="External"/><Relationship Id="rId18" Type="http://schemas.openxmlformats.org/officeDocument/2006/relationships/hyperlink" Target="https://roguebasin.com/index.php/Crablike" TargetMode="External"/><Relationship Id="rId528" Type="http://schemas.openxmlformats.org/officeDocument/2006/relationships/hyperlink" Target="https://steamcommunity.com/app/1461910/discussions/0/3363649332031630216/?l=finnish" TargetMode="External"/><Relationship Id="rId735" Type="http://schemas.openxmlformats.org/officeDocument/2006/relationships/hyperlink" Target="https://x.com/NaiiveStudio/status/1986888642565193932?s=20" TargetMode="External"/><Relationship Id="rId167" Type="http://schemas.openxmlformats.org/officeDocument/2006/relationships/hyperlink" Target="https://www.gamespress.com/Die-For-The-Lich-is-coming-to-Early-Access-on-November-10th-2025" TargetMode="External"/><Relationship Id="rId374" Type="http://schemas.openxmlformats.org/officeDocument/2006/relationships/hyperlink" Target="https://roguebasin.com/index.php/POWDER" TargetMode="External"/><Relationship Id="rId581" Type="http://schemas.openxmlformats.org/officeDocument/2006/relationships/hyperlink" Target="https://www.youtube.com/watch?v=7SjRhK9wdEE" TargetMode="External"/><Relationship Id="rId71" Type="http://schemas.openxmlformats.org/officeDocument/2006/relationships/hyperlink" Target="https://www.youtube.com/watch?v=cjh1J2AuT_4" TargetMode="External"/><Relationship Id="rId234" Type="http://schemas.openxmlformats.org/officeDocument/2006/relationships/hyperlink" Target="https://bigbossbattle.com/abandon-ship-interview-fireblade-softwares-gary-burchell/" TargetMode="External"/><Relationship Id="rId679" Type="http://schemas.openxmlformats.org/officeDocument/2006/relationships/hyperlink" Target="https://rogueliker.com/vellum-inspirations/" TargetMode="External"/><Relationship Id="rId802" Type="http://schemas.openxmlformats.org/officeDocument/2006/relationships/hyperlink" Target="https://steamcommunity.com/games/2105840/announcements/detail/526488742956893954" TargetMode="External"/><Relationship Id="rId886" Type="http://schemas.openxmlformats.org/officeDocument/2006/relationships/hyperlink" Target="https://steamcommunity.com/games/2400160/announcements/detail/4686648941196507636" TargetMode="External"/><Relationship Id="rId2" Type="http://schemas.openxmlformats.org/officeDocument/2006/relationships/hyperlink" Target="https://x.com/mumpitzgames/status/1925572756806017381" TargetMode="External"/><Relationship Id="rId29" Type="http://schemas.openxmlformats.org/officeDocument/2006/relationships/hyperlink" Target="https://www.youtube.com/watch?v=kYUYXX5vdkU" TargetMode="External"/><Relationship Id="rId441" Type="http://schemas.openxmlformats.org/officeDocument/2006/relationships/hyperlink" Target="https://zenorogue.blogspot.com/search/label/sources" TargetMode="External"/><Relationship Id="rId539" Type="http://schemas.openxmlformats.org/officeDocument/2006/relationships/hyperlink" Target="https://steamcommunity.com/app/1199030/discussions/0/5011908545188375361/?ctp=2" TargetMode="External"/><Relationship Id="rId746" Type="http://schemas.openxmlformats.org/officeDocument/2006/relationships/hyperlink" Target="https://www.reddit.com/r/Games/comments/17dw9zh/trash_of_the_titans_tabagain_its_into_the_breach/" TargetMode="External"/><Relationship Id="rId178" Type="http://schemas.openxmlformats.org/officeDocument/2006/relationships/hyperlink" Target="https://frozendepths.net/roguelike/info.php" TargetMode="External"/><Relationship Id="rId301" Type="http://schemas.openxmlformats.org/officeDocument/2006/relationships/hyperlink" Target="https://youtu.be/s_I07Iq_2XM?si=AWX0JtDGVzx0vl36" TargetMode="External"/><Relationship Id="rId82" Type="http://schemas.openxmlformats.org/officeDocument/2006/relationships/hyperlink" Target="https://www.youtube.com/watch?v=G8e_zxWb3QA" TargetMode="External"/><Relationship Id="rId385" Type="http://schemas.openxmlformats.org/officeDocument/2006/relationships/hyperlink" Target="https://x.com/MrMorrisGames/status/2030327854383190254" TargetMode="External"/><Relationship Id="rId592" Type="http://schemas.openxmlformats.org/officeDocument/2006/relationships/hyperlink" Target="https://www.reddit.com/r/Games/comments/7ukbl1/im_the_lead_developer_of_tangledeep_a_roguelike/" TargetMode="External"/><Relationship Id="rId606" Type="http://schemas.openxmlformats.org/officeDocument/2006/relationships/hyperlink" Target="https://caifuhao.eastmoney.com/news/20260725235351583816280" TargetMode="External"/><Relationship Id="rId813" Type="http://schemas.openxmlformats.org/officeDocument/2006/relationships/hyperlink" Target="https://store.steampowered.com/app/2060750/Star_Survivor/" TargetMode="External"/><Relationship Id="rId245" Type="http://schemas.openxmlformats.org/officeDocument/2006/relationships/hyperlink" Target="https://www.reddit.com/r/IndieGaming/comments/evnabb/a_short_impression_of_insurmountable_our_new_game/" TargetMode="External"/><Relationship Id="rId452" Type="http://schemas.openxmlformats.org/officeDocument/2006/relationships/hyperlink" Target="https://www.reddit.com/r/Games/comments/2e7eti/hello_rgames_we_are_the_creators_of_the_roguelike/" TargetMode="External"/><Relationship Id="rId897" Type="http://schemas.openxmlformats.org/officeDocument/2006/relationships/hyperlink" Target="https://shmuplations.com/chunsoft30th/" TargetMode="External"/><Relationship Id="rId105" Type="http://schemas.openxmlformats.org/officeDocument/2006/relationships/hyperlink" Target="https://en.wikipedia.org/wiki/BPM:_Bullets_Per_Minute" TargetMode="External"/><Relationship Id="rId312" Type="http://schemas.openxmlformats.org/officeDocument/2006/relationships/hyperlink" Target="https://x.com/Klukva_Games/status/1750485532868522090" TargetMode="External"/><Relationship Id="rId757" Type="http://schemas.openxmlformats.org/officeDocument/2006/relationships/hyperlink" Target="https://youtu.be/_Ner8cAfsBg" TargetMode="External"/><Relationship Id="rId93" Type="http://schemas.openxmlformats.org/officeDocument/2006/relationships/hyperlink" Target="https://store.steampowered.com/app/3314790/CloverPit/" TargetMode="External"/><Relationship Id="rId189" Type="http://schemas.openxmlformats.org/officeDocument/2006/relationships/hyperlink" Target="https://x.com/Nitrome/status/931133911408828421?s=20" TargetMode="External"/><Relationship Id="rId396" Type="http://schemas.openxmlformats.org/officeDocument/2006/relationships/hyperlink" Target="https://www.gamedeveloper.com/design/ram-random-access-mayhem-s-body-swapping-mechanic-was-born-from-challenges-playing-roguelikes" TargetMode="External"/><Relationship Id="rId617" Type="http://schemas.openxmlformats.org/officeDocument/2006/relationships/hyperlink" Target="https://mcvuk.com/development-news/when-we-made-moonlighter/" TargetMode="External"/><Relationship Id="rId824" Type="http://schemas.openxmlformats.org/officeDocument/2006/relationships/hyperlink" Target="https://steamcommunity.com/games/1105670/announcements/detail/2996568545566483264" TargetMode="External"/><Relationship Id="rId256" Type="http://schemas.openxmlformats.org/officeDocument/2006/relationships/hyperlink" Target="https://www.emuglx.org/reportaze/interview/exclusive-switchcars-interview/" TargetMode="External"/><Relationship Id="rId463" Type="http://schemas.openxmlformats.org/officeDocument/2006/relationships/hyperlink" Target="https://steamcommunity.com/games/2904290/announcements/detail/4185610799649293674" TargetMode="External"/><Relationship Id="rId670" Type="http://schemas.openxmlformats.org/officeDocument/2006/relationships/hyperlink" Target="https://store.epicgames.com/news/terratech-legion-interview-russ-clark-car-building-freedom-bullet-heaven?lang=hi" TargetMode="External"/><Relationship Id="rId116" Type="http://schemas.openxmlformats.org/officeDocument/2006/relationships/hyperlink" Target="https://www.reddit.com/r/pcgaming/comments/1kxi8ze/as_we_descend_strategy_roguelike_deckbuilder/" TargetMode="External"/><Relationship Id="rId323" Type="http://schemas.openxmlformats.org/officeDocument/2006/relationships/hyperlink" Target="https://steamcommunity.com/app/2821800/discussions/0/4346617656894336061/" TargetMode="External"/><Relationship Id="rId530" Type="http://schemas.openxmlformats.org/officeDocument/2006/relationships/hyperlink" Target="https://www.reddit.com/r/godot/comments/1lo0rfm/14_months_of_work_on_my_1st_game_demo_is_now/" TargetMode="External"/><Relationship Id="rId768" Type="http://schemas.openxmlformats.org/officeDocument/2006/relationships/hyperlink" Target="https://steamcommunity.com/games/1000010/announcements/detail/1712958942358263915" TargetMode="External"/><Relationship Id="rId20" Type="http://schemas.openxmlformats.org/officeDocument/2006/relationships/hyperlink" Target="https://www.youtube.com/watch?v=JXv8hQguGCI" TargetMode="External"/><Relationship Id="rId628" Type="http://schemas.openxmlformats.org/officeDocument/2006/relationships/hyperlink" Target="https://www.reddit.com/r/roguelites/comments/m2341u/space_gladiators_my_isaac_inspired_grotesque/" TargetMode="External"/><Relationship Id="rId835" Type="http://schemas.openxmlformats.org/officeDocument/2006/relationships/hyperlink" Target="https://www.gamedeveloper.com/business/paper-heroes-colm-larkin-and-guild-of-dungeoneering" TargetMode="External"/><Relationship Id="rId267" Type="http://schemas.openxmlformats.org/officeDocument/2006/relationships/hyperlink" Target="https://roguebasin.com/index.php/GearHead" TargetMode="External"/><Relationship Id="rId474" Type="http://schemas.openxmlformats.org/officeDocument/2006/relationships/hyperlink" Target="https://arcanium-rise-of-akhan.xsollasitebuilder.com/" TargetMode="External"/><Relationship Id="rId127" Type="http://schemas.openxmlformats.org/officeDocument/2006/relationships/hyperlink" Target="https://x.com/studio_goblinz/status/1703121970680807815?s=20" TargetMode="External"/><Relationship Id="rId681" Type="http://schemas.openxmlformats.org/officeDocument/2006/relationships/hyperlink" Target="https://bsky.app/profile/vfqd.itch.io/post/3mjfbk36e6k22" TargetMode="External"/><Relationship Id="rId779" Type="http://schemas.openxmlformats.org/officeDocument/2006/relationships/hyperlink" Target="https://www.gamesradar.com/modern-roguelikes-are-in-great-shape-but-where-does-the-genre-go-next/" TargetMode="External"/><Relationship Id="rId902" Type="http://schemas.openxmlformats.org/officeDocument/2006/relationships/hyperlink" Target="https://crpgaddict.blogspot.com/2011/05/omega-everything-is-reference.html" TargetMode="External"/><Relationship Id="rId31" Type="http://schemas.openxmlformats.org/officeDocument/2006/relationships/hyperlink" Target="https://x.com/GrimorioG/status/1213196249509376001?s=20" TargetMode="External"/><Relationship Id="rId334" Type="http://schemas.openxmlformats.org/officeDocument/2006/relationships/hyperlink" Target="https://www.reddit.com/r/indiegames/comments/1b21ga6/we_are_developing_a_strategy_deckbuilding_game/" TargetMode="External"/><Relationship Id="rId541" Type="http://schemas.openxmlformats.org/officeDocument/2006/relationships/hyperlink" Target="https://www.reddit.com/r/slaythespire/comments/173zdvp/i_am_a_solo_developer_working_on_the_last_flame_a/" TargetMode="External"/><Relationship Id="rId639" Type="http://schemas.openxmlformats.org/officeDocument/2006/relationships/hyperlink" Target="https://steamcommunity.com/app/1734320/discussions/0/598515896185532848/" TargetMode="External"/><Relationship Id="rId180" Type="http://schemas.openxmlformats.org/officeDocument/2006/relationships/hyperlink" Target="https://x.com/TeamWoodGames/status/1383470923156647938?s=20" TargetMode="External"/><Relationship Id="rId278" Type="http://schemas.openxmlformats.org/officeDocument/2006/relationships/hyperlink" Target="https://www.reddit.com/r/Games/comments/1syyjc8/ama_demon_lord_just_a_block_the_gridbased/" TargetMode="External"/><Relationship Id="rId401" Type="http://schemas.openxmlformats.org/officeDocument/2006/relationships/hyperlink" Target="https://www.reddit.com/r/Games/comments/10uappd/the_ouroboros_king_oriol_cosp_chess_based/" TargetMode="External"/><Relationship Id="rId846" Type="http://schemas.openxmlformats.org/officeDocument/2006/relationships/hyperlink" Target="https://www.gamespark.jp/article/2023/02/15/127110.html" TargetMode="External"/><Relationship Id="rId485" Type="http://schemas.openxmlformats.org/officeDocument/2006/relationships/hyperlink" Target="https://steamcommunity.com/app/2118810/discussions/1/3980680532379147080/" TargetMode="External"/><Relationship Id="rId692" Type="http://schemas.openxmlformats.org/officeDocument/2006/relationships/hyperlink" Target="https://rogueliker.com/guntouchables-interview/%20and%20also%20talked%20about%20nuclear%20throne%20in%20the%20discord" TargetMode="External"/><Relationship Id="rId706" Type="http://schemas.openxmlformats.org/officeDocument/2006/relationships/hyperlink" Target="https://www.youtube.com/watch?v=5xuW5r3ww6Y" TargetMode="External"/><Relationship Id="rId913" Type="http://schemas.openxmlformats.org/officeDocument/2006/relationships/hyperlink" Target="https://www.gamemeca.com/en/view.php?gid=1778935" TargetMode="External"/><Relationship Id="rId42" Type="http://schemas.openxmlformats.org/officeDocument/2006/relationships/hyperlink" Target="https://x.com/CraftmosGames/status/2032372023327146439?s=20" TargetMode="External"/><Relationship Id="rId138" Type="http://schemas.openxmlformats.org/officeDocument/2006/relationships/hyperlink" Target="https://store.steampowered.com/app/465200/Fury_Unleashed/" TargetMode="External"/><Relationship Id="rId345" Type="http://schemas.openxmlformats.org/officeDocument/2006/relationships/hyperlink" Target="https://steamcommunity.com/app/1016730/discussions/0/1814296907961762044/" TargetMode="External"/><Relationship Id="rId552" Type="http://schemas.openxmlformats.org/officeDocument/2006/relationships/hyperlink" Target="https://store.steampowered.com/news/app/1434540/view/2939150821227809707" TargetMode="External"/><Relationship Id="rId191" Type="http://schemas.openxmlformats.org/officeDocument/2006/relationships/hyperlink" Target="https://www.polygon.com/pc/2019/4/7/18299068/dicey-dungeons-terry-cavanagh-gdc-preview" TargetMode="External"/><Relationship Id="rId205" Type="http://schemas.openxmlformats.org/officeDocument/2006/relationships/hyperlink" Target="https://www.gameskinny.com/culture/interview-with-colin-day-creator-of-rogue-wizards-and-founder-of-spellbind-studios/" TargetMode="External"/><Relationship Id="rId412" Type="http://schemas.openxmlformats.org/officeDocument/2006/relationships/hyperlink" Target="https://creators.spotify.com/pod/show/the-indie-diarist/episodes/Indie-Diary-5-Enrique-Dryere-Triple-B-Titles---Creativity-as-Sacrifice--Secrets-of-Inspiration--DnD-and----Poker-e207m5b" TargetMode="External"/><Relationship Id="rId857" Type="http://schemas.openxmlformats.org/officeDocument/2006/relationships/hyperlink" Target="https://nichegamer.com/patch-quest-interview/" TargetMode="External"/><Relationship Id="rId289" Type="http://schemas.openxmlformats.org/officeDocument/2006/relationships/hyperlink" Target="https://rogueliker.com/realm-of-ink-interview/" TargetMode="External"/><Relationship Id="rId496" Type="http://schemas.openxmlformats.org/officeDocument/2006/relationships/hyperlink" Target="https://x.com/dicefold/status/1805536239212544285" TargetMode="External"/><Relationship Id="rId717" Type="http://schemas.openxmlformats.org/officeDocument/2006/relationships/hyperlink" Target="https://www.youtube.com/watch?v=L0Yg-sCCPEo" TargetMode="External"/><Relationship Id="rId924" Type="http://schemas.openxmlformats.org/officeDocument/2006/relationships/hyperlink" Target="https://steamcommunity.com/games/2742830/announcements/detail/572625355297261274" TargetMode="External"/><Relationship Id="rId53" Type="http://schemas.openxmlformats.org/officeDocument/2006/relationships/hyperlink" Target="https://www.youtube.com/watch?v=cjh1J2AuT_4" TargetMode="External"/><Relationship Id="rId149" Type="http://schemas.openxmlformats.org/officeDocument/2006/relationships/hyperlink" Target="https://www.reddit.com/r/iosgaming/comments/1hjehh9/lost_for_swords_a_dungeon_crawler_focusing_on/" TargetMode="External"/><Relationship Id="rId356" Type="http://schemas.openxmlformats.org/officeDocument/2006/relationships/hyperlink" Target="https://www.gamedeveloper.com/business/marketing-on-the-app-store-the-cautionary-tale-of-i-100-rogues-i-" TargetMode="External"/><Relationship Id="rId563" Type="http://schemas.openxmlformats.org/officeDocument/2006/relationships/hyperlink" Target="https://www.reddit.com/r/IndieGaming/comments/1pji5gu/dunjungle_the_monkey_action_roguelite_is_out_on/" TargetMode="External"/><Relationship Id="rId770" Type="http://schemas.openxmlformats.org/officeDocument/2006/relationships/hyperlink" Target="https://steamcommunity.com/games/2835570/announcements/detail/4181107834755509907" TargetMode="External"/><Relationship Id="rId216" Type="http://schemas.openxmlformats.org/officeDocument/2006/relationships/hyperlink" Target="https://www.youtube.com/watch?v=JXv8hQguGCI" TargetMode="External"/><Relationship Id="rId423" Type="http://schemas.openxmlformats.org/officeDocument/2006/relationships/hyperlink" Target="https://screenrant.com/shape-of-dreams-eunseop-shim-interview/" TargetMode="External"/><Relationship Id="rId868" Type="http://schemas.openxmlformats.org/officeDocument/2006/relationships/hyperlink" Target="https://www.gamedeveloper.com/design/building-i-enter-the-gungeon-i-s-dungeon-climbing-spin-off-i-exit-the-gungeon-i-" TargetMode="External"/><Relationship Id="rId630" Type="http://schemas.openxmlformats.org/officeDocument/2006/relationships/hyperlink" Target="https://www.emuglx.org/reportaze/interview/exclusive-switchcars-interview/" TargetMode="External"/><Relationship Id="rId728" Type="http://schemas.openxmlformats.org/officeDocument/2006/relationships/hyperlink" Target="https://x.com/CodeRed_dev/status/1925987988565074114?s=20" TargetMode="External"/><Relationship Id="rId64" Type="http://schemas.openxmlformats.org/officeDocument/2006/relationships/hyperlink" Target="https://store.steampowered.com/app/3496890/Slot_or_Not/" TargetMode="External"/><Relationship Id="rId367" Type="http://schemas.openxmlformats.org/officeDocument/2006/relationships/hyperlink" Target="https://darkrpgs.home.blog/2019/03/08/interview-with-miro-haverinen-the-creator-of-the-dark-rpg-fear-hunger/" TargetMode="External"/><Relationship Id="rId574" Type="http://schemas.openxmlformats.org/officeDocument/2006/relationships/hyperlink" Target="https://youtu.be/zKQl9Xp3dxo" TargetMode="External"/><Relationship Id="rId227" Type="http://schemas.openxmlformats.org/officeDocument/2006/relationships/hyperlink" Target="https://x.com/pathogenicgame/status/2085041700716654606?s=20" TargetMode="External"/><Relationship Id="rId781" Type="http://schemas.openxmlformats.org/officeDocument/2006/relationships/hyperlink" Target="https://www.gamesradar.com/modern-roguelikes-are-in-great-shape-but-where-does-the-genre-go-next/" TargetMode="External"/><Relationship Id="rId879" Type="http://schemas.openxmlformats.org/officeDocument/2006/relationships/hyperlink" Target="https://www.gamesradar.com/games/roguelike/a-4000-hour-final-fantasy-14-diehard-made-his-own-mmo-raid-infused-roguelike-and-its-tearing-it-up-on-steam-beating-the-4-year-sales-of-his-last-game-in-24-hours/" TargetMode="External"/><Relationship Id="rId434" Type="http://schemas.openxmlformats.org/officeDocument/2006/relationships/hyperlink" Target="https://www.reddit.com/r/pcgaming/comments/1f9y4d8/weve_been_making_our_totally_normal_coop_shooter/" TargetMode="External"/><Relationship Id="rId641" Type="http://schemas.openxmlformats.org/officeDocument/2006/relationships/hyperlink" Target="https://youtu.be/VGMszILvj78" TargetMode="External"/><Relationship Id="rId739" Type="http://schemas.openxmlformats.org/officeDocument/2006/relationships/hyperlink" Target="https://www.reddit.com/r/roguelites/comments/1t6eumj/we_spent_2_years_making_a_coop_action_roguelite/" TargetMode="External"/><Relationship Id="rId280" Type="http://schemas.openxmlformats.org/officeDocument/2006/relationships/hyperlink" Target="https://twotinydice.itch.io/forward/devlog/355393/development-update-2-new-game-mode-cool-features" TargetMode="External"/><Relationship Id="rId501" Type="http://schemas.openxmlformats.org/officeDocument/2006/relationships/hyperlink" Target="https://store.steampowered.com/app/3548520/DOG_WITCH/" TargetMode="External"/><Relationship Id="rId75" Type="http://schemas.openxmlformats.org/officeDocument/2006/relationships/hyperlink" Target="https://www.ign.com/articles/claim-a-key-for-hellcard-the-turn-based-deckbuilding-rogue-lite-from-book-of-demons-developer" TargetMode="External"/><Relationship Id="rId140" Type="http://schemas.openxmlformats.org/officeDocument/2006/relationships/hyperlink" Target="https://x.com/VoidmawGames/status/2024503993805000848?s=20" TargetMode="External"/><Relationship Id="rId378" Type="http://schemas.openxmlformats.org/officeDocument/2006/relationships/hyperlink" Target="https://www.roguebasin.com/index.php/Sword_of_the_Stars:_The_Pit" TargetMode="External"/><Relationship Id="rId585" Type="http://schemas.openxmlformats.org/officeDocument/2006/relationships/hyperlink" Target="https://gamingbolt.com/gonner-interview-a-colorful-and-challenging-ride" TargetMode="External"/><Relationship Id="rId792" Type="http://schemas.openxmlformats.org/officeDocument/2006/relationships/hyperlink" Target="https://steamcommunity.com/games/1637320/announcements/detail/4673137508062083951" TargetMode="External"/><Relationship Id="rId806" Type="http://schemas.openxmlformats.org/officeDocument/2006/relationships/hyperlink" Target="https://steamcommunity.com/games/692890/announcements/detail/4599817768902300278" TargetMode="External"/><Relationship Id="rId6" Type="http://schemas.openxmlformats.org/officeDocument/2006/relationships/hyperlink" Target="https://www.youtube.com/watch?v=JXv8hQguGCI" TargetMode="External"/><Relationship Id="rId238" Type="http://schemas.openxmlformats.org/officeDocument/2006/relationships/hyperlink" Target="https://medium.com/@gofig.news/a-coffee-break-with-fr&#233;d&#233;ric-lopez-crying-suns-3b030eb4f455" TargetMode="External"/><Relationship Id="rId445" Type="http://schemas.openxmlformats.org/officeDocument/2006/relationships/hyperlink" Target="https://www.reddit.com/r/JRPG/comments/1k54nny/lets_discover_rogue_hearts_dungeon_jun_ota_and/" TargetMode="External"/><Relationship Id="rId652" Type="http://schemas.openxmlformats.org/officeDocument/2006/relationships/hyperlink" Target="https://www.simplelove.co/entry/20141209/1418122763" TargetMode="External"/><Relationship Id="rId291" Type="http://schemas.openxmlformats.org/officeDocument/2006/relationships/hyperlink" Target="https://www.gamescom.global/en/product/starlight-revolver-pahdo" TargetMode="External"/><Relationship Id="rId305" Type="http://schemas.openxmlformats.org/officeDocument/2006/relationships/hyperlink" Target="https://steamcommunity.com/app/3585160/discussions/0/663844088186935277/" TargetMode="External"/><Relationship Id="rId512" Type="http://schemas.openxmlformats.org/officeDocument/2006/relationships/hyperlink" Target="https://steamcommunity.com/app/1266430/discussions/0/3194745319517826630/" TargetMode="External"/><Relationship Id="rId86" Type="http://schemas.openxmlformats.org/officeDocument/2006/relationships/hyperlink" Target="https://x.com/nikkonikkoLTD/status/1984291038723457227?s=20" TargetMode="External"/><Relationship Id="rId151" Type="http://schemas.openxmlformats.org/officeDocument/2006/relationships/hyperlink" Target="https://steamcommunity.com/app/449960/discussions/0/352788917765198084/?ctp=2" TargetMode="External"/><Relationship Id="rId389" Type="http://schemas.openxmlformats.org/officeDocument/2006/relationships/hyperlink" Target="https://en.wikipedia.org/wiki/Enter_the_Gungeon" TargetMode="External"/><Relationship Id="rId596" Type="http://schemas.openxmlformats.org/officeDocument/2006/relationships/hyperlink" Target="https://gamestudio.n-ix.com/case-study/the-bazaar-game-development-story/" TargetMode="External"/><Relationship Id="rId817" Type="http://schemas.openxmlformats.org/officeDocument/2006/relationships/hyperlink" Target="https://store.steampowered.com/app/2060750/Star_Survivor/" TargetMode="External"/><Relationship Id="rId249" Type="http://schemas.openxmlformats.org/officeDocument/2006/relationships/hyperlink" Target="https://steamcommunity.com/app/296970/discussions/0/483368526579730066/" TargetMode="External"/><Relationship Id="rId456" Type="http://schemas.openxmlformats.org/officeDocument/2006/relationships/hyperlink" Target="https://gamerheadquarters.com/articles/immortal-redneck-interview.html" TargetMode="External"/><Relationship Id="rId663" Type="http://schemas.openxmlformats.org/officeDocument/2006/relationships/hyperlink" Target="https://xuanmingzhou.com/blog/glyphica-a-solo-dev-retrospective/" TargetMode="External"/><Relationship Id="rId870" Type="http://schemas.openxmlformats.org/officeDocument/2006/relationships/hyperlink" Target="https://howtomarketagame.com/2025/08/13/gnomes-tower-defense-with-10-month-dev-time-hits-367484/" TargetMode="External"/><Relationship Id="rId13" Type="http://schemas.openxmlformats.org/officeDocument/2006/relationships/hyperlink" Target="https://www.shadowofthewyrm.org/about.html" TargetMode="External"/><Relationship Id="rId109" Type="http://schemas.openxmlformats.org/officeDocument/2006/relationships/hyperlink" Target="https://mcvuk.com/business-news/when-we-made-wildfrost/" TargetMode="External"/><Relationship Id="rId316" Type="http://schemas.openxmlformats.org/officeDocument/2006/relationships/hyperlink" Target="https://www.thegamer.com/metal-slug-tactics-interview/" TargetMode="External"/><Relationship Id="rId523" Type="http://schemas.openxmlformats.org/officeDocument/2006/relationships/hyperlink" Target="https://en.wikipedia.org/wiki/Peglin" TargetMode="External"/><Relationship Id="rId97" Type="http://schemas.openxmlformats.org/officeDocument/2006/relationships/hyperlink" Target="https://roguebasin.com/index.php/CataclysmDDA" TargetMode="External"/><Relationship Id="rId730" Type="http://schemas.openxmlformats.org/officeDocument/2006/relationships/hyperlink" Target="https://x.com/DrivingRogue/status/2084622846303625448?s=20" TargetMode="External"/><Relationship Id="rId828" Type="http://schemas.openxmlformats.org/officeDocument/2006/relationships/hyperlink" Target="https://www.gamespark.jp/article/2025/07/24/155340.html" TargetMode="External"/><Relationship Id="rId162" Type="http://schemas.openxmlformats.org/officeDocument/2006/relationships/hyperlink" Target="http://www.zincland.com/powder/?pagename=about" TargetMode="External"/><Relationship Id="rId467" Type="http://schemas.openxmlformats.org/officeDocument/2006/relationships/hyperlink" Target="https://www.youtube.com/watch?v=dfLSGkKC2ug" TargetMode="External"/><Relationship Id="rId674" Type="http://schemas.openxmlformats.org/officeDocument/2006/relationships/hyperlink" Target="https://www.reddit.com/r/playmygame/comments/sqb852/our_spellcasting_roguelike_abandoned_archive_now/" TargetMode="External"/><Relationship Id="rId881" Type="http://schemas.openxmlformats.org/officeDocument/2006/relationships/hyperlink" Target="https://store.steampowered.com/app/2348610/Slime_3K_Rise_Against_Despot/" TargetMode="External"/><Relationship Id="rId24" Type="http://schemas.openxmlformats.org/officeDocument/2006/relationships/hyperlink" Target="https://roguebasin.com/index.php/The_Ground_Gives_Way" TargetMode="External"/><Relationship Id="rId327" Type="http://schemas.openxmlformats.org/officeDocument/2006/relationships/hyperlink" Target="https://www.gamedeveloper.com/design/making-a-case-for-short-games" TargetMode="External"/><Relationship Id="rId534" Type="http://schemas.openxmlformats.org/officeDocument/2006/relationships/hyperlink" Target="https://forum.godotengine.org/t/seedborne-soldiers-an-auto-battler-roguelike-demo-now-available-on-steam/83974" TargetMode="External"/><Relationship Id="rId741" Type="http://schemas.openxmlformats.org/officeDocument/2006/relationships/hyperlink" Target="https://www.indiedb.com/news/dev-blog-10-references-and-pop-culture-in-space-prison" TargetMode="External"/><Relationship Id="rId839" Type="http://schemas.openxmlformats.org/officeDocument/2006/relationships/hyperlink" Target="https://rpgcodex.net/content.php?id=8133" TargetMode="External"/><Relationship Id="rId173" Type="http://schemas.openxmlformats.org/officeDocument/2006/relationships/hyperlink" Target="https://en.wikipedia.org/wiki/Road_Not_Taken" TargetMode="External"/><Relationship Id="rId380" Type="http://schemas.openxmlformats.org/officeDocument/2006/relationships/hyperlink" Target="https://www.reddit.com/r/WazHack/comments/2dgp8s/question_is_wazhack_based_of_of_nethack/" TargetMode="External"/><Relationship Id="rId601" Type="http://schemas.openxmlformats.org/officeDocument/2006/relationships/hyperlink" Target="https://www.reddit.com/r/NintendoSwitch/comments/8jv8rd/im_matt_bitner_sole_developer_of_a_robot_named/" TargetMode="External"/><Relationship Id="rId240" Type="http://schemas.openxmlformats.org/officeDocument/2006/relationships/hyperlink" Target="https://steamcommunity.com/app/326150/discussions/0/617320168090466146/" TargetMode="External"/><Relationship Id="rId478" Type="http://schemas.openxmlformats.org/officeDocument/2006/relationships/hyperlink" Target="https://indiecator.org/2022/09/26/astrea-six-sided-oracles-interview/" TargetMode="External"/><Relationship Id="rId685" Type="http://schemas.openxmlformats.org/officeDocument/2006/relationships/hyperlink" Target="https://store.epicgames.com/news/pengpong-s-hockey-pinball-chaos-was-the-result-of-a-game-jam?lang=vi" TargetMode="External"/><Relationship Id="rId892" Type="http://schemas.openxmlformats.org/officeDocument/2006/relationships/hyperlink" Target="https://turnbasedlovers.com/10-turns-interview/with-cobalt-core-devs/" TargetMode="External"/><Relationship Id="rId906" Type="http://schemas.openxmlformats.org/officeDocument/2006/relationships/hyperlink" Target="https://www.youtube.com/watch?v=txv0XsRrFwo" TargetMode="External"/><Relationship Id="rId35" Type="http://schemas.openxmlformats.org/officeDocument/2006/relationships/hyperlink" Target="https://youtu.be/DY-KwfFTU9g" TargetMode="External"/><Relationship Id="rId100" Type="http://schemas.openxmlformats.org/officeDocument/2006/relationships/hyperlink" Target="https://www.reddit.com/r/roguelikes/comments/fwbx5g/mainframe_defenders_cogmind_inspired_tactics/" TargetMode="External"/><Relationship Id="rId338" Type="http://schemas.openxmlformats.org/officeDocument/2006/relationships/hyperlink" Target="https://steamcommunity.com/app/1794400/discussions/0/3409803709049368658/" TargetMode="External"/><Relationship Id="rId545" Type="http://schemas.openxmlformats.org/officeDocument/2006/relationships/hyperlink" Target="https://www.reddit.com/r/roguelites/comments/1djfzyz/started_as_a_solodev_with_no_programming/" TargetMode="External"/><Relationship Id="rId752" Type="http://schemas.openxmlformats.org/officeDocument/2006/relationships/hyperlink" Target="https://www.youtube.com/watch?v=uKyeo6l_pAQ" TargetMode="External"/><Relationship Id="rId184" Type="http://schemas.openxmlformats.org/officeDocument/2006/relationships/hyperlink" Target="https://www.reddit.com/r/nintendo/comments/6k942k/yo_we_made_gonner_and_it_just_came_out_on_the/" TargetMode="External"/><Relationship Id="rId391" Type="http://schemas.openxmlformats.org/officeDocument/2006/relationships/hyperlink" Target="http://www.roguelikeradio.com/2019/02/episode-151-haque.html" TargetMode="External"/><Relationship Id="rId405" Type="http://schemas.openxmlformats.org/officeDocument/2006/relationships/hyperlink" Target="https://x.com/MrMorrisGames/status/2030327854383190254" TargetMode="External"/><Relationship Id="rId612" Type="http://schemas.openxmlformats.org/officeDocument/2006/relationships/hyperlink" Target="https://switchplayer.net/2017/05/08/grabbing-a-frozenbyte-with-some-has-been-heroes/" TargetMode="External"/><Relationship Id="rId251" Type="http://schemas.openxmlformats.org/officeDocument/2006/relationships/hyperlink" Target="https://steamcommunity.com/app/1494560/discussions/0/4335355681660890217/" TargetMode="External"/><Relationship Id="rId489" Type="http://schemas.openxmlformats.org/officeDocument/2006/relationships/hyperlink" Target="https://store.steampowered.com/app/3035330/Dicealot/" TargetMode="External"/><Relationship Id="rId696" Type="http://schemas.openxmlformats.org/officeDocument/2006/relationships/hyperlink" Target="https://store.steampowered.com/app/3484940/Curse_of_Pirates/" TargetMode="External"/><Relationship Id="rId917" Type="http://schemas.openxmlformats.org/officeDocument/2006/relationships/hyperlink" Target="https://youtu.be/6jw72rP6Zmk" TargetMode="External"/><Relationship Id="rId46" Type="http://schemas.openxmlformats.org/officeDocument/2006/relationships/hyperlink" Target="https://www.youtube.com/watch?v=7SjRhK9wdEE" TargetMode="External"/><Relationship Id="rId349" Type="http://schemas.openxmlformats.org/officeDocument/2006/relationships/hyperlink" Target="https://steamcommunity.com/app/1461910/discussions/0/3363649332031630216/?l=finnish" TargetMode="External"/><Relationship Id="rId556" Type="http://schemas.openxmlformats.org/officeDocument/2006/relationships/hyperlink" Target="https://indiegraph.wordpress.com/2013/12/11/interview-with-the-creator-of-barony/" TargetMode="External"/><Relationship Id="rId763" Type="http://schemas.openxmlformats.org/officeDocument/2006/relationships/hyperlink" Target="https://rogueliker.com/footgun-underground-interview/" TargetMode="External"/><Relationship Id="rId111" Type="http://schemas.openxmlformats.org/officeDocument/2006/relationships/hyperlink" Target="https://caifuhao.eastmoney.com/news/20260725235351583816280" TargetMode="External"/><Relationship Id="rId195" Type="http://schemas.openxmlformats.org/officeDocument/2006/relationships/hyperlink" Target="https://roguebasin.com/index.php/Cataclysm" TargetMode="External"/><Relationship Id="rId209" Type="http://schemas.openxmlformats.org/officeDocument/2006/relationships/hyperlink" Target="https://www.bay12forums.com/smf/index.php?topic=182370.0" TargetMode="External"/><Relationship Id="rId416" Type="http://schemas.openxmlformats.org/officeDocument/2006/relationships/hyperlink" Target="https://roguebasin.com/index.php/The_Ground_Gives_Way" TargetMode="External"/><Relationship Id="rId623" Type="http://schemas.openxmlformats.org/officeDocument/2006/relationships/hyperlink" Target="https://www.reddit.com/r/Spore/comments/1uz4aye/just_released_my_game_pathogenic_its_basically/" TargetMode="External"/><Relationship Id="rId830" Type="http://schemas.openxmlformats.org/officeDocument/2006/relationships/hyperlink" Target="https://www.gamecast-blog.com/archives/66001023.html" TargetMode="External"/><Relationship Id="rId928" Type="http://schemas.openxmlformats.org/officeDocument/2006/relationships/table" Target="../tables/table2.xml"/><Relationship Id="rId57" Type="http://schemas.openxmlformats.org/officeDocument/2006/relationships/hyperlink" Target="https://store.steampowered.com/app/2797650/Pip_My_Dice/" TargetMode="External"/><Relationship Id="rId262" Type="http://schemas.openxmlformats.org/officeDocument/2006/relationships/hyperlink" Target="https://www.gamingfurever.com/news/editorials/brew-interview-with-ceo-of-snow-leaf-studios-isak-wahl" TargetMode="External"/><Relationship Id="rId567" Type="http://schemas.openxmlformats.org/officeDocument/2006/relationships/hyperlink" Target="https://wesleyjkurtz.wixsite.com/orangedrop/post/mana-spark-kishimoto-studios-indie-devs-behemutt-an-in-depth-interview" TargetMode="External"/><Relationship Id="rId122" Type="http://schemas.openxmlformats.org/officeDocument/2006/relationships/hyperlink" Target="https://steamcommunity.com/app/429620/discussions/0/352788552271906911/" TargetMode="External"/><Relationship Id="rId774" Type="http://schemas.openxmlformats.org/officeDocument/2006/relationships/hyperlink" Target="https://www.gamesradar.com/modern-roguelikes-are-in-great-shape-but-where-does-the-genre-go-next/" TargetMode="External"/><Relationship Id="rId427" Type="http://schemas.openxmlformats.org/officeDocument/2006/relationships/hyperlink" Target="https://www.reddit.com/r/pcgaming/comments/1p30oqw/were_big_distraction_an_indie_studio_founded_by/" TargetMode="External"/><Relationship Id="rId634" Type="http://schemas.openxmlformats.org/officeDocument/2006/relationships/hyperlink" Target="https://www.reddit.com/r/nintendo/comments/691a58/we_are_team_tumbleseed_and_we_launched_tumbleseed/" TargetMode="External"/><Relationship Id="rId841" Type="http://schemas.openxmlformats.org/officeDocument/2006/relationships/hyperlink" Target="https://www.theyoungfolks.com/video-games/154551/interview-joris-dormans-details-the-gameplay-and-story-of-unexplored-2/" TargetMode="External"/><Relationship Id="rId273" Type="http://schemas.openxmlformats.org/officeDocument/2006/relationships/hyperlink" Target="https://80.lv/articles/battle-shapers-how-blender-unity-helped-create-the-game-s-vibrant-world" TargetMode="External"/><Relationship Id="rId480" Type="http://schemas.openxmlformats.org/officeDocument/2006/relationships/hyperlink" Target="https://x.com/Mudita_Games/status/1988179400454500794" TargetMode="External"/><Relationship Id="rId701" Type="http://schemas.openxmlformats.org/officeDocument/2006/relationships/hyperlink" Target="https://store.steampowered.com/app/943140/Sparklite/" TargetMode="External"/><Relationship Id="rId68" Type="http://schemas.openxmlformats.org/officeDocument/2006/relationships/hyperlink" Target="https://store.steampowered.com/app/3333700/The_Royal_Writ/" TargetMode="External"/><Relationship Id="rId133" Type="http://schemas.openxmlformats.org/officeDocument/2006/relationships/hyperlink" Target="https://www.polygon.com/absolum-roguelike-interview-dotemu-guard-crush/" TargetMode="External"/><Relationship Id="rId340" Type="http://schemas.openxmlformats.org/officeDocument/2006/relationships/hyperlink" Target="https://www.kxan.com/business/press-releases/ein-presswire/785406016/idream-interactive-unveils-runeborn-a-dark-fantasy-roguelike-deckbuilder-at-steam-next-fest/" TargetMode="External"/><Relationship Id="rId578" Type="http://schemas.openxmlformats.org/officeDocument/2006/relationships/hyperlink" Target="https://www.gamedeveloper.com/game-platforms/eugene-paik-talks-about-vagante-a-roguelite-8-years-in-the-making" TargetMode="External"/><Relationship Id="rId785" Type="http://schemas.openxmlformats.org/officeDocument/2006/relationships/hyperlink" Target="https://steamcommunity.com/games/3066570/announcements/detail/4356754561281185320" TargetMode="External"/><Relationship Id="rId200" Type="http://schemas.openxmlformats.org/officeDocument/2006/relationships/hyperlink" Target="https://store.steampowered.com/app/3601130/Touhou_Crawl/" TargetMode="External"/><Relationship Id="rId438" Type="http://schemas.openxmlformats.org/officeDocument/2006/relationships/hyperlink" Target="https://www.reddit.com/r/Games/comments/2e7eti/hello_rgames_we_are_the_creators_of_the_roguelike/" TargetMode="External"/><Relationship Id="rId645" Type="http://schemas.openxmlformats.org/officeDocument/2006/relationships/hyperlink" Target="https://www.youtube.com/watch?v=txv0XsRrFwo" TargetMode="External"/><Relationship Id="rId852" Type="http://schemas.openxmlformats.org/officeDocument/2006/relationships/hyperlink" Target="https://www.engadget.com/2013-08-15-wasteland-kings-is-vlambeers-next-big-little-game.html" TargetMode="External"/><Relationship Id="rId284" Type="http://schemas.openxmlformats.org/officeDocument/2006/relationships/hyperlink" Target="https://store.steampowered.com/news/app/3372060/view/600783816474231378?l=english" TargetMode="External"/><Relationship Id="rId491" Type="http://schemas.openxmlformats.org/officeDocument/2006/relationships/hyperlink" Target="https://store.steampowered.com/app/3035330/Dicealot/" TargetMode="External"/><Relationship Id="rId505" Type="http://schemas.openxmlformats.org/officeDocument/2006/relationships/hyperlink" Target="https://twotinydice.itch.io/forward/devlog/355393/development-update-2-new-game-mode-cool-features" TargetMode="External"/><Relationship Id="rId712" Type="http://schemas.openxmlformats.org/officeDocument/2006/relationships/hyperlink" Target="https://www.reddit.com/r/roguelikedev/comments/1tbz50j/hello_made_a_3d_asciisprite_roguelike_called/" TargetMode="External"/><Relationship Id="rId79" Type="http://schemas.openxmlformats.org/officeDocument/2006/relationships/hyperlink" Target="https://roguebasin.com/index.php/ROGUE-FP" TargetMode="External"/><Relationship Id="rId144" Type="http://schemas.openxmlformats.org/officeDocument/2006/relationships/hyperlink" Target="https://gonintendo.com/contents/37637-tmnt-splintered-fate-devs-say-they-were-inspired-by-hades-dead-cells-and-more" TargetMode="External"/><Relationship Id="rId589" Type="http://schemas.openxmlformats.org/officeDocument/2006/relationships/hyperlink" Target="https://roguebasin.com/index.php/Labyrinth_of_Legendary_Loot" TargetMode="External"/><Relationship Id="rId796" Type="http://schemas.openxmlformats.org/officeDocument/2006/relationships/hyperlink" Target="https://store.steampowered.com/app/2420510/HoloCure__Save_the_Fans/" TargetMode="External"/><Relationship Id="rId351" Type="http://schemas.openxmlformats.org/officeDocument/2006/relationships/hyperlink" Target="https://x.com/MasksOfTheVoid/status/2084174185505448157?s=20" TargetMode="External"/><Relationship Id="rId449" Type="http://schemas.openxmlformats.org/officeDocument/2006/relationships/hyperlink" Target="https://www.reddit.com/r/JRPG/comments/1k54nny/lets_discover_rogue_hearts_dungeon_jun_ota_and/" TargetMode="External"/><Relationship Id="rId656" Type="http://schemas.openxmlformats.org/officeDocument/2006/relationships/hyperlink" Target="https://steamcommunity.com/app/3100310/discussions/0/735910198043224446/" TargetMode="External"/><Relationship Id="rId863" Type="http://schemas.openxmlformats.org/officeDocument/2006/relationships/hyperlink" Target="https://www.gamedeveloper.com/game-platforms/playing-catch-up-i-castle-of-the-winds-i-rick-saada" TargetMode="External"/><Relationship Id="rId211" Type="http://schemas.openxmlformats.org/officeDocument/2006/relationships/hyperlink" Target="https://www.youtube.com/watch?v=giIIoIKntnw" TargetMode="External"/><Relationship Id="rId295" Type="http://schemas.openxmlformats.org/officeDocument/2006/relationships/hyperlink" Target="https://www.thegamer.com/teenage-mutant-ninja-turtles-tmnt-splintered-fate-leads-talk-idw-inspirations-2025-dlc-and-the-comparisons-to-hades/" TargetMode="External"/><Relationship Id="rId309" Type="http://schemas.openxmlformats.org/officeDocument/2006/relationships/hyperlink" Target="https://store.steampowered.com/app/3333700/The_Royal_Writ/" TargetMode="External"/><Relationship Id="rId516" Type="http://schemas.openxmlformats.org/officeDocument/2006/relationships/hyperlink" Target="https://store.steampowered.com/app/3035330/Dicealot/" TargetMode="External"/><Relationship Id="rId723" Type="http://schemas.openxmlformats.org/officeDocument/2006/relationships/hyperlink" Target="https://www.gamereactor.eu/trading-rock-and-stone-for-rogue-and-like-deep-rock-galactic-rogue-core-interview-with-ghost-ship-games-1721543/" TargetMode="External"/><Relationship Id="rId155" Type="http://schemas.openxmlformats.org/officeDocument/2006/relationships/hyperlink" Target="https://www.reddit.com/r/Games/comments/2osauc/hi_rgames_were_a_group_of_aaa_and_exaaa/" TargetMode="External"/><Relationship Id="rId197" Type="http://schemas.openxmlformats.org/officeDocument/2006/relationships/hyperlink" Target="https://www.qcfdesign.com/wiki/DesktopDungeons/index.php?title=Desktop_Dungeons" TargetMode="External"/><Relationship Id="rId362" Type="http://schemas.openxmlformats.org/officeDocument/2006/relationships/hyperlink" Target="https://indiegraph.wordpress.com/2013/12/11/interview-with-the-creator-of-barony/" TargetMode="External"/><Relationship Id="rId418" Type="http://schemas.openxmlformats.org/officeDocument/2006/relationships/hyperlink" Target="https://zenorogue.blogspot.com/search/label/sources" TargetMode="External"/><Relationship Id="rId625" Type="http://schemas.openxmlformats.org/officeDocument/2006/relationships/hyperlink" Target="https://games.tiscali.cz/novinky/cesky-tym-rake-in-grass-se-hlasi-se-slibnou-arkadou-rampage-knights-240475" TargetMode="External"/><Relationship Id="rId832" Type="http://schemas.openxmlformats.org/officeDocument/2006/relationships/hyperlink" Target="https://bbs.ruliweb.com/news/read/152932" TargetMode="External"/><Relationship Id="rId222" Type="http://schemas.openxmlformats.org/officeDocument/2006/relationships/hyperlink" Target="https://www.reddit.com/r/roguelites/comments/r8cay9/weve_been_developing_the_roguelite_escape_the_mad/" TargetMode="External"/><Relationship Id="rId264" Type="http://schemas.openxmlformats.org/officeDocument/2006/relationships/hyperlink" Target="https://rogueliker.com/vellum-inspirations/" TargetMode="External"/><Relationship Id="rId471" Type="http://schemas.openxmlformats.org/officeDocument/2006/relationships/hyperlink" Target="https://youtu.be/VGMszILvj78" TargetMode="External"/><Relationship Id="rId667" Type="http://schemas.openxmlformats.org/officeDocument/2006/relationships/hyperlink" Target="https://store.steampowered.com/news/app/2934220/view/698764742929416235?l=english" TargetMode="External"/><Relationship Id="rId874" Type="http://schemas.openxmlformats.org/officeDocument/2006/relationships/hyperlink" Target="https://rubberchickengames.com/2014/10/14/entrevista-a-terri-vellmann-criador-de-heavy-bullets/" TargetMode="External"/><Relationship Id="rId17" Type="http://schemas.openxmlformats.org/officeDocument/2006/relationships/hyperlink" Target="https://x.com/tametick/status/1202248124221272064" TargetMode="External"/><Relationship Id="rId59" Type="http://schemas.openxmlformats.org/officeDocument/2006/relationships/hyperlink" Target="https://x.com/brainoidgames/status/1925653290278121609" TargetMode="External"/><Relationship Id="rId124" Type="http://schemas.openxmlformats.org/officeDocument/2006/relationships/hyperlink" Target="https://www.youtube.com/watch?v=ZqMZqQ-wrko" TargetMode="External"/><Relationship Id="rId527" Type="http://schemas.openxmlformats.org/officeDocument/2006/relationships/hyperlink" Target="https://www.reddit.com/r/NintendoSwitch/comments/10q0wez/ama_the_roguelike_that_is_played_using_only_two/" TargetMode="External"/><Relationship Id="rId569" Type="http://schemas.openxmlformats.org/officeDocument/2006/relationships/hyperlink" Target="https://www.gamedeveloper.com/business/road-to-the-igf-2023-kenny-sun-s-mr-sun-s-hatbox" TargetMode="External"/><Relationship Id="rId734" Type="http://schemas.openxmlformats.org/officeDocument/2006/relationships/hyperlink" Target="https://x.com/DrivingRogue/status/2084622846303625448?s=20" TargetMode="External"/><Relationship Id="rId776" Type="http://schemas.openxmlformats.org/officeDocument/2006/relationships/hyperlink" Target="https://www.gamesradar.com/modern-roguelikes-are-in-great-shape-but-where-does-the-genre-go-next/" TargetMode="External"/><Relationship Id="rId70" Type="http://schemas.openxmlformats.org/officeDocument/2006/relationships/hyperlink" Target="https://www.youtube.com/watch?v=9MTnAtXsJn0" TargetMode="External"/><Relationship Id="rId166" Type="http://schemas.openxmlformats.org/officeDocument/2006/relationships/hyperlink" Target="https://www.reddit.com/r/Games/comments/1dbw5hw/dice_fold_tinymice_slay_the_spire_but_with_dice/" TargetMode="External"/><Relationship Id="rId331" Type="http://schemas.openxmlformats.org/officeDocument/2006/relationships/hyperlink" Target="https://x.com/sparklewing925/status/1926056500113346640" TargetMode="External"/><Relationship Id="rId373" Type="http://schemas.openxmlformats.org/officeDocument/2006/relationships/hyperlink" Target="https://www.roguebasin.com/index.php/Pathos:_NetHack_Codex" TargetMode="External"/><Relationship Id="rId429" Type="http://schemas.openxmlformats.org/officeDocument/2006/relationships/hyperlink" Target="https://www.reddit.com/r/Games/comments/16x0fkk/shape_shifter_formations_castec_studios_an_action/" TargetMode="External"/><Relationship Id="rId580" Type="http://schemas.openxmlformats.org/officeDocument/2006/relationships/hyperlink" Target="https://steamcommunity.com/app/1823390/discussions/2/6893400166994423780/" TargetMode="External"/><Relationship Id="rId636" Type="http://schemas.openxmlformats.org/officeDocument/2006/relationships/hyperlink" Target="https://www.shacknews.com/article/110700/undermine-dev-unearths-roguelike-rpg-info-in-interview" TargetMode="External"/><Relationship Id="rId801" Type="http://schemas.openxmlformats.org/officeDocument/2006/relationships/hyperlink" Target="https://steamcommunity.com/games/2105840/announcements/detail/526488742956893954" TargetMode="External"/><Relationship Id="rId1" Type="http://schemas.openxmlformats.org/officeDocument/2006/relationships/hyperlink" Target="https://steamcommunity.com/app/1461910/discussions/0/3363649332031630216/?l=finnish" TargetMode="External"/><Relationship Id="rId233" Type="http://schemas.openxmlformats.org/officeDocument/2006/relationships/hyperlink" Target="https://x.com/studio_goblinz/status/1703121970680807815?s=20" TargetMode="External"/><Relationship Id="rId440" Type="http://schemas.openxmlformats.org/officeDocument/2006/relationships/hyperlink" Target="https://www.reddit.com/r/gamedev/comments/o8bzkt/one_year_into_early_access_for_golden_light_lets/" TargetMode="External"/><Relationship Id="rId678" Type="http://schemas.openxmlformats.org/officeDocument/2006/relationships/hyperlink" Target="https://roguebasin.com/index.php/ZMAngband" TargetMode="External"/><Relationship Id="rId843" Type="http://schemas.openxmlformats.org/officeDocument/2006/relationships/hyperlink" Target="https://www.gamegrin.com/articles/developer-interview-neon-abyss-2-veewo-games/" TargetMode="External"/><Relationship Id="rId885" Type="http://schemas.openxmlformats.org/officeDocument/2006/relationships/hyperlink" Target="https://www.screenhype.co.uk/undermine-2-interview-thorium-entertainment-exclusive/" TargetMode="External"/><Relationship Id="rId28" Type="http://schemas.openxmlformats.org/officeDocument/2006/relationships/hyperlink" Target="https://store.steampowered.com/app/2479320/Pesticide_Not_Required/" TargetMode="External"/><Relationship Id="rId275" Type="http://schemas.openxmlformats.org/officeDocument/2006/relationships/hyperlink" Target="https://www.gamingfurever.com/news/editorials/brew-interview-with-ceo-of-snow-leaf-studios-isak-wahl" TargetMode="External"/><Relationship Id="rId300" Type="http://schemas.openxmlformats.org/officeDocument/2006/relationships/hyperlink" Target="https://zenorogue.blogspot.com/search/label/sources" TargetMode="External"/><Relationship Id="rId482" Type="http://schemas.openxmlformats.org/officeDocument/2006/relationships/hyperlink" Target="https://steamcommunity.com/app/1803400/discussions/0/3883848697076653164/?l=hungarian" TargetMode="External"/><Relationship Id="rId538" Type="http://schemas.openxmlformats.org/officeDocument/2006/relationships/hyperlink" Target="https://x.com/tjgamedev/status/1850115152118796296" TargetMode="External"/><Relationship Id="rId703" Type="http://schemas.openxmlformats.org/officeDocument/2006/relationships/hyperlink" Target="https://steamcommunity.com/app/1721110/discussions/0/600775708393865281/" TargetMode="External"/><Relationship Id="rId745" Type="http://schemas.openxmlformats.org/officeDocument/2006/relationships/hyperlink" Target="https://www.facebook.com/groups/132728896890594/posts/2551615688335224/" TargetMode="External"/><Relationship Id="rId910" Type="http://schemas.openxmlformats.org/officeDocument/2006/relationships/hyperlink" Target="https://www.shacknews.com/article/135007/tape-to-tape-interview-with-lead-game-designer-hugo-julien" TargetMode="External"/><Relationship Id="rId81" Type="http://schemas.openxmlformats.org/officeDocument/2006/relationships/hyperlink" Target="https://steamcommunity.com/app/506870/discussions/0/1354868867726398236/" TargetMode="External"/><Relationship Id="rId135" Type="http://schemas.openxmlformats.org/officeDocument/2006/relationships/hyperlink" Target="https://x.com/monstertheaterx/status/1819715822203355558?s=20" TargetMode="External"/><Relationship Id="rId177" Type="http://schemas.openxmlformats.org/officeDocument/2006/relationships/hyperlink" Target="https://www.youtube.com/watch?v=JXv8hQguGCI" TargetMode="External"/><Relationship Id="rId342" Type="http://schemas.openxmlformats.org/officeDocument/2006/relationships/hyperlink" Target="https://store.steampowered.com/app/2902440/Steves_Warehouse_Physics_Roguelike_Chaos/" TargetMode="External"/><Relationship Id="rId384" Type="http://schemas.openxmlformats.org/officeDocument/2006/relationships/hyperlink" Target="https://www.youtube.com/watch?v=7SjRhK9wdEE" TargetMode="External"/><Relationship Id="rId591" Type="http://schemas.openxmlformats.org/officeDocument/2006/relationships/hyperlink" Target="https://www.patreon.com/roguempire/about" TargetMode="External"/><Relationship Id="rId605" Type="http://schemas.openxmlformats.org/officeDocument/2006/relationships/hyperlink" Target="https://www.reddit.com/r/bindingofisaac/comments/icvtkc/cavity_busters_toothpunk_roguelite_with_some/" TargetMode="External"/><Relationship Id="rId787" Type="http://schemas.openxmlformats.org/officeDocument/2006/relationships/hyperlink" Target="https://store.steampowered.com/app/3494210/Choo_Choo_Survivor_2/" TargetMode="External"/><Relationship Id="rId812" Type="http://schemas.openxmlformats.org/officeDocument/2006/relationships/hyperlink" Target="https://store.steampowered.com/app/2060750/Star_Survivor/" TargetMode="External"/><Relationship Id="rId202" Type="http://schemas.openxmlformats.org/officeDocument/2006/relationships/hyperlink" Target="https://roguebasin.com/index.php/ZMAngband" TargetMode="External"/><Relationship Id="rId244" Type="http://schemas.openxmlformats.org/officeDocument/2006/relationships/hyperlink" Target="https://switchplayer.net/2017/05/08/grabbing-a-frozenbyte-with-some-has-been-heroes/" TargetMode="External"/><Relationship Id="rId647" Type="http://schemas.openxmlformats.org/officeDocument/2006/relationships/hyperlink" Target="https://www.reddit.com/r/roguelikes/comments/1iyzkws/house_of_necrosis_demo_is_out_now_on_steam/" TargetMode="External"/><Relationship Id="rId689" Type="http://schemas.openxmlformats.org/officeDocument/2006/relationships/hyperlink" Target="https://www.ign.com/articles/city-of-balls-was-the-original-title-and-somehow-ball-x-pit-got-even-weirder-from-there" TargetMode="External"/><Relationship Id="rId854" Type="http://schemas.openxmlformats.org/officeDocument/2006/relationships/hyperlink" Target="https://www.engadget.com/2013-08-15-wasteland-kings-is-vlambeers-next-big-little-game.html" TargetMode="External"/><Relationship Id="rId896" Type="http://schemas.openxmlformats.org/officeDocument/2006/relationships/hyperlink" Target="https://rpgcodex.net/content.php?id=102" TargetMode="External"/><Relationship Id="rId39" Type="http://schemas.openxmlformats.org/officeDocument/2006/relationships/hyperlink" Target="https://store.steampowered.com/app/3823370/Beyond_Words/" TargetMode="External"/><Relationship Id="rId286" Type="http://schemas.openxmlformats.org/officeDocument/2006/relationships/hyperlink" Target="https://www.polygon.com/gaming/610928/lost-random-eternal-die-roguelike-developer-insights/" TargetMode="External"/><Relationship Id="rId451" Type="http://schemas.openxmlformats.org/officeDocument/2006/relationships/hyperlink" Target="https://en.wikipedia.org/wiki/Torneko%27s_Great_Adventure" TargetMode="External"/><Relationship Id="rId493" Type="http://schemas.openxmlformats.org/officeDocument/2006/relationships/hyperlink" Target="https://steamcommunity.com/app/1016730/discussions/0/1814296907961762044/" TargetMode="External"/><Relationship Id="rId507" Type="http://schemas.openxmlformats.org/officeDocument/2006/relationships/hyperlink" Target="https://x.com/hellmaidengame/status/1929946431311241324" TargetMode="External"/><Relationship Id="rId549" Type="http://schemas.openxmlformats.org/officeDocument/2006/relationships/hyperlink" Target="https://youtu.be/cX-tottt9i0" TargetMode="External"/><Relationship Id="rId714" Type="http://schemas.openxmlformats.org/officeDocument/2006/relationships/hyperlink" Target="https://youtu.be/pkhzUQ39ts4" TargetMode="External"/><Relationship Id="rId756" Type="http://schemas.openxmlformats.org/officeDocument/2006/relationships/hyperlink" Target="https://www.youtube.com/watch?v=uKyeo6l_pAQ" TargetMode="External"/><Relationship Id="rId921" Type="http://schemas.openxmlformats.org/officeDocument/2006/relationships/hyperlink" Target="https://legendofkeepers.fandom.com/wiki/Legend_of_Keepers" TargetMode="External"/><Relationship Id="rId50" Type="http://schemas.openxmlformats.org/officeDocument/2006/relationships/hyperlink" Target="https://bscotch.itch.io/how-many-dudes" TargetMode="External"/><Relationship Id="rId104" Type="http://schemas.openxmlformats.org/officeDocument/2006/relationships/hyperlink" Target="https://www.reddit.com/r/IAmA/comments/4po4pn/i_am_the_developer_of_20xx_the_megaman_xinspired/" TargetMode="External"/><Relationship Id="rId146" Type="http://schemas.openxmlformats.org/officeDocument/2006/relationships/hyperlink" Target="https://en.wikipedia.org/wiki/Windblown" TargetMode="External"/><Relationship Id="rId188" Type="http://schemas.openxmlformats.org/officeDocument/2006/relationships/hyperlink" Target="https://www.fanbyte.com/legacy/shovel-knight-dig-interview" TargetMode="External"/><Relationship Id="rId311" Type="http://schemas.openxmlformats.org/officeDocument/2006/relationships/hyperlink" Target="https://en.wikipedia.org/wiki/Backpack_Hero" TargetMode="External"/><Relationship Id="rId353" Type="http://schemas.openxmlformats.org/officeDocument/2006/relationships/hyperlink" Target="https://roguebasin.com/index.php?title=Diablo" TargetMode="External"/><Relationship Id="rId395" Type="http://schemas.openxmlformats.org/officeDocument/2006/relationships/hyperlink" Target="https://x.com/AntennaGames/status/2062052913199956449" TargetMode="External"/><Relationship Id="rId409" Type="http://schemas.openxmlformats.org/officeDocument/2006/relationships/hyperlink" Target="https://www.reddit.com/r/indiegames/comments/1kfcwzq/i_worked_4_years_fulltime_on_my_dream_game/" TargetMode="External"/><Relationship Id="rId560" Type="http://schemas.openxmlformats.org/officeDocument/2006/relationships/hyperlink" Target="https://dumbandfat.com/coincrypt/" TargetMode="External"/><Relationship Id="rId798" Type="http://schemas.openxmlformats.org/officeDocument/2006/relationships/hyperlink" Target="https://steamcommunity.com/games/2068280/announcements/detail/5301322539098227375" TargetMode="External"/><Relationship Id="rId92" Type="http://schemas.openxmlformats.org/officeDocument/2006/relationships/hyperlink" Target="https://store.steampowered.com/app/2738940/Voids_Vigil/?inqueue=2_eyJzdHJDb250ZW50SHViVHlwZSI6InRhZ3MiLCJuQ29udGVudEh1YlRhZ0lEIjoxNzE2LCJiRGlzY291bnRzT25seSI6ZmFsc2UsImJQcmlvcml0aXplRGlzY291bnRzIjpmYWxzZX0" TargetMode="External"/><Relationship Id="rId213" Type="http://schemas.openxmlformats.org/officeDocument/2006/relationships/hyperlink" Target="http://www.bay12forums.com/smf/index.php?topic=173000.0" TargetMode="External"/><Relationship Id="rId420" Type="http://schemas.openxmlformats.org/officeDocument/2006/relationships/hyperlink" Target="https://x.com/search?q=from%3AMiraricogames%20survivors&amp;src=typed_query" TargetMode="External"/><Relationship Id="rId616" Type="http://schemas.openxmlformats.org/officeDocument/2006/relationships/hyperlink" Target="https://forums.tigsource.com/index.php?topic=41609.0" TargetMode="External"/><Relationship Id="rId658" Type="http://schemas.openxmlformats.org/officeDocument/2006/relationships/hyperlink" Target="https://youtu.be/HyhYA69y62c" TargetMode="External"/><Relationship Id="rId823" Type="http://schemas.openxmlformats.org/officeDocument/2006/relationships/hyperlink" Target="https://steamcommunity.com/games/1227280/announcements/detail/4522268823003961902" TargetMode="External"/><Relationship Id="rId865" Type="http://schemas.openxmlformats.org/officeDocument/2006/relationships/hyperlink" Target="https://www.gamedeveloper.com/game-platforms/playing-catch-up-i-castle-of-the-winds-i-rick-saada" TargetMode="External"/><Relationship Id="rId255" Type="http://schemas.openxmlformats.org/officeDocument/2006/relationships/hyperlink" Target="https://medium.com/@alexiskennedy/q-a-with-alexis-kennedy-co-founder-of-weather-factory-dd35393c66f3" TargetMode="External"/><Relationship Id="rId297" Type="http://schemas.openxmlformats.org/officeDocument/2006/relationships/hyperlink" Target="https://youtu.be/VGMszILvj78" TargetMode="External"/><Relationship Id="rId462" Type="http://schemas.openxmlformats.org/officeDocument/2006/relationships/hyperlink" Target="https://youtu.be/MgSjfLOYMXg" TargetMode="External"/><Relationship Id="rId518" Type="http://schemas.openxmlformats.org/officeDocument/2006/relationships/hyperlink" Target="https://x.com/PlayMontabi/status/2084484478647595121?s=20" TargetMode="External"/><Relationship Id="rId725" Type="http://schemas.openxmlformats.org/officeDocument/2006/relationships/hyperlink" Target="https://www.theastronauts.com/2022/10/redesigning-one-witchfire-feature/" TargetMode="External"/><Relationship Id="rId115" Type="http://schemas.openxmlformats.org/officeDocument/2006/relationships/hyperlink" Target="https://www.scousegamer88.com/2021/03/31/astral-ascent-hibernian-workshop-interview/" TargetMode="External"/><Relationship Id="rId157" Type="http://schemas.openxmlformats.org/officeDocument/2006/relationships/hyperlink" Target="https://www.w4games.com/blog/w4-games-news-1/interview-with-chasing-carrots-developer-of-halls-of-torment-120" TargetMode="External"/><Relationship Id="rId322" Type="http://schemas.openxmlformats.org/officeDocument/2006/relationships/hyperlink" Target="https://www.siliconera.com/catacomb-kids-interview-spelunky-comparisons-and-the-early-access-gamble/" TargetMode="External"/><Relationship Id="rId364" Type="http://schemas.openxmlformats.org/officeDocument/2006/relationships/hyperlink" Target="https://roguebasin.com/index.php?title=Diablo" TargetMode="External"/><Relationship Id="rId767" Type="http://schemas.openxmlformats.org/officeDocument/2006/relationships/hyperlink" Target="https://www.pentadact.com/2015-09-25-natural-numbers-in-game-design/" TargetMode="External"/><Relationship Id="rId61" Type="http://schemas.openxmlformats.org/officeDocument/2006/relationships/hyperlink" Target="https://x.com/CLLC_studio/status/1925866594078453892" TargetMode="External"/><Relationship Id="rId199" Type="http://schemas.openxmlformats.org/officeDocument/2006/relationships/hyperlink" Target="https://www.youtube.com/watch?v=xsmbVWflwpw" TargetMode="External"/><Relationship Id="rId571" Type="http://schemas.openxmlformats.org/officeDocument/2006/relationships/hyperlink" Target="https://en.wikipedia.org/wiki/Rogue_Legacy" TargetMode="External"/><Relationship Id="rId627" Type="http://schemas.openxmlformats.org/officeDocument/2006/relationships/hyperlink" Target="https://podcasts.apple.com/us/podcast/slay-the-spire-with-anthony-giovannetti/id1435365252?i=1000447140877" TargetMode="External"/><Relationship Id="rId669" Type="http://schemas.openxmlformats.org/officeDocument/2006/relationships/hyperlink" Target="https://www.reddit.com/r/Games/comments/196wldd/swarm_grinder_last_bite_games_a_roguelite_game/" TargetMode="External"/><Relationship Id="rId834" Type="http://schemas.openxmlformats.org/officeDocument/2006/relationships/hyperlink" Target="https://www.gamespark.jp/article/2026/05/10/166209.html" TargetMode="External"/><Relationship Id="rId876" Type="http://schemas.openxmlformats.org/officeDocument/2006/relationships/hyperlink" Target="https://www.gamedeveloper.com/production/prototyping-i-let-s-revolution-i-transforming-i-minesweeper-i-into-a-turn-based-strategy-roguelike" TargetMode="External"/><Relationship Id="rId19" Type="http://schemas.openxmlformats.org/officeDocument/2006/relationships/hyperlink" Target="https://roguebasin.com/index.php?title=Diablo" TargetMode="External"/><Relationship Id="rId224" Type="http://schemas.openxmlformats.org/officeDocument/2006/relationships/hyperlink" Target="https://en.wikipedia.org/wiki/Gunfire_Reborn" TargetMode="External"/><Relationship Id="rId266" Type="http://schemas.openxmlformats.org/officeDocument/2006/relationships/hyperlink" Target="https://roguebasin.com/index.php/Slaves_to_Armok_II:_Dwarf_Fortress" TargetMode="External"/><Relationship Id="rId431" Type="http://schemas.openxmlformats.org/officeDocument/2006/relationships/hyperlink" Target="https://youtu.be/Jn9yS2eSJzg" TargetMode="External"/><Relationship Id="rId473" Type="http://schemas.openxmlformats.org/officeDocument/2006/relationships/hyperlink" Target="https://store.steampowered.com/app/1668690/Alina_of_the_Arena/" TargetMode="External"/><Relationship Id="rId529" Type="http://schemas.openxmlformats.org/officeDocument/2006/relationships/hyperlink" Target="https://steamcommunity.com/app/1494560/discussions/0/4335355681660890217/" TargetMode="External"/><Relationship Id="rId680" Type="http://schemas.openxmlformats.org/officeDocument/2006/relationships/hyperlink" Target="https://bsky.app/profile/vfqd.itch.io/post/3mjfbk36e6k22" TargetMode="External"/><Relationship Id="rId736" Type="http://schemas.openxmlformats.org/officeDocument/2006/relationships/hyperlink" Target="https://youtu.be/O8FIzwdfuzs" TargetMode="External"/><Relationship Id="rId901" Type="http://schemas.openxmlformats.org/officeDocument/2006/relationships/hyperlink" Target="https://tech4gamers.com/heading-out-interview/" TargetMode="External"/><Relationship Id="rId30" Type="http://schemas.openxmlformats.org/officeDocument/2006/relationships/hyperlink" Target="http://www.roguelikeradio.com/2019/02/episode-151-haque.html" TargetMode="External"/><Relationship Id="rId126" Type="http://schemas.openxmlformats.org/officeDocument/2006/relationships/hyperlink" Target="https://x.com/NadirTheGame/status/1585925975115702273?s=20" TargetMode="External"/><Relationship Id="rId168" Type="http://schemas.openxmlformats.org/officeDocument/2006/relationships/hyperlink" Target="https://store.steampowered.com/app/3548520/DOG_WITCH/" TargetMode="External"/><Relationship Id="rId333" Type="http://schemas.openxmlformats.org/officeDocument/2006/relationships/hyperlink" Target="https://en.wikipedia.org/wiki/Balatro" TargetMode="External"/><Relationship Id="rId540" Type="http://schemas.openxmlformats.org/officeDocument/2006/relationships/hyperlink" Target="https://x.com/Talespinner_/status/1925872666474401877?s=20" TargetMode="External"/><Relationship Id="rId778" Type="http://schemas.openxmlformats.org/officeDocument/2006/relationships/hyperlink" Target="https://www.gamesradar.com/modern-roguelikes-are-in-great-shape-but-where-does-the-genre-go-next/" TargetMode="External"/><Relationship Id="rId72" Type="http://schemas.openxmlformats.org/officeDocument/2006/relationships/hyperlink" Target="https://store.steampowered.com/app/3205380/Omelet_You_Cook/" TargetMode="External"/><Relationship Id="rId375" Type="http://schemas.openxmlformats.org/officeDocument/2006/relationships/hyperlink" Target="https://crpgaddict.blogspot.com/2020/02/game-354-ragnarok-1992.html" TargetMode="External"/><Relationship Id="rId582" Type="http://schemas.openxmlformats.org/officeDocument/2006/relationships/hyperlink" Target="https://www.reddit.com/r/IndieGaming/comments/1iooyqr/roguelike_autobattler_cute_creatures_what_do_you/" TargetMode="External"/><Relationship Id="rId638" Type="http://schemas.openxmlformats.org/officeDocument/2006/relationships/hyperlink" Target="https://roguebasin.com/index.php/ZMAngband" TargetMode="External"/><Relationship Id="rId803" Type="http://schemas.openxmlformats.org/officeDocument/2006/relationships/hyperlink" Target="https://steamcommunity.com/games/262790/announcements/detail/1694779751808309596" TargetMode="External"/><Relationship Id="rId845" Type="http://schemas.openxmlformats.org/officeDocument/2006/relationships/hyperlink" Target="https://www.gamespark.jp/article/2023/02/15/127110.html" TargetMode="External"/><Relationship Id="rId3" Type="http://schemas.openxmlformats.org/officeDocument/2006/relationships/hyperlink" Target="https://store.steampowered.com/app/3333700/The_Royal_Writ/" TargetMode="External"/><Relationship Id="rId235" Type="http://schemas.openxmlformats.org/officeDocument/2006/relationships/hyperlink" Target="https://arcanium-rise-of-akhan.xsollasitebuilder.com/" TargetMode="External"/><Relationship Id="rId277" Type="http://schemas.openxmlformats.org/officeDocument/2006/relationships/hyperlink" Target="https://filipmagnuswrites.wordpress.com/2023/12/07/in-the-oven-death-must-die-is-a-love-letter-to-your-favourite-games/" TargetMode="External"/><Relationship Id="rId400" Type="http://schemas.openxmlformats.org/officeDocument/2006/relationships/hyperlink" Target="http://www.roguelikeradio.com/2013/09/this-is-episode-80-of-roguelike-radio.html" TargetMode="External"/><Relationship Id="rId442" Type="http://schemas.openxmlformats.org/officeDocument/2006/relationships/hyperlink" Target="https://roguebasin.com/index.php/Larn" TargetMode="External"/><Relationship Id="rId484" Type="http://schemas.openxmlformats.org/officeDocument/2006/relationships/hyperlink" Target="https://www.reddit.com/r/Games/comments/s5izbt/breach_wanderers_baronnerie_games_roguelike/" TargetMode="External"/><Relationship Id="rId705" Type="http://schemas.openxmlformats.org/officeDocument/2006/relationships/hyperlink" Target="https://steamcommunity.com/app/1721110/discussions/0/600775708393865281/" TargetMode="External"/><Relationship Id="rId887" Type="http://schemas.openxmlformats.org/officeDocument/2006/relationships/hyperlink" Target="https://nervetower.neocities.org/int_yonemitsu_ps" TargetMode="External"/><Relationship Id="rId137" Type="http://schemas.openxmlformats.org/officeDocument/2006/relationships/hyperlink" Target="https://www.reddit.com/r/IndieGaming/comments/1pji5gu/dunjungle_the_monkey_action_roguelite_is_out_on/" TargetMode="External"/><Relationship Id="rId302" Type="http://schemas.openxmlformats.org/officeDocument/2006/relationships/hyperlink" Target="https://roguebasin.com/index.php/The_Ground_Gives_Way" TargetMode="External"/><Relationship Id="rId344" Type="http://schemas.openxmlformats.org/officeDocument/2006/relationships/hyperlink" Target="https://en.wikipedia.org/wiki/Vampire_Survivors" TargetMode="External"/><Relationship Id="rId691" Type="http://schemas.openxmlformats.org/officeDocument/2006/relationships/hyperlink" Target="https://store.steampowered.com/app/4195110/Ultrapool/" TargetMode="External"/><Relationship Id="rId747" Type="http://schemas.openxmlformats.org/officeDocument/2006/relationships/hyperlink" Target="https://www.reddit.com/r/IndieGaming/comments/1h0xiwq/been_working_on_pebble_knights_a_mix_of_survival/" TargetMode="External"/><Relationship Id="rId789" Type="http://schemas.openxmlformats.org/officeDocument/2006/relationships/hyperlink" Target="https://steamcommunity.com/games/1123770/announcements/detail/1697231221626410268" TargetMode="External"/><Relationship Id="rId912" Type="http://schemas.openxmlformats.org/officeDocument/2006/relationships/hyperlink" Target="https://www.gamemeca.com/en/view.php?gid=1778935" TargetMode="External"/><Relationship Id="rId41" Type="http://schemas.openxmlformats.org/officeDocument/2006/relationships/hyperlink" Target="https://forum.gamemaker.io/index.php?threads/cats-dice-a-big-number-dice-building-roguelike-inspired-by-games-such-as-balatro-and-slice-dice.114871/" TargetMode="External"/><Relationship Id="rId83" Type="http://schemas.openxmlformats.org/officeDocument/2006/relationships/hyperlink" Target="https://steamcommunity.com/app/3100310/discussions/0/735910198043224446/" TargetMode="External"/><Relationship Id="rId179" Type="http://schemas.openxmlformats.org/officeDocument/2006/relationships/hyperlink" Target="https://steamcommunity.com/app/371430/discussions/0/494631967651210890/" TargetMode="External"/><Relationship Id="rId386" Type="http://schemas.openxmlformats.org/officeDocument/2006/relationships/hyperlink" Target="https://www.reddit.com/r/Games/comments/v2kcsr/ama_were_the_team_behind_akxolotl_a_cute_but/" TargetMode="External"/><Relationship Id="rId551" Type="http://schemas.openxmlformats.org/officeDocument/2006/relationships/hyperlink" Target="https://www.reddit.com/r/Games/comments/r4a4sv/words_can_kill_typing_monkey_slay_the_spire/" TargetMode="External"/><Relationship Id="rId593" Type="http://schemas.openxmlformats.org/officeDocument/2006/relationships/hyperlink" Target="https://roguebasin.com/index.php/Labyrinth_of_Legendary_Loot" TargetMode="External"/><Relationship Id="rId607" Type="http://schemas.openxmlformats.org/officeDocument/2006/relationships/hyperlink" Target="https://conanchopchop.fandom.com/wiki/Conan_Chop_Chop" TargetMode="External"/><Relationship Id="rId649" Type="http://schemas.openxmlformats.org/officeDocument/2006/relationships/hyperlink" Target="https://store.steampowered.com/app/1229260/Monster_Girls_and_the_Mysterious_Adventure/" TargetMode="External"/><Relationship Id="rId814" Type="http://schemas.openxmlformats.org/officeDocument/2006/relationships/hyperlink" Target="https://store.steampowered.com/app/2060750/Star_Survivor/" TargetMode="External"/><Relationship Id="rId856" Type="http://schemas.openxmlformats.org/officeDocument/2006/relationships/hyperlink" Target="https://web.archive.org/web/20250319160658/https:/www.whatsitlike.com.au/interview-with-tiago-zaidan-vampire-hunters/" TargetMode="External"/><Relationship Id="rId190" Type="http://schemas.openxmlformats.org/officeDocument/2006/relationships/hyperlink" Target="https://www.reddit.com/r/nintendo/comments/691a58/we_are_team_tumbleseed_and_we_launched_tumbleseed/" TargetMode="External"/><Relationship Id="rId204" Type="http://schemas.openxmlformats.org/officeDocument/2006/relationships/hyperlink" Target="https://www.roguebasin.com/index.php/I_Am_Overburdened" TargetMode="External"/><Relationship Id="rId246" Type="http://schemas.openxmlformats.org/officeDocument/2006/relationships/hyperlink" Target="https://forums.tigsource.com/index.php?topic=41609.0" TargetMode="External"/><Relationship Id="rId288" Type="http://schemas.openxmlformats.org/officeDocument/2006/relationships/hyperlink" Target="https://steamcommunity.com/app/2735580/discussions/0/595152144826392997/" TargetMode="External"/><Relationship Id="rId411" Type="http://schemas.openxmlformats.org/officeDocument/2006/relationships/hyperlink" Target="https://pokevoid.com/" TargetMode="External"/><Relationship Id="rId453" Type="http://schemas.openxmlformats.org/officeDocument/2006/relationships/hyperlink" Target="https://youtu.be/0MY03yNkuFI" TargetMode="External"/><Relationship Id="rId509" Type="http://schemas.openxmlformats.org/officeDocument/2006/relationships/hyperlink" Target="https://www.digitallydownloaded.net/2021/10/four-quick-questions-for-developer-of.html" TargetMode="External"/><Relationship Id="rId660" Type="http://schemas.openxmlformats.org/officeDocument/2006/relationships/hyperlink" Target="https://steamcommunity.com/app/3088070/discussions/0/562532756309055685/" TargetMode="External"/><Relationship Id="rId898" Type="http://schemas.openxmlformats.org/officeDocument/2006/relationships/hyperlink" Target="https://rogueliker.com/shadowveil-legend-of-the-five-rings-interview/" TargetMode="External"/><Relationship Id="rId106" Type="http://schemas.openxmlformats.org/officeDocument/2006/relationships/hyperlink" Target="https://www.youtube.com/watch?v=dfLSGkKC2ug" TargetMode="External"/><Relationship Id="rId313" Type="http://schemas.openxmlformats.org/officeDocument/2006/relationships/hyperlink" Target="https://youtu.be/zLmdMjZtDs4" TargetMode="External"/><Relationship Id="rId495" Type="http://schemas.openxmlformats.org/officeDocument/2006/relationships/hyperlink" Target="https://indiegamepicks.wordpress.com/2023/10/18/deepest-chamber-resurrection-interview/" TargetMode="External"/><Relationship Id="rId716" Type="http://schemas.openxmlformats.org/officeDocument/2006/relationships/hyperlink" Target="https://www.pokecommunity.com/threads/pok%C3%A9mon-survivor-burst-multi-languages.543514/" TargetMode="External"/><Relationship Id="rId758" Type="http://schemas.openxmlformats.org/officeDocument/2006/relationships/hyperlink" Target="https://youtu.be/_Ner8cAfsBg" TargetMode="External"/><Relationship Id="rId923" Type="http://schemas.openxmlformats.org/officeDocument/2006/relationships/hyperlink" Target="https://www.reddit.com/r/godot/comments/1lo0rfm/14_months_of_work_on_my_1st_game_demo_is_now/" TargetMode="External"/><Relationship Id="rId10" Type="http://schemas.openxmlformats.org/officeDocument/2006/relationships/hyperlink" Target="https://roguebasin.com/index.php/LambdaRogue" TargetMode="External"/><Relationship Id="rId52" Type="http://schemas.openxmlformats.org/officeDocument/2006/relationships/hyperlink" Target="https://x.com/PlayLuckyShot/status/2084999450808782908" TargetMode="External"/><Relationship Id="rId94" Type="http://schemas.openxmlformats.org/officeDocument/2006/relationships/hyperlink" Target="https://www.reddit.com/r/Games/comments/2osauc/hi_rgames_were_a_group_of_aaa_and_exaaa/" TargetMode="External"/><Relationship Id="rId148" Type="http://schemas.openxmlformats.org/officeDocument/2006/relationships/hyperlink" Target="https://www.reddit.com/r/Games/comments/1giltps/sodaman_tape_corps_balatro_inspired_roguelite/" TargetMode="External"/><Relationship Id="rId355" Type="http://schemas.openxmlformats.org/officeDocument/2006/relationships/hyperlink" Target="https://www.reddit.com/r/pcgaming/comments/1p30oqw/were_big_distraction_an_indie_studio_founded_by/" TargetMode="External"/><Relationship Id="rId397" Type="http://schemas.openxmlformats.org/officeDocument/2006/relationships/hyperlink" Target="https://web.archive.org/web/20230609153941/https:/www.thecgview.com/p/roboquest-developer-interview" TargetMode="External"/><Relationship Id="rId520" Type="http://schemas.openxmlformats.org/officeDocument/2006/relationships/hyperlink" Target="https://x.com/NadirTheGame/status/1585925975115702273?s=20" TargetMode="External"/><Relationship Id="rId562" Type="http://schemas.openxmlformats.org/officeDocument/2006/relationships/hyperlink" Target="https://en.wikipedia.org/wiki/Downwell_(video_game)" TargetMode="External"/><Relationship Id="rId618" Type="http://schemas.openxmlformats.org/officeDocument/2006/relationships/hyperlink" Target="https://store.steampowered.com/app/2225960/Noobs_Are_Coming/" TargetMode="External"/><Relationship Id="rId825" Type="http://schemas.openxmlformats.org/officeDocument/2006/relationships/hyperlink" Target="https://steamcommunity.com/games/2088570/announcements/detail/6770639657665738311" TargetMode="External"/><Relationship Id="rId215" Type="http://schemas.openxmlformats.org/officeDocument/2006/relationships/hyperlink" Target="https://x.com/TheFeebleMinds/status/2027340299630989393" TargetMode="External"/><Relationship Id="rId257" Type="http://schemas.openxmlformats.org/officeDocument/2006/relationships/hyperlink" Target="https://youtu.be/X_7TB97jCug%20&amp;%20check%20folder" TargetMode="External"/><Relationship Id="rId422" Type="http://schemas.openxmlformats.org/officeDocument/2006/relationships/hyperlink" Target="https://www.julianedisonart.com/icov" TargetMode="External"/><Relationship Id="rId464" Type="http://schemas.openxmlformats.org/officeDocument/2006/relationships/hyperlink" Target="https://x.com/AntennaGames/status/2062052913199956449" TargetMode="External"/><Relationship Id="rId867" Type="http://schemas.openxmlformats.org/officeDocument/2006/relationships/hyperlink" Target="https://newsletter.gamediscover.co/p/how-sulfur-sold-50k-real-fast-and" TargetMode="External"/><Relationship Id="rId299" Type="http://schemas.openxmlformats.org/officeDocument/2006/relationships/hyperlink" Target="https://www.reddit.com/r/roguelites/comments/r8cay9/weve_been_developing_the_roguelite_escape_the_mad/" TargetMode="External"/><Relationship Id="rId727" Type="http://schemas.openxmlformats.org/officeDocument/2006/relationships/hyperlink" Target="https://x.com/CodeRed_dev/status/1925987988565074114?s=20" TargetMode="External"/><Relationship Id="rId63" Type="http://schemas.openxmlformats.org/officeDocument/2006/relationships/hyperlink" Target="https://www.reddit.com/r/deckbuildingroguelike/comments/1qszp8o/runeveil_sts_meets_balatro_is_on_steam/" TargetMode="External"/><Relationship Id="rId159" Type="http://schemas.openxmlformats.org/officeDocument/2006/relationships/hyperlink" Target="https://www.reddit.com/r/Games/comments/1c3l5e8/jotunnslayer_hordes_of_hel_games_farm_roguelike/" TargetMode="External"/><Relationship Id="rId366" Type="http://schemas.openxmlformats.org/officeDocument/2006/relationships/hyperlink" Target="https://www.roguebasin.com/index.php/Dungeons_of_Dredmor" TargetMode="External"/><Relationship Id="rId573" Type="http://schemas.openxmlformats.org/officeDocument/2006/relationships/hyperlink" Target="https://store.steampowered.com/app/1078200/Spirits_Abyss/" TargetMode="External"/><Relationship Id="rId780" Type="http://schemas.openxmlformats.org/officeDocument/2006/relationships/hyperlink" Target="https://www.gamesradar.com/modern-roguelikes-are-in-great-shape-but-where-does-the-genre-go-next/" TargetMode="External"/><Relationship Id="rId226" Type="http://schemas.openxmlformats.org/officeDocument/2006/relationships/hyperlink" Target="https://fextralife.com/odinfall-a-new-viking-themed-roguelite-coming-to-early-access/" TargetMode="External"/><Relationship Id="rId433" Type="http://schemas.openxmlformats.org/officeDocument/2006/relationships/hyperlink" Target="https://www.gamingfurever.com/news/editorials/brew-interview-with-ceo-of-snow-leaf-studios-isak-wahl" TargetMode="External"/><Relationship Id="rId878" Type="http://schemas.openxmlformats.org/officeDocument/2006/relationships/hyperlink" Target="https://gamingbolt.com/morbid-metal-interview-shapeshifting-level-design-combat-and-more" TargetMode="External"/><Relationship Id="rId640" Type="http://schemas.openxmlformats.org/officeDocument/2006/relationships/hyperlink" Target="https://store.steampowered.com/news/app/3618850/view/527612739964633653?l=english" TargetMode="External"/><Relationship Id="rId738" Type="http://schemas.openxmlformats.org/officeDocument/2006/relationships/hyperlink" Target="https://www.reddit.com/r/roguelites/comments/1t6eumj/we_spent_2_years_making_a_coop_action_roguelite/" TargetMode="External"/><Relationship Id="rId74" Type="http://schemas.openxmlformats.org/officeDocument/2006/relationships/hyperlink" Target="https://youtu.be/VGMszILvj78" TargetMode="External"/><Relationship Id="rId377" Type="http://schemas.openxmlformats.org/officeDocument/2006/relationships/hyperlink" Target="https://www.gamedeveloper.com/design/making-a-case-for-short-games" TargetMode="External"/><Relationship Id="rId500" Type="http://schemas.openxmlformats.org/officeDocument/2006/relationships/hyperlink" Target="https://x.com/dieinthedungeon/status/1829950757699010949" TargetMode="External"/><Relationship Id="rId584" Type="http://schemas.openxmlformats.org/officeDocument/2006/relationships/hyperlink" Target="https://x.com/mumpitzgames/status/1925572756806017381" TargetMode="External"/><Relationship Id="rId805" Type="http://schemas.openxmlformats.org/officeDocument/2006/relationships/hyperlink" Target="https://store.steampowered.com/app/2088840/Picayune_Dreams/" TargetMode="External"/><Relationship Id="rId5" Type="http://schemas.openxmlformats.org/officeDocument/2006/relationships/hyperlink" Target="https://www.reddit.com/r/roguelikes/comments/1kanmof/crablike_an_underwater_dungeon_crawler/" TargetMode="External"/><Relationship Id="rId237" Type="http://schemas.openxmlformats.org/officeDocument/2006/relationships/hyperlink" Target="https://store.steampowered.com/app/318230/Convoy/" TargetMode="External"/><Relationship Id="rId791" Type="http://schemas.openxmlformats.org/officeDocument/2006/relationships/hyperlink" Target="https://www.nintendolife.com/news/2021/02/feature_curse_of_the_dead_gods_devs_on_early_access_switch_challenges_and_hades_comparisons" TargetMode="External"/><Relationship Id="rId889" Type="http://schemas.openxmlformats.org/officeDocument/2006/relationships/hyperlink" Target="https://www.indiegamemag.com/ido-yehieli-interview-nephews-and-niches/" TargetMode="External"/><Relationship Id="rId444" Type="http://schemas.openxmlformats.org/officeDocument/2006/relationships/hyperlink" Target="https://www.youtube.com/watch?v=DASCE8BbvOI&amp;t=1s" TargetMode="External"/><Relationship Id="rId651" Type="http://schemas.openxmlformats.org/officeDocument/2006/relationships/hyperlink" Target="https://www.moguragames.com/smokingwolfinterview/" TargetMode="External"/><Relationship Id="rId749" Type="http://schemas.openxmlformats.org/officeDocument/2006/relationships/hyperlink" Target="https://store.steampowered.com/app/2796640/The_Magus_Circle/" TargetMode="External"/><Relationship Id="rId290" Type="http://schemas.openxmlformats.org/officeDocument/2006/relationships/hyperlink" Target="https://www.reddit.com/r/roguelites/comments/xtr9td/tomorrow_we_have_a_huge_announcement_for/" TargetMode="External"/><Relationship Id="rId304" Type="http://schemas.openxmlformats.org/officeDocument/2006/relationships/hyperlink" Target="https://www.youtube.com/watch?v=7SjRhK9wdEE" TargetMode="External"/><Relationship Id="rId388" Type="http://schemas.openxmlformats.org/officeDocument/2006/relationships/hyperlink" Target="https://milkbar-lads.itch.io/dead-estate" TargetMode="External"/><Relationship Id="rId511" Type="http://schemas.openxmlformats.org/officeDocument/2006/relationships/hyperlink" Target="https://www.reddit.com/r/iosgaming/comments/1hjehh9/lost_for_swords_a_dungeon_crawler_focusing_on/" TargetMode="External"/><Relationship Id="rId609" Type="http://schemas.openxmlformats.org/officeDocument/2006/relationships/hyperlink" Target="https://x.com/2_left_thumbs/status/1625686255093813249?s=20" TargetMode="External"/><Relationship Id="rId85" Type="http://schemas.openxmlformats.org/officeDocument/2006/relationships/hyperlink" Target="https://x.com/9fingergames/status/1702411051290006007" TargetMode="External"/><Relationship Id="rId150" Type="http://schemas.openxmlformats.org/officeDocument/2006/relationships/hyperlink" Target="https://steamcommunity.com/app/3100310/discussions/0/735910198042983690/" TargetMode="External"/><Relationship Id="rId595" Type="http://schemas.openxmlformats.org/officeDocument/2006/relationships/hyperlink" Target="https://forum.godotengine.org/t/seedborne-soldiers-an-auto-battler-roguelike-demo-now-available-on-steam/83974" TargetMode="External"/><Relationship Id="rId816" Type="http://schemas.openxmlformats.org/officeDocument/2006/relationships/hyperlink" Target="https://store.steampowered.com/app/2060750/Star_Survivor/" TargetMode="External"/><Relationship Id="rId248" Type="http://schemas.openxmlformats.org/officeDocument/2006/relationships/hyperlink" Target="https://www.polygon.com/2013/6/20/4439320/our-darker-purpose-kickstarter-avidly-wild-games/" TargetMode="External"/><Relationship Id="rId455" Type="http://schemas.openxmlformats.org/officeDocument/2006/relationships/hyperlink" Target="https://store.steampowered.com/app/465200/Fury_Unleashed/" TargetMode="External"/><Relationship Id="rId662" Type="http://schemas.openxmlformats.org/officeDocument/2006/relationships/hyperlink" Target="https://www.reddit.com/r/IndieGaming/comments/1dnw8jb/been_working_on_an_experimental_survivorslike/" TargetMode="External"/><Relationship Id="rId12" Type="http://schemas.openxmlformats.org/officeDocument/2006/relationships/hyperlink" Target="https://www.patreon.com/roguempire/about" TargetMode="External"/><Relationship Id="rId108" Type="http://schemas.openxmlformats.org/officeDocument/2006/relationships/hyperlink" Target="https://zenorogue.blogspot.com/search/label/sources" TargetMode="External"/><Relationship Id="rId315" Type="http://schemas.openxmlformats.org/officeDocument/2006/relationships/hyperlink" Target="https://x.com/imgame_official/status/1925464077654249724" TargetMode="External"/><Relationship Id="rId522" Type="http://schemas.openxmlformats.org/officeDocument/2006/relationships/hyperlink" Target="https://www.reddit.com/r/Games/comments/vftn02/pawnbarian_j4nw_a_chessinspired_tactical_puzzle/" TargetMode="External"/><Relationship Id="rId96" Type="http://schemas.openxmlformats.org/officeDocument/2006/relationships/hyperlink" Target="https://roguebasin.com/index.php/Cataclysm:_Bright_Nights" TargetMode="External"/><Relationship Id="rId161" Type="http://schemas.openxmlformats.org/officeDocument/2006/relationships/hyperlink" Target="https://x.com/edmundmcmillen/status/2073665726712614938?s=20" TargetMode="External"/><Relationship Id="rId399" Type="http://schemas.openxmlformats.org/officeDocument/2006/relationships/hyperlink" Target="https://www.shadowofthewyrm.org/about.html" TargetMode="External"/><Relationship Id="rId827" Type="http://schemas.openxmlformats.org/officeDocument/2006/relationships/hyperlink" Target="https://steamcommunity.com/app/3228590/discussions/0/591779267908673222/" TargetMode="External"/><Relationship Id="rId259" Type="http://schemas.openxmlformats.org/officeDocument/2006/relationships/hyperlink" Target="https://www.youtube.com/watch?v=G8e_zxWb3QA" TargetMode="External"/><Relationship Id="rId466" Type="http://schemas.openxmlformats.org/officeDocument/2006/relationships/hyperlink" Target="https://steamcommunity.com/app/242680/discussions/0/648811852292061582/" TargetMode="External"/><Relationship Id="rId673" Type="http://schemas.openxmlformats.org/officeDocument/2006/relationships/hyperlink" Target="https://80.lv/articles/making-hack-and-slash-action-rpg-voin-as-solo-developer" TargetMode="External"/><Relationship Id="rId880" Type="http://schemas.openxmlformats.org/officeDocument/2006/relationships/hyperlink" Target="https://store.steampowered.com/app/2348610/Slime_3K_Rise_Against_Despot/" TargetMode="External"/><Relationship Id="rId23" Type="http://schemas.openxmlformats.org/officeDocument/2006/relationships/hyperlink" Target="https://roguebasin.com/index.php/Sil" TargetMode="External"/><Relationship Id="rId119" Type="http://schemas.openxmlformats.org/officeDocument/2006/relationships/hyperlink" Target="https://steamcommunity.com/app/1016730/discussions/0/1814296907961762044/" TargetMode="External"/><Relationship Id="rId326" Type="http://schemas.openxmlformats.org/officeDocument/2006/relationships/hyperlink" Target="http://www.zincland.com/powder/?pagename=about" TargetMode="External"/><Relationship Id="rId533" Type="http://schemas.openxmlformats.org/officeDocument/2006/relationships/hyperlink" Target="https://store.steampowered.com/app/2113040/RUNGORE/" TargetMode="External"/><Relationship Id="rId740" Type="http://schemas.openxmlformats.org/officeDocument/2006/relationships/hyperlink" Target="https://www.indiedb.com/news/dev-blog-10-references-and-pop-culture-in-space-prison" TargetMode="External"/><Relationship Id="rId838" Type="http://schemas.openxmlformats.org/officeDocument/2006/relationships/hyperlink" Target="https://www.gamedeveloper.com/design/road-to-the-igf-spry-fox-s-and-wild-shadow-studios-i-realm-of-the-mad-god-i-" TargetMode="External"/><Relationship Id="rId172" Type="http://schemas.openxmlformats.org/officeDocument/2006/relationships/hyperlink" Target="https://www.youtube.com/watch?v=txv0XsRrFwo" TargetMode="External"/><Relationship Id="rId477" Type="http://schemas.openxmlformats.org/officeDocument/2006/relationships/hyperlink" Target="https://www.kickstarter.com/projects/hibernian-workshop/astral-ascent" TargetMode="External"/><Relationship Id="rId600" Type="http://schemas.openxmlformats.org/officeDocument/2006/relationships/hyperlink" Target="https://youtu.be/wJ2cgBoxsi4" TargetMode="External"/><Relationship Id="rId684" Type="http://schemas.openxmlformats.org/officeDocument/2006/relationships/hyperlink" Target="https://store.epicgames.com/news/pengpong-s-hockey-pinball-chaos-was-the-result-of-a-game-jam?lang=vi" TargetMode="External"/><Relationship Id="rId337" Type="http://schemas.openxmlformats.org/officeDocument/2006/relationships/hyperlink" Target="https://store.steampowered.com/app/3205380/Omelet_You_Cook/" TargetMode="External"/><Relationship Id="rId891" Type="http://schemas.openxmlformats.org/officeDocument/2006/relationships/hyperlink" Target="https://www.indiegamemag.com/ido-yehieli-interview-nephews-and-niches/" TargetMode="External"/><Relationship Id="rId905" Type="http://schemas.openxmlformats.org/officeDocument/2006/relationships/hyperlink" Target="https://www.screenhype.co.uk/undermine-2-interview-thorium-entertainment-exclusive/" TargetMode="External"/><Relationship Id="rId34" Type="http://schemas.openxmlformats.org/officeDocument/2006/relationships/hyperlink" Target="https://x.com/mumpitzgames/status/1925572756806017381" TargetMode="External"/><Relationship Id="rId544" Type="http://schemas.openxmlformats.org/officeDocument/2006/relationships/hyperlink" Target="https://en.touhouwiki.net/wiki/Touhou:_Lost_Branch_of_Legend%20%20(also%20just%20look%20at%20it)" TargetMode="External"/><Relationship Id="rId751" Type="http://schemas.openxmlformats.org/officeDocument/2006/relationships/hyperlink" Target="https://www.youtube.com/watch?v=uKyeo6l_pAQ" TargetMode="External"/><Relationship Id="rId849" Type="http://schemas.openxmlformats.org/officeDocument/2006/relationships/hyperlink" Target="https://itch.io/t/9805/immortal-redneck-the-definitive-redneck-fps-roguelite" TargetMode="External"/><Relationship Id="rId183" Type="http://schemas.openxmlformats.org/officeDocument/2006/relationships/hyperlink" Target="https://www.youtube.com/watch?v=5fR9VYTfm2A&amp;t=1s" TargetMode="External"/><Relationship Id="rId390" Type="http://schemas.openxmlformats.org/officeDocument/2006/relationships/hyperlink" Target="https://gamingbolt.com/gonner-interview-a-colorful-and-challenging-ride" TargetMode="External"/><Relationship Id="rId404" Type="http://schemas.openxmlformats.org/officeDocument/2006/relationships/hyperlink" Target="https://www.facebook.com/reel/931892201606258" TargetMode="External"/><Relationship Id="rId611" Type="http://schemas.openxmlformats.org/officeDocument/2006/relationships/hyperlink" Target="https://www.reddit.com/r/gamedev/comments/o8bzkt/one_year_into_early_access_for_golden_light_lets/" TargetMode="External"/><Relationship Id="rId250" Type="http://schemas.openxmlformats.org/officeDocument/2006/relationships/hyperlink" Target="https://en.wikipedia.org/wiki/Road_Not_Taken" TargetMode="External"/><Relationship Id="rId488" Type="http://schemas.openxmlformats.org/officeDocument/2006/relationships/hyperlink" Target="https://caifuhao.eastmoney.com/news/20260725235351583816280" TargetMode="External"/><Relationship Id="rId695" Type="http://schemas.openxmlformats.org/officeDocument/2006/relationships/hyperlink" Target="https://store.steampowered.com/app/3484940/Curse_of_Pirates/" TargetMode="External"/><Relationship Id="rId709" Type="http://schemas.openxmlformats.org/officeDocument/2006/relationships/hyperlink" Target="https://www.youtube.com/watch?v=4M-9B0RWQF8" TargetMode="External"/><Relationship Id="rId916" Type="http://schemas.openxmlformats.org/officeDocument/2006/relationships/hyperlink" Target="https://www.gamedeveloper.com/business/i-am-overburdened-recap-and-numbers" TargetMode="External"/><Relationship Id="rId45" Type="http://schemas.openxmlformats.org/officeDocument/2006/relationships/hyperlink" Target="https://www.reddit.com/r/roguelites/comments/1u78c4e/2_years_later_my_solo_pinball_roguelike_project/" TargetMode="External"/><Relationship Id="rId110" Type="http://schemas.openxmlformats.org/officeDocument/2006/relationships/hyperlink" Target="https://www.nettosgameroom.com/2025/09/interview-with-team-tapas-creators-of.html" TargetMode="External"/><Relationship Id="rId348" Type="http://schemas.openxmlformats.org/officeDocument/2006/relationships/hyperlink" Target="https://x.com/imgame_official/status/1925464077654249724" TargetMode="External"/><Relationship Id="rId555" Type="http://schemas.openxmlformats.org/officeDocument/2006/relationships/hyperlink" Target="https://gamerant.com/lone-ruin-interview-roguelike-indie-game-design-inspirations-visuals-coding/" TargetMode="External"/><Relationship Id="rId762" Type="http://schemas.openxmlformats.org/officeDocument/2006/relationships/hyperlink" Target="https://rogueliker.com/footgun-underground-interview/" TargetMode="External"/><Relationship Id="rId194" Type="http://schemas.openxmlformats.org/officeDocument/2006/relationships/hyperlink" Target="https://podcasts.apple.com/us/podcast/slay-the-spire-with-anthony-giovannetti/id1435365252?i=1000447140877" TargetMode="External"/><Relationship Id="rId208" Type="http://schemas.openxmlformats.org/officeDocument/2006/relationships/hyperlink" Target="https://steamcommunity.com/app/329970/discussions/0/620700960829035333/" TargetMode="External"/><Relationship Id="rId415" Type="http://schemas.openxmlformats.org/officeDocument/2006/relationships/hyperlink" Target="https://roguebasin.com/index.php/Haque" TargetMode="External"/><Relationship Id="rId622" Type="http://schemas.openxmlformats.org/officeDocument/2006/relationships/hyperlink" Target="https://youtu.be/G_Oc86mFc8A" TargetMode="External"/><Relationship Id="rId261" Type="http://schemas.openxmlformats.org/officeDocument/2006/relationships/hyperlink" Target="https://steamcommunity.com/app/1016730/discussions/0/1814296907961762044/" TargetMode="External"/><Relationship Id="rId499" Type="http://schemas.openxmlformats.org/officeDocument/2006/relationships/hyperlink" Target="https://www.gamespress.com/Die-For-The-Lich-is-coming-to-Early-Access-on-November-10th-2025" TargetMode="External"/><Relationship Id="rId927" Type="http://schemas.openxmlformats.org/officeDocument/2006/relationships/hyperlink" Target="https://www.youtube.com/watch?v=cX-tottt9i0" TargetMode="External"/><Relationship Id="rId56" Type="http://schemas.openxmlformats.org/officeDocument/2006/relationships/hyperlink" Target="https://x.com/MrMorrisGames/status/2030327854383190254" TargetMode="External"/><Relationship Id="rId359" Type="http://schemas.openxmlformats.org/officeDocument/2006/relationships/hyperlink" Target="https://x.com/sparklewing925/status/1926056500113346640" TargetMode="External"/><Relationship Id="rId566" Type="http://schemas.openxmlformats.org/officeDocument/2006/relationships/hyperlink" Target="https://monstervine.com/ic/IC-LR-Interview.mp3" TargetMode="External"/><Relationship Id="rId773" Type="http://schemas.openxmlformats.org/officeDocument/2006/relationships/hyperlink" Target="https://cliqist.com/2015/01/30/children-morta-interview/" TargetMode="External"/><Relationship Id="rId121" Type="http://schemas.openxmlformats.org/officeDocument/2006/relationships/hyperlink" Target="https://www.gamespress.com/Die-For-The-Lich-is-coming-to-Early-Access-on-November-10th-2025" TargetMode="External"/><Relationship Id="rId219" Type="http://schemas.openxmlformats.org/officeDocument/2006/relationships/hyperlink" Target="https://www.reddit.com/r/Games/comments/v2kcsr/ama_were_the_team_behind_akxolotl_a_cute_but/" TargetMode="External"/><Relationship Id="rId426" Type="http://schemas.openxmlformats.org/officeDocument/2006/relationships/hyperlink" Target="https://steamcommunity.com/app/1425000/discussions/0/595137684887848950/" TargetMode="External"/><Relationship Id="rId633" Type="http://schemas.openxmlformats.org/officeDocument/2006/relationships/hyperlink" Target="https://www.terribleposture.com/tower-of-guns/" TargetMode="External"/><Relationship Id="rId840" Type="http://schemas.openxmlformats.org/officeDocument/2006/relationships/hyperlink" Target="https://reviewfix.com/2018/08/review-fix-exclusive-inside-caves-of-qud/" TargetMode="External"/><Relationship Id="rId67" Type="http://schemas.openxmlformats.org/officeDocument/2006/relationships/hyperlink" Target="https://store.steampowered.com/app/2902440/Steves_Warehouse_Physics_Roguelike_Chaos/" TargetMode="External"/><Relationship Id="rId272" Type="http://schemas.openxmlformats.org/officeDocument/2006/relationships/hyperlink" Target="https://www.reddit.com/r/survivorslikes/comments/1jvtb6m/we_released_asgards_fall_on_steam/" TargetMode="External"/><Relationship Id="rId577" Type="http://schemas.openxmlformats.org/officeDocument/2006/relationships/hyperlink" Target="https://www.reddit.com/r/nintendo/comments/691a58/we_are_team_tumbleseed_and_we_launched_tumbleseed/" TargetMode="External"/><Relationship Id="rId700" Type="http://schemas.openxmlformats.org/officeDocument/2006/relationships/hyperlink" Target="https://nintendoeverything.com/interview-sparklite-dev-on-zelda-inspirations-art-style-possible-post-launch-additions-more/" TargetMode="External"/><Relationship Id="rId132" Type="http://schemas.openxmlformats.org/officeDocument/2006/relationships/hyperlink" Target="https://store.steampowered.com/news/app/3590290/view/508482584447025703" TargetMode="External"/><Relationship Id="rId784" Type="http://schemas.openxmlformats.org/officeDocument/2006/relationships/hyperlink" Target="https://steamcommunity.com/games/3066570/announcements/detail/4356754561281185320" TargetMode="External"/><Relationship Id="rId437" Type="http://schemas.openxmlformats.org/officeDocument/2006/relationships/hyperlink" Target="https://www.honestgamers.com/15273/game-boy/cave-noire/review.html%20(not%20an%20actual%20source,%20just%20an%20informed%20speculation)" TargetMode="External"/><Relationship Id="rId644" Type="http://schemas.openxmlformats.org/officeDocument/2006/relationships/hyperlink" Target="https://www.dualshockers.com/touhou-genso-wanderer-interview-director-jyunya-talks-about-the-best-rouge-like-game-in-japan/" TargetMode="External"/><Relationship Id="rId851" Type="http://schemas.openxmlformats.org/officeDocument/2006/relationships/hyperlink" Target="https://reviewfix.com/2018/03/review-fix-exclusive-inside-immortal-redneck/" TargetMode="External"/><Relationship Id="rId283" Type="http://schemas.openxmlformats.org/officeDocument/2006/relationships/hyperlink" Target="https://www.youtube.com/watch?v=ZqMZqQ-wrko" TargetMode="External"/><Relationship Id="rId490" Type="http://schemas.openxmlformats.org/officeDocument/2006/relationships/hyperlink" Target="https://www.reddit.com/r/TowerDefense/comments/epx1qr/ive_just_released_core_defense_a_very_difficult/" TargetMode="External"/><Relationship Id="rId504" Type="http://schemas.openxmlformats.org/officeDocument/2006/relationships/hyperlink" Target="https://www.reddit.com/r/NintendoSwitch/comments/trax0e/hi_im_the_developer_of_for_the_warp_a_scifi/" TargetMode="External"/><Relationship Id="rId711" Type="http://schemas.openxmlformats.org/officeDocument/2006/relationships/hyperlink" Target="https://www.youtube.com/watch?v=4M-9B0RWQF8" TargetMode="External"/><Relationship Id="rId78" Type="http://schemas.openxmlformats.org/officeDocument/2006/relationships/hyperlink" Target="https://roguebasin.com/index.php/Pixel_Dungeon" TargetMode="External"/><Relationship Id="rId143" Type="http://schemas.openxmlformats.org/officeDocument/2006/relationships/hyperlink" Target="https://www.reddit.com/r/roguelites/comments/m2341u/space_gladiators_my_isaac_inspired_grotesque/" TargetMode="External"/><Relationship Id="rId350" Type="http://schemas.openxmlformats.org/officeDocument/2006/relationships/hyperlink" Target="https://store.steampowered.com/app/3333700/The_Royal_Writ/" TargetMode="External"/><Relationship Id="rId588" Type="http://schemas.openxmlformats.org/officeDocument/2006/relationships/hyperlink" Target="https://www.youtube.com/watch?v=JXv8hQguGCI" TargetMode="External"/><Relationship Id="rId795" Type="http://schemas.openxmlformats.org/officeDocument/2006/relationships/hyperlink" Target="https://store.steampowered.com/app/2420510/HoloCure__Save_the_Fans/" TargetMode="External"/><Relationship Id="rId809" Type="http://schemas.openxmlformats.org/officeDocument/2006/relationships/hyperlink" Target="https://steamcommunity.com/games/2067920/announcements/detail/3908626109457877555" TargetMode="External"/><Relationship Id="rId9" Type="http://schemas.openxmlformats.org/officeDocument/2006/relationships/hyperlink" Target="https://zenorogue.blogspot.com/search/label/sources" TargetMode="External"/><Relationship Id="rId210" Type="http://schemas.openxmlformats.org/officeDocument/2006/relationships/hyperlink" Target="https://store.epicgames.com/en-US/news/super-fantasy-kingdom-city-builder-next-vampire-survivors-obsession" TargetMode="External"/><Relationship Id="rId448" Type="http://schemas.openxmlformats.org/officeDocument/2006/relationships/hyperlink" Target="https://www.roguebasin.com/index.php/Sword_of_the_Stars:_The_Pit" TargetMode="External"/><Relationship Id="rId655" Type="http://schemas.openxmlformats.org/officeDocument/2006/relationships/hyperlink" Target="https://x.com/ArturSmiarowski/status/1870390372389597210" TargetMode="External"/><Relationship Id="rId862" Type="http://schemas.openxmlformats.org/officeDocument/2006/relationships/hyperlink" Target="https://www.quartertothree.com/fp/2013/07/30/ten-things-you-should-know-about-sunless-sea/" TargetMode="External"/><Relationship Id="rId294" Type="http://schemas.openxmlformats.org/officeDocument/2006/relationships/hyperlink" Target="https://www.reddit.com/r/Games/comments/w6vkdf/tape_to_tape_a_roguelite_hockey_game/" TargetMode="External"/><Relationship Id="rId308" Type="http://schemas.openxmlformats.org/officeDocument/2006/relationships/hyperlink" Target="https://pokevoid.com/" TargetMode="External"/><Relationship Id="rId515" Type="http://schemas.openxmlformats.org/officeDocument/2006/relationships/hyperlink" Target="https://x.com/imgame_official/status/1925464077654249724" TargetMode="External"/><Relationship Id="rId722" Type="http://schemas.openxmlformats.org/officeDocument/2006/relationships/hyperlink" Target="https://www.gamereactor.eu/trading-rock-and-stone-for-rogue-and-like-deep-rock-galactic-rogue-core-interview-with-ghost-ship-games-1721543/" TargetMode="External"/><Relationship Id="rId89" Type="http://schemas.openxmlformats.org/officeDocument/2006/relationships/hyperlink" Target="https://store.steampowered.com/app/2479320/Pesticide_Not_Required/" TargetMode="External"/><Relationship Id="rId154" Type="http://schemas.openxmlformats.org/officeDocument/2006/relationships/hyperlink" Target="https://www.youtube.com/watch?v=mGVNTEOoBXc" TargetMode="External"/><Relationship Id="rId361" Type="http://schemas.openxmlformats.org/officeDocument/2006/relationships/hyperlink" Target="https://youtu.be/VGMszILvj78" TargetMode="External"/><Relationship Id="rId599" Type="http://schemas.openxmlformats.org/officeDocument/2006/relationships/hyperlink" Target="https://www.reddit.com/r/IAmA/comments/4po4pn/i_am_the_developer_of_20xx_the_megaman_xinspired/" TargetMode="External"/><Relationship Id="rId459" Type="http://schemas.openxmlformats.org/officeDocument/2006/relationships/hyperlink" Target="https://www.reddit.com/r/roguelites/comments/m2341u/space_gladiators_my_isaac_inspired_grotesque/" TargetMode="External"/><Relationship Id="rId666" Type="http://schemas.openxmlformats.org/officeDocument/2006/relationships/hyperlink" Target="https://www.reddit.com/r/shmups/comments/y3uhl5/i_just_released_my_game_icewall_an_action/" TargetMode="External"/><Relationship Id="rId873" Type="http://schemas.openxmlformats.org/officeDocument/2006/relationships/hyperlink" Target="https://steamcommunity.com/games/981430/announcements/detail/3728349046587300862" TargetMode="External"/><Relationship Id="rId16" Type="http://schemas.openxmlformats.org/officeDocument/2006/relationships/hyperlink" Target="https://www.kickstarter.com/projects/1926605606/stoneshard-open-world-roguelike-rpg-with-tactical" TargetMode="External"/><Relationship Id="rId221" Type="http://schemas.openxmlformats.org/officeDocument/2006/relationships/hyperlink" Target="https://web.archive.org/web/20220130212105/https:/www.indiegameoftheweek.com/BeyondTheLongNight" TargetMode="External"/><Relationship Id="rId319" Type="http://schemas.openxmlformats.org/officeDocument/2006/relationships/hyperlink" Target="https://www.reddit.com/r/IndieGaming/comments/1m9tpw9/a_whole_25_years_after_release_my_spellcrafting/" TargetMode="External"/><Relationship Id="rId526" Type="http://schemas.openxmlformats.org/officeDocument/2006/relationships/hyperlink" Target="https://x.com/brainoidgames/status/1925653290278121609" TargetMode="External"/><Relationship Id="rId733" Type="http://schemas.openxmlformats.org/officeDocument/2006/relationships/hyperlink" Target="https://www.youtube.com/shorts/VHSBsCiZ148" TargetMode="External"/><Relationship Id="rId165" Type="http://schemas.openxmlformats.org/officeDocument/2006/relationships/hyperlink" Target="https://www.reddit.com/r/WebGames/comments/1m6esqf/archon_soul_its_been_a_year_and_a_half_of_hard/" TargetMode="External"/><Relationship Id="rId372" Type="http://schemas.openxmlformats.org/officeDocument/2006/relationships/hyperlink" Target="https://roguebasin.com/index.php/Linley%27s_Dungeon_Crawl" TargetMode="External"/><Relationship Id="rId677" Type="http://schemas.openxmlformats.org/officeDocument/2006/relationships/hyperlink" Target="https://roguebasin.com/index.php/PernAngband" TargetMode="External"/><Relationship Id="rId800" Type="http://schemas.openxmlformats.org/officeDocument/2006/relationships/hyperlink" Target="https://steamcommunity.com/games/2105840/announcements/detail/670626757615813587" TargetMode="External"/><Relationship Id="rId232" Type="http://schemas.openxmlformats.org/officeDocument/2006/relationships/hyperlink" Target="https://store.steampowered.com/app/2308000/Centipede_Gun/" TargetMode="External"/><Relationship Id="rId884" Type="http://schemas.openxmlformats.org/officeDocument/2006/relationships/hyperlink" Target="https://store.steampowered.com/app/2348610/Slime_3K_Rise_Against_Despot/" TargetMode="External"/><Relationship Id="rId27" Type="http://schemas.openxmlformats.org/officeDocument/2006/relationships/hyperlink" Target="https://steamcommunity.com/app/1830970/discussions/0/6660355571253835571/" TargetMode="External"/><Relationship Id="rId537" Type="http://schemas.openxmlformats.org/officeDocument/2006/relationships/hyperlink" Target="https://www.reddit.com/r/slaythespire/comments/1g25q6g/design_lessons_from_sts_or_how_i_got_inspired_to/" TargetMode="External"/><Relationship Id="rId744" Type="http://schemas.openxmlformats.org/officeDocument/2006/relationships/hyperlink" Target="https://www.facebook.com/groups/132728896890594/posts/2551615688335224/" TargetMode="External"/><Relationship Id="rId80" Type="http://schemas.openxmlformats.org/officeDocument/2006/relationships/hyperlink" Target="https://steamcommunity.com/app/371430/discussions/0/494631967651210890/" TargetMode="External"/><Relationship Id="rId176" Type="http://schemas.openxmlformats.org/officeDocument/2006/relationships/hyperlink" Target="https://roguebasin.com/index.php/Cataclysm" TargetMode="External"/><Relationship Id="rId383" Type="http://schemas.openxmlformats.org/officeDocument/2006/relationships/hyperlink" Target="https://youtu.be/3C_nZPTNy4E" TargetMode="External"/><Relationship Id="rId590" Type="http://schemas.openxmlformats.org/officeDocument/2006/relationships/hyperlink" Target="https://www.youtube.com/watch?v=xsmbVWflwpw" TargetMode="External"/><Relationship Id="rId604" Type="http://schemas.openxmlformats.org/officeDocument/2006/relationships/hyperlink" Target="https://steamcommunity.com/app/1734320/discussions/0/598515896185532848/" TargetMode="External"/><Relationship Id="rId811" Type="http://schemas.openxmlformats.org/officeDocument/2006/relationships/hyperlink" Target="https://store.steampowered.com/app/1271280/Rift_Wizard/" TargetMode="External"/><Relationship Id="rId243" Type="http://schemas.openxmlformats.org/officeDocument/2006/relationships/hyperlink" Target="https://medium.com/@morganjaffit/games-dont-credit-their-influences-they-should-a32e9904d800" TargetMode="External"/><Relationship Id="rId450" Type="http://schemas.openxmlformats.org/officeDocument/2006/relationships/hyperlink" Target="https://en.wikipedia.org/wiki/ToeJam_%26_Earl" TargetMode="External"/><Relationship Id="rId688" Type="http://schemas.openxmlformats.org/officeDocument/2006/relationships/hyperlink" Target="https://store.epicgames.com/news/pengpong-s-hockey-pinball-chaos-was-the-result-of-a-game-jam?lang=vi" TargetMode="External"/><Relationship Id="rId895" Type="http://schemas.openxmlformats.org/officeDocument/2006/relationships/hyperlink" Target="https://turnbasedlovers.com/10-turns-interview/with-cobalt-core-devs/" TargetMode="External"/><Relationship Id="rId909" Type="http://schemas.openxmlformats.org/officeDocument/2006/relationships/hyperlink" Target="https://www.reddit.com/r/Games/comments/w6vkdf/tape_to_tape_a_roguelite_hockey_game/" TargetMode="External"/><Relationship Id="rId38" Type="http://schemas.openxmlformats.org/officeDocument/2006/relationships/hyperlink" Target="https://steamcommunity.com/app/1494560/discussions/0/4335355681660890217/" TargetMode="External"/><Relationship Id="rId103" Type="http://schemas.openxmlformats.org/officeDocument/2006/relationships/hyperlink" Target="https://rogueliker.com/vellum-inspirations/" TargetMode="External"/><Relationship Id="rId310" Type="http://schemas.openxmlformats.org/officeDocument/2006/relationships/hyperlink" Target="https://store.steampowered.com/app/1668690/Alina_of_the_Arena/" TargetMode="External"/><Relationship Id="rId548" Type="http://schemas.openxmlformats.org/officeDocument/2006/relationships/hyperlink" Target="https://mcvuk.com/business-news/when-we-made-wildfrost/" TargetMode="External"/><Relationship Id="rId755" Type="http://schemas.openxmlformats.org/officeDocument/2006/relationships/hyperlink" Target="https://www.youtube.com/watch?v=uKyeo6l_pAQ" TargetMode="External"/><Relationship Id="rId91" Type="http://schemas.openxmlformats.org/officeDocument/2006/relationships/hyperlink" Target="https://www.reddit.com/r/Games/comments/16x0fkk/shape_shifter_formations_castec_studios_an_action/" TargetMode="External"/><Relationship Id="rId187" Type="http://schemas.openxmlformats.org/officeDocument/2006/relationships/hyperlink" Target="https://steamcommunity.com/app/616000/discussions/0/1319962663550892419/" TargetMode="External"/><Relationship Id="rId394" Type="http://schemas.openxmlformats.org/officeDocument/2006/relationships/hyperlink" Target="https://fextralife.com/odinfall-a-new-viking-themed-roguelite-coming-to-early-access/" TargetMode="External"/><Relationship Id="rId408" Type="http://schemas.openxmlformats.org/officeDocument/2006/relationships/hyperlink" Target="https://youtu.be/ShnrIAmnN8I" TargetMode="External"/><Relationship Id="rId615" Type="http://schemas.openxmlformats.org/officeDocument/2006/relationships/hyperlink" Target="https://x.com/MasksOfTheVoid/status/2084174185505448157?s=20" TargetMode="External"/><Relationship Id="rId822" Type="http://schemas.openxmlformats.org/officeDocument/2006/relationships/hyperlink" Target="https://steamcommunity.com/games/1732090/announcements/detail/3328736922033412095" TargetMode="External"/><Relationship Id="rId254" Type="http://schemas.openxmlformats.org/officeDocument/2006/relationships/hyperlink" Target="https://youtu.be/j6rOHgGxdHY" TargetMode="External"/><Relationship Id="rId699" Type="http://schemas.openxmlformats.org/officeDocument/2006/relationships/hyperlink" Target="https://nintendoeverything.com/interview-sparklite-dev-on-zelda-inspirations-art-style-possible-post-launch-additions-more/" TargetMode="External"/><Relationship Id="rId49" Type="http://schemas.openxmlformats.org/officeDocument/2006/relationships/hyperlink" Target="https://www.pocketgamer.com/gambonanza/developer-interview/" TargetMode="External"/><Relationship Id="rId114" Type="http://schemas.openxmlformats.org/officeDocument/2006/relationships/hyperlink" Target="https://steamcommunity.com/app/2735580/discussions/0/595152144826392997/" TargetMode="External"/><Relationship Id="rId461" Type="http://schemas.openxmlformats.org/officeDocument/2006/relationships/hyperlink" Target="https://steamcommunity.com/app/3226530/discussions/0/592890533790115891/" TargetMode="External"/><Relationship Id="rId559" Type="http://schemas.openxmlformats.org/officeDocument/2006/relationships/hyperlink" Target="https://x.com/cleanfallgame/status/1958500517597876299?s=20" TargetMode="External"/><Relationship Id="rId766" Type="http://schemas.openxmlformats.org/officeDocument/2006/relationships/hyperlink" Target="https://toogytime.wordpress.com/2014/12/16/toogy-talk-crawl-an-interview-with-barney-cumming-of-powerhoof/" TargetMode="External"/><Relationship Id="rId198" Type="http://schemas.openxmlformats.org/officeDocument/2006/relationships/hyperlink" Target="https://www.reddit.com/r/Games/comments/2osauc/hi_rgames_were_a_group_of_aaa_and_exaaa/" TargetMode="External"/><Relationship Id="rId321" Type="http://schemas.openxmlformats.org/officeDocument/2006/relationships/hyperlink" Target="https://www.reddit.com/r/Games/comments/10uappd/the_ouroboros_king_oriol_cosp_chess_based/" TargetMode="External"/><Relationship Id="rId419" Type="http://schemas.openxmlformats.org/officeDocument/2006/relationships/hyperlink" Target="https://screenrant.com/shape-of-dreams-eunseop-shim-interview/" TargetMode="External"/><Relationship Id="rId626" Type="http://schemas.openxmlformats.org/officeDocument/2006/relationships/hyperlink" Target="https://en.wikipedia.org/wiki/Rogue_Legacy" TargetMode="External"/><Relationship Id="rId833" Type="http://schemas.openxmlformats.org/officeDocument/2006/relationships/hyperlink" Target="https://dtf.ru/gamedev/141739-otzyvy-i-obshenie-na-meropriyatiyah-uchat-luchshe-lyubyh-kursov-beseda-s-avtorom-rogalika-despots-game" TargetMode="External"/><Relationship Id="rId265" Type="http://schemas.openxmlformats.org/officeDocument/2006/relationships/hyperlink" Target="https://roguebasin.com/index.php/ADOM" TargetMode="External"/><Relationship Id="rId472" Type="http://schemas.openxmlformats.org/officeDocument/2006/relationships/hyperlink" Target="https://creators.spotify.com/pod/show/the-indie-diarist/episodes/Indie-Diary-5-Enrique-Dryere-Triple-B-Titles---Creativity-as-Sacrifice--Secrets-of-Inspiration--DnD-and----Poker-e207m5b" TargetMode="External"/><Relationship Id="rId900" Type="http://schemas.openxmlformats.org/officeDocument/2006/relationships/hyperlink" Target="https://www.demonlore.com/" TargetMode="External"/><Relationship Id="rId125" Type="http://schemas.openxmlformats.org/officeDocument/2006/relationships/hyperlink" Target="https://iratus.org/faq" TargetMode="External"/><Relationship Id="rId332" Type="http://schemas.openxmlformats.org/officeDocument/2006/relationships/hyperlink" Target="https://www.roguebasin.com/index.php/I_Am_Overburdened" TargetMode="External"/><Relationship Id="rId777" Type="http://schemas.openxmlformats.org/officeDocument/2006/relationships/hyperlink" Target="https://www.gamesradar.com/modern-roguelikes-are-in-great-shape-but-where-does-the-genre-go-next/" TargetMode="External"/><Relationship Id="rId637" Type="http://schemas.openxmlformats.org/officeDocument/2006/relationships/hyperlink" Target="https://www.reddit.com/r/JRPG/comments/1k54nny/lets_discover_rogue_hearts_dungeon_jun_ota_and/" TargetMode="External"/><Relationship Id="rId844" Type="http://schemas.openxmlformats.org/officeDocument/2006/relationships/hyperlink" Target="https://www.gamegrin.com/articles/developer-interview-neon-abyss-2-veewo-games/" TargetMode="External"/><Relationship Id="rId276" Type="http://schemas.openxmlformats.org/officeDocument/2006/relationships/hyperlink" Target="https://store.epicgames.com/en-US/news/darkblade-ascent-brings-the-roguelike-to-the-soulslike" TargetMode="External"/><Relationship Id="rId483" Type="http://schemas.openxmlformats.org/officeDocument/2006/relationships/hyperlink" Target="https://youtu.be/HyhYA69y62c" TargetMode="External"/><Relationship Id="rId690" Type="http://schemas.openxmlformats.org/officeDocument/2006/relationships/hyperlink" Target="https://store.steampowered.com/app/4195110/Ultrapool/" TargetMode="External"/><Relationship Id="rId704" Type="http://schemas.openxmlformats.org/officeDocument/2006/relationships/hyperlink" Target="https://steamcommunity.com/app/1721110/discussions/0/600775708393865281/" TargetMode="External"/><Relationship Id="rId911" Type="http://schemas.openxmlformats.org/officeDocument/2006/relationships/hyperlink" Target="https://www.gamemeca.com/en/view.php?gid=1778935" TargetMode="External"/><Relationship Id="rId40" Type="http://schemas.openxmlformats.org/officeDocument/2006/relationships/hyperlink" Target="https://youtu.be/HyhYA69y62c" TargetMode="External"/><Relationship Id="rId136" Type="http://schemas.openxmlformats.org/officeDocument/2006/relationships/hyperlink" Target="https://80.lv/articles/battle-shapers-how-blender-unity-helped-create-the-game-s-vibrant-world" TargetMode="External"/><Relationship Id="rId343" Type="http://schemas.openxmlformats.org/officeDocument/2006/relationships/hyperlink" Target="https://x.com/SoramameKoubou/status/1786329686978777095" TargetMode="External"/><Relationship Id="rId550" Type="http://schemas.openxmlformats.org/officeDocument/2006/relationships/hyperlink" Target="https://www.reddit.com/r/IndieGame/comments/1s28b5c/we_have_such_a_game_do_you_think_people_will_like/" TargetMode="External"/><Relationship Id="rId788" Type="http://schemas.openxmlformats.org/officeDocument/2006/relationships/hyperlink" Target="https://steamcommunity.com/games/1619520/announcements/detail/3692434297316940519" TargetMode="External"/><Relationship Id="rId203" Type="http://schemas.openxmlformats.org/officeDocument/2006/relationships/hyperlink" Target="https://www.reddit.com/r/Games/comments/7ukbl1/im_the_lead_developer_of_tangledeep_a_roguelike/" TargetMode="External"/><Relationship Id="rId648" Type="http://schemas.openxmlformats.org/officeDocument/2006/relationships/hyperlink" Target="https://store.steampowered.com/app/2102320/MISTROGUE_Mist_and_the_Living_Dungeons/" TargetMode="External"/><Relationship Id="rId855" Type="http://schemas.openxmlformats.org/officeDocument/2006/relationships/hyperlink" Target="https://web.archive.org/web/20250319160658/https:/www.whatsitlike.com.au/interview-with-tiago-zaidan-vampire-hunters/" TargetMode="External"/><Relationship Id="rId287" Type="http://schemas.openxmlformats.org/officeDocument/2006/relationships/hyperlink" Target="https://x.com/MasksOfTheVoid/status/2084174185505448157?s=20" TargetMode="External"/><Relationship Id="rId410" Type="http://schemas.openxmlformats.org/officeDocument/2006/relationships/hyperlink" Target="https://www.akuparagames.com/2026/06/09/meeting-mankibo-the-team-behind-montabi/" TargetMode="External"/><Relationship Id="rId494" Type="http://schemas.openxmlformats.org/officeDocument/2006/relationships/hyperlink" Target="https://youtu.be/VGMszILvj78" TargetMode="External"/><Relationship Id="rId508" Type="http://schemas.openxmlformats.org/officeDocument/2006/relationships/hyperlink" Target="https://www.ign.com/articles/claim-a-key-for-hellcard-the-turn-based-deckbuilding-rogue-lite-from-book-of-demons-developer" TargetMode="External"/><Relationship Id="rId715" Type="http://schemas.openxmlformats.org/officeDocument/2006/relationships/hyperlink" Target="https://www.reddit.com/r/IndieDev/comments/1ow9lo4/my_first_game_on_steam_is_finally_out_shard_squad/" TargetMode="External"/><Relationship Id="rId922" Type="http://schemas.openxmlformats.org/officeDocument/2006/relationships/hyperlink" Target="https://web.archive.org/web/20230609153941/https:/www.thecgview.com/p/roboquest-developer-interview" TargetMode="External"/><Relationship Id="rId147" Type="http://schemas.openxmlformats.org/officeDocument/2006/relationships/hyperlink" Target="https://youtu.be/VGMszILvj78" TargetMode="External"/><Relationship Id="rId354" Type="http://schemas.openxmlformats.org/officeDocument/2006/relationships/hyperlink" Target="http://www.zincland.com/powder/?pagename=about" TargetMode="External"/><Relationship Id="rId799" Type="http://schemas.openxmlformats.org/officeDocument/2006/relationships/hyperlink" Target="https://steamcommunity.com/games/2068280/announcements/detail/5301322539098227375" TargetMode="External"/><Relationship Id="rId51" Type="http://schemas.openxmlformats.org/officeDocument/2006/relationships/hyperlink" Target="https://codetheory.itch.io/lootplot-playtest" TargetMode="External"/><Relationship Id="rId561" Type="http://schemas.openxmlformats.org/officeDocument/2006/relationships/hyperlink" Target="https://www.reddit.com/r/Games/comments/2e7eti/hello_rgames_we_are_the_creators_of_the_roguelike/" TargetMode="External"/><Relationship Id="rId659" Type="http://schemas.openxmlformats.org/officeDocument/2006/relationships/hyperlink" Target="https://www.youtube.com/watch?v=dfLSGkKC2ug" TargetMode="External"/><Relationship Id="rId866" Type="http://schemas.openxmlformats.org/officeDocument/2006/relationships/hyperlink" Target="https://newsletter.gamediscover.co/p/how-sulfur-sold-50k-real-fast-and" TargetMode="External"/><Relationship Id="rId214" Type="http://schemas.openxmlformats.org/officeDocument/2006/relationships/hyperlink" Target="https://roguebasin.com/index.php/Wayward" TargetMode="External"/><Relationship Id="rId298" Type="http://schemas.openxmlformats.org/officeDocument/2006/relationships/hyperlink" Target="https://www.indie-games.eu/hell-maiden-touhou-meets-vampire-survivors-interview/" TargetMode="External"/><Relationship Id="rId421" Type="http://schemas.openxmlformats.org/officeDocument/2006/relationships/hyperlink" Target="https://www.reddit.com/r/pcgaming/comments/1f9y4d8/weve_been_making_our_totally_normal_coop_shooter/" TargetMode="External"/><Relationship Id="rId519" Type="http://schemas.openxmlformats.org/officeDocument/2006/relationships/hyperlink" Target="https://youtu.be/-Vsd5hUMAT8" TargetMode="External"/><Relationship Id="rId158" Type="http://schemas.openxmlformats.org/officeDocument/2006/relationships/hyperlink" Target="https://roguesnail.com/hell-clock-our-new-roguelike-arpg-in-a-dark-fantasy-twist-on-brazils-war-of-canudos/" TargetMode="External"/><Relationship Id="rId726" Type="http://schemas.openxmlformats.org/officeDocument/2006/relationships/hyperlink" Target="https://steamcommunity.com/app/4283360/discussions/0/842879193508271024/" TargetMode="External"/><Relationship Id="rId62" Type="http://schemas.openxmlformats.org/officeDocument/2006/relationships/hyperlink" Target="https://www.reddit.com/r/pcgaming/comments/1ix1kj1/we_are_the_developers_of_runeborn_a_dark_fantasy/" TargetMode="External"/><Relationship Id="rId365" Type="http://schemas.openxmlformats.org/officeDocument/2006/relationships/hyperlink" Target="https://www.roguebasin.com/index.php/Dragonslayer" TargetMode="External"/><Relationship Id="rId572" Type="http://schemas.openxmlformats.org/officeDocument/2006/relationships/hyperlink" Target="https://www.fanbyte.com/legacy/shovel-knight-dig-interview" TargetMode="External"/><Relationship Id="rId225" Type="http://schemas.openxmlformats.org/officeDocument/2006/relationships/hyperlink" Target="https://www.reddit.com/r/Games/comments/ziyl7m/this_is_alchemy_sheep_the_studio_behind_a/" TargetMode="External"/><Relationship Id="rId432" Type="http://schemas.openxmlformats.org/officeDocument/2006/relationships/hyperlink" Target="https://rogueliker.com/vellum-inspirations/" TargetMode="External"/><Relationship Id="rId877" Type="http://schemas.openxmlformats.org/officeDocument/2006/relationships/hyperlink" Target="https://www.thegamer.com/moonlighter-2-the-endless-vault-preview-inteview-hades-inspired/" TargetMode="External"/><Relationship Id="rId737" Type="http://schemas.openxmlformats.org/officeDocument/2006/relationships/hyperlink" Target="https://www.reddit.com/r/roguelikes/comments/13qgts/new_roguelike_legend_of_dungeon_inspired_by_my/" TargetMode="External"/><Relationship Id="rId73" Type="http://schemas.openxmlformats.org/officeDocument/2006/relationships/hyperlink" Target="https://gamerant.com/the-last-spell-game-interview-launch-dlc/" TargetMode="External"/><Relationship Id="rId169" Type="http://schemas.openxmlformats.org/officeDocument/2006/relationships/hyperlink" Target="https://x.com/cleanfallgame/status/1958500517597876299?s=20" TargetMode="External"/><Relationship Id="rId376" Type="http://schemas.openxmlformats.org/officeDocument/2006/relationships/hyperlink" Target="https://www.youtube.com/watch?v=xsmbVWflwpw" TargetMode="External"/><Relationship Id="rId583" Type="http://schemas.openxmlformats.org/officeDocument/2006/relationships/hyperlink" Target="https://x.com/CLLC_studio/status/1925866594078453892" TargetMode="External"/><Relationship Id="rId790" Type="http://schemas.openxmlformats.org/officeDocument/2006/relationships/hyperlink" Target="https://steamcommunity.com/games/1123770/announcements/detail/1697231221626410268" TargetMode="External"/><Relationship Id="rId804" Type="http://schemas.openxmlformats.org/officeDocument/2006/relationships/hyperlink" Target="https://steamcommunity.com/games/262790/announcements/detail/1694779751808309596" TargetMode="External"/><Relationship Id="rId4" Type="http://schemas.openxmlformats.org/officeDocument/2006/relationships/hyperlink" Target="https://www.akuparagames.com/2026/06/09/meeting-mankibo-the-team-behind-montabi/" TargetMode="External"/><Relationship Id="rId236" Type="http://schemas.openxmlformats.org/officeDocument/2006/relationships/hyperlink" Target="https://steamcommunity.com/app/2118810/discussions/1/3980680532379147080/" TargetMode="External"/><Relationship Id="rId443" Type="http://schemas.openxmlformats.org/officeDocument/2006/relationships/hyperlink" Target="https://roguebasin.com/index.php/Moria" TargetMode="External"/><Relationship Id="rId650" Type="http://schemas.openxmlformats.org/officeDocument/2006/relationships/hyperlink" Target="https://www.youtube.com/watch?v=txv0XsRrFwo" TargetMode="External"/><Relationship Id="rId888" Type="http://schemas.openxmlformats.org/officeDocument/2006/relationships/hyperlink" Target="https://nervetower.neocities.org/int_yonemitsu_ps" TargetMode="External"/><Relationship Id="rId303" Type="http://schemas.openxmlformats.org/officeDocument/2006/relationships/hyperlink" Target="https://youtu.be/HyhYA69y62c" TargetMode="External"/><Relationship Id="rId748" Type="http://schemas.openxmlformats.org/officeDocument/2006/relationships/hyperlink" Target="https://www.reddit.com/r/IndieGaming/comments/1h0xiwq/been_working_on_pebble_knights_a_mix_of_survival/" TargetMode="External"/><Relationship Id="rId84" Type="http://schemas.openxmlformats.org/officeDocument/2006/relationships/hyperlink" Target="https://caifuhao.eastmoney.com/news/20260725235351583816280" TargetMode="External"/><Relationship Id="rId387" Type="http://schemas.openxmlformats.org/officeDocument/2006/relationships/hyperlink" Target="https://www.reddit.com/r/Games/comments/czn9i5/were_the_developers_of_atomicrops_an_action/" TargetMode="External"/><Relationship Id="rId510" Type="http://schemas.openxmlformats.org/officeDocument/2006/relationships/hyperlink" Target="https://iratus.org/faq" TargetMode="External"/><Relationship Id="rId594" Type="http://schemas.openxmlformats.org/officeDocument/2006/relationships/hyperlink" Target="https://www.reddit.com/r/IndieGaming/comments/1iooyqr/roguelike_autobattler_cute_creatures_what_do_you/" TargetMode="External"/><Relationship Id="rId608" Type="http://schemas.openxmlformats.org/officeDocument/2006/relationships/hyperlink" Target="https://www.reddit.com/r/Games/comments/2e7eti/hello_rgames_we_are_the_creators_of_the_roguelike/" TargetMode="External"/><Relationship Id="rId815" Type="http://schemas.openxmlformats.org/officeDocument/2006/relationships/hyperlink" Target="https://store.steampowered.com/app/2060750/Star_Survivor/" TargetMode="External"/><Relationship Id="rId247" Type="http://schemas.openxmlformats.org/officeDocument/2006/relationships/hyperlink" Target="https://steamcommunity.com/app/681730/discussions/0/2132869574262194220/" TargetMode="External"/><Relationship Id="rId899" Type="http://schemas.openxmlformats.org/officeDocument/2006/relationships/hyperlink" Target="https://www.reddit.com/r/roguelites/comments/1t6eumj/we_spent_2_years_making_a_coop_action_roguelite/" TargetMode="External"/><Relationship Id="rId107" Type="http://schemas.openxmlformats.org/officeDocument/2006/relationships/hyperlink" Target="https://www.reddit.com/r/Games/comments/1syyjc8/ama_demon_lord_just_a_block_the_gridbased/" TargetMode="External"/><Relationship Id="rId454" Type="http://schemas.openxmlformats.org/officeDocument/2006/relationships/hyperlink" Target="https://www.reddit.com/r/IndieGaming/comments/1pji5gu/dunjungle_the_monkey_action_roguelite_is_out_on/" TargetMode="External"/><Relationship Id="rId661" Type="http://schemas.openxmlformats.org/officeDocument/2006/relationships/hyperlink" Target="https://www.youtube.com/watch?v=mGVNTEOoBXc" TargetMode="External"/><Relationship Id="rId759" Type="http://schemas.openxmlformats.org/officeDocument/2006/relationships/hyperlink" Target="https://youtu.be/_Ner8cAfsBg" TargetMode="External"/><Relationship Id="rId11" Type="http://schemas.openxmlformats.org/officeDocument/2006/relationships/hyperlink" Target="http://www.zincland.com/powder/?pagename=about" TargetMode="External"/><Relationship Id="rId314" Type="http://schemas.openxmlformats.org/officeDocument/2006/relationships/hyperlink" Target="https://www.reddit.com/r/Games/comments/1kjulpf/fogpiercer_mad_cookies_train_building_roguelike/" TargetMode="External"/><Relationship Id="rId398" Type="http://schemas.openxmlformats.org/officeDocument/2006/relationships/hyperlink" Target="https://store.steampowered.com/app/512900/Streets_of_Rogue/" TargetMode="External"/><Relationship Id="rId521" Type="http://schemas.openxmlformats.org/officeDocument/2006/relationships/hyperlink" Target="https://youtu.be/lr9xu3YNwZE" TargetMode="External"/><Relationship Id="rId619" Type="http://schemas.openxmlformats.org/officeDocument/2006/relationships/hyperlink" Target="https://blog.novadrift.io/nova-drift-frequently-asked-questions/" TargetMode="External"/><Relationship Id="rId95" Type="http://schemas.openxmlformats.org/officeDocument/2006/relationships/hyperlink" Target="https://roguebasin.com/index.php/ZMAngband" TargetMode="External"/><Relationship Id="rId160" Type="http://schemas.openxmlformats.org/officeDocument/2006/relationships/hyperlink" Target="https://roguebasin.com/index.php?title=LambdaRogue" TargetMode="External"/><Relationship Id="rId826" Type="http://schemas.openxmlformats.org/officeDocument/2006/relationships/hyperlink" Target="https://steamcommunity.com/games/2066020/announcements/detail/538872373928001896" TargetMode="External"/><Relationship Id="rId258" Type="http://schemas.openxmlformats.org/officeDocument/2006/relationships/hyperlink" Target="https://youtu.be/-I__TxhbQgw" TargetMode="External"/><Relationship Id="rId465" Type="http://schemas.openxmlformats.org/officeDocument/2006/relationships/hyperlink" Target="https://www.reddit.com/r/iosgaming/comments/1hjehh9/lost_for_swords_a_dungeon_crawler_focusing_on/" TargetMode="External"/><Relationship Id="rId672" Type="http://schemas.openxmlformats.org/officeDocument/2006/relationships/hyperlink" Target="https://tonemadison.com/articles/whisker-squadron-survivor-takes-aim-at-its-pain-points/" TargetMode="External"/><Relationship Id="rId22" Type="http://schemas.openxmlformats.org/officeDocument/2006/relationships/hyperlink" Target="http://www.zincland.com/powder/?pagename=about" TargetMode="External"/><Relationship Id="rId118" Type="http://schemas.openxmlformats.org/officeDocument/2006/relationships/hyperlink" Target="https://youtu.be/tbs9o6bck1U" TargetMode="External"/><Relationship Id="rId325" Type="http://schemas.openxmlformats.org/officeDocument/2006/relationships/hyperlink" Target="https://frozendepths.net/roguelike/info.php" TargetMode="External"/><Relationship Id="rId532" Type="http://schemas.openxmlformats.org/officeDocument/2006/relationships/hyperlink" Target="https://www.reddit.com/r/deckbuildingroguelike/comments/1qszp8o/runeveil_sts_meets_balatro_is_on_steam/" TargetMode="External"/><Relationship Id="rId171" Type="http://schemas.openxmlformats.org/officeDocument/2006/relationships/hyperlink" Target="https://store.steampowered.com/news/app/2187290/view/3683427098080954737" TargetMode="External"/><Relationship Id="rId837" Type="http://schemas.openxmlformats.org/officeDocument/2006/relationships/hyperlink" Target="https://www.gamedeveloper.com/design/road-to-the-igf-spry-fox-s-and-wild-shadow-studios-i-realm-of-the-mad-god-i-" TargetMode="External"/><Relationship Id="rId269" Type="http://schemas.openxmlformats.org/officeDocument/2006/relationships/hyperlink" Target="https://roguebasin.com/index.php/NetHack" TargetMode="External"/><Relationship Id="rId476" Type="http://schemas.openxmlformats.org/officeDocument/2006/relationships/hyperlink" Target="https://www.reddit.com/r/roguelites/comments/1ic44r5/my_angry_bird_roguelike_is_finally_out_on_steam/" TargetMode="External"/><Relationship Id="rId683" Type="http://schemas.openxmlformats.org/officeDocument/2006/relationships/hyperlink" Target="https://store.epicgames.com/news/pengpong-s-hockey-pinball-chaos-was-the-result-of-a-game-jam?lang=vi" TargetMode="External"/><Relationship Id="rId890" Type="http://schemas.openxmlformats.org/officeDocument/2006/relationships/hyperlink" Target="https://www.indiegamemag.com/ido-yehieli-interview-nephews-and-niches/" TargetMode="External"/><Relationship Id="rId904" Type="http://schemas.openxmlformats.org/officeDocument/2006/relationships/hyperlink" Target="https://turtlefoxgames.itch.io/talented/devlog/354683/devlog-17-experimentation" TargetMode="External"/><Relationship Id="rId33" Type="http://schemas.openxmlformats.org/officeDocument/2006/relationships/hyperlink" Target="https://codetheory.itch.io/lootplot-playtest" TargetMode="External"/><Relationship Id="rId129" Type="http://schemas.openxmlformats.org/officeDocument/2006/relationships/hyperlink" Target="https://www.reddit.com/r/IAmA/comments/aj6sq1/comment/eet5qh4/" TargetMode="External"/><Relationship Id="rId336" Type="http://schemas.openxmlformats.org/officeDocument/2006/relationships/hyperlink" Target="https://www.reddit.com/r/indiegames/comments/1gg9w9m/the_new_luck_be_a_landlordstyle_game_dog_and/" TargetMode="External"/><Relationship Id="rId543" Type="http://schemas.openxmlformats.org/officeDocument/2006/relationships/hyperlink" Target="https://store.steampowered.com/app/3333700/The_Royal_Writ/" TargetMode="External"/><Relationship Id="rId182" Type="http://schemas.openxmlformats.org/officeDocument/2006/relationships/hyperlink" Target="https://gamestudio.n-ix.com/case-study/the-bazaar-game-development-story/" TargetMode="External"/><Relationship Id="rId403" Type="http://schemas.openxmlformats.org/officeDocument/2006/relationships/hyperlink" Target="https://www.reddit.com/r/roguelites/comments/1u78c4e/2_years_later_my_solo_pinball_roguelike_project/" TargetMode="External"/><Relationship Id="rId750" Type="http://schemas.openxmlformats.org/officeDocument/2006/relationships/hyperlink" Target="https://www.youtube.com/watch?v=uKyeo6l_pAQ" TargetMode="External"/><Relationship Id="rId848" Type="http://schemas.openxmlformats.org/officeDocument/2006/relationships/hyperlink" Target="https://www.gamedeveloper.com/design/-play-86-interview-with-adom-creator-dr-thomas-biskup" TargetMode="External"/><Relationship Id="rId487" Type="http://schemas.openxmlformats.org/officeDocument/2006/relationships/hyperlink" Target="https://www.youtube.com/watch?v=SI0_xHvFIKM" TargetMode="External"/><Relationship Id="rId610" Type="http://schemas.openxmlformats.org/officeDocument/2006/relationships/hyperlink" Target="https://steamcommunity.com/app/225280/discussions/0/846961716374404705/" TargetMode="External"/><Relationship Id="rId694" Type="http://schemas.openxmlformats.org/officeDocument/2006/relationships/hyperlink" Target="https://x.com/Mickanio/status/1555411757409001472" TargetMode="External"/><Relationship Id="rId708" Type="http://schemas.openxmlformats.org/officeDocument/2006/relationships/hyperlink" Target="https://www.reddit.com/r/Games/comments/1v0h3jp/pass_the_fear_playmud_studio_gungeonlike_with/" TargetMode="External"/><Relationship Id="rId915" Type="http://schemas.openxmlformats.org/officeDocument/2006/relationships/hyperlink" Target="https://www.indiegamesdeveloper.com/showcases-and-interviews/developer-interview/noisy-head-games-interview-beyond-the-long-night/" TargetMode="External"/><Relationship Id="rId347" Type="http://schemas.openxmlformats.org/officeDocument/2006/relationships/hyperlink" Target="https://www.digitallydownloaded.net/2021/10/four-quick-questions-for-developer-of.html" TargetMode="External"/><Relationship Id="rId44" Type="http://schemas.openxmlformats.org/officeDocument/2006/relationships/hyperlink" Target="https://www.gamespress.com/Solo-Developer-Bigosaur-Launches-Basketball-Roguelike-Clutchtime-Baske" TargetMode="External"/><Relationship Id="rId554" Type="http://schemas.openxmlformats.org/officeDocument/2006/relationships/hyperlink" Target="https://store.steampowered.com/app/2308000/Centipede_Gun/" TargetMode="External"/><Relationship Id="rId761" Type="http://schemas.openxmlformats.org/officeDocument/2006/relationships/hyperlink" Target="https://rogueliker.com/footgun-underground-interview/" TargetMode="External"/><Relationship Id="rId859" Type="http://schemas.openxmlformats.org/officeDocument/2006/relationships/hyperlink" Target="https://valleesdeletrange.wordpress.com/2026/03/09/sol-cesto-le-bandit-manchot-et-ses-deux-tetes-entretien-avec-chariospirale-et-docgeraud/" TargetMode="External"/><Relationship Id="rId193" Type="http://schemas.openxmlformats.org/officeDocument/2006/relationships/hyperlink" Target="https://game-wisdom.com/podcast/five-year-development-behind-nowhere-prophet%20mentions%20plaing%20dream%20quest%20in%20this%20interview" TargetMode="External"/><Relationship Id="rId207" Type="http://schemas.openxmlformats.org/officeDocument/2006/relationships/hyperlink" Target="https://www.youtube.com/watch?v=JXv8hQguGCI" TargetMode="External"/><Relationship Id="rId414" Type="http://schemas.openxmlformats.org/officeDocument/2006/relationships/hyperlink" Target="https://www.siliconera.com/catacomb-kids-interview-spelunky-comparisons-and-the-early-access-gamble/" TargetMode="External"/><Relationship Id="rId498" Type="http://schemas.openxmlformats.org/officeDocument/2006/relationships/hyperlink" Target="https://www.nintendolife.com/features/only-pokemon-can-make-pokemon-dicefolk-devs-on-finding-a-voice-in-a-crowded-genre" TargetMode="External"/><Relationship Id="rId621" Type="http://schemas.openxmlformats.org/officeDocument/2006/relationships/hyperlink" Target="https://www.polygon.com/2013/6/20/4439320/our-darker-purpose-kickstarter-avidly-wild-games/" TargetMode="External"/><Relationship Id="rId260" Type="http://schemas.openxmlformats.org/officeDocument/2006/relationships/hyperlink" Target="https://store.steampowered.com/news/app/1434540/view/2939150821227809707" TargetMode="External"/><Relationship Id="rId719" Type="http://schemas.openxmlformats.org/officeDocument/2006/relationships/hyperlink" Target="https://www.reddit.com/r/indiegames/comments/1sc54y5/batomon_showdown_a_casual_autobattler_inspired_by/" TargetMode="External"/><Relationship Id="rId926" Type="http://schemas.openxmlformats.org/officeDocument/2006/relationships/hyperlink" Target="https://www.reddit.com/r/pcgaming/comments/1ix1kj1/comment/meiosvh/" TargetMode="External"/><Relationship Id="rId55" Type="http://schemas.openxmlformats.org/officeDocument/2006/relationships/hyperlink" Target="https://www.reddit.com/r/IndieGaming/comments/1h0aag9/passant_is_a_chess_roguelike_where_you_build_your/%20/%20mentioned%20on%20discord%20he%20went%20back%20to%20an%20old%20project%20after%20playing%20balatro" TargetMode="External"/><Relationship Id="rId120" Type="http://schemas.openxmlformats.org/officeDocument/2006/relationships/hyperlink" Target="https://www.pcgamer.com/turn-based-roguelike-deep-sky-derelicts-channels-darkest-dungeon-in-space/" TargetMode="External"/><Relationship Id="rId358" Type="http://schemas.openxmlformats.org/officeDocument/2006/relationships/hyperlink" Target="https://www.moguragames.com/smokingwolfinterview/" TargetMode="External"/><Relationship Id="rId565" Type="http://schemas.openxmlformats.org/officeDocument/2006/relationships/hyperlink" Target="https://gamingbolt.com/gonner-interview-a-colorful-and-challenging-ride" TargetMode="External"/><Relationship Id="rId772" Type="http://schemas.openxmlformats.org/officeDocument/2006/relationships/hyperlink" Target="https://cliqist.com/2015/01/30/children-morta-interview/" TargetMode="External"/><Relationship Id="rId218" Type="http://schemas.openxmlformats.org/officeDocument/2006/relationships/hyperlink" Target="https://www.reddit.com/r/playmygame/comments/sqb852/our_spellcasting_roguelike_abandoned_archive_now/" TargetMode="External"/><Relationship Id="rId425" Type="http://schemas.openxmlformats.org/officeDocument/2006/relationships/hyperlink" Target="https://x.com/MirariRelics/status/2083184893182489017?s=20" TargetMode="External"/><Relationship Id="rId632" Type="http://schemas.openxmlformats.org/officeDocument/2006/relationships/hyperlink" Target="https://www.nme.com/news/gaming-news/crossy-road-creator-announces-space-western-shooter-tombstar-3258744" TargetMode="External"/><Relationship Id="rId271" Type="http://schemas.openxmlformats.org/officeDocument/2006/relationships/hyperlink" Target="https://x.com/AnAmazingWizard/status/1489554155597352962?s=20" TargetMode="External"/><Relationship Id="rId66" Type="http://schemas.openxmlformats.org/officeDocument/2006/relationships/hyperlink" Target="https://www.youtube.com/watch?v=ZVQBDWbGPIg" TargetMode="External"/><Relationship Id="rId131" Type="http://schemas.openxmlformats.org/officeDocument/2006/relationships/hyperlink" Target="https://www.reddit.com/r/indiegames/comments/171yt60/our_first_gamevoice_of_belldonademo_release/" TargetMode="External"/><Relationship Id="rId369" Type="http://schemas.openxmlformats.org/officeDocument/2006/relationships/hyperlink" Target="https://zenorogue.blogspot.com/search/label/sources" TargetMode="External"/><Relationship Id="rId576" Type="http://schemas.openxmlformats.org/officeDocument/2006/relationships/hyperlink" Target="https://www.emuglx.org/reportaze/interview/exclusive-switchcars-interview/" TargetMode="External"/><Relationship Id="rId783" Type="http://schemas.openxmlformats.org/officeDocument/2006/relationships/hyperlink" Target="https://steamcommunity.com/games/3066570/announcements/detail/4356754561281185320" TargetMode="External"/><Relationship Id="rId229" Type="http://schemas.openxmlformats.org/officeDocument/2006/relationships/hyperlink" Target="https://x.com/GrimorioG/status/1213196249509376001?s=20" TargetMode="External"/><Relationship Id="rId436" Type="http://schemas.openxmlformats.org/officeDocument/2006/relationships/hyperlink" Target="https://roguebasin.com/index.php/Brogue" TargetMode="External"/><Relationship Id="rId643" Type="http://schemas.openxmlformats.org/officeDocument/2006/relationships/hyperlink" Target="https://baldis-basics-in-education-and-learning.fandom.com/wiki/Inspiration_and_reference" TargetMode="External"/><Relationship Id="rId850" Type="http://schemas.openxmlformats.org/officeDocument/2006/relationships/hyperlink" Target="https://reviewfix.com/2018/03/review-fix-exclusive-inside-immortal-redneck/" TargetMode="External"/><Relationship Id="rId77" Type="http://schemas.openxmlformats.org/officeDocument/2006/relationships/hyperlink" Target="https://roguebasin.com/index.php/Labyrinth_of_Legendary_Loot" TargetMode="External"/><Relationship Id="rId282" Type="http://schemas.openxmlformats.org/officeDocument/2006/relationships/hyperlink" Target="https://gamerant.com/have-a-nice-death-tim-burton-one-punch-man-anime-game-inspirations/" TargetMode="External"/><Relationship Id="rId503" Type="http://schemas.openxmlformats.org/officeDocument/2006/relationships/hyperlink" Target="https://www.reddit.com/r/Games/comments/1kjulpf/fogpiercer_mad_cookies_train_building_roguelike/" TargetMode="External"/><Relationship Id="rId587" Type="http://schemas.openxmlformats.org/officeDocument/2006/relationships/hyperlink" Target="https://www.roguelikeradio.com/2011/10/interview-with-ido-yehieli.html" TargetMode="External"/><Relationship Id="rId710" Type="http://schemas.openxmlformats.org/officeDocument/2006/relationships/hyperlink" Target="https://www.youtube.com/watch?v=4M-9B0RWQF8" TargetMode="External"/><Relationship Id="rId808" Type="http://schemas.openxmlformats.org/officeDocument/2006/relationships/hyperlink" Target="https://steamcommunity.com/games/1494560/announcements/detail/4187858160655360600" TargetMode="External"/><Relationship Id="rId8" Type="http://schemas.openxmlformats.org/officeDocument/2006/relationships/hyperlink" Target="https://roguebasin.com/index.php/GearHead_Caramel" TargetMode="External"/><Relationship Id="rId142" Type="http://schemas.openxmlformats.org/officeDocument/2006/relationships/hyperlink" Target="https://web.archive.org/web/20230609153941/https:/www.thecgview.com/p/roboquest-developer-interview" TargetMode="External"/><Relationship Id="rId447" Type="http://schemas.openxmlformats.org/officeDocument/2006/relationships/hyperlink" Target="https://www.roguebasin.com/index.php/Rogue's_Tale" TargetMode="External"/><Relationship Id="rId794" Type="http://schemas.openxmlformats.org/officeDocument/2006/relationships/hyperlink" Target="https://steamcommunity.com/games/2342950/announcements/detail/524208404882784298" TargetMode="External"/><Relationship Id="rId654" Type="http://schemas.openxmlformats.org/officeDocument/2006/relationships/hyperlink" Target="https://www.youtube.com/watch?v=5fR9VYTfm2A&amp;t=1s" TargetMode="External"/><Relationship Id="rId861" Type="http://schemas.openxmlformats.org/officeDocument/2006/relationships/hyperlink" Target="https://www.rpgsite.net/interview/20000-brian-bucklew-caves-of-qud-interview-expansions-switch-port-unity-controller-support-coffee" TargetMode="External"/><Relationship Id="rId293" Type="http://schemas.openxmlformats.org/officeDocument/2006/relationships/hyperlink" Target="https://steamcommunity.com/app/1763250/discussions/0/4289188745218594758/" TargetMode="External"/><Relationship Id="rId307" Type="http://schemas.openxmlformats.org/officeDocument/2006/relationships/hyperlink" Target="https://moodytail.itch.io/pocket-crystal-league" TargetMode="External"/><Relationship Id="rId514" Type="http://schemas.openxmlformats.org/officeDocument/2006/relationships/hyperlink" Target="https://www.sohu.com/a/740136808_204824" TargetMode="External"/><Relationship Id="rId721" Type="http://schemas.openxmlformats.org/officeDocument/2006/relationships/hyperlink" Target="https://www.gamereactor.eu/trading-rock-and-stone-for-rogue-and-like-deep-rock-galactic-rogue-core-interview-with-ghost-ship-games-1721543/" TargetMode="External"/><Relationship Id="rId88" Type="http://schemas.openxmlformats.org/officeDocument/2006/relationships/hyperlink" Target="https://store.steampowered.com/app/2225960/Noobs_Are_Coming/" TargetMode="External"/><Relationship Id="rId153" Type="http://schemas.openxmlformats.org/officeDocument/2006/relationships/hyperlink" Target="https://x.com/MirariRelics/status/2083184893182489017?s=20" TargetMode="External"/><Relationship Id="rId360" Type="http://schemas.openxmlformats.org/officeDocument/2006/relationships/hyperlink" Target="https://www.pcgamer.com/how-a-videogame-composer-designed-the-tangledeep-rpg/" TargetMode="External"/><Relationship Id="rId598" Type="http://schemas.openxmlformats.org/officeDocument/2006/relationships/hyperlink" Target="https://youtu.be/DY-KwfFTU9g" TargetMode="External"/><Relationship Id="rId819" Type="http://schemas.openxmlformats.org/officeDocument/2006/relationships/hyperlink" Target="https://store.steampowered.com/app/2060750/Star_Survivor/" TargetMode="External"/><Relationship Id="rId220" Type="http://schemas.openxmlformats.org/officeDocument/2006/relationships/hyperlink" Target="https://www.reddit.com/r/Games/comments/czn9i5/were_the_developers_of_atomicrops_an_action/" TargetMode="External"/><Relationship Id="rId458" Type="http://schemas.openxmlformats.org/officeDocument/2006/relationships/hyperlink" Target="https://www.facebook.com/DreamHack/videos/rogue-heroes-ruins-of-tasos-developers-explain-how-why-the-game-came-together-go/440879170356208/" TargetMode="External"/><Relationship Id="rId665" Type="http://schemas.openxmlformats.org/officeDocument/2006/relationships/hyperlink" Target="https://www.indie-games.eu/hell-maiden-touhou-meets-vampire-survivors-interview/" TargetMode="External"/><Relationship Id="rId872" Type="http://schemas.openxmlformats.org/officeDocument/2006/relationships/hyperlink" Target="https://steamcommunity.com/games/981430/announcements/detail/3728349046587300862" TargetMode="External"/><Relationship Id="rId15" Type="http://schemas.openxmlformats.org/officeDocument/2006/relationships/hyperlink" Target="https://www.roguebasin.com/index.php/Sproggiwood" TargetMode="External"/><Relationship Id="rId318" Type="http://schemas.openxmlformats.org/officeDocument/2006/relationships/hyperlink" Target="https://steamcommunity.com/app/1494560/discussions/0/4335355681660890217/" TargetMode="External"/><Relationship Id="rId525" Type="http://schemas.openxmlformats.org/officeDocument/2006/relationships/hyperlink" Target="https://pokevoid.com/" TargetMode="External"/><Relationship Id="rId732" Type="http://schemas.openxmlformats.org/officeDocument/2006/relationships/hyperlink" Target="https://youtu.be/O8FIzwdfuzs" TargetMode="External"/><Relationship Id="rId99" Type="http://schemas.openxmlformats.org/officeDocument/2006/relationships/hyperlink" Target="https://gonintendo.com/contents/37637-tmnt-splintered-fate-devs-say-they-were-inspired-by-hades-dead-cells-and-more" TargetMode="External"/><Relationship Id="rId164" Type="http://schemas.openxmlformats.org/officeDocument/2006/relationships/hyperlink" Target="https://roguebasin.com/index.php/Sword_of_the_Stars:_The_Pit" TargetMode="External"/><Relationship Id="rId371" Type="http://schemas.openxmlformats.org/officeDocument/2006/relationships/hyperlink" Target="https://roguebasin.com/index.php/LambdaRogue" TargetMode="External"/><Relationship Id="rId469" Type="http://schemas.openxmlformats.org/officeDocument/2006/relationships/hyperlink" Target="https://rogueliker.com/realm-of-ink-interview/" TargetMode="External"/><Relationship Id="rId676" Type="http://schemas.openxmlformats.org/officeDocument/2006/relationships/hyperlink" Target="https://www.roguebasin.com/index.php/Cthangband" TargetMode="External"/><Relationship Id="rId883" Type="http://schemas.openxmlformats.org/officeDocument/2006/relationships/hyperlink" Target="https://store.steampowered.com/app/2348610/Slime_3K_Rise_Against_Despot/" TargetMode="External"/><Relationship Id="rId26" Type="http://schemas.openxmlformats.org/officeDocument/2006/relationships/hyperlink" Target="https://roguebasin.com/index.php/ZMAngband" TargetMode="External"/><Relationship Id="rId231" Type="http://schemas.openxmlformats.org/officeDocument/2006/relationships/hyperlink" Target="https://www.reddit.com/r/JRPG/comments/1h4umpj/lets_talk_about_dragon_crystal_segas_own_early/" TargetMode="External"/><Relationship Id="rId329" Type="http://schemas.openxmlformats.org/officeDocument/2006/relationships/hyperlink" Target="https://store.epicgames.com/en-US/news/super-fantasy-kingdom-city-builder-next-vampire-survivors-obsession" TargetMode="External"/><Relationship Id="rId536" Type="http://schemas.openxmlformats.org/officeDocument/2006/relationships/hyperlink" Target="https://store.steampowered.com/app/3496890/Slot_or_Not/" TargetMode="External"/><Relationship Id="rId175" Type="http://schemas.openxmlformats.org/officeDocument/2006/relationships/hyperlink" Target="https://www.roguelikeradio.com/2011/10/interview-with-ido-yehieli.html" TargetMode="External"/><Relationship Id="rId743" Type="http://schemas.openxmlformats.org/officeDocument/2006/relationships/hyperlink" Target="https://www.indiedb.com/news/dev-blog-10-references-and-pop-culture-in-space-prison" TargetMode="External"/><Relationship Id="rId382" Type="http://schemas.openxmlformats.org/officeDocument/2006/relationships/hyperlink" Target="https://steamcommunity.com/app/3808690/discussions/0/574921459914426009/" TargetMode="External"/><Relationship Id="rId603" Type="http://schemas.openxmlformats.org/officeDocument/2006/relationships/hyperlink" Target="https://web.archive.org/web/20220130212105/https:/www.indiegameoftheweek.com/BeyondTheLongNight" TargetMode="External"/><Relationship Id="rId687" Type="http://schemas.openxmlformats.org/officeDocument/2006/relationships/hyperlink" Target="https://store.epicgames.com/news/pengpong-s-hockey-pinball-chaos-was-the-result-of-a-game-jam?lang=vi" TargetMode="External"/><Relationship Id="rId810" Type="http://schemas.openxmlformats.org/officeDocument/2006/relationships/hyperlink" Target="https://steamcommunity.com/games/2067920/announcements/detail/3908626109457877555" TargetMode="External"/><Relationship Id="rId908" Type="http://schemas.openxmlformats.org/officeDocument/2006/relationships/hyperlink" Target="https://creators.spotify.com/pod/profile/openindie/episodes/29---Pixlpunk---Tiny-Rogues---RubyDev---Austria-e2ainqm/a-aafpjfq" TargetMode="External"/><Relationship Id="rId242" Type="http://schemas.openxmlformats.org/officeDocument/2006/relationships/hyperlink" Target="https://www.reddit.com/r/NintendoSwitch/comments/trax0e/hi_im_the_developer_of_for_the_warp_a_scifi/" TargetMode="External"/><Relationship Id="rId894" Type="http://schemas.openxmlformats.org/officeDocument/2006/relationships/hyperlink" Target="https://turnbasedlovers.com/10-turns-interview/with-cobalt-core-devs/" TargetMode="External"/><Relationship Id="rId37" Type="http://schemas.openxmlformats.org/officeDocument/2006/relationships/hyperlink" Target="https://x.com/Mudita_Games/status/1988179400454500794" TargetMode="External"/><Relationship Id="rId102" Type="http://schemas.openxmlformats.org/officeDocument/2006/relationships/hyperlink" Target="https://malcolmsith.newgrounds.com/news/post/1504514" TargetMode="External"/><Relationship Id="rId547" Type="http://schemas.openxmlformats.org/officeDocument/2006/relationships/hyperlink" Target="https://automaton-media.com/en/interviews/interview-koei-tecmos-warriors-abyss-is-a-major-japanese-developers-take-on-the-roguelite-genre-made-by-a-hardcore-roguelite-lover/" TargetMode="External"/><Relationship Id="rId754" Type="http://schemas.openxmlformats.org/officeDocument/2006/relationships/hyperlink" Target="https://www.youtube.com/watch?v=uKyeo6l_pAQ" TargetMode="External"/><Relationship Id="rId90" Type="http://schemas.openxmlformats.org/officeDocument/2006/relationships/hyperlink" Target="https://www.youtube.com/watch?v=kYUYXX5vdkU" TargetMode="External"/><Relationship Id="rId186" Type="http://schemas.openxmlformats.org/officeDocument/2006/relationships/hyperlink" Target="https://monstervine.com/ic/IC-LR-Interview.mp3" TargetMode="External"/><Relationship Id="rId393" Type="http://schemas.openxmlformats.org/officeDocument/2006/relationships/hyperlink" Target="https://www.reddit.com/r/Games/comments/ziyl7m/this_is_alchemy_sheep_the_studio_behind_a/" TargetMode="External"/><Relationship Id="rId407" Type="http://schemas.openxmlformats.org/officeDocument/2006/relationships/hyperlink" Target="https://store.steampowered.com/app/2902440/Steves_Warehouse_Physics_Roguelike_Chaos/" TargetMode="External"/><Relationship Id="rId614" Type="http://schemas.openxmlformats.org/officeDocument/2006/relationships/hyperlink" Target="https://wesleyjkurtz.wixsite.com/orangedrop/post/mana-spark-kishimoto-studios-indie-devs-behemutt-an-in-depth-interview" TargetMode="External"/><Relationship Id="rId821" Type="http://schemas.openxmlformats.org/officeDocument/2006/relationships/hyperlink" Target="https://store.steampowered.com/app/2060750/Star_Survivor/" TargetMode="External"/><Relationship Id="rId253" Type="http://schemas.openxmlformats.org/officeDocument/2006/relationships/hyperlink" Target="https://en.wikipedia.org/wiki/Slay_the_Spire" TargetMode="External"/><Relationship Id="rId460" Type="http://schemas.openxmlformats.org/officeDocument/2006/relationships/hyperlink" Target="https://steamcommunity.com/app/535480/discussions/0/1693785035806645807/" TargetMode="External"/><Relationship Id="rId698" Type="http://schemas.openxmlformats.org/officeDocument/2006/relationships/hyperlink" Target="https://games.gg/news/wanderburg-trailers-drive-150k-steam-wishlists/" TargetMode="External"/><Relationship Id="rId919" Type="http://schemas.openxmlformats.org/officeDocument/2006/relationships/hyperlink" Target="https://legendofkeepers.fandom.com/wiki/Legend_of_Keepers" TargetMode="External"/><Relationship Id="rId48" Type="http://schemas.openxmlformats.org/officeDocument/2006/relationships/hyperlink" Target="https://www.reddit.com/r/IndieGaming/comments/1pjdyue/bucket_list_item_complete_presenting_at_day_of/" TargetMode="External"/><Relationship Id="rId113" Type="http://schemas.openxmlformats.org/officeDocument/2006/relationships/hyperlink" Target="https://x.com/studio_goblinz/status/1703121970680807815?s=20" TargetMode="External"/><Relationship Id="rId320" Type="http://schemas.openxmlformats.org/officeDocument/2006/relationships/hyperlink" Target="https://gamerant.com/the-last-spell-game-interview-launch-dlc/" TargetMode="External"/><Relationship Id="rId558" Type="http://schemas.openxmlformats.org/officeDocument/2006/relationships/hyperlink" Target="https://en.wikipedia.org/wiki/Caveblazers" TargetMode="External"/><Relationship Id="rId765" Type="http://schemas.openxmlformats.org/officeDocument/2006/relationships/hyperlink" Target="https://toogytime.wordpress.com/2014/12/16/toogy-talk-crawl-an-interview-with-barney-cumming-of-powerhoof/"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table" Target="../tables/table27.xml"/><Relationship Id="rId5" Type="http://schemas.openxmlformats.org/officeDocument/2006/relationships/table" Target="../tables/table31.xml"/><Relationship Id="rId4" Type="http://schemas.openxmlformats.org/officeDocument/2006/relationships/table" Target="../tables/table30.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54.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55.xml"/></Relationships>
</file>

<file path=xl/worksheets/_rels/sheet52.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hyperlink" Target="https://firch.github.io/BuncoWeb/" TargetMode="External"/></Relationships>
</file>

<file path=xl/worksheets/_rels/sheet53.xml.rels><?xml version="1.0" encoding="UTF-8" standalone="yes"?>
<Relationships xmlns="http://schemas.openxmlformats.org/package/2006/relationships"><Relationship Id="rId1" Type="http://schemas.openxmlformats.org/officeDocument/2006/relationships/table" Target="../tables/table57.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58.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96"/>
  <sheetViews>
    <sheetView topLeftCell="A729" zoomScaleNormal="100" workbookViewId="0">
      <selection activeCell="F282" sqref="F282"/>
    </sheetView>
  </sheetViews>
  <sheetFormatPr defaultColWidth="8.7109375" defaultRowHeight="15" x14ac:dyDescent="0.25"/>
  <cols>
    <col min="1" max="1" width="67" customWidth="1"/>
    <col min="3" max="3" width="13.42578125" bestFit="1" customWidth="1"/>
    <col min="4" max="4" width="14.42578125" bestFit="1" customWidth="1"/>
    <col min="5" max="5" width="14.28515625" bestFit="1" customWidth="1"/>
    <col min="6" max="6" width="26.42578125" bestFit="1" customWidth="1"/>
    <col min="7" max="7" width="39.85546875" customWidth="1"/>
    <col min="8" max="8" width="9.7109375" customWidth="1"/>
    <col min="9" max="9" width="84.28515625" customWidth="1"/>
    <col min="10" max="10" width="78.28515625" customWidth="1"/>
  </cols>
  <sheetData>
    <row r="1" spans="1:10" ht="15" customHeight="1" x14ac:dyDescent="0.25">
      <c r="A1" t="s">
        <v>165</v>
      </c>
      <c r="B1" t="s">
        <v>166</v>
      </c>
      <c r="C1" t="s">
        <v>167</v>
      </c>
      <c r="D1" t="s">
        <v>168</v>
      </c>
      <c r="E1" t="s">
        <v>169</v>
      </c>
      <c r="F1" t="s">
        <v>170</v>
      </c>
      <c r="G1" t="s">
        <v>171</v>
      </c>
      <c r="H1" t="s">
        <v>172</v>
      </c>
      <c r="I1" t="s">
        <v>173</v>
      </c>
      <c r="J1" t="s">
        <v>174</v>
      </c>
    </row>
    <row r="2" spans="1:10" ht="15" customHeight="1" x14ac:dyDescent="0.25">
      <c r="A2" t="s">
        <v>175</v>
      </c>
      <c r="B2">
        <v>2024</v>
      </c>
      <c r="C2" t="s">
        <v>176</v>
      </c>
      <c r="D2" t="b">
        <f>TRUE()</f>
        <v>1</v>
      </c>
      <c r="E2" t="b">
        <f>COUNTIF(connections!A:A, A2) &gt; 0</f>
        <v>0</v>
      </c>
      <c r="G2" t="s">
        <v>177</v>
      </c>
    </row>
    <row r="3" spans="1:10" ht="15" customHeight="1" x14ac:dyDescent="0.25">
      <c r="A3" t="s">
        <v>178</v>
      </c>
      <c r="B3">
        <v>2010</v>
      </c>
      <c r="C3" t="s">
        <v>179</v>
      </c>
      <c r="D3" t="b">
        <f>TRUE()</f>
        <v>1</v>
      </c>
      <c r="E3" t="b">
        <f>COUNTIF(connections!A:A, A3) &gt; 0</f>
        <v>1</v>
      </c>
      <c r="G3" t="s">
        <v>180</v>
      </c>
    </row>
    <row r="4" spans="1:10" ht="15" customHeight="1" x14ac:dyDescent="0.25">
      <c r="A4" t="s">
        <v>181</v>
      </c>
      <c r="B4">
        <v>2026</v>
      </c>
      <c r="C4" t="s">
        <v>182</v>
      </c>
      <c r="D4" t="b">
        <f>TRUE()</f>
        <v>1</v>
      </c>
      <c r="E4" t="b">
        <f>COUNTIF(connections!A:A, A4) &gt; 0</f>
        <v>0</v>
      </c>
      <c r="G4" t="s">
        <v>183</v>
      </c>
      <c r="J4" s="1" t="s">
        <v>184</v>
      </c>
    </row>
    <row r="5" spans="1:10" ht="15" customHeight="1" x14ac:dyDescent="0.25">
      <c r="A5" t="s">
        <v>185</v>
      </c>
      <c r="B5">
        <v>2022</v>
      </c>
      <c r="C5" t="s">
        <v>176</v>
      </c>
      <c r="D5" t="b">
        <f>TRUE()</f>
        <v>1</v>
      </c>
      <c r="E5" t="b">
        <f>COUNTIF(connections!A:A, A5) &gt; 0</f>
        <v>1</v>
      </c>
      <c r="G5" t="s">
        <v>186</v>
      </c>
      <c r="H5" t="s">
        <v>187</v>
      </c>
      <c r="I5" t="s">
        <v>188</v>
      </c>
      <c r="J5" s="1" t="s">
        <v>189</v>
      </c>
    </row>
    <row r="6" spans="1:10" ht="15" customHeight="1" x14ac:dyDescent="0.25">
      <c r="A6" t="s">
        <v>190</v>
      </c>
      <c r="B6">
        <v>2017</v>
      </c>
      <c r="C6" t="s">
        <v>176</v>
      </c>
      <c r="D6" t="b">
        <f>TRUE()</f>
        <v>1</v>
      </c>
      <c r="E6" t="b">
        <f>COUNTIF(connections!A:A, A6) &gt; 0</f>
        <v>1</v>
      </c>
      <c r="G6" t="s">
        <v>191</v>
      </c>
      <c r="H6" t="s">
        <v>187</v>
      </c>
      <c r="I6" t="s">
        <v>192</v>
      </c>
      <c r="J6" s="1" t="s">
        <v>193</v>
      </c>
    </row>
    <row r="7" spans="1:10" ht="15" customHeight="1" x14ac:dyDescent="0.25">
      <c r="A7" t="s">
        <v>194</v>
      </c>
      <c r="B7">
        <v>2021</v>
      </c>
      <c r="C7" t="s">
        <v>176</v>
      </c>
      <c r="D7" t="b">
        <f>TRUE()</f>
        <v>1</v>
      </c>
      <c r="E7" t="b">
        <f>COUNTIF(connections!A:A, A7) &gt; 0</f>
        <v>0</v>
      </c>
      <c r="G7" t="s">
        <v>195</v>
      </c>
      <c r="H7" t="s">
        <v>187</v>
      </c>
      <c r="I7" t="s">
        <v>196</v>
      </c>
      <c r="J7" s="1" t="s">
        <v>197</v>
      </c>
    </row>
    <row r="8" spans="1:10" ht="15" customHeight="1" x14ac:dyDescent="0.25">
      <c r="A8" t="s">
        <v>198</v>
      </c>
      <c r="B8">
        <v>2026</v>
      </c>
      <c r="C8" t="s">
        <v>176</v>
      </c>
      <c r="D8" t="b">
        <f>TRUE()</f>
        <v>1</v>
      </c>
      <c r="E8" t="b">
        <f>COUNTIF(connections!A:A, A8) &gt; 0</f>
        <v>0</v>
      </c>
      <c r="F8" t="s">
        <v>199</v>
      </c>
      <c r="G8" t="s">
        <v>200</v>
      </c>
      <c r="H8" t="s">
        <v>187</v>
      </c>
      <c r="I8" t="s">
        <v>8357</v>
      </c>
      <c r="J8" s="1" t="s">
        <v>201</v>
      </c>
    </row>
    <row r="9" spans="1:10" ht="15" customHeight="1" x14ac:dyDescent="0.25">
      <c r="A9" t="s">
        <v>202</v>
      </c>
      <c r="B9">
        <v>2026</v>
      </c>
      <c r="C9" t="s">
        <v>179</v>
      </c>
      <c r="D9" t="b">
        <f>TRUE()</f>
        <v>1</v>
      </c>
      <c r="E9" t="b">
        <f>COUNTIF(connections!A:A, A9) &gt; 0</f>
        <v>0</v>
      </c>
      <c r="G9" t="s">
        <v>203</v>
      </c>
      <c r="J9" s="1" t="s">
        <v>204</v>
      </c>
    </row>
    <row r="10" spans="1:10" ht="15" customHeight="1" x14ac:dyDescent="0.25">
      <c r="A10" t="s">
        <v>205</v>
      </c>
      <c r="B10">
        <v>2015</v>
      </c>
      <c r="C10" t="s">
        <v>179</v>
      </c>
      <c r="D10" t="b">
        <f>TRUE()</f>
        <v>1</v>
      </c>
      <c r="E10" t="b">
        <f>COUNTIF(connections!A:A, A10) &gt; 0</f>
        <v>1</v>
      </c>
      <c r="G10" t="s">
        <v>206</v>
      </c>
      <c r="H10" t="s">
        <v>187</v>
      </c>
      <c r="I10" t="s">
        <v>207</v>
      </c>
      <c r="J10" s="1" t="s">
        <v>208</v>
      </c>
    </row>
    <row r="11" spans="1:10" ht="15" customHeight="1" x14ac:dyDescent="0.25">
      <c r="A11" t="s">
        <v>209</v>
      </c>
      <c r="B11">
        <v>2024</v>
      </c>
      <c r="C11" t="s">
        <v>182</v>
      </c>
      <c r="D11" t="b">
        <f>TRUE()</f>
        <v>1</v>
      </c>
      <c r="E11" t="b">
        <f>COUNTIF(connections!A:A, A11) &gt; 0</f>
        <v>1</v>
      </c>
      <c r="G11" t="s">
        <v>210</v>
      </c>
      <c r="H11" t="s">
        <v>187</v>
      </c>
      <c r="I11" t="s">
        <v>211</v>
      </c>
      <c r="J11" s="1" t="s">
        <v>212</v>
      </c>
    </row>
    <row r="12" spans="1:10" ht="15" customHeight="1" x14ac:dyDescent="0.25">
      <c r="A12" t="s">
        <v>213</v>
      </c>
      <c r="B12">
        <v>2013</v>
      </c>
      <c r="C12" t="s">
        <v>176</v>
      </c>
      <c r="D12" t="b">
        <f>TRUE()</f>
        <v>1</v>
      </c>
      <c r="E12" t="b">
        <f>COUNTIF(connections!A:A, A12) &gt; 0</f>
        <v>0</v>
      </c>
      <c r="F12" t="s">
        <v>199</v>
      </c>
      <c r="G12" t="s">
        <v>214</v>
      </c>
    </row>
    <row r="13" spans="1:10" ht="15" customHeight="1" x14ac:dyDescent="0.25">
      <c r="A13" t="s">
        <v>215</v>
      </c>
      <c r="B13">
        <v>2025</v>
      </c>
      <c r="C13" t="s">
        <v>182</v>
      </c>
      <c r="D13" t="b">
        <f>TRUE()</f>
        <v>1</v>
      </c>
      <c r="E13" t="b">
        <f>COUNTIF(connections!A:A, A13) &gt; 0</f>
        <v>0</v>
      </c>
      <c r="G13" t="s">
        <v>216</v>
      </c>
    </row>
    <row r="14" spans="1:10" ht="15" customHeight="1" x14ac:dyDescent="0.25">
      <c r="A14" t="s">
        <v>217</v>
      </c>
      <c r="B14">
        <v>2017</v>
      </c>
      <c r="C14" t="s">
        <v>176</v>
      </c>
      <c r="D14" t="b">
        <f>TRUE()</f>
        <v>1</v>
      </c>
      <c r="E14" t="b">
        <f>COUNTIF(connections!A:A, A14) &gt; 0</f>
        <v>0</v>
      </c>
      <c r="G14" t="s">
        <v>218</v>
      </c>
      <c r="H14" t="s">
        <v>187</v>
      </c>
      <c r="I14" t="s">
        <v>219</v>
      </c>
      <c r="J14" s="1" t="s">
        <v>220</v>
      </c>
    </row>
    <row r="15" spans="1:10" ht="15" customHeight="1" x14ac:dyDescent="0.25">
      <c r="A15" t="s">
        <v>221</v>
      </c>
      <c r="B15">
        <v>2019</v>
      </c>
      <c r="C15" t="s">
        <v>222</v>
      </c>
      <c r="D15" t="b">
        <f>TRUE()</f>
        <v>1</v>
      </c>
      <c r="E15" t="b">
        <f>COUNTIF(connections!A:A, A15) &gt; 0</f>
        <v>0</v>
      </c>
      <c r="G15" t="s">
        <v>223</v>
      </c>
      <c r="H15" t="s">
        <v>187</v>
      </c>
      <c r="I15" t="s">
        <v>224</v>
      </c>
      <c r="J15" s="10" t="s">
        <v>225</v>
      </c>
    </row>
    <row r="16" spans="1:10" ht="15" customHeight="1" x14ac:dyDescent="0.25">
      <c r="A16" t="s">
        <v>226</v>
      </c>
      <c r="B16">
        <v>2025</v>
      </c>
      <c r="C16" t="s">
        <v>176</v>
      </c>
      <c r="D16" t="b">
        <f>TRUE()</f>
        <v>1</v>
      </c>
      <c r="E16" t="b">
        <f>COUNTIF(connections!A:A, A16) &gt; 0</f>
        <v>0</v>
      </c>
      <c r="G16" t="s">
        <v>227</v>
      </c>
    </row>
    <row r="17" spans="1:10" ht="15" customHeight="1" x14ac:dyDescent="0.25">
      <c r="A17" t="s">
        <v>228</v>
      </c>
      <c r="B17">
        <v>2025</v>
      </c>
      <c r="C17" t="s">
        <v>176</v>
      </c>
      <c r="D17" t="b">
        <f>TRUE()</f>
        <v>1</v>
      </c>
      <c r="E17" t="b">
        <f>COUNTIF(connections!A:A, A17) &gt; 0</f>
        <v>0</v>
      </c>
      <c r="F17" t="s">
        <v>229</v>
      </c>
      <c r="G17" t="s">
        <v>230</v>
      </c>
      <c r="H17" t="s">
        <v>187</v>
      </c>
      <c r="I17" t="s">
        <v>231</v>
      </c>
      <c r="J17" s="1" t="s">
        <v>232</v>
      </c>
    </row>
    <row r="18" spans="1:10" ht="15" customHeight="1" x14ac:dyDescent="0.25">
      <c r="A18" t="s">
        <v>7915</v>
      </c>
      <c r="B18">
        <v>2025</v>
      </c>
      <c r="C18" t="s">
        <v>176</v>
      </c>
      <c r="D18" t="b">
        <f>TRUE()</f>
        <v>1</v>
      </c>
      <c r="E18" t="b">
        <f>COUNTIF(connections!A:A, A18) &gt; 0</f>
        <v>0</v>
      </c>
      <c r="G18" t="s">
        <v>7916</v>
      </c>
      <c r="H18" t="s">
        <v>187</v>
      </c>
      <c r="I18" t="s">
        <v>7922</v>
      </c>
      <c r="J18" s="10" t="s">
        <v>7917</v>
      </c>
    </row>
    <row r="19" spans="1:10" ht="15" customHeight="1" x14ac:dyDescent="0.25">
      <c r="A19" t="s">
        <v>233</v>
      </c>
      <c r="B19">
        <v>2023</v>
      </c>
      <c r="C19" t="s">
        <v>182</v>
      </c>
      <c r="D19" t="b">
        <f>TRUE()</f>
        <v>1</v>
      </c>
      <c r="E19" t="b">
        <f>COUNTIF(connections!A:A, A19) &gt; 0</f>
        <v>0</v>
      </c>
      <c r="G19" t="s">
        <v>234</v>
      </c>
      <c r="H19" t="s">
        <v>187</v>
      </c>
      <c r="I19" t="s">
        <v>235</v>
      </c>
      <c r="J19" s="1" t="s">
        <v>236</v>
      </c>
    </row>
    <row r="20" spans="1:10" ht="15" customHeight="1" x14ac:dyDescent="0.25">
      <c r="A20" t="s">
        <v>237</v>
      </c>
      <c r="B20">
        <v>2021</v>
      </c>
      <c r="C20" t="s">
        <v>182</v>
      </c>
      <c r="D20" t="b">
        <f>TRUE()</f>
        <v>1</v>
      </c>
      <c r="E20" t="b">
        <f>COUNTIF(connections!A:A, A20) &gt; 0</f>
        <v>1</v>
      </c>
      <c r="G20" t="s">
        <v>238</v>
      </c>
      <c r="H20" t="s">
        <v>187</v>
      </c>
      <c r="I20" t="s">
        <v>239</v>
      </c>
      <c r="J20" s="1" t="s">
        <v>240</v>
      </c>
    </row>
    <row r="21" spans="1:10" ht="15" customHeight="1" x14ac:dyDescent="0.25">
      <c r="A21" t="s">
        <v>241</v>
      </c>
      <c r="B21">
        <v>2025</v>
      </c>
      <c r="C21" t="s">
        <v>222</v>
      </c>
      <c r="D21" t="b">
        <f>TRUE()</f>
        <v>1</v>
      </c>
      <c r="E21" t="b">
        <f>COUNTIF(connections!A:A, A21) &gt; 0</f>
        <v>1</v>
      </c>
      <c r="G21" t="s">
        <v>242</v>
      </c>
      <c r="H21" t="s">
        <v>187</v>
      </c>
      <c r="I21" t="s">
        <v>243</v>
      </c>
      <c r="J21" s="1" t="s">
        <v>244</v>
      </c>
    </row>
    <row r="22" spans="1:10" ht="15" customHeight="1" x14ac:dyDescent="0.25">
      <c r="A22" t="s">
        <v>245</v>
      </c>
      <c r="B22">
        <v>2023</v>
      </c>
      <c r="C22" t="s">
        <v>176</v>
      </c>
      <c r="D22" t="b">
        <f>TRUE()</f>
        <v>1</v>
      </c>
      <c r="E22" t="b">
        <f>COUNTIF(connections!A:A, A22) &gt; 0</f>
        <v>0</v>
      </c>
      <c r="G22" t="s">
        <v>246</v>
      </c>
      <c r="H22" t="s">
        <v>187</v>
      </c>
      <c r="I22" t="s">
        <v>247</v>
      </c>
      <c r="J22" s="1" t="s">
        <v>248</v>
      </c>
    </row>
    <row r="23" spans="1:10" ht="15" customHeight="1" x14ac:dyDescent="0.25">
      <c r="A23" t="s">
        <v>249</v>
      </c>
      <c r="B23">
        <v>2022</v>
      </c>
      <c r="C23" t="s">
        <v>182</v>
      </c>
      <c r="D23" t="b">
        <f>TRUE()</f>
        <v>1</v>
      </c>
      <c r="E23" t="b">
        <f>COUNTIF(connections!A:A, A23) &gt; 0</f>
        <v>0</v>
      </c>
      <c r="G23" t="s">
        <v>250</v>
      </c>
      <c r="H23" t="s">
        <v>187</v>
      </c>
      <c r="I23" t="s">
        <v>251</v>
      </c>
      <c r="J23" s="1" t="s">
        <v>252</v>
      </c>
    </row>
    <row r="24" spans="1:10" ht="15" customHeight="1" x14ac:dyDescent="0.25">
      <c r="A24" t="s">
        <v>253</v>
      </c>
      <c r="B24">
        <v>2025</v>
      </c>
      <c r="C24" t="s">
        <v>176</v>
      </c>
      <c r="D24" t="b">
        <f>TRUE()</f>
        <v>1</v>
      </c>
      <c r="E24" t="b">
        <f>COUNTIF(connections!A:A, A24) &gt; 0</f>
        <v>0</v>
      </c>
      <c r="G24" t="s">
        <v>254</v>
      </c>
      <c r="J24" s="10" t="s">
        <v>255</v>
      </c>
    </row>
    <row r="25" spans="1:10" ht="15" customHeight="1" x14ac:dyDescent="0.25">
      <c r="A25" t="s">
        <v>256</v>
      </c>
      <c r="B25">
        <v>1994</v>
      </c>
      <c r="C25" t="s">
        <v>179</v>
      </c>
      <c r="D25" t="b">
        <f>TRUE()</f>
        <v>1</v>
      </c>
      <c r="E25" t="b">
        <f>COUNTIF(connections!A:A, A25) &gt; 0</f>
        <v>1</v>
      </c>
      <c r="G25" t="s">
        <v>257</v>
      </c>
      <c r="H25" t="s">
        <v>187</v>
      </c>
      <c r="I25" t="s">
        <v>258</v>
      </c>
      <c r="J25" s="1" t="s">
        <v>259</v>
      </c>
    </row>
    <row r="26" spans="1:10" ht="15" customHeight="1" x14ac:dyDescent="0.25">
      <c r="A26" t="s">
        <v>260</v>
      </c>
      <c r="B26">
        <v>1990</v>
      </c>
      <c r="C26" t="s">
        <v>179</v>
      </c>
      <c r="D26" t="b">
        <f>TRUE()</f>
        <v>1</v>
      </c>
      <c r="E26" t="b">
        <f>COUNTIF(connections!A:A, A26) &gt; 0</f>
        <v>1</v>
      </c>
      <c r="G26" t="s">
        <v>261</v>
      </c>
      <c r="H26" t="s">
        <v>187</v>
      </c>
      <c r="I26" t="s">
        <v>262</v>
      </c>
    </row>
    <row r="27" spans="1:10" ht="15" customHeight="1" x14ac:dyDescent="0.25">
      <c r="A27" t="s">
        <v>8121</v>
      </c>
      <c r="B27">
        <v>2024</v>
      </c>
      <c r="C27" t="s">
        <v>222</v>
      </c>
      <c r="D27" t="b">
        <f>TRUE()</f>
        <v>1</v>
      </c>
      <c r="E27" t="b">
        <f>COUNTIF(connections!A:A, A27) &gt; 0</f>
        <v>0</v>
      </c>
      <c r="G27" t="s">
        <v>8122</v>
      </c>
      <c r="J27" s="10" t="s">
        <v>8123</v>
      </c>
    </row>
    <row r="28" spans="1:10" ht="15" customHeight="1" x14ac:dyDescent="0.25">
      <c r="A28" t="s">
        <v>263</v>
      </c>
      <c r="B28">
        <v>2022</v>
      </c>
      <c r="C28" t="s">
        <v>222</v>
      </c>
      <c r="D28" t="b">
        <f>FALSE()</f>
        <v>0</v>
      </c>
      <c r="E28" t="b">
        <f>COUNTIF(connections!A:A, A28) &gt; 0</f>
        <v>1</v>
      </c>
      <c r="F28" t="s">
        <v>264</v>
      </c>
      <c r="G28" t="s">
        <v>265</v>
      </c>
      <c r="H28" t="s">
        <v>187</v>
      </c>
      <c r="I28" t="s">
        <v>266</v>
      </c>
      <c r="J28" s="1" t="s">
        <v>267</v>
      </c>
    </row>
    <row r="29" spans="1:10" ht="15" customHeight="1" x14ac:dyDescent="0.25">
      <c r="A29" t="s">
        <v>268</v>
      </c>
      <c r="B29">
        <v>2025</v>
      </c>
      <c r="C29" t="s">
        <v>222</v>
      </c>
      <c r="D29" t="b">
        <f>FALSE()</f>
        <v>0</v>
      </c>
      <c r="E29" t="b">
        <f>COUNTIF(connections!A:A, A29) &gt; 0</f>
        <v>0</v>
      </c>
      <c r="F29" t="s">
        <v>264</v>
      </c>
      <c r="G29" t="s">
        <v>269</v>
      </c>
    </row>
    <row r="30" spans="1:10" ht="15" customHeight="1" x14ac:dyDescent="0.25">
      <c r="A30" t="s">
        <v>270</v>
      </c>
      <c r="B30">
        <v>2024</v>
      </c>
      <c r="C30" t="s">
        <v>182</v>
      </c>
      <c r="D30" t="b">
        <f>TRUE()</f>
        <v>1</v>
      </c>
      <c r="E30" t="b">
        <f>COUNTIF(connections!A:A, A30) &gt; 0</f>
        <v>0</v>
      </c>
      <c r="F30" t="s">
        <v>271</v>
      </c>
      <c r="G30" t="s">
        <v>272</v>
      </c>
    </row>
    <row r="31" spans="1:10" ht="15" customHeight="1" x14ac:dyDescent="0.25">
      <c r="A31" t="s">
        <v>273</v>
      </c>
      <c r="B31">
        <v>2020</v>
      </c>
      <c r="C31" t="s">
        <v>179</v>
      </c>
      <c r="D31" t="b">
        <f>TRUE()</f>
        <v>1</v>
      </c>
      <c r="E31" t="b">
        <f>COUNTIF(connections!A:A, A31) &gt; 0</f>
        <v>0</v>
      </c>
      <c r="F31" t="s">
        <v>274</v>
      </c>
      <c r="G31" t="s">
        <v>275</v>
      </c>
    </row>
    <row r="32" spans="1:10" ht="15" customHeight="1" x14ac:dyDescent="0.25">
      <c r="A32" t="s">
        <v>276</v>
      </c>
      <c r="B32">
        <v>2024</v>
      </c>
      <c r="C32" t="s">
        <v>182</v>
      </c>
      <c r="D32" t="b">
        <f>TRUE()</f>
        <v>1</v>
      </c>
      <c r="E32" t="b">
        <f>COUNTIF(connections!A:A, A32) &gt; 0</f>
        <v>0</v>
      </c>
      <c r="F32" t="s">
        <v>277</v>
      </c>
      <c r="G32" t="s">
        <v>278</v>
      </c>
      <c r="H32" t="s">
        <v>187</v>
      </c>
      <c r="I32" t="s">
        <v>279</v>
      </c>
      <c r="J32" s="10" t="s">
        <v>280</v>
      </c>
    </row>
    <row r="33" spans="1:10" ht="15" customHeight="1" x14ac:dyDescent="0.25">
      <c r="A33" t="s">
        <v>281</v>
      </c>
      <c r="B33">
        <v>2025</v>
      </c>
      <c r="C33" t="s">
        <v>176</v>
      </c>
      <c r="D33" t="b">
        <v>1</v>
      </c>
      <c r="E33" t="b">
        <f>COUNTIF(connections!A:A, A33) &gt; 0</f>
        <v>0</v>
      </c>
      <c r="G33" t="s">
        <v>282</v>
      </c>
    </row>
    <row r="34" spans="1:10" ht="15" customHeight="1" x14ac:dyDescent="0.25">
      <c r="A34" t="s">
        <v>283</v>
      </c>
      <c r="B34">
        <v>2020</v>
      </c>
      <c r="C34" t="s">
        <v>182</v>
      </c>
      <c r="D34" t="b">
        <f>TRUE()</f>
        <v>1</v>
      </c>
      <c r="E34" t="b">
        <f>COUNTIF(connections!A:A, A34) &gt; 0</f>
        <v>0</v>
      </c>
      <c r="G34" t="s">
        <v>284</v>
      </c>
      <c r="H34" t="s">
        <v>187</v>
      </c>
      <c r="I34" t="s">
        <v>285</v>
      </c>
      <c r="J34" s="1" t="s">
        <v>286</v>
      </c>
    </row>
    <row r="35" spans="1:10" ht="15" customHeight="1" x14ac:dyDescent="0.25">
      <c r="A35" t="s">
        <v>287</v>
      </c>
      <c r="B35">
        <v>2026</v>
      </c>
      <c r="C35" t="s">
        <v>182</v>
      </c>
      <c r="D35" t="b">
        <f>TRUE()</f>
        <v>1</v>
      </c>
      <c r="E35" t="b">
        <f>COUNTIF(connections!A:A, A35) &gt; 0</f>
        <v>0</v>
      </c>
      <c r="G35" t="s">
        <v>288</v>
      </c>
      <c r="J35" s="10" t="s">
        <v>289</v>
      </c>
    </row>
    <row r="36" spans="1:10" ht="15" customHeight="1" x14ac:dyDescent="0.25">
      <c r="A36" t="s">
        <v>290</v>
      </c>
      <c r="B36">
        <v>2024</v>
      </c>
      <c r="C36" t="s">
        <v>176</v>
      </c>
      <c r="D36" t="b">
        <f>TRUE()</f>
        <v>1</v>
      </c>
      <c r="E36" t="b">
        <f>COUNTIF(connections!A:A, A36) &gt; 0</f>
        <v>0</v>
      </c>
      <c r="G36" t="s">
        <v>291</v>
      </c>
      <c r="H36" t="s">
        <v>187</v>
      </c>
      <c r="I36" t="s">
        <v>292</v>
      </c>
      <c r="J36" s="1" t="s">
        <v>293</v>
      </c>
    </row>
    <row r="37" spans="1:10" ht="15" customHeight="1" x14ac:dyDescent="0.25">
      <c r="A37" t="s">
        <v>294</v>
      </c>
      <c r="B37">
        <v>2026</v>
      </c>
      <c r="C37" t="s">
        <v>176</v>
      </c>
      <c r="D37" t="b">
        <f>TRUE()</f>
        <v>1</v>
      </c>
      <c r="E37" t="b">
        <f>COUNTIF(connections!A:A, A37) &gt; 0</f>
        <v>0</v>
      </c>
      <c r="G37" t="s">
        <v>295</v>
      </c>
      <c r="J37" s="10" t="s">
        <v>296</v>
      </c>
    </row>
    <row r="38" spans="1:10" ht="15" customHeight="1" x14ac:dyDescent="0.25">
      <c r="A38" t="s">
        <v>297</v>
      </c>
      <c r="B38">
        <v>2022</v>
      </c>
      <c r="C38" t="s">
        <v>176</v>
      </c>
      <c r="D38" t="b">
        <f>TRUE()</f>
        <v>1</v>
      </c>
      <c r="E38" t="b">
        <f>COUNTIF(connections!A:A, A38) &gt; 0</f>
        <v>0</v>
      </c>
      <c r="G38" t="s">
        <v>298</v>
      </c>
      <c r="H38" t="s">
        <v>187</v>
      </c>
      <c r="I38" t="s">
        <v>8330</v>
      </c>
      <c r="J38" s="10" t="s">
        <v>8331</v>
      </c>
    </row>
    <row r="39" spans="1:10" ht="15" customHeight="1" x14ac:dyDescent="0.25">
      <c r="A39" t="s">
        <v>299</v>
      </c>
      <c r="B39">
        <v>2025</v>
      </c>
      <c r="C39" t="s">
        <v>182</v>
      </c>
      <c r="D39" t="b">
        <f>TRUE()</f>
        <v>1</v>
      </c>
      <c r="E39" t="b">
        <f>COUNTIF(connections!A:A, A39) &gt; 0</f>
        <v>0</v>
      </c>
      <c r="G39" t="s">
        <v>300</v>
      </c>
    </row>
    <row r="40" spans="1:10" ht="15" customHeight="1" x14ac:dyDescent="0.25">
      <c r="A40" t="s">
        <v>301</v>
      </c>
      <c r="B40">
        <v>2025</v>
      </c>
      <c r="C40" t="s">
        <v>182</v>
      </c>
      <c r="D40" t="b">
        <f>TRUE()</f>
        <v>1</v>
      </c>
      <c r="E40" t="b">
        <f>COUNTIF(connections!A:A, A40) &gt; 0</f>
        <v>0</v>
      </c>
      <c r="G40" t="s">
        <v>302</v>
      </c>
    </row>
    <row r="41" spans="1:10" ht="15" customHeight="1" x14ac:dyDescent="0.25">
      <c r="A41" t="s">
        <v>303</v>
      </c>
      <c r="B41">
        <v>2025</v>
      </c>
      <c r="C41" t="s">
        <v>176</v>
      </c>
      <c r="D41" t="b">
        <f>TRUE()</f>
        <v>1</v>
      </c>
      <c r="E41" t="b">
        <f>COUNTIF(connections!A:A, A41) &gt; 0</f>
        <v>0</v>
      </c>
      <c r="F41" t="s">
        <v>304</v>
      </c>
      <c r="G41" t="s">
        <v>305</v>
      </c>
      <c r="H41" t="s">
        <v>187</v>
      </c>
      <c r="I41" t="s">
        <v>306</v>
      </c>
      <c r="J41" s="1" t="s">
        <v>307</v>
      </c>
    </row>
    <row r="42" spans="1:10" ht="15" customHeight="1" x14ac:dyDescent="0.25">
      <c r="A42" t="s">
        <v>308</v>
      </c>
      <c r="B42">
        <v>2023</v>
      </c>
      <c r="C42" t="s">
        <v>176</v>
      </c>
      <c r="D42" t="b">
        <f>TRUE()</f>
        <v>1</v>
      </c>
      <c r="E42" t="b">
        <f>COUNTIF(connections!A:A, A42) &gt; 0</f>
        <v>0</v>
      </c>
      <c r="F42" t="s">
        <v>274</v>
      </c>
      <c r="G42" t="s">
        <v>309</v>
      </c>
    </row>
    <row r="43" spans="1:10" ht="15" customHeight="1" x14ac:dyDescent="0.25">
      <c r="A43" t="s">
        <v>310</v>
      </c>
      <c r="B43">
        <v>2022</v>
      </c>
      <c r="C43" t="s">
        <v>176</v>
      </c>
      <c r="D43" t="b">
        <f>TRUE()</f>
        <v>1</v>
      </c>
      <c r="E43" t="b">
        <f>COUNTIF(connections!A:A, A43) &gt; 0</f>
        <v>0</v>
      </c>
      <c r="G43" t="s">
        <v>311</v>
      </c>
      <c r="H43" t="s">
        <v>187</v>
      </c>
      <c r="I43" t="s">
        <v>312</v>
      </c>
      <c r="J43" s="1" t="s">
        <v>313</v>
      </c>
    </row>
    <row r="44" spans="1:10" ht="15" customHeight="1" x14ac:dyDescent="0.25">
      <c r="A44" t="s">
        <v>314</v>
      </c>
      <c r="B44">
        <v>2023</v>
      </c>
      <c r="C44" t="s">
        <v>182</v>
      </c>
      <c r="D44" t="b">
        <f>TRUE()</f>
        <v>1</v>
      </c>
      <c r="E44" t="b">
        <f>COUNTIF(connections!A:A, A44) &gt; 0</f>
        <v>0</v>
      </c>
      <c r="F44" t="s">
        <v>315</v>
      </c>
      <c r="G44" t="s">
        <v>316</v>
      </c>
      <c r="H44" t="s">
        <v>187</v>
      </c>
      <c r="I44" t="s">
        <v>317</v>
      </c>
      <c r="J44" s="1" t="s">
        <v>318</v>
      </c>
    </row>
    <row r="45" spans="1:10" ht="15" customHeight="1" x14ac:dyDescent="0.25">
      <c r="A45" t="s">
        <v>319</v>
      </c>
      <c r="B45">
        <v>2025</v>
      </c>
      <c r="C45" t="s">
        <v>176</v>
      </c>
      <c r="D45" t="b">
        <f>TRUE()</f>
        <v>1</v>
      </c>
      <c r="E45" t="b">
        <f>COUNTIF(connections!A:A, A45) &gt; 0</f>
        <v>0</v>
      </c>
      <c r="F45" t="s">
        <v>274</v>
      </c>
      <c r="G45" t="s">
        <v>320</v>
      </c>
      <c r="H45" t="s">
        <v>187</v>
      </c>
      <c r="I45" t="s">
        <v>321</v>
      </c>
      <c r="J45" s="1" t="s">
        <v>322</v>
      </c>
    </row>
    <row r="46" spans="1:10" ht="15" customHeight="1" x14ac:dyDescent="0.25">
      <c r="A46" t="s">
        <v>323</v>
      </c>
      <c r="B46">
        <v>2020</v>
      </c>
      <c r="C46" t="s">
        <v>222</v>
      </c>
      <c r="D46" t="b">
        <f>TRUE()</f>
        <v>1</v>
      </c>
      <c r="E46" t="b">
        <f>COUNTIF(connections!A:A, A46) &gt; 0</f>
        <v>1</v>
      </c>
      <c r="G46" t="s">
        <v>324</v>
      </c>
      <c r="H46" t="s">
        <v>187</v>
      </c>
      <c r="I46" t="s">
        <v>325</v>
      </c>
      <c r="J46" s="1" t="s">
        <v>326</v>
      </c>
    </row>
    <row r="47" spans="1:10" ht="15" customHeight="1" x14ac:dyDescent="0.25">
      <c r="A47" t="s">
        <v>327</v>
      </c>
      <c r="B47">
        <v>2010</v>
      </c>
      <c r="C47" t="s">
        <v>179</v>
      </c>
      <c r="D47" t="b">
        <f>TRUE()</f>
        <v>1</v>
      </c>
      <c r="E47" t="b">
        <f>COUNTIF(connections!A:A, A47) &gt; 0</f>
        <v>0</v>
      </c>
      <c r="F47" t="s">
        <v>328</v>
      </c>
      <c r="G47" t="s">
        <v>329</v>
      </c>
    </row>
    <row r="48" spans="1:10" ht="15" customHeight="1" x14ac:dyDescent="0.25">
      <c r="A48" t="s">
        <v>330</v>
      </c>
      <c r="B48">
        <v>2025</v>
      </c>
      <c r="C48" t="s">
        <v>176</v>
      </c>
      <c r="D48" t="b">
        <f>TRUE()</f>
        <v>1</v>
      </c>
      <c r="E48" t="b">
        <f>COUNTIF(connections!A:A, A48) &gt; 0</f>
        <v>0</v>
      </c>
      <c r="G48" t="s">
        <v>331</v>
      </c>
      <c r="J48" s="10" t="s">
        <v>332</v>
      </c>
    </row>
    <row r="49" spans="1:10" ht="15" customHeight="1" x14ac:dyDescent="0.25">
      <c r="A49" t="s">
        <v>333</v>
      </c>
      <c r="B49">
        <v>2020</v>
      </c>
      <c r="C49" t="s">
        <v>176</v>
      </c>
      <c r="D49" t="b">
        <f>TRUE()</f>
        <v>1</v>
      </c>
      <c r="E49" t="b">
        <f>COUNTIF(connections!A:A, A49) &gt; 0</f>
        <v>1</v>
      </c>
      <c r="F49" t="s">
        <v>264</v>
      </c>
      <c r="G49" t="s">
        <v>334</v>
      </c>
      <c r="H49" t="s">
        <v>187</v>
      </c>
      <c r="I49" t="s">
        <v>335</v>
      </c>
      <c r="J49" s="1" t="s">
        <v>336</v>
      </c>
    </row>
    <row r="50" spans="1:10" ht="15" customHeight="1" x14ac:dyDescent="0.25">
      <c r="A50" t="s">
        <v>337</v>
      </c>
      <c r="B50">
        <v>2014</v>
      </c>
      <c r="C50" t="s">
        <v>222</v>
      </c>
      <c r="D50" t="b">
        <f>TRUE()</f>
        <v>1</v>
      </c>
      <c r="E50" t="b">
        <f>COUNTIF(connections!A:A, A50) &gt; 0</f>
        <v>1</v>
      </c>
      <c r="G50" t="s">
        <v>338</v>
      </c>
    </row>
    <row r="51" spans="1:10" ht="15" customHeight="1" x14ac:dyDescent="0.25">
      <c r="A51" t="s">
        <v>339</v>
      </c>
      <c r="B51">
        <v>2025</v>
      </c>
      <c r="C51" t="s">
        <v>222</v>
      </c>
      <c r="D51" t="b">
        <f>FALSE()</f>
        <v>0</v>
      </c>
      <c r="E51" t="b">
        <f>COUNTIF(connections!A:A, A51) &gt; 0</f>
        <v>0</v>
      </c>
      <c r="G51" t="s">
        <v>340</v>
      </c>
    </row>
    <row r="52" spans="1:10" ht="15" customHeight="1" x14ac:dyDescent="0.25">
      <c r="A52" t="s">
        <v>341</v>
      </c>
      <c r="B52">
        <v>1997</v>
      </c>
      <c r="C52" t="s">
        <v>179</v>
      </c>
      <c r="D52" t="b">
        <f>TRUE()</f>
        <v>1</v>
      </c>
      <c r="E52" t="b">
        <f>COUNTIF(connections!A:A, A52) &gt; 0</f>
        <v>1</v>
      </c>
      <c r="G52" t="s">
        <v>342</v>
      </c>
      <c r="H52" t="s">
        <v>187</v>
      </c>
      <c r="I52" t="s">
        <v>343</v>
      </c>
    </row>
    <row r="53" spans="1:10" ht="15" customHeight="1" x14ac:dyDescent="0.25">
      <c r="A53" t="s">
        <v>344</v>
      </c>
      <c r="B53">
        <v>2023</v>
      </c>
      <c r="C53" t="s">
        <v>222</v>
      </c>
      <c r="D53" t="b">
        <f>TRUE()</f>
        <v>1</v>
      </c>
      <c r="E53" t="b">
        <f>COUNTIF(connections!A:A, A53) &gt; 0</f>
        <v>1</v>
      </c>
      <c r="G53" t="s">
        <v>345</v>
      </c>
      <c r="H53" t="s">
        <v>187</v>
      </c>
      <c r="I53" t="s">
        <v>8147</v>
      </c>
      <c r="J53" s="10" t="s">
        <v>8148</v>
      </c>
    </row>
    <row r="54" spans="1:10" ht="15" customHeight="1" x14ac:dyDescent="0.25">
      <c r="A54" t="s">
        <v>346</v>
      </c>
      <c r="B54">
        <v>2022</v>
      </c>
      <c r="C54" t="s">
        <v>182</v>
      </c>
      <c r="D54" t="b">
        <f>TRUE()</f>
        <v>1</v>
      </c>
      <c r="E54" t="b">
        <f>COUNTIF(connections!A:A, A54) &gt; 0</f>
        <v>1</v>
      </c>
      <c r="G54" t="s">
        <v>347</v>
      </c>
      <c r="H54" t="s">
        <v>187</v>
      </c>
      <c r="I54" t="s">
        <v>348</v>
      </c>
      <c r="J54" s="1" t="s">
        <v>349</v>
      </c>
    </row>
    <row r="55" spans="1:10" ht="15" customHeight="1" x14ac:dyDescent="0.25">
      <c r="A55" t="s">
        <v>350</v>
      </c>
      <c r="B55">
        <v>2018</v>
      </c>
      <c r="C55" t="s">
        <v>222</v>
      </c>
      <c r="D55" t="b">
        <f>TRUE()</f>
        <v>1</v>
      </c>
      <c r="E55" t="b">
        <f>COUNTIF(connections!A:A, A55) &gt; 0</f>
        <v>1</v>
      </c>
      <c r="G55" t="s">
        <v>351</v>
      </c>
      <c r="H55" t="s">
        <v>187</v>
      </c>
      <c r="I55" t="s">
        <v>352</v>
      </c>
      <c r="J55" s="1" t="s">
        <v>352</v>
      </c>
    </row>
    <row r="56" spans="1:10" ht="15" customHeight="1" x14ac:dyDescent="0.25">
      <c r="A56" t="s">
        <v>353</v>
      </c>
      <c r="B56">
        <v>2023</v>
      </c>
      <c r="C56" t="s">
        <v>182</v>
      </c>
      <c r="D56" t="b">
        <f>TRUE()</f>
        <v>1</v>
      </c>
      <c r="E56" t="b">
        <f>COUNTIF(connections!A:A, A56) &gt; 0</f>
        <v>1</v>
      </c>
      <c r="F56" t="s">
        <v>354</v>
      </c>
      <c r="G56" t="s">
        <v>355</v>
      </c>
      <c r="H56" t="s">
        <v>187</v>
      </c>
      <c r="I56" t="s">
        <v>356</v>
      </c>
      <c r="J56" s="1" t="s">
        <v>357</v>
      </c>
    </row>
    <row r="57" spans="1:10" ht="15" customHeight="1" x14ac:dyDescent="0.25">
      <c r="A57" t="s">
        <v>358</v>
      </c>
      <c r="B57">
        <v>2020</v>
      </c>
      <c r="C57" t="s">
        <v>222</v>
      </c>
      <c r="D57" t="b">
        <f>TRUE()</f>
        <v>1</v>
      </c>
      <c r="E57" t="b">
        <f>COUNTIF(connections!A:A, A57) &gt; 0</f>
        <v>0</v>
      </c>
      <c r="G57" t="s">
        <v>359</v>
      </c>
    </row>
    <row r="58" spans="1:10" ht="15" customHeight="1" x14ac:dyDescent="0.25">
      <c r="A58" t="s">
        <v>360</v>
      </c>
      <c r="B58">
        <v>2025</v>
      </c>
      <c r="C58" t="s">
        <v>176</v>
      </c>
      <c r="D58" t="b">
        <f>TRUE()</f>
        <v>1</v>
      </c>
      <c r="E58" t="b">
        <f>COUNTIF(connections!A:A, A58) &gt; 0</f>
        <v>1</v>
      </c>
      <c r="G58" t="s">
        <v>361</v>
      </c>
      <c r="H58" t="s">
        <v>187</v>
      </c>
      <c r="I58" t="s">
        <v>362</v>
      </c>
      <c r="J58" s="1" t="s">
        <v>363</v>
      </c>
    </row>
    <row r="59" spans="1:10" ht="15" customHeight="1" x14ac:dyDescent="0.25">
      <c r="A59" t="s">
        <v>364</v>
      </c>
      <c r="B59">
        <v>2024</v>
      </c>
      <c r="C59" t="s">
        <v>182</v>
      </c>
      <c r="D59" t="b">
        <f>TRUE()</f>
        <v>1</v>
      </c>
      <c r="E59" t="b">
        <f>COUNTIF(connections!A:A, A59) &gt; 0</f>
        <v>1</v>
      </c>
      <c r="F59" t="s">
        <v>354</v>
      </c>
      <c r="G59" t="s">
        <v>365</v>
      </c>
      <c r="H59" t="s">
        <v>187</v>
      </c>
      <c r="I59" t="s">
        <v>366</v>
      </c>
      <c r="J59" s="1" t="s">
        <v>367</v>
      </c>
    </row>
    <row r="60" spans="1:10" ht="15" customHeight="1" x14ac:dyDescent="0.25">
      <c r="A60" t="s">
        <v>368</v>
      </c>
      <c r="B60">
        <v>2020</v>
      </c>
      <c r="C60" t="s">
        <v>182</v>
      </c>
      <c r="D60" t="b">
        <f>TRUE()</f>
        <v>1</v>
      </c>
      <c r="E60" t="b">
        <f>COUNTIF(connections!A:A, A60) &gt; 0</f>
        <v>0</v>
      </c>
      <c r="G60" t="s">
        <v>369</v>
      </c>
      <c r="H60" t="s">
        <v>187</v>
      </c>
      <c r="I60" t="s">
        <v>370</v>
      </c>
      <c r="J60" s="1" t="s">
        <v>371</v>
      </c>
    </row>
    <row r="61" spans="1:10" ht="15" customHeight="1" x14ac:dyDescent="0.25">
      <c r="A61" t="s">
        <v>372</v>
      </c>
      <c r="B61">
        <v>2026</v>
      </c>
      <c r="C61" t="s">
        <v>222</v>
      </c>
      <c r="D61" t="b">
        <f>TRUE()</f>
        <v>1</v>
      </c>
      <c r="E61" t="b">
        <f>COUNTIF(connections!A:A, A61) &gt; 0</f>
        <v>0</v>
      </c>
      <c r="G61" t="s">
        <v>373</v>
      </c>
      <c r="J61" s="10" t="s">
        <v>374</v>
      </c>
    </row>
    <row r="62" spans="1:10" ht="15" customHeight="1" x14ac:dyDescent="0.25">
      <c r="A62" t="s">
        <v>375</v>
      </c>
      <c r="B62">
        <v>2015</v>
      </c>
      <c r="C62" t="s">
        <v>176</v>
      </c>
      <c r="D62" t="b">
        <f>TRUE()</f>
        <v>1</v>
      </c>
      <c r="E62" t="b">
        <f>COUNTIF(connections!A:A, A62) &gt; 0</f>
        <v>0</v>
      </c>
      <c r="G62" t="s">
        <v>376</v>
      </c>
      <c r="H62" t="s">
        <v>187</v>
      </c>
      <c r="I62" t="s">
        <v>377</v>
      </c>
      <c r="J62" s="1" t="s">
        <v>378</v>
      </c>
    </row>
    <row r="63" spans="1:10" ht="15" customHeight="1" x14ac:dyDescent="0.25">
      <c r="A63" t="s">
        <v>379</v>
      </c>
      <c r="B63">
        <v>1998</v>
      </c>
      <c r="C63" t="s">
        <v>176</v>
      </c>
      <c r="D63" t="b">
        <f>TRUE()</f>
        <v>1</v>
      </c>
      <c r="E63" t="b">
        <f>COUNTIF(connections!A:A, A63) &gt; 0</f>
        <v>1</v>
      </c>
      <c r="G63" t="s">
        <v>380</v>
      </c>
    </row>
    <row r="64" spans="1:10" ht="15" customHeight="1" x14ac:dyDescent="0.25">
      <c r="A64" t="s">
        <v>381</v>
      </c>
      <c r="B64">
        <v>2007</v>
      </c>
      <c r="C64" t="s">
        <v>176</v>
      </c>
      <c r="D64" t="b">
        <f>FALSE()</f>
        <v>0</v>
      </c>
      <c r="E64" t="b">
        <f>COUNTIF(connections!A:A, A64) &gt; 0</f>
        <v>0</v>
      </c>
      <c r="G64" t="s">
        <v>382</v>
      </c>
    </row>
    <row r="65" spans="1:10" ht="15" customHeight="1" x14ac:dyDescent="0.25">
      <c r="A65" t="s">
        <v>7953</v>
      </c>
      <c r="B65">
        <v>2026</v>
      </c>
      <c r="C65" t="s">
        <v>222</v>
      </c>
      <c r="D65" t="b">
        <f>TRUE()</f>
        <v>1</v>
      </c>
      <c r="E65" t="b">
        <f>COUNTIF(connections!A:A, A65) &gt; 0</f>
        <v>0</v>
      </c>
      <c r="G65" t="s">
        <v>7954</v>
      </c>
      <c r="H65" t="s">
        <v>187</v>
      </c>
      <c r="I65" t="s">
        <v>8146</v>
      </c>
      <c r="J65" s="10" t="s">
        <v>7955</v>
      </c>
    </row>
    <row r="66" spans="1:10" ht="15" customHeight="1" x14ac:dyDescent="0.25">
      <c r="A66" t="s">
        <v>383</v>
      </c>
      <c r="B66">
        <v>2017</v>
      </c>
      <c r="C66" t="s">
        <v>222</v>
      </c>
      <c r="D66" t="b">
        <f>TRUE()</f>
        <v>1</v>
      </c>
      <c r="E66" t="b">
        <f>COUNTIF(connections!A:A, A66) &gt; 0</f>
        <v>1</v>
      </c>
      <c r="G66" t="s">
        <v>384</v>
      </c>
      <c r="H66" t="s">
        <v>187</v>
      </c>
      <c r="I66" t="s">
        <v>385</v>
      </c>
      <c r="J66" s="1" t="s">
        <v>386</v>
      </c>
    </row>
    <row r="67" spans="1:10" ht="15" customHeight="1" x14ac:dyDescent="0.25">
      <c r="A67" t="s">
        <v>387</v>
      </c>
      <c r="B67">
        <v>2023</v>
      </c>
      <c r="C67" t="s">
        <v>176</v>
      </c>
      <c r="D67" t="b">
        <f>TRUE()</f>
        <v>1</v>
      </c>
      <c r="E67" t="b">
        <f>COUNTIF(connections!A:A, A67) &gt; 0</f>
        <v>0</v>
      </c>
      <c r="G67" t="s">
        <v>388</v>
      </c>
      <c r="H67" t="s">
        <v>187</v>
      </c>
      <c r="I67" t="s">
        <v>389</v>
      </c>
      <c r="J67" s="1" t="s">
        <v>390</v>
      </c>
    </row>
    <row r="68" spans="1:10" ht="15" customHeight="1" x14ac:dyDescent="0.25">
      <c r="A68" t="s">
        <v>391</v>
      </c>
      <c r="B68">
        <v>2025</v>
      </c>
      <c r="C68" t="s">
        <v>182</v>
      </c>
      <c r="D68" t="b">
        <f>TRUE()</f>
        <v>1</v>
      </c>
      <c r="E68" t="b">
        <f>COUNTIF(connections!A:A, A68) &gt; 0</f>
        <v>0</v>
      </c>
      <c r="G68" t="s">
        <v>392</v>
      </c>
      <c r="H68" t="s">
        <v>187</v>
      </c>
      <c r="I68" t="s">
        <v>393</v>
      </c>
    </row>
    <row r="69" spans="1:10" ht="15" customHeight="1" x14ac:dyDescent="0.25">
      <c r="A69" t="s">
        <v>394</v>
      </c>
      <c r="B69">
        <v>2024</v>
      </c>
      <c r="C69" t="s">
        <v>176</v>
      </c>
      <c r="D69" t="b">
        <f>TRUE()</f>
        <v>1</v>
      </c>
      <c r="E69" t="b">
        <f>COUNTIF(connections!A:A, A69) &gt; 0</f>
        <v>0</v>
      </c>
      <c r="G69" t="s">
        <v>395</v>
      </c>
      <c r="H69" t="s">
        <v>187</v>
      </c>
      <c r="I69" t="s">
        <v>396</v>
      </c>
      <c r="J69" s="1" t="s">
        <v>397</v>
      </c>
    </row>
    <row r="70" spans="1:10" ht="15" customHeight="1" x14ac:dyDescent="0.25">
      <c r="A70" t="s">
        <v>398</v>
      </c>
      <c r="B70">
        <v>2020</v>
      </c>
      <c r="C70" t="s">
        <v>176</v>
      </c>
      <c r="D70" t="b">
        <f>FALSE()</f>
        <v>0</v>
      </c>
      <c r="E70" t="b">
        <f>COUNTIF(connections!A:A, A70) &gt; 0</f>
        <v>0</v>
      </c>
      <c r="F70" t="s">
        <v>399</v>
      </c>
      <c r="G70" t="s">
        <v>400</v>
      </c>
      <c r="H70" t="s">
        <v>187</v>
      </c>
      <c r="I70" t="s">
        <v>401</v>
      </c>
      <c r="J70" s="1" t="s">
        <v>402</v>
      </c>
    </row>
    <row r="71" spans="1:10" ht="15" customHeight="1" x14ac:dyDescent="0.25">
      <c r="A71" t="s">
        <v>403</v>
      </c>
      <c r="B71">
        <v>2024</v>
      </c>
      <c r="C71" t="s">
        <v>222</v>
      </c>
      <c r="D71" t="b">
        <f>TRUE()</f>
        <v>1</v>
      </c>
      <c r="E71" t="b">
        <f>COUNTIF(connections!A:A, A71) &gt; 0</f>
        <v>0</v>
      </c>
      <c r="F71" t="s">
        <v>404</v>
      </c>
      <c r="G71" t="s">
        <v>405</v>
      </c>
      <c r="H71" t="s">
        <v>187</v>
      </c>
      <c r="I71" t="s">
        <v>406</v>
      </c>
      <c r="J71" s="1" t="s">
        <v>407</v>
      </c>
    </row>
    <row r="72" spans="1:10" ht="15" customHeight="1" x14ac:dyDescent="0.25">
      <c r="A72" t="s">
        <v>408</v>
      </c>
      <c r="B72">
        <v>1978</v>
      </c>
      <c r="C72" t="s">
        <v>179</v>
      </c>
      <c r="D72" t="b">
        <f>FALSE()</f>
        <v>0</v>
      </c>
      <c r="E72" t="b">
        <f>COUNTIF(connections!A:A, A72) &gt; 0</f>
        <v>0</v>
      </c>
      <c r="G72" t="s">
        <v>409</v>
      </c>
      <c r="H72" t="s">
        <v>187</v>
      </c>
      <c r="I72" t="s">
        <v>410</v>
      </c>
    </row>
    <row r="73" spans="1:10" ht="15" customHeight="1" x14ac:dyDescent="0.25">
      <c r="A73" t="s">
        <v>411</v>
      </c>
      <c r="B73">
        <v>2022</v>
      </c>
      <c r="C73" t="s">
        <v>182</v>
      </c>
      <c r="D73" t="b">
        <f>TRUE()</f>
        <v>1</v>
      </c>
      <c r="E73" t="b">
        <f>COUNTIF(connections!A:A, A73) &gt; 0</f>
        <v>0</v>
      </c>
      <c r="G73" t="s">
        <v>412</v>
      </c>
      <c r="H73" t="s">
        <v>187</v>
      </c>
      <c r="I73" t="s">
        <v>413</v>
      </c>
      <c r="J73" s="1" t="s">
        <v>414</v>
      </c>
    </row>
    <row r="74" spans="1:10" ht="15" customHeight="1" x14ac:dyDescent="0.25">
      <c r="A74" t="s">
        <v>415</v>
      </c>
      <c r="B74">
        <v>2023</v>
      </c>
      <c r="C74" t="s">
        <v>176</v>
      </c>
      <c r="D74" t="b">
        <f>TRUE()</f>
        <v>1</v>
      </c>
      <c r="E74" t="b">
        <f>COUNTIF(connections!A:A, A74) &gt; 0</f>
        <v>0</v>
      </c>
      <c r="G74" t="s">
        <v>416</v>
      </c>
      <c r="H74" t="s">
        <v>187</v>
      </c>
      <c r="I74" t="s">
        <v>417</v>
      </c>
      <c r="J74" s="1" t="s">
        <v>418</v>
      </c>
    </row>
    <row r="75" spans="1:10" ht="15" customHeight="1" x14ac:dyDescent="0.25">
      <c r="A75" t="s">
        <v>419</v>
      </c>
      <c r="B75">
        <v>2026</v>
      </c>
      <c r="C75" t="s">
        <v>182</v>
      </c>
      <c r="D75" t="b">
        <f>TRUE()</f>
        <v>1</v>
      </c>
      <c r="E75" t="b">
        <f>COUNTIF(connections!A:A, A75) &gt; 0</f>
        <v>0</v>
      </c>
      <c r="G75" t="s">
        <v>420</v>
      </c>
      <c r="J75" s="10" t="s">
        <v>3019</v>
      </c>
    </row>
    <row r="76" spans="1:10" ht="15" customHeight="1" x14ac:dyDescent="0.25">
      <c r="A76" t="s">
        <v>421</v>
      </c>
      <c r="B76">
        <v>2024</v>
      </c>
      <c r="C76" t="s">
        <v>182</v>
      </c>
      <c r="D76" t="b">
        <f>TRUE()</f>
        <v>1</v>
      </c>
      <c r="E76" t="b">
        <f>COUNTIF(connections!A:A, A76) &gt; 0</f>
        <v>0</v>
      </c>
      <c r="F76" t="s">
        <v>354</v>
      </c>
      <c r="G76" t="s">
        <v>422</v>
      </c>
      <c r="H76" t="s">
        <v>187</v>
      </c>
      <c r="I76" t="s">
        <v>423</v>
      </c>
      <c r="J76" s="1" t="s">
        <v>424</v>
      </c>
    </row>
    <row r="77" spans="1:10" ht="15" customHeight="1" x14ac:dyDescent="0.25">
      <c r="A77" t="s">
        <v>425</v>
      </c>
      <c r="B77">
        <v>2022</v>
      </c>
      <c r="C77" t="s">
        <v>176</v>
      </c>
      <c r="D77" t="b">
        <f>TRUE()</f>
        <v>1</v>
      </c>
      <c r="E77" t="b">
        <f>COUNTIF(connections!A:A, A77) &gt; 0</f>
        <v>0</v>
      </c>
      <c r="G77" t="s">
        <v>426</v>
      </c>
      <c r="J77" s="10" t="s">
        <v>427</v>
      </c>
    </row>
    <row r="78" spans="1:10" ht="15" customHeight="1" x14ac:dyDescent="0.25">
      <c r="A78" t="s">
        <v>428</v>
      </c>
      <c r="B78">
        <v>2026</v>
      </c>
      <c r="C78" t="s">
        <v>182</v>
      </c>
      <c r="D78" t="b">
        <f>TRUE()</f>
        <v>1</v>
      </c>
      <c r="E78" t="b">
        <f>COUNTIF(connections!A:A, A78) &gt; 0</f>
        <v>0</v>
      </c>
      <c r="F78" t="s">
        <v>354</v>
      </c>
      <c r="G78" t="s">
        <v>429</v>
      </c>
      <c r="J78" s="10" t="s">
        <v>430</v>
      </c>
    </row>
    <row r="79" spans="1:10" ht="15" customHeight="1" x14ac:dyDescent="0.25">
      <c r="A79" t="s">
        <v>431</v>
      </c>
      <c r="B79">
        <v>2019</v>
      </c>
      <c r="C79" t="s">
        <v>176</v>
      </c>
      <c r="D79" t="b">
        <f>TRUE()</f>
        <v>1</v>
      </c>
      <c r="E79" t="b">
        <f>COUNTIF(connections!A:A, A79) &gt; 0</f>
        <v>0</v>
      </c>
      <c r="G79" t="s">
        <v>432</v>
      </c>
      <c r="H79" t="s">
        <v>187</v>
      </c>
      <c r="I79" t="s">
        <v>433</v>
      </c>
      <c r="J79" s="1" t="s">
        <v>434</v>
      </c>
    </row>
    <row r="80" spans="1:10" ht="15" customHeight="1" x14ac:dyDescent="0.25">
      <c r="A80" t="s">
        <v>435</v>
      </c>
      <c r="B80">
        <v>2019</v>
      </c>
      <c r="C80" t="s">
        <v>176</v>
      </c>
      <c r="D80" t="b">
        <f>TRUE()</f>
        <v>1</v>
      </c>
      <c r="E80" t="b">
        <f>COUNTIF(connections!A:A, A80) &gt; 0</f>
        <v>1</v>
      </c>
      <c r="G80" t="s">
        <v>436</v>
      </c>
      <c r="H80" t="s">
        <v>187</v>
      </c>
      <c r="I80" t="s">
        <v>437</v>
      </c>
      <c r="J80" s="1" t="s">
        <v>438</v>
      </c>
    </row>
    <row r="81" spans="1:10" ht="15" customHeight="1" x14ac:dyDescent="0.25">
      <c r="A81" t="s">
        <v>439</v>
      </c>
      <c r="B81">
        <v>2023</v>
      </c>
      <c r="C81" t="s">
        <v>222</v>
      </c>
      <c r="D81" t="b">
        <f>FALSE()</f>
        <v>0</v>
      </c>
      <c r="E81" t="b">
        <f>COUNTIF(connections!A:A, A81) &gt; 0</f>
        <v>1</v>
      </c>
      <c r="F81" t="s">
        <v>404</v>
      </c>
      <c r="G81" t="s">
        <v>440</v>
      </c>
      <c r="H81" t="s">
        <v>187</v>
      </c>
      <c r="I81" t="s">
        <v>441</v>
      </c>
      <c r="J81" s="1" t="s">
        <v>442</v>
      </c>
    </row>
    <row r="82" spans="1:10" ht="15" customHeight="1" x14ac:dyDescent="0.25">
      <c r="A82" t="s">
        <v>443</v>
      </c>
      <c r="B82">
        <v>2024</v>
      </c>
      <c r="C82" t="s">
        <v>222</v>
      </c>
      <c r="D82" t="b">
        <f>FALSE()</f>
        <v>0</v>
      </c>
      <c r="E82" t="b">
        <f>COUNTIF(connections!A:A, A82) &gt; 0</f>
        <v>0</v>
      </c>
      <c r="F82" t="s">
        <v>404</v>
      </c>
      <c r="G82" t="s">
        <v>444</v>
      </c>
      <c r="H82" t="s">
        <v>187</v>
      </c>
      <c r="I82" t="s">
        <v>445</v>
      </c>
      <c r="J82" s="1" t="s">
        <v>446</v>
      </c>
    </row>
    <row r="83" spans="1:10" ht="15" customHeight="1" x14ac:dyDescent="0.25">
      <c r="A83" t="s">
        <v>447</v>
      </c>
      <c r="B83">
        <v>2023</v>
      </c>
      <c r="C83" t="s">
        <v>176</v>
      </c>
      <c r="D83" t="b">
        <f>TRUE()</f>
        <v>1</v>
      </c>
      <c r="E83" t="b">
        <f>COUNTIF(connections!A:A, A83) &gt; 0</f>
        <v>0</v>
      </c>
      <c r="G83" t="s">
        <v>448</v>
      </c>
    </row>
    <row r="84" spans="1:10" ht="15" customHeight="1" x14ac:dyDescent="0.25">
      <c r="A84" t="s">
        <v>449</v>
      </c>
      <c r="B84">
        <v>2024</v>
      </c>
      <c r="C84" t="s">
        <v>176</v>
      </c>
      <c r="D84" t="b">
        <f>TRUE()</f>
        <v>1</v>
      </c>
      <c r="E84" t="b">
        <f>COUNTIF(connections!A:A, A84) &gt; 0</f>
        <v>0</v>
      </c>
      <c r="G84" t="s">
        <v>450</v>
      </c>
      <c r="H84" t="s">
        <v>187</v>
      </c>
      <c r="I84" t="s">
        <v>451</v>
      </c>
      <c r="J84" s="1" t="s">
        <v>452</v>
      </c>
    </row>
    <row r="85" spans="1:10" ht="15" customHeight="1" x14ac:dyDescent="0.25">
      <c r="A85" t="s">
        <v>453</v>
      </c>
      <c r="B85">
        <v>2025</v>
      </c>
      <c r="C85" t="s">
        <v>222</v>
      </c>
      <c r="D85" t="b">
        <f>FALSE()</f>
        <v>0</v>
      </c>
      <c r="E85" t="b">
        <f>COUNTIF(connections!A:A, A85) &gt; 0</f>
        <v>0</v>
      </c>
      <c r="F85" t="s">
        <v>404</v>
      </c>
      <c r="G85" t="s">
        <v>454</v>
      </c>
    </row>
    <row r="86" spans="1:10" ht="15" customHeight="1" x14ac:dyDescent="0.25">
      <c r="A86" t="s">
        <v>455</v>
      </c>
      <c r="B86">
        <v>2025</v>
      </c>
      <c r="C86" t="s">
        <v>222</v>
      </c>
      <c r="D86" t="b">
        <f>FALSE()</f>
        <v>0</v>
      </c>
      <c r="E86" t="b">
        <f>COUNTIF(connections!A:A, A86) &gt; 0</f>
        <v>0</v>
      </c>
      <c r="G86" t="s">
        <v>456</v>
      </c>
    </row>
    <row r="87" spans="1:10" ht="15" customHeight="1" x14ac:dyDescent="0.25">
      <c r="A87" t="s">
        <v>457</v>
      </c>
      <c r="B87">
        <v>2022</v>
      </c>
      <c r="C87" t="s">
        <v>176</v>
      </c>
      <c r="D87" t="b">
        <f>TRUE()</f>
        <v>1</v>
      </c>
      <c r="E87" t="b">
        <f>COUNTIF(connections!A:A, A87) &gt; 0</f>
        <v>1</v>
      </c>
      <c r="F87" t="s">
        <v>458</v>
      </c>
      <c r="G87" t="s">
        <v>459</v>
      </c>
      <c r="H87" t="s">
        <v>187</v>
      </c>
      <c r="I87" t="s">
        <v>460</v>
      </c>
      <c r="J87" s="1" t="s">
        <v>461</v>
      </c>
    </row>
    <row r="88" spans="1:10" ht="15" customHeight="1" x14ac:dyDescent="0.25">
      <c r="A88" t="s">
        <v>462</v>
      </c>
      <c r="B88">
        <v>2018</v>
      </c>
      <c r="C88" t="s">
        <v>182</v>
      </c>
      <c r="D88" t="b">
        <f>TRUE()</f>
        <v>1</v>
      </c>
      <c r="E88" t="b">
        <f>COUNTIF(connections!A:A, A88) &gt; 0</f>
        <v>1</v>
      </c>
      <c r="G88" t="s">
        <v>463</v>
      </c>
    </row>
    <row r="89" spans="1:10" ht="15" customHeight="1" x14ac:dyDescent="0.25">
      <c r="A89" t="s">
        <v>464</v>
      </c>
      <c r="B89">
        <v>2022</v>
      </c>
      <c r="C89" t="s">
        <v>176</v>
      </c>
      <c r="D89" t="b">
        <f>TRUE()</f>
        <v>1</v>
      </c>
      <c r="E89" t="b">
        <f>COUNTIF(connections!A:A, A89) &gt; 0</f>
        <v>1</v>
      </c>
      <c r="F89" t="s">
        <v>465</v>
      </c>
      <c r="G89" t="s">
        <v>466</v>
      </c>
      <c r="H89" t="s">
        <v>187</v>
      </c>
      <c r="I89" t="s">
        <v>467</v>
      </c>
      <c r="J89" s="1" t="s">
        <v>468</v>
      </c>
    </row>
    <row r="90" spans="1:10" ht="15" customHeight="1" x14ac:dyDescent="0.25">
      <c r="A90" t="s">
        <v>469</v>
      </c>
      <c r="B90">
        <v>2021</v>
      </c>
      <c r="C90" t="s">
        <v>176</v>
      </c>
      <c r="D90" t="b">
        <f>FALSE()</f>
        <v>0</v>
      </c>
      <c r="E90" t="b">
        <f>COUNTIF(connections!A:A, A90) &gt; 0</f>
        <v>0</v>
      </c>
      <c r="G90" t="s">
        <v>470</v>
      </c>
      <c r="H90" t="s">
        <v>187</v>
      </c>
      <c r="I90" t="s">
        <v>471</v>
      </c>
      <c r="J90" s="1" t="s">
        <v>472</v>
      </c>
    </row>
    <row r="91" spans="1:10" ht="15" customHeight="1" x14ac:dyDescent="0.25">
      <c r="A91" t="s">
        <v>473</v>
      </c>
      <c r="B91">
        <v>2020</v>
      </c>
      <c r="C91" t="s">
        <v>176</v>
      </c>
      <c r="D91" t="b">
        <f>TRUE()</f>
        <v>1</v>
      </c>
      <c r="E91" t="b">
        <f>COUNTIF(connections!A:A, A91) &gt; 0</f>
        <v>0</v>
      </c>
      <c r="F91" t="s">
        <v>399</v>
      </c>
      <c r="G91" t="s">
        <v>474</v>
      </c>
      <c r="H91" t="s">
        <v>187</v>
      </c>
      <c r="I91" t="s">
        <v>475</v>
      </c>
      <c r="J91" s="1" t="s">
        <v>476</v>
      </c>
    </row>
    <row r="92" spans="1:10" ht="15" customHeight="1" x14ac:dyDescent="0.25">
      <c r="A92" t="s">
        <v>477</v>
      </c>
      <c r="B92">
        <v>2023</v>
      </c>
      <c r="C92" t="s">
        <v>182</v>
      </c>
      <c r="D92" t="b">
        <f>TRUE()</f>
        <v>1</v>
      </c>
      <c r="E92" t="b">
        <f>COUNTIF(connections!A:A, A92) &gt; 0</f>
        <v>0</v>
      </c>
      <c r="G92" t="s">
        <v>478</v>
      </c>
      <c r="J92" s="1" t="s">
        <v>479</v>
      </c>
    </row>
    <row r="93" spans="1:10" ht="15" customHeight="1" x14ac:dyDescent="0.25">
      <c r="A93" t="s">
        <v>480</v>
      </c>
      <c r="B93">
        <v>2021</v>
      </c>
      <c r="C93" t="s">
        <v>182</v>
      </c>
      <c r="D93" t="b">
        <f>TRUE()</f>
        <v>1</v>
      </c>
      <c r="E93" t="b">
        <f>COUNTIF(connections!A:A, A93) &gt; 0</f>
        <v>0</v>
      </c>
      <c r="G93" t="s">
        <v>481</v>
      </c>
      <c r="H93" t="s">
        <v>187</v>
      </c>
      <c r="I93" t="s">
        <v>482</v>
      </c>
      <c r="J93" s="1" t="s">
        <v>483</v>
      </c>
    </row>
    <row r="94" spans="1:10" ht="15" customHeight="1" x14ac:dyDescent="0.25">
      <c r="A94" t="s">
        <v>484</v>
      </c>
      <c r="B94">
        <v>2024</v>
      </c>
      <c r="C94" t="s">
        <v>182</v>
      </c>
      <c r="D94" t="b">
        <f>TRUE()</f>
        <v>1</v>
      </c>
      <c r="E94" t="b">
        <f>COUNTIF(connections!A:A, A94) &gt; 0</f>
        <v>0</v>
      </c>
      <c r="F94" t="s">
        <v>274</v>
      </c>
      <c r="G94" t="s">
        <v>485</v>
      </c>
      <c r="H94" t="s">
        <v>187</v>
      </c>
      <c r="I94" t="s">
        <v>486</v>
      </c>
      <c r="J94" s="1" t="s">
        <v>487</v>
      </c>
    </row>
    <row r="95" spans="1:10" ht="15" customHeight="1" x14ac:dyDescent="0.25">
      <c r="A95" t="s">
        <v>488</v>
      </c>
      <c r="B95">
        <v>2025</v>
      </c>
      <c r="C95" t="s">
        <v>176</v>
      </c>
      <c r="D95" t="b">
        <f>TRUE()</f>
        <v>1</v>
      </c>
      <c r="E95" t="b">
        <f>COUNTIF(connections!A:A, A95) &gt; 0</f>
        <v>0</v>
      </c>
      <c r="G95" t="s">
        <v>489</v>
      </c>
    </row>
    <row r="96" spans="1:10" ht="15" customHeight="1" x14ac:dyDescent="0.25">
      <c r="A96" t="s">
        <v>490</v>
      </c>
      <c r="B96">
        <v>2009</v>
      </c>
      <c r="C96" t="s">
        <v>179</v>
      </c>
      <c r="D96" t="b">
        <f>TRUE()</f>
        <v>1</v>
      </c>
      <c r="E96" t="b">
        <f>COUNTIF(connections!A:A, A96) &gt; 0</f>
        <v>1</v>
      </c>
      <c r="G96" t="s">
        <v>491</v>
      </c>
      <c r="H96" t="s">
        <v>187</v>
      </c>
      <c r="I96" t="s">
        <v>492</v>
      </c>
    </row>
    <row r="97" spans="1:10" ht="15" customHeight="1" x14ac:dyDescent="0.25">
      <c r="A97" t="s">
        <v>493</v>
      </c>
      <c r="B97">
        <v>2026</v>
      </c>
      <c r="C97" t="s">
        <v>222</v>
      </c>
      <c r="D97" t="b">
        <f>TRUE()</f>
        <v>1</v>
      </c>
      <c r="E97" t="b">
        <f>COUNTIF(connections!A:A, A97) &gt; 0</f>
        <v>0</v>
      </c>
      <c r="G97" t="s">
        <v>494</v>
      </c>
      <c r="H97" t="s">
        <v>187</v>
      </c>
      <c r="I97" t="s">
        <v>495</v>
      </c>
      <c r="J97" s="1" t="s">
        <v>496</v>
      </c>
    </row>
    <row r="98" spans="1:10" ht="15" customHeight="1" x14ac:dyDescent="0.25">
      <c r="A98" t="s">
        <v>497</v>
      </c>
      <c r="B98">
        <v>2022</v>
      </c>
      <c r="C98" t="s">
        <v>176</v>
      </c>
      <c r="D98" t="b">
        <f>TRUE()</f>
        <v>1</v>
      </c>
      <c r="E98" t="b">
        <f>COUNTIF(connections!A:A, A98) &gt; 0</f>
        <v>1</v>
      </c>
      <c r="G98" t="s">
        <v>498</v>
      </c>
      <c r="H98" t="s">
        <v>187</v>
      </c>
      <c r="I98" t="s">
        <v>499</v>
      </c>
      <c r="J98" s="1" t="s">
        <v>500</v>
      </c>
    </row>
    <row r="99" spans="1:10" ht="15" customHeight="1" x14ac:dyDescent="0.25">
      <c r="A99" t="s">
        <v>501</v>
      </c>
      <c r="B99">
        <v>2021</v>
      </c>
      <c r="C99" t="s">
        <v>222</v>
      </c>
      <c r="D99" t="b">
        <f>TRUE()</f>
        <v>1</v>
      </c>
      <c r="E99" t="b">
        <f>COUNTIF(connections!A:A, A99) &gt; 0</f>
        <v>0</v>
      </c>
      <c r="G99" t="s">
        <v>502</v>
      </c>
      <c r="H99" t="s">
        <v>187</v>
      </c>
      <c r="I99" t="s">
        <v>503</v>
      </c>
      <c r="J99" s="1" t="s">
        <v>504</v>
      </c>
    </row>
    <row r="100" spans="1:10" ht="15" customHeight="1" x14ac:dyDescent="0.25">
      <c r="A100" t="s">
        <v>505</v>
      </c>
      <c r="B100">
        <v>2023</v>
      </c>
      <c r="C100" t="s">
        <v>222</v>
      </c>
      <c r="D100" t="b">
        <f>TRUE()</f>
        <v>1</v>
      </c>
      <c r="E100" t="b">
        <f>COUNTIF(connections!A:A, A100) &gt; 0</f>
        <v>1</v>
      </c>
      <c r="F100" t="s">
        <v>506</v>
      </c>
      <c r="G100" t="s">
        <v>507</v>
      </c>
      <c r="H100" t="s">
        <v>187</v>
      </c>
      <c r="I100" t="s">
        <v>508</v>
      </c>
      <c r="J100" s="1" t="s">
        <v>509</v>
      </c>
    </row>
    <row r="101" spans="1:10" ht="15" customHeight="1" x14ac:dyDescent="0.25">
      <c r="A101" t="s">
        <v>7831</v>
      </c>
      <c r="B101">
        <v>2019</v>
      </c>
      <c r="C101" t="s">
        <v>179</v>
      </c>
      <c r="D101" t="b">
        <f>TRUE()</f>
        <v>1</v>
      </c>
      <c r="E101" t="b">
        <f>COUNTIF(connections!A:A, A101) &gt; 0</f>
        <v>0</v>
      </c>
      <c r="G101" t="s">
        <v>7832</v>
      </c>
    </row>
    <row r="102" spans="1:10" ht="15" customHeight="1" x14ac:dyDescent="0.25">
      <c r="A102" t="s">
        <v>510</v>
      </c>
      <c r="B102">
        <v>2018</v>
      </c>
      <c r="C102" t="s">
        <v>176</v>
      </c>
      <c r="D102" t="b">
        <f>TRUE()</f>
        <v>1</v>
      </c>
      <c r="E102" t="b">
        <f>COUNTIF(connections!A:A, A102) &gt; 0</f>
        <v>1</v>
      </c>
      <c r="G102" t="s">
        <v>511</v>
      </c>
      <c r="H102" t="s">
        <v>187</v>
      </c>
      <c r="I102" t="s">
        <v>512</v>
      </c>
    </row>
    <row r="103" spans="1:10" ht="15" customHeight="1" x14ac:dyDescent="0.25">
      <c r="A103" t="s">
        <v>513</v>
      </c>
      <c r="B103">
        <v>2016</v>
      </c>
      <c r="C103" t="s">
        <v>176</v>
      </c>
      <c r="D103" t="b">
        <f>FALSE()</f>
        <v>0</v>
      </c>
      <c r="E103" t="b">
        <f>COUNTIF(connections!A:A, A103) &gt; 0</f>
        <v>0</v>
      </c>
      <c r="G103" t="s">
        <v>514</v>
      </c>
      <c r="H103" t="s">
        <v>187</v>
      </c>
      <c r="I103" t="s">
        <v>515</v>
      </c>
      <c r="J103" s="1" t="s">
        <v>516</v>
      </c>
    </row>
    <row r="104" spans="1:10" ht="15" customHeight="1" x14ac:dyDescent="0.25">
      <c r="A104" t="s">
        <v>517</v>
      </c>
      <c r="B104">
        <v>2010</v>
      </c>
      <c r="C104" t="s">
        <v>179</v>
      </c>
      <c r="D104" t="b">
        <f>TRUE()</f>
        <v>1</v>
      </c>
      <c r="E104" t="b">
        <f>COUNTIF(connections!A:A, A104) &gt; 0</f>
        <v>1</v>
      </c>
      <c r="G104" t="s">
        <v>518</v>
      </c>
    </row>
    <row r="105" spans="1:10" ht="15" customHeight="1" x14ac:dyDescent="0.25">
      <c r="A105" t="s">
        <v>519</v>
      </c>
      <c r="B105">
        <v>2014</v>
      </c>
      <c r="C105" t="s">
        <v>179</v>
      </c>
      <c r="D105" t="b">
        <f>TRUE()</f>
        <v>1</v>
      </c>
      <c r="E105" t="b">
        <f>COUNTIF(connections!A:A, A105) &gt; 0</f>
        <v>0</v>
      </c>
      <c r="G105" t="s">
        <v>520</v>
      </c>
      <c r="J105" s="10" t="s">
        <v>521</v>
      </c>
    </row>
    <row r="106" spans="1:10" ht="15" customHeight="1" x14ac:dyDescent="0.25">
      <c r="A106" t="s">
        <v>522</v>
      </c>
      <c r="B106">
        <v>1994</v>
      </c>
      <c r="C106" t="s">
        <v>179</v>
      </c>
      <c r="D106" t="b">
        <f>TRUE()</f>
        <v>1</v>
      </c>
      <c r="E106" t="b">
        <f>COUNTIF(connections!A:A, A106) &gt; 0</f>
        <v>1</v>
      </c>
      <c r="G106" t="s">
        <v>523</v>
      </c>
      <c r="H106" t="s">
        <v>187</v>
      </c>
      <c r="I106" t="s">
        <v>524</v>
      </c>
    </row>
    <row r="107" spans="1:10" ht="15" customHeight="1" x14ac:dyDescent="0.25">
      <c r="A107" t="s">
        <v>525</v>
      </c>
      <c r="B107">
        <v>2005</v>
      </c>
      <c r="C107" t="s">
        <v>179</v>
      </c>
      <c r="D107" t="b">
        <f>TRUE()</f>
        <v>1</v>
      </c>
      <c r="E107" t="b">
        <f>COUNTIF(connections!A:A, A107) &gt; 0</f>
        <v>1</v>
      </c>
      <c r="G107" t="s">
        <v>526</v>
      </c>
      <c r="H107" t="s">
        <v>187</v>
      </c>
      <c r="I107" t="s">
        <v>527</v>
      </c>
    </row>
    <row r="108" spans="1:10" ht="15" customHeight="1" x14ac:dyDescent="0.25">
      <c r="A108" t="s">
        <v>528</v>
      </c>
      <c r="B108">
        <v>2024</v>
      </c>
      <c r="C108" t="s">
        <v>182</v>
      </c>
      <c r="D108" t="b">
        <f>TRUE()</f>
        <v>1</v>
      </c>
      <c r="E108" t="b">
        <f>COUNTIF(connections!A:A, A108) &gt; 0</f>
        <v>0</v>
      </c>
      <c r="F108" t="s">
        <v>529</v>
      </c>
      <c r="G108" t="s">
        <v>530</v>
      </c>
    </row>
    <row r="109" spans="1:10" ht="15" customHeight="1" x14ac:dyDescent="0.25">
      <c r="A109" t="s">
        <v>531</v>
      </c>
      <c r="B109">
        <v>2010</v>
      </c>
      <c r="C109" t="s">
        <v>179</v>
      </c>
      <c r="D109" t="b">
        <f>TRUE()</f>
        <v>1</v>
      </c>
      <c r="E109" t="b">
        <f>COUNTIF(connections!A:A, A109) &gt; 0</f>
        <v>1</v>
      </c>
      <c r="F109" t="s">
        <v>458</v>
      </c>
      <c r="G109" t="s">
        <v>532</v>
      </c>
      <c r="H109" t="s">
        <v>187</v>
      </c>
      <c r="I109" t="s">
        <v>533</v>
      </c>
    </row>
    <row r="110" spans="1:10" ht="15" customHeight="1" x14ac:dyDescent="0.25">
      <c r="A110" t="s">
        <v>534</v>
      </c>
      <c r="B110">
        <v>2020</v>
      </c>
      <c r="C110" t="s">
        <v>179</v>
      </c>
      <c r="D110" t="b">
        <f>TRUE()</f>
        <v>1</v>
      </c>
      <c r="E110" t="b">
        <f>COUNTIF(connections!A:A, A110) &gt; 0</f>
        <v>0</v>
      </c>
      <c r="F110" t="s">
        <v>458</v>
      </c>
      <c r="G110" t="s">
        <v>535</v>
      </c>
      <c r="H110" t="s">
        <v>187</v>
      </c>
      <c r="I110" t="s">
        <v>7477</v>
      </c>
    </row>
    <row r="111" spans="1:10" ht="15" customHeight="1" x14ac:dyDescent="0.25">
      <c r="A111" t="s">
        <v>536</v>
      </c>
      <c r="B111">
        <v>2013</v>
      </c>
      <c r="C111" t="s">
        <v>179</v>
      </c>
      <c r="D111" t="b">
        <f>TRUE()</f>
        <v>1</v>
      </c>
      <c r="E111" t="b">
        <f>COUNTIF(connections!A:A, A111) &gt; 0</f>
        <v>1</v>
      </c>
      <c r="F111" t="s">
        <v>458</v>
      </c>
      <c r="G111" t="s">
        <v>537</v>
      </c>
      <c r="H111" t="s">
        <v>187</v>
      </c>
      <c r="I111" t="s">
        <v>7478</v>
      </c>
    </row>
    <row r="112" spans="1:10" ht="15" customHeight="1" x14ac:dyDescent="0.25">
      <c r="A112" t="s">
        <v>538</v>
      </c>
      <c r="B112">
        <v>2025</v>
      </c>
      <c r="C112" t="s">
        <v>179</v>
      </c>
      <c r="D112" t="b">
        <f>TRUE()</f>
        <v>1</v>
      </c>
      <c r="E112" t="b">
        <f>COUNTIF(connections!A:A, A112) &gt; 0</f>
        <v>0</v>
      </c>
      <c r="F112" t="s">
        <v>458</v>
      </c>
      <c r="G112" t="s">
        <v>539</v>
      </c>
      <c r="H112" t="s">
        <v>187</v>
      </c>
      <c r="I112" t="s">
        <v>7479</v>
      </c>
    </row>
    <row r="113" spans="1:10" ht="15" customHeight="1" x14ac:dyDescent="0.25">
      <c r="A113" t="s">
        <v>540</v>
      </c>
      <c r="B113">
        <v>2015</v>
      </c>
      <c r="C113" t="s">
        <v>176</v>
      </c>
      <c r="D113" t="b">
        <v>1</v>
      </c>
      <c r="E113" t="b">
        <f>COUNTIF(connections!A:A, A113) &gt; 0</f>
        <v>1</v>
      </c>
      <c r="G113" t="s">
        <v>541</v>
      </c>
      <c r="J113" s="10" t="s">
        <v>542</v>
      </c>
    </row>
    <row r="114" spans="1:10" ht="15" customHeight="1" x14ac:dyDescent="0.25">
      <c r="A114" t="s">
        <v>543</v>
      </c>
      <c r="B114">
        <v>2025</v>
      </c>
      <c r="C114" t="s">
        <v>182</v>
      </c>
      <c r="D114" t="b">
        <f>TRUE()</f>
        <v>1</v>
      </c>
      <c r="E114" t="b">
        <f>COUNTIF(connections!A:A, A114) &gt; 0</f>
        <v>0</v>
      </c>
      <c r="F114" t="s">
        <v>529</v>
      </c>
      <c r="G114" t="s">
        <v>544</v>
      </c>
      <c r="H114" t="s">
        <v>187</v>
      </c>
      <c r="I114" t="s">
        <v>8354</v>
      </c>
      <c r="J114" s="1" t="s">
        <v>545</v>
      </c>
    </row>
    <row r="115" spans="1:10" ht="15" customHeight="1" x14ac:dyDescent="0.25">
      <c r="A115" t="s">
        <v>546</v>
      </c>
      <c r="B115">
        <v>1991</v>
      </c>
      <c r="C115" t="s">
        <v>179</v>
      </c>
      <c r="D115" t="b">
        <f>TRUE()</f>
        <v>1</v>
      </c>
      <c r="E115" t="b">
        <f>COUNTIF(connections!A:A, A115) &gt; 0</f>
        <v>0</v>
      </c>
      <c r="G115" t="s">
        <v>547</v>
      </c>
      <c r="H115" t="s">
        <v>187</v>
      </c>
      <c r="I115" t="s">
        <v>548</v>
      </c>
    </row>
    <row r="116" spans="1:10" ht="15" customHeight="1" x14ac:dyDescent="0.25">
      <c r="A116" t="s">
        <v>549</v>
      </c>
      <c r="B116">
        <v>2017</v>
      </c>
      <c r="C116" t="s">
        <v>176</v>
      </c>
      <c r="D116" t="b">
        <f>TRUE()</f>
        <v>1</v>
      </c>
      <c r="E116" t="b">
        <f>COUNTIF(connections!A:A, A116) &gt; 0</f>
        <v>1</v>
      </c>
      <c r="G116" t="s">
        <v>550</v>
      </c>
      <c r="H116" t="s">
        <v>187</v>
      </c>
      <c r="I116" t="s">
        <v>551</v>
      </c>
      <c r="J116" s="1" t="s">
        <v>552</v>
      </c>
    </row>
    <row r="117" spans="1:10" ht="15" customHeight="1" x14ac:dyDescent="0.25">
      <c r="A117" t="s">
        <v>553</v>
      </c>
      <c r="B117">
        <v>2010</v>
      </c>
      <c r="C117" t="s">
        <v>179</v>
      </c>
      <c r="D117" t="b">
        <f>TRUE()</f>
        <v>1</v>
      </c>
      <c r="E117" t="b">
        <f>COUNTIF(connections!A:A, A117) &gt; 0</f>
        <v>1</v>
      </c>
      <c r="G117" t="s">
        <v>554</v>
      </c>
      <c r="H117" t="s">
        <v>187</v>
      </c>
      <c r="I117" t="s">
        <v>555</v>
      </c>
      <c r="J117" s="1" t="s">
        <v>556</v>
      </c>
    </row>
    <row r="118" spans="1:10" ht="15" customHeight="1" x14ac:dyDescent="0.25">
      <c r="A118" t="s">
        <v>557</v>
      </c>
      <c r="B118">
        <v>2020</v>
      </c>
      <c r="C118" t="s">
        <v>176</v>
      </c>
      <c r="D118" t="b">
        <f>TRUE()</f>
        <v>1</v>
      </c>
      <c r="E118" t="b">
        <f>COUNTIF(connections!A:A, A118) &gt; 0</f>
        <v>0</v>
      </c>
      <c r="G118" t="s">
        <v>558</v>
      </c>
      <c r="H118" t="s">
        <v>187</v>
      </c>
      <c r="I118" t="s">
        <v>559</v>
      </c>
      <c r="J118" s="1" t="s">
        <v>560</v>
      </c>
    </row>
    <row r="119" spans="1:10" ht="15" customHeight="1" x14ac:dyDescent="0.25">
      <c r="A119" t="s">
        <v>561</v>
      </c>
      <c r="B119">
        <v>2025</v>
      </c>
      <c r="C119" t="s">
        <v>222</v>
      </c>
      <c r="D119" t="b">
        <f>FALSE()</f>
        <v>0</v>
      </c>
      <c r="E119" t="b">
        <f>COUNTIF(connections!A:A, A119) &gt; 0</f>
        <v>0</v>
      </c>
      <c r="G119" t="s">
        <v>562</v>
      </c>
    </row>
    <row r="120" spans="1:10" ht="15" customHeight="1" x14ac:dyDescent="0.25">
      <c r="A120" t="s">
        <v>563</v>
      </c>
      <c r="B120">
        <v>2023</v>
      </c>
      <c r="C120" t="s">
        <v>176</v>
      </c>
      <c r="D120" t="b">
        <f>TRUE()</f>
        <v>1</v>
      </c>
      <c r="E120" t="b">
        <f>COUNTIF(connections!A:A, A120) &gt; 0</f>
        <v>0</v>
      </c>
      <c r="G120" t="s">
        <v>564</v>
      </c>
      <c r="H120" t="s">
        <v>187</v>
      </c>
      <c r="I120" t="s">
        <v>565</v>
      </c>
      <c r="J120" s="1" t="s">
        <v>566</v>
      </c>
    </row>
    <row r="121" spans="1:10" ht="15" customHeight="1" x14ac:dyDescent="0.25">
      <c r="A121" t="s">
        <v>567</v>
      </c>
      <c r="B121">
        <v>2025</v>
      </c>
      <c r="C121" t="s">
        <v>182</v>
      </c>
      <c r="D121" t="b">
        <f>TRUE()</f>
        <v>1</v>
      </c>
      <c r="E121" t="b">
        <f>COUNTIF(connections!A:A, A121) &gt; 0</f>
        <v>0</v>
      </c>
      <c r="F121" t="s">
        <v>568</v>
      </c>
      <c r="G121" t="s">
        <v>569</v>
      </c>
      <c r="H121" t="s">
        <v>187</v>
      </c>
      <c r="I121" t="s">
        <v>570</v>
      </c>
    </row>
    <row r="122" spans="1:10" ht="15" customHeight="1" x14ac:dyDescent="0.25">
      <c r="A122" t="s">
        <v>571</v>
      </c>
      <c r="B122">
        <v>2022</v>
      </c>
      <c r="C122" t="s">
        <v>176</v>
      </c>
      <c r="D122" t="b">
        <f>TRUE()</f>
        <v>1</v>
      </c>
      <c r="E122" t="b">
        <f>COUNTIF(connections!A:A, A122) &gt; 0</f>
        <v>1</v>
      </c>
      <c r="G122" t="s">
        <v>572</v>
      </c>
      <c r="H122" t="s">
        <v>187</v>
      </c>
      <c r="I122" t="s">
        <v>8332</v>
      </c>
      <c r="J122" s="10" t="s">
        <v>573</v>
      </c>
    </row>
    <row r="123" spans="1:10" ht="15" customHeight="1" x14ac:dyDescent="0.25">
      <c r="A123" t="s">
        <v>574</v>
      </c>
      <c r="B123">
        <v>2019</v>
      </c>
      <c r="C123" t="s">
        <v>176</v>
      </c>
      <c r="D123" t="b">
        <f>TRUE()</f>
        <v>1</v>
      </c>
      <c r="E123" t="b">
        <f>COUNTIF(connections!A:A, A123) &gt; 0</f>
        <v>1</v>
      </c>
      <c r="G123" t="s">
        <v>575</v>
      </c>
      <c r="H123" t="s">
        <v>187</v>
      </c>
      <c r="I123" t="s">
        <v>576</v>
      </c>
      <c r="J123" s="1" t="s">
        <v>577</v>
      </c>
    </row>
    <row r="124" spans="1:10" ht="15" customHeight="1" x14ac:dyDescent="0.25">
      <c r="A124" t="s">
        <v>578</v>
      </c>
      <c r="B124">
        <v>1998</v>
      </c>
      <c r="C124" t="s">
        <v>179</v>
      </c>
      <c r="D124" t="b">
        <f>TRUE()</f>
        <v>1</v>
      </c>
      <c r="E124" t="b">
        <f>COUNTIF(connections!A:A, A124) &gt; 0</f>
        <v>1</v>
      </c>
      <c r="G124" t="s">
        <v>579</v>
      </c>
      <c r="H124" t="s">
        <v>187</v>
      </c>
      <c r="I124" t="s">
        <v>580</v>
      </c>
    </row>
    <row r="125" spans="1:10" ht="15" customHeight="1" x14ac:dyDescent="0.25">
      <c r="A125" t="s">
        <v>581</v>
      </c>
      <c r="B125">
        <v>1997</v>
      </c>
      <c r="C125" t="s">
        <v>179</v>
      </c>
      <c r="D125" t="b">
        <f>TRUE()</f>
        <v>1</v>
      </c>
      <c r="E125" t="b">
        <f>COUNTIF(connections!A:A, A125) &gt; 0</f>
        <v>1</v>
      </c>
      <c r="G125" t="s">
        <v>582</v>
      </c>
      <c r="H125" t="s">
        <v>187</v>
      </c>
      <c r="I125" t="s">
        <v>583</v>
      </c>
    </row>
    <row r="126" spans="1:10" ht="15" customHeight="1" x14ac:dyDescent="0.25">
      <c r="A126" t="s">
        <v>584</v>
      </c>
      <c r="B126">
        <v>2019</v>
      </c>
      <c r="C126" t="s">
        <v>179</v>
      </c>
      <c r="D126" t="b">
        <f>TRUE()</f>
        <v>1</v>
      </c>
      <c r="E126" t="b">
        <f>COUNTIF(connections!A:A, A126) &gt; 0</f>
        <v>0</v>
      </c>
      <c r="G126" t="s">
        <v>585</v>
      </c>
    </row>
    <row r="127" spans="1:10" ht="15" customHeight="1" x14ac:dyDescent="0.25">
      <c r="A127" t="s">
        <v>586</v>
      </c>
      <c r="B127">
        <v>2023</v>
      </c>
      <c r="C127" t="s">
        <v>176</v>
      </c>
      <c r="D127" t="b">
        <f>TRUE()</f>
        <v>1</v>
      </c>
      <c r="E127" t="b">
        <f>COUNTIF(connections!A:A, A127) &gt; 0</f>
        <v>1</v>
      </c>
      <c r="F127" t="s">
        <v>587</v>
      </c>
      <c r="G127" t="s">
        <v>588</v>
      </c>
      <c r="H127" t="s">
        <v>187</v>
      </c>
      <c r="I127" t="s">
        <v>589</v>
      </c>
      <c r="J127" s="1" t="s">
        <v>590</v>
      </c>
    </row>
    <row r="128" spans="1:10" ht="15" customHeight="1" x14ac:dyDescent="0.25">
      <c r="A128" t="s">
        <v>591</v>
      </c>
      <c r="B128">
        <v>2025</v>
      </c>
      <c r="C128" t="s">
        <v>176</v>
      </c>
      <c r="D128" t="b">
        <f>TRUE()</f>
        <v>1</v>
      </c>
      <c r="E128" t="b">
        <f>COUNTIF(connections!A:A, A128) &gt; 0</f>
        <v>0</v>
      </c>
      <c r="F128" t="s">
        <v>587</v>
      </c>
      <c r="G128" t="s">
        <v>592</v>
      </c>
      <c r="H128" t="s">
        <v>187</v>
      </c>
      <c r="I128" t="s">
        <v>593</v>
      </c>
      <c r="J128" s="1" t="s">
        <v>594</v>
      </c>
    </row>
    <row r="129" spans="1:10" ht="15" customHeight="1" x14ac:dyDescent="0.25">
      <c r="A129" t="s">
        <v>595</v>
      </c>
      <c r="B129">
        <v>2026</v>
      </c>
      <c r="C129" t="s">
        <v>182</v>
      </c>
      <c r="D129" t="b">
        <f>TRUE()</f>
        <v>1</v>
      </c>
      <c r="E129" t="b">
        <f>COUNTIF(connections!A:A, A129) &gt; 0</f>
        <v>0</v>
      </c>
      <c r="G129" t="s">
        <v>596</v>
      </c>
      <c r="J129" s="10" t="s">
        <v>597</v>
      </c>
    </row>
    <row r="130" spans="1:10" ht="15" customHeight="1" x14ac:dyDescent="0.25">
      <c r="A130" t="s">
        <v>598</v>
      </c>
      <c r="B130">
        <v>2019</v>
      </c>
      <c r="C130" t="s">
        <v>182</v>
      </c>
      <c r="D130" t="b">
        <f>TRUE()</f>
        <v>1</v>
      </c>
      <c r="E130" t="b">
        <f>COUNTIF(connections!A:A, A130) &gt; 0</f>
        <v>0</v>
      </c>
      <c r="G130" t="s">
        <v>599</v>
      </c>
      <c r="H130" t="s">
        <v>187</v>
      </c>
      <c r="I130" t="s">
        <v>600</v>
      </c>
      <c r="J130" s="1" t="s">
        <v>601</v>
      </c>
    </row>
    <row r="131" spans="1:10" ht="15" customHeight="1" x14ac:dyDescent="0.25">
      <c r="A131" t="s">
        <v>602</v>
      </c>
      <c r="B131">
        <v>2026</v>
      </c>
      <c r="C131" t="s">
        <v>176</v>
      </c>
      <c r="D131" t="b">
        <f>TRUE()</f>
        <v>1</v>
      </c>
      <c r="E131" t="b">
        <f>COUNTIF(connections!A:A, A131) &gt; 0</f>
        <v>0</v>
      </c>
      <c r="G131" t="s">
        <v>603</v>
      </c>
    </row>
    <row r="132" spans="1:10" ht="15" customHeight="1" x14ac:dyDescent="0.25">
      <c r="A132" t="s">
        <v>604</v>
      </c>
      <c r="B132">
        <v>2025</v>
      </c>
      <c r="C132" t="s">
        <v>176</v>
      </c>
      <c r="D132" t="b">
        <f>TRUE()</f>
        <v>1</v>
      </c>
      <c r="E132" t="b">
        <f>COUNTIF(connections!A:A, A132) &gt; 0</f>
        <v>0</v>
      </c>
      <c r="G132" t="s">
        <v>605</v>
      </c>
      <c r="H132" t="s">
        <v>187</v>
      </c>
      <c r="I132" t="s">
        <v>8137</v>
      </c>
      <c r="J132" s="10" t="s">
        <v>8138</v>
      </c>
    </row>
    <row r="133" spans="1:10" ht="15" customHeight="1" x14ac:dyDescent="0.25">
      <c r="A133" t="s">
        <v>606</v>
      </c>
      <c r="B133">
        <v>2025</v>
      </c>
      <c r="C133" t="s">
        <v>222</v>
      </c>
      <c r="D133" t="b">
        <f>TRUE()</f>
        <v>1</v>
      </c>
      <c r="E133" t="b">
        <f>COUNTIF(connections!A:A, A133) &gt; 0</f>
        <v>1</v>
      </c>
      <c r="F133" t="s">
        <v>354</v>
      </c>
      <c r="G133" t="s">
        <v>607</v>
      </c>
      <c r="H133" t="s">
        <v>187</v>
      </c>
      <c r="I133" t="s">
        <v>608</v>
      </c>
      <c r="J133" s="1" t="s">
        <v>609</v>
      </c>
    </row>
    <row r="134" spans="1:10" ht="15" customHeight="1" x14ac:dyDescent="0.25">
      <c r="A134" t="s">
        <v>610</v>
      </c>
      <c r="B134">
        <v>2024</v>
      </c>
      <c r="C134" t="s">
        <v>222</v>
      </c>
      <c r="D134" t="b">
        <f>TRUE()</f>
        <v>1</v>
      </c>
      <c r="E134" t="b">
        <f>COUNTIF(connections!A:A, A134) &gt; 0</f>
        <v>0</v>
      </c>
      <c r="F134" t="s">
        <v>277</v>
      </c>
      <c r="G134" t="s">
        <v>611</v>
      </c>
      <c r="J134" s="10" t="s">
        <v>612</v>
      </c>
    </row>
    <row r="135" spans="1:10" ht="15" customHeight="1" x14ac:dyDescent="0.25">
      <c r="A135" t="s">
        <v>613</v>
      </c>
      <c r="B135">
        <v>2025</v>
      </c>
      <c r="C135" t="s">
        <v>182</v>
      </c>
      <c r="D135" t="b">
        <f>TRUE()</f>
        <v>1</v>
      </c>
      <c r="E135" t="b">
        <f>COUNTIF(connections!A:A, A135) &gt; 0</f>
        <v>0</v>
      </c>
      <c r="F135" t="s">
        <v>614</v>
      </c>
      <c r="G135" t="s">
        <v>615</v>
      </c>
    </row>
    <row r="136" spans="1:10" ht="15" customHeight="1" x14ac:dyDescent="0.25">
      <c r="A136" t="s">
        <v>616</v>
      </c>
      <c r="B136">
        <v>2025</v>
      </c>
      <c r="C136" t="s">
        <v>222</v>
      </c>
      <c r="D136" t="b">
        <f>FALSE()</f>
        <v>0</v>
      </c>
      <c r="E136" t="b">
        <f>COUNTIF(connections!A:A, A136) &gt; 0</f>
        <v>0</v>
      </c>
      <c r="F136" t="s">
        <v>617</v>
      </c>
      <c r="G136" t="s">
        <v>618</v>
      </c>
    </row>
    <row r="137" spans="1:10" ht="15" customHeight="1" x14ac:dyDescent="0.25">
      <c r="A137" t="s">
        <v>619</v>
      </c>
      <c r="B137">
        <v>2023</v>
      </c>
      <c r="C137" t="s">
        <v>182</v>
      </c>
      <c r="D137" t="b">
        <f>TRUE()</f>
        <v>1</v>
      </c>
      <c r="E137" t="b">
        <f>COUNTIF(connections!A:A, A137) &gt; 0</f>
        <v>0</v>
      </c>
      <c r="F137" t="s">
        <v>274</v>
      </c>
      <c r="G137" t="s">
        <v>620</v>
      </c>
      <c r="H137" t="s">
        <v>187</v>
      </c>
      <c r="I137" t="s">
        <v>621</v>
      </c>
      <c r="J137" s="1" t="s">
        <v>622</v>
      </c>
    </row>
    <row r="138" spans="1:10" ht="15" customHeight="1" x14ac:dyDescent="0.25">
      <c r="A138" t="s">
        <v>623</v>
      </c>
      <c r="B138">
        <v>2017</v>
      </c>
      <c r="C138" t="s">
        <v>179</v>
      </c>
      <c r="D138" t="b">
        <f>TRUE()</f>
        <v>1</v>
      </c>
      <c r="E138" t="b">
        <f>COUNTIF(connections!A:A, A138) &gt; 0</f>
        <v>1</v>
      </c>
      <c r="G138" t="s">
        <v>624</v>
      </c>
    </row>
    <row r="139" spans="1:10" ht="15" customHeight="1" x14ac:dyDescent="0.25">
      <c r="A139" t="s">
        <v>625</v>
      </c>
      <c r="B139">
        <v>2013</v>
      </c>
      <c r="C139" t="s">
        <v>182</v>
      </c>
      <c r="D139" t="b">
        <f>TRUE()</f>
        <v>1</v>
      </c>
      <c r="E139" t="b">
        <f>COUNTIF(connections!A:A, A139) &gt; 0</f>
        <v>0</v>
      </c>
      <c r="G139" t="s">
        <v>626</v>
      </c>
      <c r="H139" t="s">
        <v>187</v>
      </c>
      <c r="I139" t="s">
        <v>627</v>
      </c>
      <c r="J139" s="1" t="s">
        <v>628</v>
      </c>
    </row>
    <row r="140" spans="1:10" ht="15" customHeight="1" x14ac:dyDescent="0.25">
      <c r="A140" t="s">
        <v>629</v>
      </c>
      <c r="B140">
        <v>2020</v>
      </c>
      <c r="C140" t="s">
        <v>176</v>
      </c>
      <c r="D140" t="b">
        <f>TRUE()</f>
        <v>1</v>
      </c>
      <c r="E140" t="b">
        <f>COUNTIF(connections!A:A, A140) &gt; 0</f>
        <v>0</v>
      </c>
      <c r="F140" t="s">
        <v>465</v>
      </c>
      <c r="G140" t="s">
        <v>630</v>
      </c>
      <c r="H140" t="s">
        <v>187</v>
      </c>
      <c r="I140" t="s">
        <v>631</v>
      </c>
      <c r="J140" s="1" t="s">
        <v>632</v>
      </c>
    </row>
    <row r="141" spans="1:10" ht="15" customHeight="1" x14ac:dyDescent="0.25">
      <c r="A141" t="s">
        <v>7652</v>
      </c>
      <c r="B141">
        <v>2026</v>
      </c>
      <c r="C141" t="s">
        <v>222</v>
      </c>
      <c r="D141" t="b">
        <f>TRUE()</f>
        <v>1</v>
      </c>
      <c r="E141" t="b">
        <f>COUNTIF(connections!A:A, A141) &gt; 0</f>
        <v>0</v>
      </c>
      <c r="G141" t="s">
        <v>7651</v>
      </c>
      <c r="J141" s="10" t="s">
        <v>7650</v>
      </c>
    </row>
    <row r="142" spans="1:10" ht="15" customHeight="1" x14ac:dyDescent="0.25">
      <c r="A142" t="s">
        <v>633</v>
      </c>
      <c r="B142">
        <v>2025</v>
      </c>
      <c r="C142" t="s">
        <v>182</v>
      </c>
      <c r="D142" t="b">
        <f>TRUE()</f>
        <v>1</v>
      </c>
      <c r="E142" t="b">
        <f>COUNTIF(connections!A:A, A142) &gt; 0</f>
        <v>0</v>
      </c>
      <c r="G142" t="s">
        <v>634</v>
      </c>
    </row>
    <row r="143" spans="1:10" ht="15" customHeight="1" x14ac:dyDescent="0.25">
      <c r="A143" t="s">
        <v>635</v>
      </c>
      <c r="B143">
        <v>2022</v>
      </c>
      <c r="C143" t="s">
        <v>176</v>
      </c>
      <c r="D143" t="b">
        <f>TRUE()</f>
        <v>1</v>
      </c>
      <c r="E143" t="b">
        <f>COUNTIF(connections!A:A, A143) &gt; 0</f>
        <v>0</v>
      </c>
      <c r="G143" t="s">
        <v>636</v>
      </c>
      <c r="H143" t="s">
        <v>187</v>
      </c>
      <c r="I143" t="s">
        <v>637</v>
      </c>
      <c r="J143" s="1" t="s">
        <v>638</v>
      </c>
    </row>
    <row r="144" spans="1:10" ht="15" customHeight="1" x14ac:dyDescent="0.25">
      <c r="A144" t="s">
        <v>639</v>
      </c>
      <c r="B144">
        <v>2015</v>
      </c>
      <c r="C144" t="s">
        <v>222</v>
      </c>
      <c r="D144" t="b">
        <f>TRUE()</f>
        <v>1</v>
      </c>
      <c r="E144" t="b">
        <f>COUNTIF(connections!A:A, A144) &gt; 0</f>
        <v>0</v>
      </c>
      <c r="G144" t="s">
        <v>640</v>
      </c>
      <c r="H144" t="s">
        <v>187</v>
      </c>
      <c r="I144" t="s">
        <v>641</v>
      </c>
      <c r="J144" s="1" t="s">
        <v>642</v>
      </c>
    </row>
    <row r="145" spans="1:10" ht="15" customHeight="1" x14ac:dyDescent="0.25">
      <c r="A145" t="s">
        <v>643</v>
      </c>
      <c r="B145">
        <v>2020</v>
      </c>
      <c r="C145" t="s">
        <v>222</v>
      </c>
      <c r="D145" t="b">
        <f>TRUE()</f>
        <v>1</v>
      </c>
      <c r="E145" t="b">
        <f>COUNTIF(connections!A:A, A145) &gt; 0</f>
        <v>1</v>
      </c>
      <c r="F145" t="s">
        <v>404</v>
      </c>
      <c r="G145" t="s">
        <v>644</v>
      </c>
      <c r="H145" t="s">
        <v>187</v>
      </c>
      <c r="I145" t="s">
        <v>645</v>
      </c>
      <c r="J145" s="1" t="s">
        <v>646</v>
      </c>
    </row>
    <row r="146" spans="1:10" ht="15" customHeight="1" x14ac:dyDescent="0.25">
      <c r="A146" t="s">
        <v>647</v>
      </c>
      <c r="B146">
        <v>2023</v>
      </c>
      <c r="C146" t="s">
        <v>176</v>
      </c>
      <c r="D146" t="b">
        <f>TRUE()</f>
        <v>1</v>
      </c>
      <c r="E146" t="b">
        <f>COUNTIF(connections!A:A, A146) &gt; 0</f>
        <v>0</v>
      </c>
      <c r="G146" t="s">
        <v>648</v>
      </c>
      <c r="H146" t="s">
        <v>187</v>
      </c>
      <c r="I146" t="s">
        <v>649</v>
      </c>
      <c r="J146" s="1" t="s">
        <v>650</v>
      </c>
    </row>
    <row r="147" spans="1:10" ht="15" customHeight="1" x14ac:dyDescent="0.25">
      <c r="A147" t="s">
        <v>651</v>
      </c>
      <c r="B147">
        <v>2023</v>
      </c>
      <c r="C147" t="s">
        <v>176</v>
      </c>
      <c r="D147" t="b">
        <f>TRUE()</f>
        <v>1</v>
      </c>
      <c r="E147" t="b">
        <f>COUNTIF(connections!A:A, A147) &gt; 0</f>
        <v>1</v>
      </c>
      <c r="F147" t="s">
        <v>9476</v>
      </c>
      <c r="G147" t="s">
        <v>653</v>
      </c>
      <c r="H147" t="s">
        <v>187</v>
      </c>
      <c r="I147" t="s">
        <v>654</v>
      </c>
      <c r="J147" s="1" t="s">
        <v>655</v>
      </c>
    </row>
    <row r="148" spans="1:10" ht="15" customHeight="1" x14ac:dyDescent="0.25">
      <c r="A148" t="s">
        <v>656</v>
      </c>
      <c r="B148">
        <v>2025</v>
      </c>
      <c r="C148" t="s">
        <v>179</v>
      </c>
      <c r="D148" t="b">
        <f>TRUE()</f>
        <v>1</v>
      </c>
      <c r="E148" t="b">
        <f>COUNTIF(connections!A:A, A148) &gt; 0</f>
        <v>0</v>
      </c>
      <c r="F148" t="s">
        <v>6956</v>
      </c>
      <c r="G148" t="s">
        <v>657</v>
      </c>
      <c r="H148" t="s">
        <v>187</v>
      </c>
      <c r="I148" t="s">
        <v>658</v>
      </c>
    </row>
    <row r="149" spans="1:10" ht="15" customHeight="1" x14ac:dyDescent="0.25">
      <c r="A149" t="s">
        <v>659</v>
      </c>
      <c r="B149">
        <v>2023</v>
      </c>
      <c r="C149" t="s">
        <v>176</v>
      </c>
      <c r="D149" t="b">
        <f>TRUE()</f>
        <v>1</v>
      </c>
      <c r="E149" t="b">
        <f>COUNTIF(connections!A:A, A149) &gt; 0</f>
        <v>0</v>
      </c>
      <c r="G149" t="s">
        <v>660</v>
      </c>
      <c r="H149" t="s">
        <v>187</v>
      </c>
      <c r="I149" t="s">
        <v>661</v>
      </c>
      <c r="J149" s="1" t="s">
        <v>662</v>
      </c>
    </row>
    <row r="150" spans="1:10" ht="15" customHeight="1" x14ac:dyDescent="0.25">
      <c r="A150" t="s">
        <v>663</v>
      </c>
      <c r="B150">
        <v>2017</v>
      </c>
      <c r="C150" t="s">
        <v>176</v>
      </c>
      <c r="D150" t="b">
        <f>TRUE()</f>
        <v>1</v>
      </c>
      <c r="E150" t="b">
        <f>COUNTIF(connections!A:A, A150) &gt; 0</f>
        <v>0</v>
      </c>
      <c r="G150" t="s">
        <v>664</v>
      </c>
      <c r="H150" t="s">
        <v>187</v>
      </c>
      <c r="I150" t="s">
        <v>665</v>
      </c>
      <c r="J150" s="1" t="s">
        <v>666</v>
      </c>
    </row>
    <row r="151" spans="1:10" ht="15" customHeight="1" x14ac:dyDescent="0.25">
      <c r="A151" t="s">
        <v>667</v>
      </c>
      <c r="B151">
        <v>2023</v>
      </c>
      <c r="C151" t="s">
        <v>182</v>
      </c>
      <c r="D151" t="b">
        <f>TRUE()</f>
        <v>1</v>
      </c>
      <c r="E151" t="b">
        <f>COUNTIF(connections!A:A, A151) &gt; 0</f>
        <v>0</v>
      </c>
      <c r="F151" t="s">
        <v>264</v>
      </c>
      <c r="G151" t="s">
        <v>668</v>
      </c>
      <c r="H151" t="s">
        <v>187</v>
      </c>
      <c r="I151" t="s">
        <v>669</v>
      </c>
      <c r="J151" s="1" t="s">
        <v>670</v>
      </c>
    </row>
    <row r="152" spans="1:10" ht="15" customHeight="1" x14ac:dyDescent="0.25">
      <c r="A152" t="s">
        <v>671</v>
      </c>
      <c r="B152">
        <v>2026</v>
      </c>
      <c r="C152" t="s">
        <v>182</v>
      </c>
      <c r="D152" t="b">
        <f>TRUE()</f>
        <v>1</v>
      </c>
      <c r="E152" t="b">
        <f>COUNTIF(connections!A:A, A152) &gt; 0</f>
        <v>0</v>
      </c>
      <c r="F152" t="s">
        <v>264</v>
      </c>
      <c r="G152" t="s">
        <v>672</v>
      </c>
    </row>
    <row r="153" spans="1:10" ht="15" customHeight="1" x14ac:dyDescent="0.25">
      <c r="A153" t="s">
        <v>673</v>
      </c>
      <c r="B153">
        <v>2023</v>
      </c>
      <c r="C153" t="s">
        <v>182</v>
      </c>
      <c r="D153" t="b">
        <f>TRUE()</f>
        <v>1</v>
      </c>
      <c r="E153" t="b">
        <f>COUNTIF(connections!A:A, A153) &gt; 0</f>
        <v>0</v>
      </c>
      <c r="G153" t="s">
        <v>674</v>
      </c>
      <c r="H153" t="s">
        <v>187</v>
      </c>
      <c r="I153" t="s">
        <v>675</v>
      </c>
      <c r="J153" s="1" t="s">
        <v>676</v>
      </c>
    </row>
    <row r="154" spans="1:10" ht="15" customHeight="1" x14ac:dyDescent="0.25">
      <c r="A154" t="s">
        <v>677</v>
      </c>
      <c r="B154">
        <v>2020</v>
      </c>
      <c r="C154" t="s">
        <v>222</v>
      </c>
      <c r="D154" t="b">
        <v>1</v>
      </c>
      <c r="E154" t="b">
        <f>COUNTIF(connections!A:A, A154) &gt; 0</f>
        <v>0</v>
      </c>
      <c r="G154" t="s">
        <v>678</v>
      </c>
      <c r="H154" t="s">
        <v>187</v>
      </c>
      <c r="I154" t="s">
        <v>679</v>
      </c>
      <c r="J154" s="1" t="s">
        <v>680</v>
      </c>
    </row>
    <row r="155" spans="1:10" ht="15" customHeight="1" x14ac:dyDescent="0.25">
      <c r="A155" t="s">
        <v>681</v>
      </c>
      <c r="B155">
        <v>2025</v>
      </c>
      <c r="C155" t="s">
        <v>182</v>
      </c>
      <c r="D155" t="b">
        <f>TRUE()</f>
        <v>1</v>
      </c>
      <c r="E155" t="b">
        <f>COUNTIF(connections!A:A, A155) &gt; 0</f>
        <v>0</v>
      </c>
      <c r="G155" t="s">
        <v>682</v>
      </c>
      <c r="H155" t="s">
        <v>187</v>
      </c>
      <c r="I155" t="s">
        <v>683</v>
      </c>
      <c r="J155" s="1" t="s">
        <v>684</v>
      </c>
    </row>
    <row r="156" spans="1:10" ht="15" customHeight="1" x14ac:dyDescent="0.25">
      <c r="A156" t="s">
        <v>685</v>
      </c>
      <c r="B156">
        <v>2019</v>
      </c>
      <c r="C156" t="s">
        <v>222</v>
      </c>
      <c r="D156" t="b">
        <f>TRUE()</f>
        <v>1</v>
      </c>
      <c r="E156" t="b">
        <f>COUNTIF(connections!A:A, A156) &gt; 0</f>
        <v>0</v>
      </c>
      <c r="G156" t="s">
        <v>686</v>
      </c>
      <c r="H156" t="s">
        <v>187</v>
      </c>
      <c r="I156" t="s">
        <v>687</v>
      </c>
      <c r="J156" s="1" t="s">
        <v>688</v>
      </c>
    </row>
    <row r="157" spans="1:10" ht="15" customHeight="1" x14ac:dyDescent="0.25">
      <c r="A157" t="s">
        <v>689</v>
      </c>
      <c r="B157">
        <v>2015</v>
      </c>
      <c r="C157" t="s">
        <v>179</v>
      </c>
      <c r="D157" t="b">
        <f>TRUE()</f>
        <v>1</v>
      </c>
      <c r="E157" t="b">
        <f>COUNTIF(connections!A:A, A157) &gt; 0</f>
        <v>1</v>
      </c>
      <c r="F157" t="s">
        <v>399</v>
      </c>
      <c r="G157" t="s">
        <v>690</v>
      </c>
      <c r="H157" t="s">
        <v>187</v>
      </c>
      <c r="I157" t="s">
        <v>691</v>
      </c>
      <c r="J157" s="1" t="s">
        <v>692</v>
      </c>
    </row>
    <row r="158" spans="1:10" ht="15" customHeight="1" x14ac:dyDescent="0.25">
      <c r="A158" t="s">
        <v>693</v>
      </c>
      <c r="B158">
        <v>2017</v>
      </c>
      <c r="C158" t="s">
        <v>176</v>
      </c>
      <c r="D158" t="b">
        <f>FALSE()</f>
        <v>0</v>
      </c>
      <c r="E158" t="b">
        <f>COUNTIF(connections!A:A, A158) &gt; 0</f>
        <v>0</v>
      </c>
      <c r="F158" t="s">
        <v>694</v>
      </c>
      <c r="G158" t="s">
        <v>695</v>
      </c>
      <c r="H158" t="s">
        <v>187</v>
      </c>
      <c r="I158" t="s">
        <v>696</v>
      </c>
      <c r="J158" s="1" t="s">
        <v>697</v>
      </c>
    </row>
    <row r="159" spans="1:10" ht="15" customHeight="1" x14ac:dyDescent="0.25">
      <c r="A159" t="s">
        <v>698</v>
      </c>
      <c r="B159">
        <v>1998</v>
      </c>
      <c r="C159" t="s">
        <v>179</v>
      </c>
      <c r="D159" t="b">
        <f>TRUE()</f>
        <v>1</v>
      </c>
      <c r="E159" t="b">
        <f>COUNTIF(connections!A:A, A159) &gt; 0</f>
        <v>0</v>
      </c>
      <c r="G159" t="s">
        <v>699</v>
      </c>
      <c r="H159" t="s">
        <v>187</v>
      </c>
      <c r="I159" t="s">
        <v>700</v>
      </c>
    </row>
    <row r="160" spans="1:10" ht="15" customHeight="1" x14ac:dyDescent="0.25">
      <c r="A160" t="s">
        <v>701</v>
      </c>
      <c r="B160">
        <v>2023</v>
      </c>
      <c r="C160" t="s">
        <v>182</v>
      </c>
      <c r="D160" t="b">
        <f>FALSE()</f>
        <v>0</v>
      </c>
      <c r="E160" t="b">
        <f>COUNTIF(connections!A:A, A160) &gt; 0</f>
        <v>0</v>
      </c>
      <c r="G160" t="s">
        <v>702</v>
      </c>
    </row>
    <row r="161" spans="1:10" ht="15" customHeight="1" x14ac:dyDescent="0.25">
      <c r="A161" t="s">
        <v>703</v>
      </c>
      <c r="B161">
        <v>2025</v>
      </c>
      <c r="C161" t="s">
        <v>182</v>
      </c>
      <c r="D161" t="b">
        <f>FALSE()</f>
        <v>0</v>
      </c>
      <c r="E161" t="b">
        <f>COUNTIF(connections!A:A, A161) &gt; 0</f>
        <v>0</v>
      </c>
      <c r="G161" t="s">
        <v>704</v>
      </c>
      <c r="J161" s="1" t="s">
        <v>705</v>
      </c>
    </row>
    <row r="162" spans="1:10" ht="15" customHeight="1" x14ac:dyDescent="0.25">
      <c r="A162" t="s">
        <v>706</v>
      </c>
      <c r="B162">
        <v>2026</v>
      </c>
      <c r="C162" t="s">
        <v>182</v>
      </c>
      <c r="D162" t="b">
        <f>TRUE()</f>
        <v>1</v>
      </c>
      <c r="E162" t="b">
        <f>COUNTIF(connections!A:A, A162) &gt; 0</f>
        <v>0</v>
      </c>
      <c r="G162" t="s">
        <v>707</v>
      </c>
      <c r="J162" s="10" t="s">
        <v>708</v>
      </c>
    </row>
    <row r="163" spans="1:10" ht="15" customHeight="1" x14ac:dyDescent="0.25">
      <c r="A163" t="s">
        <v>709</v>
      </c>
      <c r="B163">
        <v>2022</v>
      </c>
      <c r="C163" t="s">
        <v>176</v>
      </c>
      <c r="D163" t="b">
        <f>TRUE()</f>
        <v>1</v>
      </c>
      <c r="E163" t="b">
        <f>COUNTIF(connections!A:A, A163) &gt; 0</f>
        <v>1</v>
      </c>
      <c r="G163" t="s">
        <v>710</v>
      </c>
      <c r="H163" t="s">
        <v>187</v>
      </c>
      <c r="I163" t="s">
        <v>711</v>
      </c>
      <c r="J163" s="1" t="s">
        <v>712</v>
      </c>
    </row>
    <row r="164" spans="1:10" ht="15" customHeight="1" x14ac:dyDescent="0.25">
      <c r="A164" t="s">
        <v>713</v>
      </c>
      <c r="B164">
        <v>2018</v>
      </c>
      <c r="C164" t="s">
        <v>222</v>
      </c>
      <c r="D164" t="b">
        <f>TRUE()</f>
        <v>1</v>
      </c>
      <c r="E164" t="b">
        <f>COUNTIF(connections!A:A, A164) &gt; 0</f>
        <v>0</v>
      </c>
      <c r="G164" t="s">
        <v>714</v>
      </c>
      <c r="H164" t="s">
        <v>187</v>
      </c>
      <c r="I164" t="s">
        <v>715</v>
      </c>
      <c r="J164" s="1" t="s">
        <v>716</v>
      </c>
    </row>
    <row r="165" spans="1:10" ht="15" customHeight="1" x14ac:dyDescent="0.25">
      <c r="A165" t="s">
        <v>717</v>
      </c>
      <c r="B165">
        <v>2024</v>
      </c>
      <c r="C165" t="s">
        <v>182</v>
      </c>
      <c r="D165" t="b">
        <f>TRUE()</f>
        <v>1</v>
      </c>
      <c r="E165" t="b">
        <f>COUNTIF(connections!A:A, A165) &gt; 0</f>
        <v>1</v>
      </c>
      <c r="F165" t="s">
        <v>354</v>
      </c>
      <c r="G165" t="s">
        <v>718</v>
      </c>
      <c r="J165" s="10" t="s">
        <v>719</v>
      </c>
    </row>
    <row r="166" spans="1:10" ht="15" customHeight="1" x14ac:dyDescent="0.25">
      <c r="A166" t="s">
        <v>720</v>
      </c>
      <c r="B166">
        <v>2016</v>
      </c>
      <c r="C166" t="s">
        <v>222</v>
      </c>
      <c r="D166" t="b">
        <f>TRUE()</f>
        <v>1</v>
      </c>
      <c r="E166" t="b">
        <f>COUNTIF(connections!A:A, A166) &gt; 0</f>
        <v>1</v>
      </c>
      <c r="G166" t="s">
        <v>721</v>
      </c>
      <c r="H166" t="s">
        <v>187</v>
      </c>
      <c r="I166" t="s">
        <v>722</v>
      </c>
      <c r="J166" s="1" t="s">
        <v>723</v>
      </c>
    </row>
    <row r="167" spans="1:10" ht="15" customHeight="1" x14ac:dyDescent="0.25">
      <c r="A167" t="s">
        <v>724</v>
      </c>
      <c r="B167">
        <v>2020</v>
      </c>
      <c r="C167" t="s">
        <v>222</v>
      </c>
      <c r="D167" t="b">
        <f>TRUE()</f>
        <v>1</v>
      </c>
      <c r="E167" t="b">
        <f>COUNTIF(connections!A:A, A167) &gt; 0</f>
        <v>0</v>
      </c>
      <c r="G167" t="s">
        <v>725</v>
      </c>
    </row>
    <row r="168" spans="1:10" ht="15" customHeight="1" x14ac:dyDescent="0.25">
      <c r="A168" t="s">
        <v>7835</v>
      </c>
      <c r="B168">
        <v>2026</v>
      </c>
      <c r="C168" t="s">
        <v>176</v>
      </c>
      <c r="D168" t="b">
        <f>TRUE()</f>
        <v>1</v>
      </c>
      <c r="E168" t="b">
        <f>COUNTIF(connections!A:A, A168) &gt; 0</f>
        <v>0</v>
      </c>
      <c r="G168" t="s">
        <v>7836</v>
      </c>
      <c r="J168" s="10" t="s">
        <v>7837</v>
      </c>
    </row>
    <row r="169" spans="1:10" ht="15" customHeight="1" x14ac:dyDescent="0.25">
      <c r="A169" t="s">
        <v>726</v>
      </c>
      <c r="B169">
        <v>2020</v>
      </c>
      <c r="C169" t="s">
        <v>176</v>
      </c>
      <c r="D169" t="b">
        <f>TRUE()</f>
        <v>1</v>
      </c>
      <c r="E169" t="b">
        <f>COUNTIF(connections!A:A, A169) &gt; 0</f>
        <v>1</v>
      </c>
      <c r="G169" t="s">
        <v>727</v>
      </c>
      <c r="H169" t="s">
        <v>187</v>
      </c>
      <c r="I169" t="s">
        <v>728</v>
      </c>
      <c r="J169" s="1" t="s">
        <v>729</v>
      </c>
    </row>
    <row r="170" spans="1:10" ht="15" customHeight="1" x14ac:dyDescent="0.25">
      <c r="A170" t="s">
        <v>730</v>
      </c>
      <c r="B170">
        <v>2026</v>
      </c>
      <c r="C170" t="s">
        <v>222</v>
      </c>
      <c r="D170" t="b">
        <f>TRUE()</f>
        <v>1</v>
      </c>
      <c r="E170" t="b">
        <f>COUNTIF(connections!A:A, A170) &gt; 0</f>
        <v>0</v>
      </c>
      <c r="F170" t="s">
        <v>731</v>
      </c>
      <c r="G170" t="s">
        <v>732</v>
      </c>
    </row>
    <row r="171" spans="1:10" ht="15" customHeight="1" x14ac:dyDescent="0.25">
      <c r="A171" t="s">
        <v>733</v>
      </c>
      <c r="B171">
        <v>2023</v>
      </c>
      <c r="C171" t="s">
        <v>176</v>
      </c>
      <c r="D171" t="b">
        <f>FALSE()</f>
        <v>0</v>
      </c>
      <c r="E171" t="b">
        <f>COUNTIF(connections!A:A, A171) &gt; 0</f>
        <v>0</v>
      </c>
      <c r="G171" t="s">
        <v>734</v>
      </c>
      <c r="H171" t="s">
        <v>187</v>
      </c>
      <c r="I171" t="s">
        <v>735</v>
      </c>
      <c r="J171" s="1" t="s">
        <v>736</v>
      </c>
    </row>
    <row r="172" spans="1:10" ht="15" customHeight="1" x14ac:dyDescent="0.25">
      <c r="A172" t="s">
        <v>737</v>
      </c>
      <c r="B172">
        <v>2019</v>
      </c>
      <c r="C172" t="s">
        <v>176</v>
      </c>
      <c r="D172" t="b">
        <f>TRUE()</f>
        <v>1</v>
      </c>
      <c r="E172" t="b">
        <f>COUNTIF(connections!A:A, A172) &gt; 0</f>
        <v>1</v>
      </c>
      <c r="G172" t="s">
        <v>738</v>
      </c>
      <c r="H172" t="s">
        <v>187</v>
      </c>
      <c r="I172" t="s">
        <v>739</v>
      </c>
      <c r="J172" s="1" t="s">
        <v>740</v>
      </c>
    </row>
    <row r="173" spans="1:10" ht="15" customHeight="1" x14ac:dyDescent="0.25">
      <c r="A173" t="s">
        <v>741</v>
      </c>
      <c r="B173">
        <v>2026</v>
      </c>
      <c r="C173" t="s">
        <v>176</v>
      </c>
      <c r="D173" t="b">
        <f>TRUE()</f>
        <v>1</v>
      </c>
      <c r="E173" t="b">
        <f>COUNTIF(connections!A:A, A173) &gt; 0</f>
        <v>0</v>
      </c>
      <c r="G173" t="s">
        <v>742</v>
      </c>
      <c r="J173" s="10" t="s">
        <v>743</v>
      </c>
    </row>
    <row r="174" spans="1:10" ht="15" customHeight="1" x14ac:dyDescent="0.25">
      <c r="A174" t="s">
        <v>744</v>
      </c>
      <c r="B174">
        <v>2025</v>
      </c>
      <c r="C174" t="s">
        <v>176</v>
      </c>
      <c r="D174" t="b">
        <f>TRUE()</f>
        <v>1</v>
      </c>
      <c r="E174" t="b">
        <f>COUNTIF(connections!A:A, A174) &gt; 0</f>
        <v>0</v>
      </c>
      <c r="G174" t="s">
        <v>745</v>
      </c>
    </row>
    <row r="175" spans="1:10" ht="15" customHeight="1" x14ac:dyDescent="0.25">
      <c r="A175" t="s">
        <v>746</v>
      </c>
      <c r="B175">
        <v>2015</v>
      </c>
      <c r="C175" t="s">
        <v>222</v>
      </c>
      <c r="D175" t="b">
        <f>TRUE()</f>
        <v>1</v>
      </c>
      <c r="E175" t="b">
        <f>COUNTIF(connections!A:A, A175) &gt; 0</f>
        <v>1</v>
      </c>
      <c r="G175" t="s">
        <v>747</v>
      </c>
      <c r="H175" t="s">
        <v>187</v>
      </c>
      <c r="I175" t="s">
        <v>748</v>
      </c>
      <c r="J175" s="1" t="s">
        <v>749</v>
      </c>
    </row>
    <row r="176" spans="1:10" ht="15" customHeight="1" x14ac:dyDescent="0.25">
      <c r="A176" t="s">
        <v>750</v>
      </c>
      <c r="B176">
        <v>2023</v>
      </c>
      <c r="C176" t="s">
        <v>222</v>
      </c>
      <c r="D176" t="b">
        <f>TRUE()</f>
        <v>1</v>
      </c>
      <c r="E176" t="b">
        <f>COUNTIF(connections!A:A, A176) &gt; 0</f>
        <v>0</v>
      </c>
      <c r="G176" t="s">
        <v>751</v>
      </c>
      <c r="H176" t="s">
        <v>187</v>
      </c>
      <c r="I176" t="s">
        <v>752</v>
      </c>
      <c r="J176" s="1" t="s">
        <v>753</v>
      </c>
    </row>
    <row r="177" spans="1:10" ht="15" customHeight="1" x14ac:dyDescent="0.25">
      <c r="A177" t="s">
        <v>754</v>
      </c>
      <c r="B177">
        <v>2022</v>
      </c>
      <c r="C177" t="s">
        <v>176</v>
      </c>
      <c r="D177" t="b">
        <f>TRUE()</f>
        <v>1</v>
      </c>
      <c r="E177" t="b">
        <f>COUNTIF(connections!A:A, A177) &gt; 0</f>
        <v>1</v>
      </c>
      <c r="F177" t="s">
        <v>755</v>
      </c>
      <c r="G177" t="s">
        <v>756</v>
      </c>
      <c r="H177" t="s">
        <v>187</v>
      </c>
      <c r="I177" t="s">
        <v>757</v>
      </c>
      <c r="J177" s="1" t="s">
        <v>758</v>
      </c>
    </row>
    <row r="178" spans="1:10" ht="15" customHeight="1" x14ac:dyDescent="0.25">
      <c r="A178" t="s">
        <v>759</v>
      </c>
      <c r="B178">
        <v>2018</v>
      </c>
      <c r="C178" t="s">
        <v>176</v>
      </c>
      <c r="D178" t="b">
        <f>TRUE()</f>
        <v>1</v>
      </c>
      <c r="E178" t="b">
        <f>COUNTIF(connections!A:A, A178) &gt; 0</f>
        <v>1</v>
      </c>
      <c r="G178" t="s">
        <v>760</v>
      </c>
      <c r="H178" t="s">
        <v>187</v>
      </c>
      <c r="I178" t="s">
        <v>761</v>
      </c>
      <c r="J178" s="1" t="s">
        <v>762</v>
      </c>
    </row>
    <row r="179" spans="1:10" ht="15" customHeight="1" x14ac:dyDescent="0.25">
      <c r="A179" t="s">
        <v>763</v>
      </c>
      <c r="B179">
        <v>2020</v>
      </c>
      <c r="C179" t="s">
        <v>176</v>
      </c>
      <c r="D179" t="b">
        <f>TRUE()</f>
        <v>1</v>
      </c>
      <c r="E179" t="b">
        <f>COUNTIF(connections!A:A, A179) &gt; 0</f>
        <v>0</v>
      </c>
      <c r="F179" t="s">
        <v>458</v>
      </c>
      <c r="G179" t="s">
        <v>764</v>
      </c>
      <c r="H179" t="s">
        <v>187</v>
      </c>
      <c r="I179" t="s">
        <v>765</v>
      </c>
      <c r="J179" s="1" t="s">
        <v>766</v>
      </c>
    </row>
    <row r="180" spans="1:10" ht="15" customHeight="1" x14ac:dyDescent="0.25">
      <c r="A180" t="s">
        <v>767</v>
      </c>
      <c r="B180">
        <v>2025</v>
      </c>
      <c r="C180" t="s">
        <v>182</v>
      </c>
      <c r="D180" t="b">
        <f>TRUE()</f>
        <v>1</v>
      </c>
      <c r="E180" t="b">
        <f>COUNTIF(connections!A:A, A180) &gt; 0</f>
        <v>0</v>
      </c>
      <c r="F180" t="s">
        <v>315</v>
      </c>
      <c r="G180" t="s">
        <v>768</v>
      </c>
      <c r="H180" t="s">
        <v>187</v>
      </c>
      <c r="I180" t="s">
        <v>769</v>
      </c>
      <c r="J180" s="1" t="s">
        <v>770</v>
      </c>
    </row>
    <row r="181" spans="1:10" ht="15" customHeight="1" x14ac:dyDescent="0.25">
      <c r="A181" t="s">
        <v>771</v>
      </c>
      <c r="B181">
        <v>2026</v>
      </c>
      <c r="C181" t="s">
        <v>222</v>
      </c>
      <c r="D181" t="b">
        <f>TRUE()</f>
        <v>1</v>
      </c>
      <c r="E181" t="b">
        <f>COUNTIF(connections!A:A, A181) &gt; 0</f>
        <v>0</v>
      </c>
      <c r="G181" t="s">
        <v>772</v>
      </c>
      <c r="J181" s="10" t="s">
        <v>773</v>
      </c>
    </row>
    <row r="182" spans="1:10" ht="15" customHeight="1" x14ac:dyDescent="0.25">
      <c r="A182" t="s">
        <v>774</v>
      </c>
      <c r="B182">
        <v>2025</v>
      </c>
      <c r="C182" t="s">
        <v>176</v>
      </c>
      <c r="D182" t="b">
        <v>1</v>
      </c>
      <c r="E182" t="b">
        <f>COUNTIF(connections!A:A, A182) &gt; 0</f>
        <v>0</v>
      </c>
      <c r="F182" t="s">
        <v>458</v>
      </c>
      <c r="G182" t="s">
        <v>775</v>
      </c>
    </row>
    <row r="183" spans="1:10" ht="15" customHeight="1" x14ac:dyDescent="0.25">
      <c r="A183" t="s">
        <v>776</v>
      </c>
      <c r="B183">
        <v>2025</v>
      </c>
      <c r="C183" t="s">
        <v>176</v>
      </c>
      <c r="D183" t="b">
        <f>FALSE()</f>
        <v>0</v>
      </c>
      <c r="E183" t="b">
        <f>COUNTIF(connections!A:A, A183) &gt; 0</f>
        <v>0</v>
      </c>
      <c r="G183" t="s">
        <v>777</v>
      </c>
    </row>
    <row r="184" spans="1:10" ht="15" customHeight="1" x14ac:dyDescent="0.25">
      <c r="A184" t="s">
        <v>778</v>
      </c>
      <c r="B184">
        <v>2023</v>
      </c>
      <c r="C184" t="s">
        <v>176</v>
      </c>
      <c r="D184" t="b">
        <f>TRUE()</f>
        <v>1</v>
      </c>
      <c r="E184" t="b">
        <f>COUNTIF(connections!A:A, A184) &gt; 0</f>
        <v>1</v>
      </c>
      <c r="F184" t="s">
        <v>199</v>
      </c>
      <c r="G184" t="s">
        <v>779</v>
      </c>
      <c r="H184" t="s">
        <v>187</v>
      </c>
      <c r="I184" t="s">
        <v>780</v>
      </c>
      <c r="J184" s="1" t="s">
        <v>781</v>
      </c>
    </row>
    <row r="185" spans="1:10" ht="15" customHeight="1" x14ac:dyDescent="0.25">
      <c r="A185" t="s">
        <v>782</v>
      </c>
      <c r="B185">
        <v>2016</v>
      </c>
      <c r="C185" t="s">
        <v>176</v>
      </c>
      <c r="D185" t="b">
        <f>TRUE()</f>
        <v>1</v>
      </c>
      <c r="E185" t="b">
        <f>COUNTIF(connections!A:A, A185) &gt; 0</f>
        <v>0</v>
      </c>
      <c r="F185" t="s">
        <v>458</v>
      </c>
      <c r="G185" t="s">
        <v>783</v>
      </c>
      <c r="H185" t="s">
        <v>187</v>
      </c>
      <c r="I185" t="s">
        <v>784</v>
      </c>
      <c r="J185" s="1" t="s">
        <v>785</v>
      </c>
    </row>
    <row r="186" spans="1:10" ht="15" customHeight="1" x14ac:dyDescent="0.25">
      <c r="A186" t="s">
        <v>786</v>
      </c>
      <c r="B186">
        <v>2023</v>
      </c>
      <c r="C186" t="s">
        <v>182</v>
      </c>
      <c r="D186" t="b">
        <f>TRUE()</f>
        <v>1</v>
      </c>
      <c r="E186" t="b">
        <f>COUNTIF(connections!A:A, A186) &gt; 0</f>
        <v>1</v>
      </c>
      <c r="F186" t="s">
        <v>787</v>
      </c>
      <c r="G186" t="s">
        <v>788</v>
      </c>
      <c r="H186" t="s">
        <v>187</v>
      </c>
      <c r="I186" t="s">
        <v>789</v>
      </c>
      <c r="J186" s="1" t="s">
        <v>790</v>
      </c>
    </row>
    <row r="187" spans="1:10" ht="15" customHeight="1" x14ac:dyDescent="0.25">
      <c r="A187" t="s">
        <v>791</v>
      </c>
      <c r="B187">
        <v>2014</v>
      </c>
      <c r="C187" t="s">
        <v>176</v>
      </c>
      <c r="D187" t="b">
        <v>1</v>
      </c>
      <c r="E187" t="b">
        <f>COUNTIF(connections!A:A, A187) &gt; 0</f>
        <v>0</v>
      </c>
      <c r="G187" t="s">
        <v>792</v>
      </c>
      <c r="H187" t="s">
        <v>187</v>
      </c>
      <c r="I187" t="s">
        <v>793</v>
      </c>
      <c r="J187" s="10" t="s">
        <v>794</v>
      </c>
    </row>
    <row r="188" spans="1:10" ht="15" customHeight="1" x14ac:dyDescent="0.25">
      <c r="A188" t="s">
        <v>795</v>
      </c>
      <c r="B188">
        <v>2019</v>
      </c>
      <c r="C188" t="s">
        <v>182</v>
      </c>
      <c r="D188" t="b">
        <f>TRUE()</f>
        <v>1</v>
      </c>
      <c r="E188" t="b">
        <f>COUNTIF(connections!A:A, A188) &gt; 0</f>
        <v>0</v>
      </c>
      <c r="G188" t="s">
        <v>796</v>
      </c>
      <c r="H188" t="s">
        <v>187</v>
      </c>
      <c r="I188" t="s">
        <v>797</v>
      </c>
      <c r="J188" s="1" t="s">
        <v>798</v>
      </c>
    </row>
    <row r="189" spans="1:10" ht="15" customHeight="1" x14ac:dyDescent="0.25">
      <c r="A189" t="s">
        <v>799</v>
      </c>
      <c r="B189">
        <v>2025</v>
      </c>
      <c r="C189" t="s">
        <v>182</v>
      </c>
      <c r="D189" t="b">
        <f>TRUE()</f>
        <v>1</v>
      </c>
      <c r="E189" t="b">
        <f>COUNTIF(connections!A:A, A189) &gt; 0</f>
        <v>0</v>
      </c>
      <c r="G189" t="s">
        <v>800</v>
      </c>
      <c r="H189" t="s">
        <v>187</v>
      </c>
      <c r="I189" t="s">
        <v>801</v>
      </c>
      <c r="J189" s="1" t="s">
        <v>802</v>
      </c>
    </row>
    <row r="190" spans="1:10" ht="15" customHeight="1" x14ac:dyDescent="0.25">
      <c r="A190" t="s">
        <v>803</v>
      </c>
      <c r="B190">
        <v>2025</v>
      </c>
      <c r="C190" t="s">
        <v>182</v>
      </c>
      <c r="D190" t="b">
        <f>TRUE()</f>
        <v>1</v>
      </c>
      <c r="E190" t="b">
        <f>COUNTIF(connections!A:A, A190) &gt; 0</f>
        <v>0</v>
      </c>
      <c r="G190" t="s">
        <v>804</v>
      </c>
      <c r="H190" t="s">
        <v>187</v>
      </c>
      <c r="I190" t="s">
        <v>805</v>
      </c>
      <c r="J190" s="1" t="s">
        <v>806</v>
      </c>
    </row>
    <row r="191" spans="1:10" ht="15" customHeight="1" x14ac:dyDescent="0.25">
      <c r="A191" t="s">
        <v>807</v>
      </c>
      <c r="B191">
        <v>2014</v>
      </c>
      <c r="C191" t="s">
        <v>176</v>
      </c>
      <c r="D191" t="b">
        <f>TRUE()</f>
        <v>1</v>
      </c>
      <c r="E191" t="b">
        <f>COUNTIF(connections!A:A, A191) &gt; 0</f>
        <v>0</v>
      </c>
      <c r="G191" t="s">
        <v>808</v>
      </c>
      <c r="H191" t="s">
        <v>187</v>
      </c>
      <c r="I191" t="s">
        <v>809</v>
      </c>
      <c r="J191" s="1" t="s">
        <v>810</v>
      </c>
    </row>
    <row r="192" spans="1:10" ht="15" customHeight="1" x14ac:dyDescent="0.25">
      <c r="A192" t="s">
        <v>7956</v>
      </c>
      <c r="B192">
        <v>2026</v>
      </c>
      <c r="C192" t="s">
        <v>176</v>
      </c>
      <c r="D192" t="b">
        <f>TRUE()</f>
        <v>1</v>
      </c>
      <c r="E192" t="b">
        <f>COUNTIF(connections!A:A, A192) &gt; 0</f>
        <v>0</v>
      </c>
      <c r="F192" t="s">
        <v>617</v>
      </c>
      <c r="G192" t="s">
        <v>7957</v>
      </c>
      <c r="J192" s="10" t="s">
        <v>7958</v>
      </c>
    </row>
    <row r="193" spans="1:10" ht="15" customHeight="1" x14ac:dyDescent="0.25">
      <c r="A193" t="s">
        <v>811</v>
      </c>
      <c r="B193">
        <v>2024</v>
      </c>
      <c r="C193" t="s">
        <v>176</v>
      </c>
      <c r="D193" t="b">
        <f>TRUE()</f>
        <v>1</v>
      </c>
      <c r="E193" t="b">
        <f>COUNTIF(connections!A:A, A193) &gt; 0</f>
        <v>1</v>
      </c>
      <c r="F193" t="s">
        <v>617</v>
      </c>
      <c r="G193" t="s">
        <v>812</v>
      </c>
    </row>
    <row r="194" spans="1:10" ht="15" customHeight="1" x14ac:dyDescent="0.25">
      <c r="A194" t="s">
        <v>813</v>
      </c>
      <c r="B194">
        <v>2018</v>
      </c>
      <c r="C194" t="s">
        <v>182</v>
      </c>
      <c r="D194" t="b">
        <f>TRUE()</f>
        <v>1</v>
      </c>
      <c r="E194" t="b">
        <f>COUNTIF(connections!A:A, A194) &gt; 0</f>
        <v>1</v>
      </c>
      <c r="G194" t="s">
        <v>814</v>
      </c>
    </row>
    <row r="195" spans="1:10" ht="15" customHeight="1" x14ac:dyDescent="0.25">
      <c r="A195" t="s">
        <v>815</v>
      </c>
      <c r="B195">
        <v>2021</v>
      </c>
      <c r="C195" t="s">
        <v>182</v>
      </c>
      <c r="D195" t="b">
        <f>TRUE()</f>
        <v>1</v>
      </c>
      <c r="E195" t="b">
        <f>COUNTIF(connections!A:A, A195) &gt; 0</f>
        <v>0</v>
      </c>
      <c r="G195" t="s">
        <v>816</v>
      </c>
      <c r="H195" t="s">
        <v>187</v>
      </c>
      <c r="I195" t="s">
        <v>817</v>
      </c>
      <c r="J195" s="1" t="s">
        <v>818</v>
      </c>
    </row>
    <row r="196" spans="1:10" ht="15" customHeight="1" x14ac:dyDescent="0.25">
      <c r="A196" t="s">
        <v>819</v>
      </c>
      <c r="B196">
        <v>2012</v>
      </c>
      <c r="C196" t="s">
        <v>176</v>
      </c>
      <c r="D196" t="b">
        <f>TRUE()</f>
        <v>1</v>
      </c>
      <c r="E196" t="b">
        <f>COUNTIF(connections!A:A, A196) &gt; 0</f>
        <v>1</v>
      </c>
      <c r="G196" t="s">
        <v>820</v>
      </c>
    </row>
    <row r="197" spans="1:10" ht="15" customHeight="1" x14ac:dyDescent="0.25">
      <c r="A197" t="s">
        <v>821</v>
      </c>
      <c r="B197">
        <v>2026</v>
      </c>
      <c r="C197" t="s">
        <v>179</v>
      </c>
      <c r="D197" t="b">
        <f>TRUE()</f>
        <v>1</v>
      </c>
      <c r="E197" t="b">
        <f>COUNTIF(connections!A:A, A197) &gt; 0</f>
        <v>0</v>
      </c>
      <c r="F197" t="s">
        <v>822</v>
      </c>
      <c r="G197" t="s">
        <v>823</v>
      </c>
      <c r="H197" t="s">
        <v>187</v>
      </c>
      <c r="I197" t="s">
        <v>824</v>
      </c>
      <c r="J197" s="1" t="s">
        <v>825</v>
      </c>
    </row>
    <row r="198" spans="1:10" ht="15" customHeight="1" x14ac:dyDescent="0.25">
      <c r="A198" t="s">
        <v>826</v>
      </c>
      <c r="B198">
        <v>2019</v>
      </c>
      <c r="C198" t="s">
        <v>222</v>
      </c>
      <c r="D198" t="b">
        <f>TRUE()</f>
        <v>1</v>
      </c>
      <c r="E198" t="b">
        <f>COUNTIF(connections!A:A, A198) &gt; 0</f>
        <v>1</v>
      </c>
      <c r="G198" t="s">
        <v>827</v>
      </c>
    </row>
    <row r="199" spans="1:10" ht="15" customHeight="1" x14ac:dyDescent="0.25">
      <c r="A199" t="s">
        <v>828</v>
      </c>
      <c r="B199">
        <v>2025</v>
      </c>
      <c r="C199" t="s">
        <v>182</v>
      </c>
      <c r="D199" t="b">
        <f>TRUE()</f>
        <v>1</v>
      </c>
      <c r="E199" t="b">
        <f>COUNTIF(connections!A:A, A199) &gt; 0</f>
        <v>0</v>
      </c>
      <c r="F199" t="s">
        <v>271</v>
      </c>
      <c r="G199" t="s">
        <v>829</v>
      </c>
      <c r="H199" t="s">
        <v>187</v>
      </c>
      <c r="I199" t="s">
        <v>830</v>
      </c>
      <c r="J199" s="1" t="s">
        <v>831</v>
      </c>
    </row>
    <row r="200" spans="1:10" ht="15" customHeight="1" x14ac:dyDescent="0.25">
      <c r="A200" t="s">
        <v>832</v>
      </c>
      <c r="B200">
        <v>2022</v>
      </c>
      <c r="C200" t="s">
        <v>222</v>
      </c>
      <c r="D200" t="b">
        <v>1</v>
      </c>
      <c r="E200" t="b">
        <f>COUNTIF(connections!A:A, A200) &gt; 0</f>
        <v>0</v>
      </c>
      <c r="G200" t="s">
        <v>833</v>
      </c>
      <c r="H200" t="s">
        <v>187</v>
      </c>
      <c r="I200" t="s">
        <v>834</v>
      </c>
      <c r="J200" s="1" t="s">
        <v>835</v>
      </c>
    </row>
    <row r="201" spans="1:10" ht="15" customHeight="1" x14ac:dyDescent="0.25">
      <c r="A201" t="s">
        <v>836</v>
      </c>
      <c r="B201">
        <v>2010</v>
      </c>
      <c r="C201" t="s">
        <v>179</v>
      </c>
      <c r="D201" t="b">
        <f>TRUE()</f>
        <v>1</v>
      </c>
      <c r="E201" t="b">
        <f>COUNTIF(connections!A:A, A201) &gt; 0</f>
        <v>1</v>
      </c>
      <c r="G201" t="s">
        <v>837</v>
      </c>
    </row>
    <row r="202" spans="1:10" ht="15" customHeight="1" x14ac:dyDescent="0.25">
      <c r="A202" t="s">
        <v>838</v>
      </c>
      <c r="B202">
        <v>2025</v>
      </c>
      <c r="C202" t="s">
        <v>176</v>
      </c>
      <c r="D202" t="b">
        <f>TRUE()</f>
        <v>1</v>
      </c>
      <c r="E202" t="b">
        <f>COUNTIF(connections!A:A, A202) &gt; 0</f>
        <v>0</v>
      </c>
      <c r="G202" t="s">
        <v>839</v>
      </c>
      <c r="H202" t="s">
        <v>187</v>
      </c>
      <c r="I202" t="s">
        <v>840</v>
      </c>
      <c r="J202" s="1" t="s">
        <v>841</v>
      </c>
    </row>
    <row r="203" spans="1:10" ht="15" customHeight="1" x14ac:dyDescent="0.25">
      <c r="A203" t="s">
        <v>8403</v>
      </c>
      <c r="B203">
        <v>2018</v>
      </c>
      <c r="C203" t="s">
        <v>222</v>
      </c>
      <c r="D203" t="b">
        <v>1</v>
      </c>
      <c r="E203" t="b">
        <f>COUNTIF(connections!A:A, A203) &gt; 0</f>
        <v>1</v>
      </c>
      <c r="G203" t="s">
        <v>8405</v>
      </c>
      <c r="J203" s="10" t="s">
        <v>8404</v>
      </c>
    </row>
    <row r="204" spans="1:10" ht="15" customHeight="1" x14ac:dyDescent="0.25">
      <c r="A204" t="s">
        <v>8402</v>
      </c>
      <c r="B204">
        <v>2021</v>
      </c>
      <c r="C204" t="s">
        <v>176</v>
      </c>
      <c r="D204" t="b">
        <f>TRUE()</f>
        <v>1</v>
      </c>
      <c r="E204" t="b">
        <f>COUNTIF(connections!A:A, A204) &gt; 0</f>
        <v>1</v>
      </c>
      <c r="G204" t="s">
        <v>842</v>
      </c>
      <c r="H204" t="s">
        <v>187</v>
      </c>
      <c r="I204" t="s">
        <v>843</v>
      </c>
      <c r="J204" s="1" t="s">
        <v>844</v>
      </c>
    </row>
    <row r="205" spans="1:10" ht="15" customHeight="1" x14ac:dyDescent="0.25">
      <c r="A205" t="s">
        <v>845</v>
      </c>
      <c r="B205">
        <v>2019</v>
      </c>
      <c r="C205" t="s">
        <v>176</v>
      </c>
      <c r="D205" t="b">
        <f>TRUE()</f>
        <v>1</v>
      </c>
      <c r="E205" t="b">
        <f>COUNTIF(connections!A:A, A205) &gt; 0</f>
        <v>0</v>
      </c>
      <c r="G205" t="s">
        <v>846</v>
      </c>
    </row>
    <row r="206" spans="1:10" ht="15" customHeight="1" x14ac:dyDescent="0.25">
      <c r="A206" t="s">
        <v>847</v>
      </c>
      <c r="B206">
        <v>1996</v>
      </c>
      <c r="C206" t="s">
        <v>176</v>
      </c>
      <c r="D206" t="b">
        <f>TRUE()</f>
        <v>1</v>
      </c>
      <c r="E206" t="b">
        <f>COUNTIF(connections!A:A, A206) &gt; 0</f>
        <v>1</v>
      </c>
      <c r="G206" t="s">
        <v>848</v>
      </c>
      <c r="H206" t="s">
        <v>187</v>
      </c>
      <c r="I206" t="s">
        <v>849</v>
      </c>
    </row>
    <row r="207" spans="1:10" ht="15" customHeight="1" x14ac:dyDescent="0.25">
      <c r="A207" t="s">
        <v>850</v>
      </c>
      <c r="B207">
        <v>2024</v>
      </c>
      <c r="C207" t="s">
        <v>182</v>
      </c>
      <c r="D207" t="b">
        <f>TRUE()</f>
        <v>1</v>
      </c>
      <c r="E207" t="b">
        <f>COUNTIF(connections!A:A, A207) &gt; 0</f>
        <v>0</v>
      </c>
      <c r="F207" t="s">
        <v>315</v>
      </c>
      <c r="G207" t="s">
        <v>851</v>
      </c>
      <c r="H207" t="s">
        <v>187</v>
      </c>
      <c r="I207" t="s">
        <v>852</v>
      </c>
      <c r="J207" s="1" t="s">
        <v>853</v>
      </c>
    </row>
    <row r="208" spans="1:10" ht="15" customHeight="1" x14ac:dyDescent="0.25">
      <c r="A208" t="s">
        <v>854</v>
      </c>
      <c r="B208">
        <v>2026</v>
      </c>
      <c r="C208" t="s">
        <v>182</v>
      </c>
      <c r="D208" t="b">
        <f>TRUE()</f>
        <v>1</v>
      </c>
      <c r="E208" t="b">
        <f>COUNTIF(connections!A:A, A208) &gt; 0</f>
        <v>0</v>
      </c>
      <c r="F208" t="s">
        <v>315</v>
      </c>
      <c r="G208" t="s">
        <v>855</v>
      </c>
    </row>
    <row r="209" spans="1:10" ht="15" customHeight="1" x14ac:dyDescent="0.25">
      <c r="A209" t="s">
        <v>856</v>
      </c>
      <c r="B209">
        <v>2025</v>
      </c>
      <c r="C209" t="s">
        <v>182</v>
      </c>
      <c r="D209" t="b">
        <f>TRUE()</f>
        <v>1</v>
      </c>
      <c r="E209" t="b">
        <f>COUNTIF(connections!A:A, A209) &gt; 0</f>
        <v>0</v>
      </c>
      <c r="G209" t="s">
        <v>857</v>
      </c>
      <c r="J209" s="10" t="s">
        <v>858</v>
      </c>
    </row>
    <row r="210" spans="1:10" ht="15" customHeight="1" x14ac:dyDescent="0.25">
      <c r="A210" t="s">
        <v>859</v>
      </c>
      <c r="B210">
        <v>2025</v>
      </c>
      <c r="C210" t="s">
        <v>222</v>
      </c>
      <c r="D210" t="b">
        <f>FALSE()</f>
        <v>0</v>
      </c>
      <c r="E210" t="b">
        <f>COUNTIF(connections!A:A, A210) &gt; 0</f>
        <v>0</v>
      </c>
      <c r="F210" t="s">
        <v>315</v>
      </c>
      <c r="G210" t="s">
        <v>860</v>
      </c>
      <c r="H210" t="s">
        <v>187</v>
      </c>
      <c r="I210" t="s">
        <v>861</v>
      </c>
      <c r="J210" s="10" t="s">
        <v>862</v>
      </c>
    </row>
    <row r="211" spans="1:10" ht="15" customHeight="1" x14ac:dyDescent="0.25">
      <c r="A211" t="s">
        <v>863</v>
      </c>
      <c r="B211">
        <v>2025</v>
      </c>
      <c r="C211" t="s">
        <v>182</v>
      </c>
      <c r="D211" t="b">
        <f>TRUE()</f>
        <v>1</v>
      </c>
      <c r="E211" t="b">
        <f>COUNTIF(connections!A:A, A211) &gt; 0</f>
        <v>0</v>
      </c>
      <c r="F211" t="s">
        <v>315</v>
      </c>
      <c r="G211" t="s">
        <v>864</v>
      </c>
    </row>
    <row r="212" spans="1:10" ht="15" customHeight="1" x14ac:dyDescent="0.25">
      <c r="A212" t="s">
        <v>865</v>
      </c>
      <c r="B212">
        <v>2024</v>
      </c>
      <c r="C212" t="s">
        <v>182</v>
      </c>
      <c r="D212" t="b">
        <f>TRUE()</f>
        <v>1</v>
      </c>
      <c r="E212" t="b">
        <f>COUNTIF(connections!A:A, A212) &gt; 0</f>
        <v>0</v>
      </c>
      <c r="F212" t="s">
        <v>315</v>
      </c>
      <c r="G212" t="s">
        <v>866</v>
      </c>
      <c r="H212" t="s">
        <v>187</v>
      </c>
      <c r="I212" t="s">
        <v>867</v>
      </c>
      <c r="J212" s="10" t="s">
        <v>868</v>
      </c>
    </row>
    <row r="213" spans="1:10" ht="15" customHeight="1" x14ac:dyDescent="0.25">
      <c r="A213" t="s">
        <v>869</v>
      </c>
      <c r="B213">
        <v>2024</v>
      </c>
      <c r="C213" t="s">
        <v>182</v>
      </c>
      <c r="D213" t="b">
        <f>FALSE()</f>
        <v>0</v>
      </c>
      <c r="E213" t="b">
        <f>COUNTIF(connections!A:A, A213) &gt; 0</f>
        <v>0</v>
      </c>
      <c r="F213" t="s">
        <v>315</v>
      </c>
      <c r="G213" t="s">
        <v>870</v>
      </c>
      <c r="H213" t="s">
        <v>187</v>
      </c>
      <c r="I213" t="s">
        <v>871</v>
      </c>
      <c r="J213" s="1" t="s">
        <v>872</v>
      </c>
    </row>
    <row r="214" spans="1:10" ht="15" customHeight="1" x14ac:dyDescent="0.25">
      <c r="A214" t="s">
        <v>8321</v>
      </c>
      <c r="B214">
        <v>2026</v>
      </c>
      <c r="C214" t="s">
        <v>182</v>
      </c>
      <c r="D214" t="b">
        <f>TRUE()</f>
        <v>1</v>
      </c>
      <c r="E214" t="b">
        <f>COUNTIF(connections!A:A, A214) &gt; 0</f>
        <v>0</v>
      </c>
      <c r="F214" t="s">
        <v>315</v>
      </c>
      <c r="G214" t="s">
        <v>8322</v>
      </c>
      <c r="J214" s="10" t="s">
        <v>8323</v>
      </c>
    </row>
    <row r="215" spans="1:10" ht="15" customHeight="1" x14ac:dyDescent="0.25">
      <c r="A215" t="s">
        <v>873</v>
      </c>
      <c r="B215">
        <v>2019</v>
      </c>
      <c r="C215" t="s">
        <v>182</v>
      </c>
      <c r="D215" t="b">
        <f>TRUE()</f>
        <v>1</v>
      </c>
      <c r="E215" t="b">
        <f>COUNTIF(connections!A:A, A215) &gt; 0</f>
        <v>1</v>
      </c>
      <c r="F215" t="s">
        <v>315</v>
      </c>
      <c r="G215" t="s">
        <v>874</v>
      </c>
      <c r="H215" t="s">
        <v>187</v>
      </c>
      <c r="I215" t="s">
        <v>875</v>
      </c>
      <c r="J215" s="1" t="s">
        <v>876</v>
      </c>
    </row>
    <row r="216" spans="1:10" ht="15" customHeight="1" x14ac:dyDescent="0.25">
      <c r="A216" t="s">
        <v>877</v>
      </c>
      <c r="B216">
        <v>2025</v>
      </c>
      <c r="C216" t="s">
        <v>182</v>
      </c>
      <c r="D216" t="b">
        <f>TRUE()</f>
        <v>1</v>
      </c>
      <c r="E216" t="b">
        <f>COUNTIF(connections!A:A, A216) &gt; 0</f>
        <v>0</v>
      </c>
      <c r="F216" t="s">
        <v>315</v>
      </c>
      <c r="G216" t="s">
        <v>878</v>
      </c>
    </row>
    <row r="217" spans="1:10" ht="15" customHeight="1" x14ac:dyDescent="0.25">
      <c r="A217" t="s">
        <v>879</v>
      </c>
      <c r="B217">
        <v>2025</v>
      </c>
      <c r="C217" t="s">
        <v>182</v>
      </c>
      <c r="D217" t="b">
        <f>TRUE()</f>
        <v>1</v>
      </c>
      <c r="E217" t="b">
        <f>COUNTIF(connections!A:A, A217) &gt; 0</f>
        <v>0</v>
      </c>
      <c r="F217" t="s">
        <v>315</v>
      </c>
      <c r="G217" t="s">
        <v>880</v>
      </c>
      <c r="H217" t="s">
        <v>187</v>
      </c>
      <c r="I217" t="s">
        <v>881</v>
      </c>
      <c r="J217" s="1" t="s">
        <v>882</v>
      </c>
    </row>
    <row r="218" spans="1:10" ht="15" customHeight="1" x14ac:dyDescent="0.25">
      <c r="A218" t="s">
        <v>883</v>
      </c>
      <c r="B218">
        <v>2021</v>
      </c>
      <c r="C218" t="s">
        <v>176</v>
      </c>
      <c r="D218" t="b">
        <f>FALSE()</f>
        <v>0</v>
      </c>
      <c r="E218" t="b">
        <f>COUNTIF(connections!A:A, A218) &gt; 0</f>
        <v>0</v>
      </c>
      <c r="G218" t="s">
        <v>884</v>
      </c>
      <c r="H218" t="s">
        <v>187</v>
      </c>
      <c r="I218" t="s">
        <v>885</v>
      </c>
      <c r="J218" s="1" t="s">
        <v>886</v>
      </c>
    </row>
    <row r="219" spans="1:10" ht="15" customHeight="1" x14ac:dyDescent="0.25">
      <c r="A219" t="s">
        <v>887</v>
      </c>
      <c r="B219">
        <v>2024</v>
      </c>
      <c r="C219" t="s">
        <v>182</v>
      </c>
      <c r="D219" t="b">
        <f>TRUE()</f>
        <v>1</v>
      </c>
      <c r="E219" t="b">
        <f>COUNTIF(connections!A:A, A219) &gt; 0</f>
        <v>0</v>
      </c>
      <c r="G219" t="s">
        <v>888</v>
      </c>
    </row>
    <row r="220" spans="1:10" ht="15" customHeight="1" x14ac:dyDescent="0.25">
      <c r="A220" t="s">
        <v>889</v>
      </c>
      <c r="B220">
        <v>2023</v>
      </c>
      <c r="C220" t="s">
        <v>176</v>
      </c>
      <c r="D220" t="b">
        <f>TRUE()</f>
        <v>1</v>
      </c>
      <c r="E220" t="b">
        <f>COUNTIF(connections!A:A, A220) &gt; 0</f>
        <v>0</v>
      </c>
      <c r="G220" t="s">
        <v>890</v>
      </c>
      <c r="H220" t="s">
        <v>187</v>
      </c>
      <c r="I220" t="s">
        <v>891</v>
      </c>
      <c r="J220" s="1" t="s">
        <v>892</v>
      </c>
    </row>
    <row r="221" spans="1:10" ht="15" customHeight="1" x14ac:dyDescent="0.25">
      <c r="A221" t="s">
        <v>893</v>
      </c>
      <c r="B221">
        <v>2026</v>
      </c>
      <c r="C221" t="s">
        <v>176</v>
      </c>
      <c r="D221" t="b">
        <f>TRUE()</f>
        <v>1</v>
      </c>
      <c r="E221" t="b">
        <f>COUNTIF(connections!A:A, A221) &gt; 0</f>
        <v>0</v>
      </c>
      <c r="G221" t="s">
        <v>894</v>
      </c>
      <c r="J221" s="10" t="s">
        <v>895</v>
      </c>
    </row>
    <row r="222" spans="1:10" ht="15" customHeight="1" x14ac:dyDescent="0.25">
      <c r="A222" t="s">
        <v>896</v>
      </c>
      <c r="B222">
        <v>2024</v>
      </c>
      <c r="C222" t="s">
        <v>182</v>
      </c>
      <c r="D222" t="b">
        <f>TRUE()</f>
        <v>1</v>
      </c>
      <c r="E222" t="b">
        <f>COUNTIF(connections!A:A, A222) &gt; 0</f>
        <v>0</v>
      </c>
      <c r="G222" t="s">
        <v>897</v>
      </c>
    </row>
    <row r="223" spans="1:10" ht="15" customHeight="1" x14ac:dyDescent="0.25">
      <c r="A223" t="s">
        <v>898</v>
      </c>
      <c r="B223">
        <v>2025</v>
      </c>
      <c r="C223" t="s">
        <v>182</v>
      </c>
      <c r="D223" t="b">
        <f>TRUE()</f>
        <v>1</v>
      </c>
      <c r="E223" t="b">
        <f>COUNTIF(connections!A:A, A223) &gt; 0</f>
        <v>0</v>
      </c>
      <c r="G223" t="s">
        <v>899</v>
      </c>
    </row>
    <row r="224" spans="1:10" ht="15" customHeight="1" x14ac:dyDescent="0.25">
      <c r="A224" t="s">
        <v>900</v>
      </c>
      <c r="B224">
        <v>2025</v>
      </c>
      <c r="C224" t="s">
        <v>182</v>
      </c>
      <c r="D224" t="b">
        <f>TRUE()</f>
        <v>1</v>
      </c>
      <c r="E224" t="b">
        <f>COUNTIF(connections!A:A, A224) &gt; 0</f>
        <v>0</v>
      </c>
      <c r="G224" t="s">
        <v>901</v>
      </c>
      <c r="H224" t="s">
        <v>187</v>
      </c>
      <c r="I224" t="s">
        <v>902</v>
      </c>
      <c r="J224" s="1" t="s">
        <v>903</v>
      </c>
    </row>
    <row r="225" spans="1:10" ht="15" customHeight="1" x14ac:dyDescent="0.25">
      <c r="A225" t="s">
        <v>904</v>
      </c>
      <c r="B225">
        <v>2022</v>
      </c>
      <c r="C225" t="s">
        <v>222</v>
      </c>
      <c r="D225" t="b">
        <f>TRUE()</f>
        <v>1</v>
      </c>
      <c r="E225" t="b">
        <f>COUNTIF(connections!A:A, A225) &gt; 0</f>
        <v>1</v>
      </c>
      <c r="F225" t="s">
        <v>905</v>
      </c>
      <c r="G225" t="s">
        <v>906</v>
      </c>
      <c r="H225" t="s">
        <v>187</v>
      </c>
      <c r="I225" t="s">
        <v>907</v>
      </c>
      <c r="J225" s="1" t="s">
        <v>908</v>
      </c>
    </row>
    <row r="226" spans="1:10" ht="15" customHeight="1" x14ac:dyDescent="0.25">
      <c r="A226" t="s">
        <v>909</v>
      </c>
      <c r="B226">
        <v>2026</v>
      </c>
      <c r="C226" t="s">
        <v>222</v>
      </c>
      <c r="D226" t="b">
        <f>TRUE()</f>
        <v>1</v>
      </c>
      <c r="E226" t="b">
        <f>COUNTIF(connections!A:A, A226) &gt; 0</f>
        <v>0</v>
      </c>
      <c r="G226" t="s">
        <v>910</v>
      </c>
      <c r="J226" s="10" t="s">
        <v>911</v>
      </c>
    </row>
    <row r="227" spans="1:10" ht="15" customHeight="1" x14ac:dyDescent="0.25">
      <c r="A227" t="s">
        <v>912</v>
      </c>
      <c r="B227">
        <v>2026</v>
      </c>
      <c r="C227" t="s">
        <v>176</v>
      </c>
      <c r="D227" t="b">
        <f>FALSE()</f>
        <v>0</v>
      </c>
      <c r="E227" t="b">
        <f>COUNTIF(connections!A:A, A227) &gt; 0</f>
        <v>0</v>
      </c>
      <c r="G227" t="s">
        <v>913</v>
      </c>
    </row>
    <row r="228" spans="1:10" ht="15" customHeight="1" x14ac:dyDescent="0.25">
      <c r="A228" t="s">
        <v>914</v>
      </c>
      <c r="B228">
        <v>2013</v>
      </c>
      <c r="C228" t="s">
        <v>176</v>
      </c>
      <c r="D228" t="b">
        <f>TRUE()</f>
        <v>1</v>
      </c>
      <c r="E228" t="b">
        <f>COUNTIF(connections!A:A, A228) &gt; 0</f>
        <v>1</v>
      </c>
      <c r="G228" t="s">
        <v>915</v>
      </c>
      <c r="H228" t="s">
        <v>187</v>
      </c>
      <c r="I228" t="s">
        <v>916</v>
      </c>
      <c r="J228" s="1" t="s">
        <v>917</v>
      </c>
    </row>
    <row r="229" spans="1:10" ht="15" customHeight="1" x14ac:dyDescent="0.25">
      <c r="A229" t="s">
        <v>918</v>
      </c>
      <c r="B229">
        <v>2014</v>
      </c>
      <c r="C229" t="s">
        <v>176</v>
      </c>
      <c r="D229" t="b">
        <f>TRUE()</f>
        <v>1</v>
      </c>
      <c r="E229" t="b">
        <f>COUNTIF(connections!A:A, A229) &gt; 0</f>
        <v>1</v>
      </c>
      <c r="G229" t="s">
        <v>919</v>
      </c>
      <c r="H229" t="s">
        <v>187</v>
      </c>
      <c r="I229" t="s">
        <v>920</v>
      </c>
      <c r="J229" s="1" t="s">
        <v>921</v>
      </c>
    </row>
    <row r="230" spans="1:10" ht="15" customHeight="1" x14ac:dyDescent="0.25">
      <c r="A230" t="s">
        <v>922</v>
      </c>
      <c r="B230">
        <v>2002</v>
      </c>
      <c r="C230" t="s">
        <v>179</v>
      </c>
      <c r="D230" t="b">
        <f>TRUE()</f>
        <v>1</v>
      </c>
      <c r="E230" t="b">
        <f>COUNTIF(connections!A:A, A230) &gt; 0</f>
        <v>1</v>
      </c>
      <c r="G230" t="s">
        <v>923</v>
      </c>
    </row>
    <row r="231" spans="1:10" ht="15" customHeight="1" x14ac:dyDescent="0.25">
      <c r="A231" t="s">
        <v>924</v>
      </c>
      <c r="B231">
        <v>2019</v>
      </c>
      <c r="C231" t="s">
        <v>222</v>
      </c>
      <c r="D231" t="b">
        <f>TRUE()</f>
        <v>1</v>
      </c>
      <c r="E231" t="b">
        <f>COUNTIF(connections!A:A, A231) &gt; 0</f>
        <v>1</v>
      </c>
      <c r="G231" t="s">
        <v>925</v>
      </c>
    </row>
    <row r="232" spans="1:10" ht="15" customHeight="1" x14ac:dyDescent="0.25">
      <c r="A232" t="s">
        <v>926</v>
      </c>
      <c r="B232">
        <v>2023</v>
      </c>
      <c r="C232" t="s">
        <v>176</v>
      </c>
      <c r="D232" t="b">
        <f>FALSE()</f>
        <v>0</v>
      </c>
      <c r="E232" t="b">
        <f>COUNTIF(connections!A:A, A232) &gt; 0</f>
        <v>0</v>
      </c>
      <c r="F232" t="s">
        <v>229</v>
      </c>
      <c r="G232" t="s">
        <v>927</v>
      </c>
      <c r="H232" t="s">
        <v>187</v>
      </c>
      <c r="I232" t="s">
        <v>928</v>
      </c>
      <c r="J232" s="1" t="s">
        <v>929</v>
      </c>
    </row>
    <row r="233" spans="1:10" ht="15" customHeight="1" x14ac:dyDescent="0.25">
      <c r="A233" t="s">
        <v>930</v>
      </c>
      <c r="B233">
        <v>2015</v>
      </c>
      <c r="C233" t="s">
        <v>176</v>
      </c>
      <c r="D233" t="b">
        <f>TRUE()</f>
        <v>1</v>
      </c>
      <c r="E233" t="b">
        <f>COUNTIF(connections!A:A, A233) &gt; 0</f>
        <v>1</v>
      </c>
      <c r="G233" t="s">
        <v>931</v>
      </c>
      <c r="H233" t="s">
        <v>187</v>
      </c>
      <c r="I233" t="s">
        <v>932</v>
      </c>
      <c r="J233" s="1" t="s">
        <v>933</v>
      </c>
    </row>
    <row r="234" spans="1:10" ht="15" customHeight="1" x14ac:dyDescent="0.25">
      <c r="A234" t="s">
        <v>934</v>
      </c>
      <c r="B234">
        <v>1990</v>
      </c>
      <c r="C234" t="s">
        <v>179</v>
      </c>
      <c r="D234" t="b">
        <f>TRUE()</f>
        <v>1</v>
      </c>
      <c r="E234" t="b">
        <f>COUNTIF(connections!A:A, A234) &gt; 0</f>
        <v>0</v>
      </c>
      <c r="G234" t="s">
        <v>935</v>
      </c>
      <c r="H234" t="s">
        <v>187</v>
      </c>
      <c r="I234" t="s">
        <v>936</v>
      </c>
    </row>
    <row r="235" spans="1:10" ht="15" customHeight="1" x14ac:dyDescent="0.25">
      <c r="A235" t="s">
        <v>7850</v>
      </c>
      <c r="B235">
        <v>2026</v>
      </c>
      <c r="C235" t="s">
        <v>179</v>
      </c>
      <c r="D235" t="b">
        <f>TRUE()</f>
        <v>1</v>
      </c>
      <c r="E235" t="b">
        <f>COUNTIF(connections!A:A, A235) &gt; 0</f>
        <v>0</v>
      </c>
      <c r="G235" t="s">
        <v>7864</v>
      </c>
      <c r="J235" s="10" t="s">
        <v>7851</v>
      </c>
    </row>
    <row r="236" spans="1:10" ht="15" customHeight="1" x14ac:dyDescent="0.25">
      <c r="A236" t="s">
        <v>937</v>
      </c>
      <c r="B236">
        <v>2006</v>
      </c>
      <c r="C236" t="s">
        <v>179</v>
      </c>
      <c r="D236" t="b">
        <f>TRUE()</f>
        <v>1</v>
      </c>
      <c r="E236" t="b">
        <f>COUNTIF(connections!A:A, A236) &gt; 0</f>
        <v>0</v>
      </c>
      <c r="G236" t="s">
        <v>938</v>
      </c>
      <c r="H236" t="s">
        <v>187</v>
      </c>
      <c r="I236" t="s">
        <v>939</v>
      </c>
    </row>
    <row r="237" spans="1:10" ht="15" customHeight="1" x14ac:dyDescent="0.25">
      <c r="A237" t="s">
        <v>940</v>
      </c>
      <c r="B237">
        <v>2003</v>
      </c>
      <c r="C237" t="s">
        <v>179</v>
      </c>
      <c r="D237" t="b">
        <f>TRUE()</f>
        <v>1</v>
      </c>
      <c r="E237" t="b">
        <f>COUNTIF(connections!A:A, A237) &gt; 0</f>
        <v>0</v>
      </c>
      <c r="G237" t="s">
        <v>941</v>
      </c>
    </row>
    <row r="238" spans="1:10" ht="15" customHeight="1" x14ac:dyDescent="0.25">
      <c r="A238" t="s">
        <v>942</v>
      </c>
      <c r="B238">
        <v>2025</v>
      </c>
      <c r="C238" t="s">
        <v>222</v>
      </c>
      <c r="D238" t="b">
        <v>0</v>
      </c>
      <c r="E238" t="b">
        <v>0</v>
      </c>
      <c r="G238" t="s">
        <v>943</v>
      </c>
      <c r="H238" t="s">
        <v>187</v>
      </c>
      <c r="I238" t="s">
        <v>944</v>
      </c>
      <c r="J238" s="10" t="s">
        <v>945</v>
      </c>
    </row>
    <row r="239" spans="1:10" ht="15" customHeight="1" x14ac:dyDescent="0.25">
      <c r="A239" t="s">
        <v>946</v>
      </c>
      <c r="B239">
        <v>2014</v>
      </c>
      <c r="C239" t="s">
        <v>182</v>
      </c>
      <c r="D239" t="b">
        <f>TRUE()</f>
        <v>1</v>
      </c>
      <c r="E239" t="b">
        <f>COUNTIF(connections!A:A, A239) &gt; 0</f>
        <v>1</v>
      </c>
      <c r="G239" t="s">
        <v>947</v>
      </c>
    </row>
    <row r="240" spans="1:10" ht="15" customHeight="1" x14ac:dyDescent="0.25">
      <c r="A240" t="s">
        <v>948</v>
      </c>
      <c r="B240">
        <v>2020</v>
      </c>
      <c r="C240" t="s">
        <v>176</v>
      </c>
      <c r="D240" t="b">
        <f>TRUE()</f>
        <v>1</v>
      </c>
      <c r="E240" t="b">
        <f>COUNTIF(connections!A:A, A240) &gt; 0</f>
        <v>0</v>
      </c>
      <c r="G240" t="s">
        <v>949</v>
      </c>
      <c r="H240" t="s">
        <v>187</v>
      </c>
      <c r="I240" t="s">
        <v>950</v>
      </c>
      <c r="J240" s="1" t="s">
        <v>951</v>
      </c>
    </row>
    <row r="241" spans="1:10" ht="15" customHeight="1" x14ac:dyDescent="0.25">
      <c r="A241" t="s">
        <v>952</v>
      </c>
      <c r="B241">
        <v>2024</v>
      </c>
      <c r="C241" t="s">
        <v>222</v>
      </c>
      <c r="D241" t="b">
        <f>TRUE()</f>
        <v>1</v>
      </c>
      <c r="E241" t="b">
        <f>COUNTIF(connections!A:A, A241) &gt; 0</f>
        <v>0</v>
      </c>
      <c r="F241" t="s">
        <v>617</v>
      </c>
      <c r="G241" t="s">
        <v>953</v>
      </c>
    </row>
    <row r="242" spans="1:10" ht="15" customHeight="1" x14ac:dyDescent="0.25">
      <c r="A242" t="s">
        <v>7992</v>
      </c>
      <c r="B242">
        <v>2026</v>
      </c>
      <c r="C242" t="s">
        <v>176</v>
      </c>
      <c r="D242" t="b">
        <f>TRUE()</f>
        <v>1</v>
      </c>
      <c r="E242" t="b">
        <f>COUNTIF(connections!A:A, A242) &gt; 0</f>
        <v>0</v>
      </c>
      <c r="G242" t="s">
        <v>7993</v>
      </c>
      <c r="J242" s="10" t="s">
        <v>7994</v>
      </c>
    </row>
    <row r="243" spans="1:10" ht="15" customHeight="1" x14ac:dyDescent="0.25">
      <c r="A243" t="s">
        <v>954</v>
      </c>
      <c r="B243">
        <v>2025</v>
      </c>
      <c r="C243" t="s">
        <v>222</v>
      </c>
      <c r="D243" t="b">
        <f>TRUE()</f>
        <v>1</v>
      </c>
      <c r="E243" t="b">
        <f>COUNTIF(connections!A:A, A243) &gt; 0</f>
        <v>0</v>
      </c>
      <c r="G243" t="s">
        <v>955</v>
      </c>
      <c r="H243" t="s">
        <v>187</v>
      </c>
      <c r="I243" t="s">
        <v>956</v>
      </c>
      <c r="J243" s="10" t="s">
        <v>957</v>
      </c>
    </row>
    <row r="244" spans="1:10" ht="15" customHeight="1" x14ac:dyDescent="0.25">
      <c r="A244" t="s">
        <v>958</v>
      </c>
      <c r="B244">
        <v>2025</v>
      </c>
      <c r="C244" t="s">
        <v>222</v>
      </c>
      <c r="D244" t="b">
        <f>TRUE()</f>
        <v>1</v>
      </c>
      <c r="E244" t="b">
        <f>COUNTIF(connections!A:A, A244) &gt; 0</f>
        <v>0</v>
      </c>
      <c r="G244" t="s">
        <v>959</v>
      </c>
    </row>
    <row r="245" spans="1:10" ht="15" customHeight="1" x14ac:dyDescent="0.25">
      <c r="A245" t="s">
        <v>960</v>
      </c>
      <c r="B245">
        <v>2024</v>
      </c>
      <c r="C245" t="s">
        <v>182</v>
      </c>
      <c r="D245" t="b">
        <f>TRUE()</f>
        <v>1</v>
      </c>
      <c r="E245" t="b">
        <f>COUNTIF(connections!A:A, A245) &gt; 0</f>
        <v>1</v>
      </c>
      <c r="F245" t="s">
        <v>354</v>
      </c>
      <c r="G245" t="s">
        <v>961</v>
      </c>
      <c r="H245" t="s">
        <v>187</v>
      </c>
      <c r="I245" t="s">
        <v>962</v>
      </c>
      <c r="J245" s="1" t="s">
        <v>963</v>
      </c>
    </row>
    <row r="246" spans="1:10" ht="15" customHeight="1" x14ac:dyDescent="0.25">
      <c r="A246" t="s">
        <v>964</v>
      </c>
      <c r="B246">
        <v>2006</v>
      </c>
      <c r="C246" t="s">
        <v>179</v>
      </c>
      <c r="D246" t="b">
        <f>TRUE()</f>
        <v>1</v>
      </c>
      <c r="E246" t="b">
        <f>COUNTIF(connections!A:A, A246) &gt; 0</f>
        <v>1</v>
      </c>
      <c r="G246" t="s">
        <v>965</v>
      </c>
      <c r="H246" t="s">
        <v>187</v>
      </c>
      <c r="I246" t="s">
        <v>966</v>
      </c>
    </row>
    <row r="247" spans="1:10" ht="15" customHeight="1" x14ac:dyDescent="0.25">
      <c r="A247" t="s">
        <v>967</v>
      </c>
      <c r="B247">
        <v>2021</v>
      </c>
      <c r="C247" t="s">
        <v>222</v>
      </c>
      <c r="D247" t="b">
        <f>FALSE()</f>
        <v>0</v>
      </c>
      <c r="E247" t="b">
        <f>COUNTIF(connections!A:A, A247) &gt; 0</f>
        <v>0</v>
      </c>
      <c r="F247" t="s">
        <v>614</v>
      </c>
      <c r="G247" t="s">
        <v>968</v>
      </c>
      <c r="H247" t="s">
        <v>187</v>
      </c>
      <c r="I247" t="s">
        <v>969</v>
      </c>
      <c r="J247" s="1" t="s">
        <v>970</v>
      </c>
    </row>
    <row r="248" spans="1:10" ht="15" customHeight="1" x14ac:dyDescent="0.25">
      <c r="A248" t="s">
        <v>971</v>
      </c>
      <c r="B248">
        <v>2023</v>
      </c>
      <c r="C248" t="s">
        <v>179</v>
      </c>
      <c r="D248" t="b">
        <f>TRUE()</f>
        <v>1</v>
      </c>
      <c r="E248" t="b">
        <f>COUNTIF(connections!A:A, A248) &gt; 0</f>
        <v>0</v>
      </c>
      <c r="G248" t="s">
        <v>972</v>
      </c>
      <c r="H248" t="s">
        <v>187</v>
      </c>
      <c r="I248" t="s">
        <v>973</v>
      </c>
      <c r="J248" s="10" t="s">
        <v>974</v>
      </c>
    </row>
    <row r="249" spans="1:10" ht="15" customHeight="1" x14ac:dyDescent="0.25">
      <c r="A249" t="s">
        <v>975</v>
      </c>
      <c r="B249">
        <v>1993</v>
      </c>
      <c r="C249" t="s">
        <v>176</v>
      </c>
      <c r="D249" t="b">
        <f>FALSE()</f>
        <v>0</v>
      </c>
      <c r="E249" t="b">
        <f>COUNTIF(connections!A:A, A249) &gt; 0</f>
        <v>0</v>
      </c>
      <c r="G249" t="s">
        <v>976</v>
      </c>
    </row>
    <row r="250" spans="1:10" ht="15" customHeight="1" x14ac:dyDescent="0.25">
      <c r="A250" t="s">
        <v>977</v>
      </c>
      <c r="B250">
        <v>2008</v>
      </c>
      <c r="C250" t="s">
        <v>179</v>
      </c>
      <c r="D250" t="b">
        <f>TRUE()</f>
        <v>1</v>
      </c>
      <c r="E250" t="b">
        <f>COUNTIF(connections!A:A, A250) &gt; 0</f>
        <v>0</v>
      </c>
      <c r="G250" t="s">
        <v>978</v>
      </c>
      <c r="H250" t="s">
        <v>187</v>
      </c>
      <c r="I250" t="s">
        <v>979</v>
      </c>
    </row>
    <row r="251" spans="1:10" ht="15" customHeight="1" x14ac:dyDescent="0.25">
      <c r="A251" t="s">
        <v>980</v>
      </c>
      <c r="B251">
        <v>2016</v>
      </c>
      <c r="C251" t="s">
        <v>222</v>
      </c>
      <c r="D251" t="b">
        <f>TRUE()</f>
        <v>1</v>
      </c>
      <c r="E251" t="b">
        <f>COUNTIF(connections!A:A, A251) &gt; 0</f>
        <v>0</v>
      </c>
      <c r="G251" t="s">
        <v>981</v>
      </c>
      <c r="H251" t="s">
        <v>187</v>
      </c>
      <c r="I251" t="s">
        <v>982</v>
      </c>
      <c r="J251" s="10" t="s">
        <v>983</v>
      </c>
    </row>
    <row r="252" spans="1:10" ht="15" customHeight="1" x14ac:dyDescent="0.25">
      <c r="A252" t="s">
        <v>984</v>
      </c>
      <c r="B252">
        <v>2010</v>
      </c>
      <c r="C252" t="s">
        <v>179</v>
      </c>
      <c r="D252" t="b">
        <f>TRUE()</f>
        <v>1</v>
      </c>
      <c r="E252" t="b">
        <f>COUNTIF(connections!A:A, A252) &gt; 0</f>
        <v>1</v>
      </c>
      <c r="G252" t="s">
        <v>985</v>
      </c>
      <c r="H252" t="s">
        <v>187</v>
      </c>
      <c r="I252" t="s">
        <v>986</v>
      </c>
      <c r="J252" s="1" t="s">
        <v>987</v>
      </c>
    </row>
    <row r="253" spans="1:10" ht="15" customHeight="1" x14ac:dyDescent="0.25">
      <c r="A253" t="s">
        <v>988</v>
      </c>
      <c r="B253">
        <v>2024</v>
      </c>
      <c r="C253" t="s">
        <v>182</v>
      </c>
      <c r="D253" t="b">
        <f>TRUE()</f>
        <v>1</v>
      </c>
      <c r="E253" t="b">
        <f>COUNTIF(connections!A:A, A253) &gt; 0</f>
        <v>0</v>
      </c>
      <c r="F253" t="s">
        <v>354</v>
      </c>
      <c r="G253" t="s">
        <v>989</v>
      </c>
      <c r="H253" t="s">
        <v>187</v>
      </c>
      <c r="I253" t="s">
        <v>990</v>
      </c>
      <c r="J253" s="1" t="s">
        <v>991</v>
      </c>
    </row>
    <row r="254" spans="1:10" ht="15" customHeight="1" x14ac:dyDescent="0.25">
      <c r="A254" t="s">
        <v>992</v>
      </c>
      <c r="B254">
        <v>2024</v>
      </c>
      <c r="C254" t="s">
        <v>176</v>
      </c>
      <c r="D254" t="b">
        <f>TRUE()</f>
        <v>1</v>
      </c>
      <c r="E254" t="b">
        <f>COUNTIF(connections!A:A, A254) &gt; 0</f>
        <v>0</v>
      </c>
      <c r="G254" t="s">
        <v>993</v>
      </c>
      <c r="H254" t="s">
        <v>187</v>
      </c>
      <c r="I254" t="s">
        <v>7875</v>
      </c>
      <c r="J254" s="10" t="s">
        <v>7876</v>
      </c>
    </row>
    <row r="255" spans="1:10" ht="15" customHeight="1" x14ac:dyDescent="0.25">
      <c r="A255" t="s">
        <v>994</v>
      </c>
      <c r="B255">
        <v>2011</v>
      </c>
      <c r="C255" t="s">
        <v>179</v>
      </c>
      <c r="D255" t="b">
        <f>TRUE()</f>
        <v>1</v>
      </c>
      <c r="E255" t="b">
        <f>COUNTIF(connections!A:A, A255) &gt; 0</f>
        <v>1</v>
      </c>
      <c r="G255" t="s">
        <v>995</v>
      </c>
      <c r="H255" t="s">
        <v>187</v>
      </c>
      <c r="I255" t="s">
        <v>996</v>
      </c>
      <c r="J255" s="1" t="s">
        <v>997</v>
      </c>
    </row>
    <row r="256" spans="1:10" ht="15" customHeight="1" x14ac:dyDescent="0.25">
      <c r="A256" t="s">
        <v>998</v>
      </c>
      <c r="B256">
        <v>2018</v>
      </c>
      <c r="C256" t="s">
        <v>176</v>
      </c>
      <c r="D256" t="b">
        <f>TRUE()</f>
        <v>1</v>
      </c>
      <c r="E256" t="b">
        <f>COUNTIF(connections!A:A, A256) &gt; 0</f>
        <v>1</v>
      </c>
      <c r="G256" t="s">
        <v>999</v>
      </c>
      <c r="H256" t="s">
        <v>187</v>
      </c>
      <c r="I256" t="s">
        <v>1000</v>
      </c>
      <c r="J256" s="1" t="s">
        <v>1001</v>
      </c>
    </row>
    <row r="257" spans="1:10" ht="15" customHeight="1" x14ac:dyDescent="0.25">
      <c r="A257" t="s">
        <v>1002</v>
      </c>
      <c r="B257">
        <v>2025</v>
      </c>
      <c r="C257" t="s">
        <v>176</v>
      </c>
      <c r="D257" t="b">
        <f>TRUE()</f>
        <v>1</v>
      </c>
      <c r="E257" t="b">
        <f>COUNTIF(connections!A:A, A257) &gt; 0</f>
        <v>0</v>
      </c>
      <c r="G257" t="s">
        <v>1003</v>
      </c>
    </row>
    <row r="258" spans="1:10" ht="15" customHeight="1" x14ac:dyDescent="0.25">
      <c r="A258" t="s">
        <v>1004</v>
      </c>
      <c r="B258">
        <v>2006</v>
      </c>
      <c r="C258" t="s">
        <v>222</v>
      </c>
      <c r="D258" t="b">
        <f>TRUE()</f>
        <v>1</v>
      </c>
      <c r="E258" t="b">
        <f>COUNTIF(connections!A:A, A258) &gt; 0</f>
        <v>1</v>
      </c>
      <c r="G258" t="s">
        <v>1005</v>
      </c>
      <c r="H258" t="s">
        <v>187</v>
      </c>
      <c r="I258" t="s">
        <v>1006</v>
      </c>
      <c r="J258" s="1" t="s">
        <v>1007</v>
      </c>
    </row>
    <row r="259" spans="1:10" ht="15" customHeight="1" x14ac:dyDescent="0.25">
      <c r="A259" t="s">
        <v>1008</v>
      </c>
      <c r="B259">
        <v>2023</v>
      </c>
      <c r="C259" t="s">
        <v>222</v>
      </c>
      <c r="D259" t="b">
        <f>TRUE()</f>
        <v>1</v>
      </c>
      <c r="E259" t="b">
        <f>COUNTIF(connections!A:A, A259) &gt; 0</f>
        <v>0</v>
      </c>
      <c r="G259" t="s">
        <v>1009</v>
      </c>
    </row>
    <row r="260" spans="1:10" ht="15" customHeight="1" x14ac:dyDescent="0.25">
      <c r="A260" t="s">
        <v>1010</v>
      </c>
      <c r="B260">
        <v>2025</v>
      </c>
      <c r="C260" t="s">
        <v>176</v>
      </c>
      <c r="D260" t="b">
        <f>TRUE()</f>
        <v>1</v>
      </c>
      <c r="E260" t="b">
        <f>COUNTIF(connections!A:A, A260) &gt; 0</f>
        <v>1</v>
      </c>
      <c r="G260" t="s">
        <v>1011</v>
      </c>
      <c r="H260" t="s">
        <v>187</v>
      </c>
      <c r="I260" t="s">
        <v>1012</v>
      </c>
      <c r="J260" s="1" t="s">
        <v>1013</v>
      </c>
    </row>
    <row r="261" spans="1:10" ht="15" customHeight="1" x14ac:dyDescent="0.25">
      <c r="A261" t="s">
        <v>1014</v>
      </c>
      <c r="B261">
        <v>2013</v>
      </c>
      <c r="C261" t="s">
        <v>176</v>
      </c>
      <c r="D261" t="b">
        <f>TRUE()</f>
        <v>1</v>
      </c>
      <c r="E261" t="b">
        <f>COUNTIF(connections!A:A, A261) &gt; 0</f>
        <v>0</v>
      </c>
      <c r="G261" t="s">
        <v>1015</v>
      </c>
      <c r="H261" t="s">
        <v>187</v>
      </c>
      <c r="I261" t="s">
        <v>8333</v>
      </c>
      <c r="J261" s="10" t="s">
        <v>1016</v>
      </c>
    </row>
    <row r="262" spans="1:10" ht="15" customHeight="1" x14ac:dyDescent="0.25">
      <c r="A262" t="s">
        <v>1017</v>
      </c>
      <c r="B262">
        <v>2023</v>
      </c>
      <c r="C262" t="s">
        <v>176</v>
      </c>
      <c r="D262" t="b">
        <f>TRUE()</f>
        <v>1</v>
      </c>
      <c r="E262" t="b">
        <f>COUNTIF(connections!A:A, A262) &gt; 0</f>
        <v>0</v>
      </c>
      <c r="G262" t="s">
        <v>1018</v>
      </c>
      <c r="H262" t="s">
        <v>187</v>
      </c>
      <c r="I262" t="s">
        <v>1019</v>
      </c>
      <c r="J262" s="1" t="s">
        <v>1020</v>
      </c>
    </row>
    <row r="263" spans="1:10" ht="15" customHeight="1" x14ac:dyDescent="0.25">
      <c r="A263" t="s">
        <v>1021</v>
      </c>
      <c r="B263">
        <v>2023</v>
      </c>
      <c r="C263" t="s">
        <v>176</v>
      </c>
      <c r="D263" t="b">
        <f>TRUE()</f>
        <v>1</v>
      </c>
      <c r="E263" t="b">
        <f>COUNTIF(connections!A:A, A263) &gt; 0</f>
        <v>0</v>
      </c>
      <c r="G263" t="s">
        <v>1022</v>
      </c>
      <c r="H263" t="s">
        <v>187</v>
      </c>
      <c r="I263" t="s">
        <v>1023</v>
      </c>
      <c r="J263" s="10" t="s">
        <v>1024</v>
      </c>
    </row>
    <row r="264" spans="1:10" ht="15" customHeight="1" x14ac:dyDescent="0.25">
      <c r="A264" t="s">
        <v>1025</v>
      </c>
      <c r="B264">
        <v>2024</v>
      </c>
      <c r="C264" t="s">
        <v>179</v>
      </c>
      <c r="D264" t="b">
        <f>TRUE()</f>
        <v>1</v>
      </c>
      <c r="E264" t="b">
        <f>COUNTIF(connections!A:A, A264) &gt; 0</f>
        <v>0</v>
      </c>
      <c r="G264" t="s">
        <v>1026</v>
      </c>
    </row>
    <row r="265" spans="1:10" ht="15" customHeight="1" x14ac:dyDescent="0.25">
      <c r="A265" t="s">
        <v>1027</v>
      </c>
      <c r="B265">
        <v>2008</v>
      </c>
      <c r="C265" t="s">
        <v>179</v>
      </c>
      <c r="D265" t="b">
        <f>TRUE()</f>
        <v>1</v>
      </c>
      <c r="E265" t="b">
        <f>COUNTIF(connections!A:A, A265) &gt; 0</f>
        <v>1</v>
      </c>
      <c r="G265" t="s">
        <v>1028</v>
      </c>
    </row>
    <row r="266" spans="1:10" ht="15" customHeight="1" x14ac:dyDescent="0.25">
      <c r="A266" t="s">
        <v>1029</v>
      </c>
      <c r="B266">
        <v>2022</v>
      </c>
      <c r="C266" t="s">
        <v>176</v>
      </c>
      <c r="D266" t="b">
        <f>TRUE()</f>
        <v>1</v>
      </c>
      <c r="E266" t="b">
        <f>COUNTIF(connections!A:A, A266) &gt; 0</f>
        <v>1</v>
      </c>
      <c r="F266" t="s">
        <v>1030</v>
      </c>
      <c r="G266" t="s">
        <v>1031</v>
      </c>
      <c r="H266" t="s">
        <v>187</v>
      </c>
      <c r="I266" t="s">
        <v>1032</v>
      </c>
      <c r="J266" s="1" t="s">
        <v>1033</v>
      </c>
    </row>
    <row r="267" spans="1:10" ht="15" customHeight="1" x14ac:dyDescent="0.25">
      <c r="A267" t="s">
        <v>1034</v>
      </c>
      <c r="B267">
        <v>2024</v>
      </c>
      <c r="C267" t="s">
        <v>222</v>
      </c>
      <c r="D267" t="b">
        <f>TRUE()</f>
        <v>1</v>
      </c>
      <c r="E267" t="b">
        <f>COUNTIF(connections!A:A, A267) &gt; 0</f>
        <v>0</v>
      </c>
      <c r="F267" t="s">
        <v>404</v>
      </c>
      <c r="G267" t="s">
        <v>1035</v>
      </c>
      <c r="H267" t="s">
        <v>187</v>
      </c>
      <c r="I267" t="s">
        <v>1036</v>
      </c>
      <c r="J267" s="1" t="s">
        <v>1037</v>
      </c>
    </row>
    <row r="268" spans="1:10" ht="15" customHeight="1" x14ac:dyDescent="0.25">
      <c r="A268" t="s">
        <v>1038</v>
      </c>
      <c r="B268">
        <v>2023</v>
      </c>
      <c r="C268" t="s">
        <v>182</v>
      </c>
      <c r="D268" t="b">
        <f>TRUE()</f>
        <v>1</v>
      </c>
      <c r="E268" t="b">
        <f>COUNTIF(connections!A:A, A268) &gt; 0</f>
        <v>1</v>
      </c>
      <c r="G268" t="s">
        <v>1039</v>
      </c>
      <c r="H268" t="s">
        <v>187</v>
      </c>
      <c r="I268" t="s">
        <v>1040</v>
      </c>
      <c r="J268" s="1" t="s">
        <v>1041</v>
      </c>
    </row>
    <row r="269" spans="1:10" ht="15" customHeight="1" x14ac:dyDescent="0.25">
      <c r="A269" t="s">
        <v>1042</v>
      </c>
      <c r="B269">
        <v>2025</v>
      </c>
      <c r="C269" t="s">
        <v>176</v>
      </c>
      <c r="D269" t="b">
        <f>TRUE()</f>
        <v>1</v>
      </c>
      <c r="E269" t="b">
        <f>COUNTIF(connections!A:A, A269) &gt; 0</f>
        <v>0</v>
      </c>
      <c r="G269" t="s">
        <v>1043</v>
      </c>
      <c r="H269" t="s">
        <v>187</v>
      </c>
      <c r="I269" t="s">
        <v>1044</v>
      </c>
      <c r="J269" s="1" t="s">
        <v>1045</v>
      </c>
    </row>
    <row r="270" spans="1:10" ht="15" customHeight="1" x14ac:dyDescent="0.25">
      <c r="A270" t="s">
        <v>1046</v>
      </c>
      <c r="B270">
        <v>2016</v>
      </c>
      <c r="C270" t="s">
        <v>176</v>
      </c>
      <c r="D270" t="b">
        <f>TRUE()</f>
        <v>1</v>
      </c>
      <c r="E270" t="b">
        <f>COUNTIF(connections!A:A, A270) &gt; 0</f>
        <v>1</v>
      </c>
      <c r="G270" t="s">
        <v>1047</v>
      </c>
      <c r="H270" t="s">
        <v>187</v>
      </c>
      <c r="I270" t="s">
        <v>1048</v>
      </c>
      <c r="J270" s="1" t="s">
        <v>1049</v>
      </c>
    </row>
    <row r="271" spans="1:10" ht="15" customHeight="1" x14ac:dyDescent="0.25">
      <c r="A271" t="s">
        <v>1050</v>
      </c>
      <c r="B271">
        <v>2025</v>
      </c>
      <c r="C271" t="s">
        <v>222</v>
      </c>
      <c r="D271" t="b">
        <f>TRUE()</f>
        <v>1</v>
      </c>
      <c r="E271" t="b">
        <f>COUNTIF(connections!A:A, A271) &gt; 0</f>
        <v>0</v>
      </c>
      <c r="G271" t="s">
        <v>1051</v>
      </c>
    </row>
    <row r="272" spans="1:10" ht="15" customHeight="1" x14ac:dyDescent="0.25">
      <c r="A272" t="s">
        <v>1052</v>
      </c>
      <c r="B272">
        <v>2004</v>
      </c>
      <c r="C272" t="s">
        <v>179</v>
      </c>
      <c r="D272" t="b">
        <f>TRUE()</f>
        <v>1</v>
      </c>
      <c r="E272" t="b">
        <f>COUNTIF(connections!A:A, A272) &gt; 0</f>
        <v>0</v>
      </c>
      <c r="G272" t="s">
        <v>1053</v>
      </c>
      <c r="H272" t="s">
        <v>187</v>
      </c>
      <c r="I272" t="s">
        <v>1054</v>
      </c>
    </row>
    <row r="273" spans="1:10" ht="15" customHeight="1" x14ac:dyDescent="0.25">
      <c r="A273" t="s">
        <v>1055</v>
      </c>
      <c r="B273">
        <v>2015</v>
      </c>
      <c r="C273" t="s">
        <v>179</v>
      </c>
      <c r="D273" t="b">
        <f>TRUE()</f>
        <v>1</v>
      </c>
      <c r="E273" t="b">
        <f>COUNTIF(connections!A:A, A273) &gt; 0</f>
        <v>1</v>
      </c>
      <c r="G273" t="s">
        <v>1056</v>
      </c>
    </row>
    <row r="274" spans="1:10" ht="15" customHeight="1" x14ac:dyDescent="0.25">
      <c r="A274" t="s">
        <v>1057</v>
      </c>
      <c r="B274">
        <v>2017</v>
      </c>
      <c r="C274" t="s">
        <v>179</v>
      </c>
      <c r="D274" t="b">
        <f>TRUE()</f>
        <v>1</v>
      </c>
      <c r="E274" t="b">
        <f>COUNTIF(connections!A:A, A274) &gt; 0</f>
        <v>0</v>
      </c>
      <c r="G274" t="s">
        <v>1058</v>
      </c>
    </row>
    <row r="275" spans="1:10" ht="15" customHeight="1" x14ac:dyDescent="0.25">
      <c r="A275" t="s">
        <v>1059</v>
      </c>
      <c r="B275">
        <v>2026</v>
      </c>
      <c r="C275" t="s">
        <v>176</v>
      </c>
      <c r="D275" t="b">
        <f>TRUE()</f>
        <v>1</v>
      </c>
      <c r="E275" t="b">
        <f>COUNTIF(connections!A:A, A275) &gt; 0</f>
        <v>0</v>
      </c>
      <c r="F275" t="s">
        <v>6956</v>
      </c>
      <c r="G275" t="s">
        <v>1060</v>
      </c>
      <c r="H275" t="s">
        <v>187</v>
      </c>
      <c r="I275" t="s">
        <v>1061</v>
      </c>
      <c r="J275" s="1" t="s">
        <v>1062</v>
      </c>
    </row>
    <row r="276" spans="1:10" ht="15" customHeight="1" x14ac:dyDescent="0.25">
      <c r="A276" t="s">
        <v>1063</v>
      </c>
      <c r="B276">
        <v>2023</v>
      </c>
      <c r="C276" t="s">
        <v>176</v>
      </c>
      <c r="D276" t="b">
        <f>FALSE()</f>
        <v>0</v>
      </c>
      <c r="E276" t="b">
        <f>COUNTIF(connections!A:A, A276) &gt; 0</f>
        <v>0</v>
      </c>
      <c r="G276" t="s">
        <v>1064</v>
      </c>
      <c r="H276" t="s">
        <v>187</v>
      </c>
      <c r="I276" t="s">
        <v>1065</v>
      </c>
      <c r="J276" s="1" t="s">
        <v>1066</v>
      </c>
    </row>
    <row r="277" spans="1:10" ht="15" customHeight="1" x14ac:dyDescent="0.25">
      <c r="A277" t="s">
        <v>1067</v>
      </c>
      <c r="B277">
        <v>2020</v>
      </c>
      <c r="C277" t="s">
        <v>176</v>
      </c>
      <c r="D277" t="b">
        <f>TRUE()</f>
        <v>1</v>
      </c>
      <c r="E277" t="b">
        <f>COUNTIF(connections!A:A, A277) &gt; 0</f>
        <v>0</v>
      </c>
      <c r="G277" t="s">
        <v>1068</v>
      </c>
      <c r="H277" t="s">
        <v>187</v>
      </c>
      <c r="I277" t="s">
        <v>1069</v>
      </c>
      <c r="J277" s="1" t="s">
        <v>1070</v>
      </c>
    </row>
    <row r="278" spans="1:10" ht="15" customHeight="1" x14ac:dyDescent="0.25">
      <c r="A278" t="s">
        <v>1071</v>
      </c>
      <c r="B278">
        <v>2024</v>
      </c>
      <c r="C278" t="s">
        <v>182</v>
      </c>
      <c r="D278" t="b">
        <f>TRUE()</f>
        <v>1</v>
      </c>
      <c r="E278" t="b">
        <f>COUNTIF(connections!A:A, A278) &gt; 0</f>
        <v>0</v>
      </c>
      <c r="G278" t="s">
        <v>1072</v>
      </c>
      <c r="H278" t="s">
        <v>187</v>
      </c>
      <c r="I278" t="s">
        <v>1073</v>
      </c>
      <c r="J278" s="1" t="s">
        <v>1074</v>
      </c>
    </row>
    <row r="279" spans="1:10" ht="15" customHeight="1" x14ac:dyDescent="0.25">
      <c r="A279" t="s">
        <v>1075</v>
      </c>
      <c r="B279">
        <v>2024</v>
      </c>
      <c r="C279" t="s">
        <v>182</v>
      </c>
      <c r="D279" t="b">
        <f>FALSE()</f>
        <v>0</v>
      </c>
      <c r="E279" t="b">
        <f>COUNTIF(connections!A:A, A279) &gt; 0</f>
        <v>0</v>
      </c>
      <c r="F279" t="s">
        <v>1076</v>
      </c>
      <c r="G279" t="s">
        <v>1077</v>
      </c>
      <c r="H279" t="s">
        <v>187</v>
      </c>
      <c r="I279" t="s">
        <v>1078</v>
      </c>
      <c r="J279" s="1" t="s">
        <v>1079</v>
      </c>
    </row>
    <row r="280" spans="1:10" ht="15" customHeight="1" x14ac:dyDescent="0.25">
      <c r="A280" t="s">
        <v>1080</v>
      </c>
      <c r="B280">
        <v>1990</v>
      </c>
      <c r="C280" t="s">
        <v>179</v>
      </c>
      <c r="D280" t="b">
        <f>TRUE()</f>
        <v>1</v>
      </c>
      <c r="E280" t="b">
        <f>COUNTIF(connections!A:A, A280) &gt; 0</f>
        <v>1</v>
      </c>
      <c r="G280" t="s">
        <v>1081</v>
      </c>
      <c r="H280" t="s">
        <v>187</v>
      </c>
      <c r="I280" t="s">
        <v>1082</v>
      </c>
    </row>
    <row r="281" spans="1:10" ht="15" customHeight="1" x14ac:dyDescent="0.25">
      <c r="A281" t="s">
        <v>1083</v>
      </c>
      <c r="B281">
        <v>2018</v>
      </c>
      <c r="C281" t="s">
        <v>222</v>
      </c>
      <c r="D281" t="b">
        <f>TRUE()</f>
        <v>1</v>
      </c>
      <c r="E281" t="b">
        <f>COUNTIF(connections!A:A, A281) &gt; 0</f>
        <v>0</v>
      </c>
      <c r="G281" t="s">
        <v>1084</v>
      </c>
    </row>
    <row r="282" spans="1:10" ht="15" customHeight="1" x14ac:dyDescent="0.25">
      <c r="A282" t="s">
        <v>1085</v>
      </c>
      <c r="B282">
        <v>2024</v>
      </c>
      <c r="C282" t="s">
        <v>222</v>
      </c>
      <c r="D282" t="b">
        <f>TRUE()</f>
        <v>1</v>
      </c>
      <c r="E282" t="b">
        <f>COUNTIF(connections!A:A, A282) &gt; 0</f>
        <v>0</v>
      </c>
      <c r="F282" t="s">
        <v>652</v>
      </c>
      <c r="G282" t="s">
        <v>1086</v>
      </c>
      <c r="H282" t="s">
        <v>187</v>
      </c>
      <c r="I282" t="s">
        <v>1087</v>
      </c>
      <c r="J282" s="1" t="s">
        <v>1088</v>
      </c>
    </row>
    <row r="283" spans="1:10" ht="15" customHeight="1" x14ac:dyDescent="0.25">
      <c r="A283" t="s">
        <v>1089</v>
      </c>
      <c r="B283">
        <v>2021</v>
      </c>
      <c r="C283" t="s">
        <v>182</v>
      </c>
      <c r="D283" t="b">
        <f>TRUE()</f>
        <v>1</v>
      </c>
      <c r="E283" t="b">
        <f>COUNTIF(connections!A:A, A283) &gt; 0</f>
        <v>1</v>
      </c>
      <c r="G283" t="s">
        <v>1090</v>
      </c>
      <c r="H283" t="s">
        <v>187</v>
      </c>
      <c r="I283" t="s">
        <v>1091</v>
      </c>
      <c r="J283" s="1" t="s">
        <v>1092</v>
      </c>
    </row>
    <row r="284" spans="1:10" ht="15" customHeight="1" x14ac:dyDescent="0.25">
      <c r="A284" t="s">
        <v>1093</v>
      </c>
      <c r="B284">
        <v>2007</v>
      </c>
      <c r="C284" t="s">
        <v>179</v>
      </c>
      <c r="D284" t="b">
        <f>TRUE()</f>
        <v>1</v>
      </c>
      <c r="E284" t="b">
        <f>COUNTIF(connections!A:A, A284) &gt; 0</f>
        <v>1</v>
      </c>
      <c r="G284" t="s">
        <v>1094</v>
      </c>
      <c r="H284" t="s">
        <v>187</v>
      </c>
      <c r="I284" t="s">
        <v>1095</v>
      </c>
    </row>
    <row r="285" spans="1:10" ht="15" customHeight="1" x14ac:dyDescent="0.25">
      <c r="A285" t="s">
        <v>1096</v>
      </c>
      <c r="B285">
        <v>2024</v>
      </c>
      <c r="C285" t="s">
        <v>176</v>
      </c>
      <c r="D285" t="b">
        <f>TRUE()</f>
        <v>1</v>
      </c>
      <c r="E285" t="b">
        <f>COUNTIF(connections!A:A, A285) &gt; 0</f>
        <v>0</v>
      </c>
      <c r="F285" t="s">
        <v>652</v>
      </c>
      <c r="G285" t="s">
        <v>1097</v>
      </c>
      <c r="H285" t="s">
        <v>187</v>
      </c>
      <c r="I285" t="s">
        <v>1098</v>
      </c>
      <c r="J285" s="1" t="s">
        <v>1099</v>
      </c>
    </row>
    <row r="286" spans="1:10" ht="15" customHeight="1" x14ac:dyDescent="0.25">
      <c r="A286" t="s">
        <v>1100</v>
      </c>
      <c r="B286">
        <v>2022</v>
      </c>
      <c r="C286" t="s">
        <v>176</v>
      </c>
      <c r="D286" t="b">
        <f>TRUE()</f>
        <v>1</v>
      </c>
      <c r="E286" t="b">
        <f>COUNTIF(connections!A:A, A286) &gt; 0</f>
        <v>1</v>
      </c>
      <c r="G286" t="s">
        <v>1101</v>
      </c>
    </row>
    <row r="287" spans="1:10" ht="15" customHeight="1" x14ac:dyDescent="0.25">
      <c r="A287" t="s">
        <v>1102</v>
      </c>
      <c r="B287">
        <v>2025</v>
      </c>
      <c r="C287" t="s">
        <v>222</v>
      </c>
      <c r="D287" t="b">
        <f>FALSE()</f>
        <v>0</v>
      </c>
      <c r="E287" t="b">
        <f>COUNTIF(connections!A:A, A287) &gt; 0</f>
        <v>0</v>
      </c>
      <c r="G287" t="s">
        <v>1103</v>
      </c>
      <c r="H287" t="s">
        <v>187</v>
      </c>
      <c r="I287" t="s">
        <v>8334</v>
      </c>
      <c r="J287" s="10" t="s">
        <v>8335</v>
      </c>
    </row>
    <row r="288" spans="1:10" ht="15" customHeight="1" x14ac:dyDescent="0.25">
      <c r="A288" t="s">
        <v>1104</v>
      </c>
      <c r="B288">
        <v>2017</v>
      </c>
      <c r="C288" t="s">
        <v>176</v>
      </c>
      <c r="D288" t="b">
        <f>TRUE()</f>
        <v>1</v>
      </c>
      <c r="E288" t="b">
        <f>COUNTIF(connections!A:A, A288) &gt; 0</f>
        <v>0</v>
      </c>
      <c r="F288" t="s">
        <v>274</v>
      </c>
      <c r="G288" t="s">
        <v>1105</v>
      </c>
      <c r="H288" t="s">
        <v>187</v>
      </c>
      <c r="I288" t="s">
        <v>1106</v>
      </c>
      <c r="J288" s="1" t="s">
        <v>1107</v>
      </c>
    </row>
    <row r="289" spans="1:10" ht="15" customHeight="1" x14ac:dyDescent="0.25">
      <c r="A289" t="s">
        <v>1108</v>
      </c>
      <c r="B289">
        <v>2026</v>
      </c>
      <c r="C289" t="s">
        <v>182</v>
      </c>
      <c r="D289" t="b">
        <v>1</v>
      </c>
      <c r="E289" t="b">
        <v>0</v>
      </c>
      <c r="F289" t="s">
        <v>587</v>
      </c>
      <c r="G289" t="s">
        <v>1109</v>
      </c>
      <c r="J289" s="10" t="s">
        <v>1110</v>
      </c>
    </row>
    <row r="290" spans="1:10" ht="15" customHeight="1" x14ac:dyDescent="0.25">
      <c r="A290" t="s">
        <v>1111</v>
      </c>
      <c r="B290">
        <v>2024</v>
      </c>
      <c r="C290" t="s">
        <v>176</v>
      </c>
      <c r="D290" t="b">
        <v>1</v>
      </c>
      <c r="E290" t="b">
        <v>0</v>
      </c>
      <c r="F290" t="s">
        <v>614</v>
      </c>
      <c r="G290" t="s">
        <v>1112</v>
      </c>
      <c r="H290" t="s">
        <v>187</v>
      </c>
      <c r="I290" t="s">
        <v>1113</v>
      </c>
      <c r="J290" s="1" t="s">
        <v>1114</v>
      </c>
    </row>
    <row r="291" spans="1:10" ht="15" customHeight="1" x14ac:dyDescent="0.25">
      <c r="A291" t="s">
        <v>1115</v>
      </c>
      <c r="B291">
        <v>2018</v>
      </c>
      <c r="C291" t="s">
        <v>222</v>
      </c>
      <c r="D291" t="b">
        <f>TRUE()</f>
        <v>1</v>
      </c>
      <c r="E291" t="b">
        <f>COUNTIF(connections!A:A, A291) &gt; 0</f>
        <v>1</v>
      </c>
      <c r="G291" t="s">
        <v>1116</v>
      </c>
      <c r="H291" t="s">
        <v>187</v>
      </c>
      <c r="I291" t="s">
        <v>1117</v>
      </c>
      <c r="J291" s="1" t="s">
        <v>1118</v>
      </c>
    </row>
    <row r="292" spans="1:10" ht="15" customHeight="1" x14ac:dyDescent="0.25">
      <c r="A292" t="s">
        <v>1119</v>
      </c>
      <c r="B292">
        <v>2023</v>
      </c>
      <c r="C292" t="s">
        <v>222</v>
      </c>
      <c r="D292" t="b">
        <f>TRUE()</f>
        <v>1</v>
      </c>
      <c r="E292" t="b">
        <f>COUNTIF(connections!A:A, A292) &gt; 0</f>
        <v>0</v>
      </c>
      <c r="G292" t="s">
        <v>1120</v>
      </c>
      <c r="H292" t="s">
        <v>187</v>
      </c>
      <c r="I292" t="s">
        <v>1121</v>
      </c>
      <c r="J292" s="1" t="s">
        <v>1122</v>
      </c>
    </row>
    <row r="293" spans="1:10" ht="15" customHeight="1" x14ac:dyDescent="0.25">
      <c r="A293" t="s">
        <v>1123</v>
      </c>
      <c r="B293">
        <v>2020</v>
      </c>
      <c r="C293" t="s">
        <v>182</v>
      </c>
      <c r="D293" t="b">
        <f>TRUE()</f>
        <v>1</v>
      </c>
      <c r="E293" t="b">
        <f>COUNTIF(connections!A:A, A293) &gt; 0</f>
        <v>1</v>
      </c>
      <c r="F293" t="s">
        <v>274</v>
      </c>
      <c r="G293" t="s">
        <v>1124</v>
      </c>
      <c r="H293" t="s">
        <v>187</v>
      </c>
      <c r="I293" t="s">
        <v>1125</v>
      </c>
      <c r="J293" s="10" t="s">
        <v>1126</v>
      </c>
    </row>
    <row r="294" spans="1:10" ht="15" customHeight="1" x14ac:dyDescent="0.25">
      <c r="A294" t="s">
        <v>1127</v>
      </c>
      <c r="B294">
        <v>2025</v>
      </c>
      <c r="C294" t="s">
        <v>176</v>
      </c>
      <c r="D294" t="b">
        <f>FALSE()</f>
        <v>0</v>
      </c>
      <c r="E294" t="b">
        <f>COUNTIF(connections!A:A, A294) &gt; 0</f>
        <v>0</v>
      </c>
      <c r="G294" t="s">
        <v>1128</v>
      </c>
    </row>
    <row r="295" spans="1:10" ht="15" customHeight="1" x14ac:dyDescent="0.25">
      <c r="A295" t="s">
        <v>1129</v>
      </c>
      <c r="B295">
        <v>2022</v>
      </c>
      <c r="C295" t="s">
        <v>222</v>
      </c>
      <c r="D295" t="b">
        <f>TRUE()</f>
        <v>1</v>
      </c>
      <c r="E295" t="b">
        <f>COUNTIF(connections!A:A, A295) &gt; 0</f>
        <v>1</v>
      </c>
      <c r="G295" t="s">
        <v>1130</v>
      </c>
      <c r="H295" t="s">
        <v>187</v>
      </c>
      <c r="I295" t="s">
        <v>1131</v>
      </c>
      <c r="J295" s="1" t="s">
        <v>1132</v>
      </c>
    </row>
    <row r="296" spans="1:10" ht="15" customHeight="1" x14ac:dyDescent="0.25">
      <c r="A296" t="s">
        <v>1133</v>
      </c>
      <c r="B296">
        <v>2017</v>
      </c>
      <c r="C296" t="s">
        <v>176</v>
      </c>
      <c r="D296" t="b">
        <f>TRUE()</f>
        <v>1</v>
      </c>
      <c r="E296" t="b">
        <f>COUNTIF(connections!A:A, A296) &gt; 0</f>
        <v>0</v>
      </c>
      <c r="G296" t="s">
        <v>1134</v>
      </c>
      <c r="H296" t="s">
        <v>187</v>
      </c>
      <c r="I296" t="s">
        <v>1135</v>
      </c>
      <c r="J296" s="1" t="s">
        <v>1136</v>
      </c>
    </row>
    <row r="297" spans="1:10" ht="15" customHeight="1" x14ac:dyDescent="0.25">
      <c r="A297" t="s">
        <v>1137</v>
      </c>
      <c r="B297">
        <v>2025</v>
      </c>
      <c r="C297" t="s">
        <v>176</v>
      </c>
      <c r="D297" t="b">
        <f>TRUE()</f>
        <v>1</v>
      </c>
      <c r="E297" t="b">
        <f>COUNTIF(connections!A:A, A297) &gt; 0</f>
        <v>0</v>
      </c>
      <c r="G297" t="s">
        <v>1138</v>
      </c>
      <c r="H297" t="s">
        <v>187</v>
      </c>
      <c r="I297" t="s">
        <v>1139</v>
      </c>
      <c r="J297" s="1" t="s">
        <v>1140</v>
      </c>
    </row>
    <row r="298" spans="1:10" ht="15" customHeight="1" x14ac:dyDescent="0.25">
      <c r="A298" t="s">
        <v>1141</v>
      </c>
      <c r="B298">
        <v>2006</v>
      </c>
      <c r="C298" t="s">
        <v>179</v>
      </c>
      <c r="D298" t="b">
        <f>TRUE()</f>
        <v>1</v>
      </c>
      <c r="E298" t="b">
        <f>COUNTIF(connections!A:A, A298) &gt; 0</f>
        <v>0</v>
      </c>
      <c r="G298" t="s">
        <v>1142</v>
      </c>
      <c r="H298" t="s">
        <v>187</v>
      </c>
      <c r="I298" t="s">
        <v>1143</v>
      </c>
    </row>
    <row r="299" spans="1:10" ht="15" customHeight="1" x14ac:dyDescent="0.25">
      <c r="A299" t="s">
        <v>1144</v>
      </c>
      <c r="B299">
        <v>2012</v>
      </c>
      <c r="C299" t="s">
        <v>222</v>
      </c>
      <c r="D299" t="b">
        <f>TRUE()</f>
        <v>1</v>
      </c>
      <c r="E299" t="b">
        <f>COUNTIF(connections!A:A, A299) &gt; 0</f>
        <v>1</v>
      </c>
      <c r="F299" t="s">
        <v>274</v>
      </c>
      <c r="G299" t="s">
        <v>1145</v>
      </c>
      <c r="H299" t="s">
        <v>187</v>
      </c>
      <c r="I299" t="s">
        <v>1146</v>
      </c>
      <c r="J299" s="1" t="s">
        <v>1147</v>
      </c>
    </row>
    <row r="300" spans="1:10" ht="15" customHeight="1" x14ac:dyDescent="0.25">
      <c r="A300" t="s">
        <v>1148</v>
      </c>
      <c r="B300">
        <v>2013</v>
      </c>
      <c r="C300" t="s">
        <v>176</v>
      </c>
      <c r="D300" t="b">
        <f>TRUE()</f>
        <v>1</v>
      </c>
      <c r="E300" t="b">
        <f>COUNTIF(connections!A:A, A300) &gt; 0</f>
        <v>0</v>
      </c>
      <c r="G300" t="s">
        <v>1149</v>
      </c>
      <c r="J300" s="10" t="s">
        <v>1150</v>
      </c>
    </row>
    <row r="301" spans="1:10" ht="15" customHeight="1" x14ac:dyDescent="0.25">
      <c r="A301" t="s">
        <v>1151</v>
      </c>
      <c r="B301">
        <v>2020</v>
      </c>
      <c r="C301" t="s">
        <v>176</v>
      </c>
      <c r="D301" t="b">
        <f>TRUE()</f>
        <v>1</v>
      </c>
      <c r="E301" t="b">
        <f>COUNTIF(connections!A:A, A301) &gt; 0</f>
        <v>0</v>
      </c>
      <c r="G301" t="s">
        <v>1152</v>
      </c>
      <c r="H301" t="s">
        <v>187</v>
      </c>
      <c r="I301" t="s">
        <v>1153</v>
      </c>
      <c r="J301" s="1" t="s">
        <v>1154</v>
      </c>
    </row>
    <row r="302" spans="1:10" ht="15" customHeight="1" x14ac:dyDescent="0.25">
      <c r="A302" t="s">
        <v>1155</v>
      </c>
      <c r="B302">
        <v>2010</v>
      </c>
      <c r="C302" t="s">
        <v>179</v>
      </c>
      <c r="D302" t="b">
        <f>TRUE()</f>
        <v>1</v>
      </c>
      <c r="E302" t="b">
        <f>COUNTIF(connections!A:A, A302) &gt; 0</f>
        <v>1</v>
      </c>
      <c r="F302" t="s">
        <v>328</v>
      </c>
      <c r="G302" t="s">
        <v>1156</v>
      </c>
    </row>
    <row r="303" spans="1:10" ht="15" customHeight="1" x14ac:dyDescent="0.25">
      <c r="A303" t="s">
        <v>1157</v>
      </c>
      <c r="B303">
        <v>2014</v>
      </c>
      <c r="C303" t="s">
        <v>179</v>
      </c>
      <c r="D303" t="b">
        <f>TRUE()</f>
        <v>1</v>
      </c>
      <c r="E303" t="b">
        <f>COUNTIF(connections!A:A, A303) &gt; 0</f>
        <v>1</v>
      </c>
      <c r="F303" t="s">
        <v>328</v>
      </c>
      <c r="G303" t="s">
        <v>1158</v>
      </c>
    </row>
    <row r="304" spans="1:10" ht="15" customHeight="1" x14ac:dyDescent="0.25">
      <c r="A304" t="s">
        <v>1159</v>
      </c>
      <c r="B304">
        <v>2024</v>
      </c>
      <c r="C304" t="s">
        <v>176</v>
      </c>
      <c r="D304" t="b">
        <f>TRUE()</f>
        <v>1</v>
      </c>
      <c r="E304" t="b">
        <f>COUNTIF(connections!A:A, A304) &gt; 0</f>
        <v>0</v>
      </c>
      <c r="F304" t="s">
        <v>274</v>
      </c>
      <c r="G304" t="s">
        <v>1160</v>
      </c>
      <c r="H304" t="s">
        <v>187</v>
      </c>
      <c r="I304" t="s">
        <v>1161</v>
      </c>
      <c r="J304" s="1" t="s">
        <v>1162</v>
      </c>
    </row>
    <row r="305" spans="1:10" ht="15" customHeight="1" x14ac:dyDescent="0.25">
      <c r="A305" t="s">
        <v>1163</v>
      </c>
      <c r="B305">
        <v>2026</v>
      </c>
      <c r="C305" t="s">
        <v>182</v>
      </c>
      <c r="D305" t="b">
        <f>TRUE()</f>
        <v>1</v>
      </c>
      <c r="E305" t="b">
        <f>COUNTIF(connections!A:A, A305) &gt; 0</f>
        <v>0</v>
      </c>
      <c r="F305" t="s">
        <v>1164</v>
      </c>
      <c r="G305" t="s">
        <v>1165</v>
      </c>
    </row>
    <row r="306" spans="1:10" ht="15" customHeight="1" x14ac:dyDescent="0.25">
      <c r="A306" t="s">
        <v>1166</v>
      </c>
      <c r="B306">
        <v>2025</v>
      </c>
      <c r="C306" t="s">
        <v>176</v>
      </c>
      <c r="D306" t="b">
        <f>TRUE()</f>
        <v>1</v>
      </c>
      <c r="E306" t="b">
        <f>COUNTIF(connections!A:A, A306) &gt; 0</f>
        <v>0</v>
      </c>
      <c r="G306" t="s">
        <v>1167</v>
      </c>
    </row>
    <row r="307" spans="1:10" ht="15" customHeight="1" x14ac:dyDescent="0.25">
      <c r="A307" t="s">
        <v>1168</v>
      </c>
      <c r="B307">
        <v>2024</v>
      </c>
      <c r="C307" t="s">
        <v>176</v>
      </c>
      <c r="D307" t="b">
        <f>TRUE()</f>
        <v>1</v>
      </c>
      <c r="E307" t="b">
        <f>COUNTIF(connections!A:A, A307) &gt; 0</f>
        <v>0</v>
      </c>
      <c r="G307" t="s">
        <v>1169</v>
      </c>
      <c r="H307" t="s">
        <v>187</v>
      </c>
      <c r="I307" t="s">
        <v>1170</v>
      </c>
    </row>
    <row r="308" spans="1:10" ht="15" customHeight="1" x14ac:dyDescent="0.25">
      <c r="A308" t="s">
        <v>1171</v>
      </c>
      <c r="B308">
        <v>2002</v>
      </c>
      <c r="C308" t="s">
        <v>179</v>
      </c>
      <c r="D308" t="b">
        <f>TRUE()</f>
        <v>1</v>
      </c>
      <c r="E308" t="b">
        <f>COUNTIF(connections!A:A, A308) &gt; 0</f>
        <v>1</v>
      </c>
      <c r="F308" t="s">
        <v>277</v>
      </c>
      <c r="G308" t="s">
        <v>1172</v>
      </c>
      <c r="H308" t="s">
        <v>187</v>
      </c>
      <c r="I308" t="s">
        <v>1173</v>
      </c>
    </row>
    <row r="309" spans="1:10" ht="15" customHeight="1" x14ac:dyDescent="0.25">
      <c r="A309" t="s">
        <v>1174</v>
      </c>
      <c r="B309">
        <v>2007</v>
      </c>
      <c r="C309" t="s">
        <v>179</v>
      </c>
      <c r="D309" t="b">
        <f>TRUE()</f>
        <v>1</v>
      </c>
      <c r="E309" t="b">
        <f>COUNTIF(connections!A:A, A309) &gt; 0</f>
        <v>1</v>
      </c>
      <c r="F309" t="s">
        <v>277</v>
      </c>
      <c r="G309" t="s">
        <v>1175</v>
      </c>
      <c r="H309" t="s">
        <v>187</v>
      </c>
      <c r="I309" t="s">
        <v>1176</v>
      </c>
    </row>
    <row r="310" spans="1:10" ht="15" customHeight="1" x14ac:dyDescent="0.25">
      <c r="A310" t="s">
        <v>1177</v>
      </c>
      <c r="B310">
        <v>2022</v>
      </c>
      <c r="C310" t="s">
        <v>179</v>
      </c>
      <c r="D310" t="b">
        <f>TRUE()</f>
        <v>1</v>
      </c>
      <c r="E310" t="b">
        <f>COUNTIF(connections!A:A, A310) &gt; 0</f>
        <v>0</v>
      </c>
      <c r="F310" t="s">
        <v>277</v>
      </c>
      <c r="G310" t="s">
        <v>1178</v>
      </c>
      <c r="J310" s="10" t="s">
        <v>1179</v>
      </c>
    </row>
    <row r="311" spans="1:10" ht="15" customHeight="1" x14ac:dyDescent="0.25">
      <c r="A311" t="s">
        <v>1180</v>
      </c>
      <c r="B311">
        <v>2024</v>
      </c>
      <c r="C311" t="s">
        <v>176</v>
      </c>
      <c r="D311" t="b">
        <f>FALSE()</f>
        <v>0</v>
      </c>
      <c r="E311" t="b">
        <f>COUNTIF(connections!A:A, A311) &gt; 0</f>
        <v>1</v>
      </c>
      <c r="G311" t="s">
        <v>1181</v>
      </c>
      <c r="H311" t="s">
        <v>187</v>
      </c>
      <c r="I311" t="s">
        <v>1182</v>
      </c>
      <c r="J311" s="1" t="s">
        <v>1183</v>
      </c>
    </row>
    <row r="312" spans="1:10" ht="15" customHeight="1" x14ac:dyDescent="0.25">
      <c r="A312" t="s">
        <v>1184</v>
      </c>
      <c r="B312">
        <v>2026</v>
      </c>
      <c r="C312" t="s">
        <v>176</v>
      </c>
      <c r="D312" t="b">
        <f>TRUE()</f>
        <v>1</v>
      </c>
      <c r="E312" t="b">
        <f>COUNTIF(connections!A:A, A312) &gt; 0</f>
        <v>0</v>
      </c>
      <c r="G312" t="s">
        <v>1185</v>
      </c>
      <c r="J312" s="10" t="s">
        <v>1186</v>
      </c>
    </row>
    <row r="313" spans="1:10" ht="15" customHeight="1" x14ac:dyDescent="0.25">
      <c r="A313" t="s">
        <v>1187</v>
      </c>
      <c r="B313">
        <v>2020</v>
      </c>
      <c r="C313" t="s">
        <v>176</v>
      </c>
      <c r="D313" t="b">
        <f>FALSE()</f>
        <v>0</v>
      </c>
      <c r="E313" t="b">
        <f>COUNTIF(connections!A:A, A313) &gt; 0</f>
        <v>1</v>
      </c>
      <c r="G313" t="s">
        <v>1188</v>
      </c>
      <c r="H313" t="s">
        <v>187</v>
      </c>
      <c r="I313" t="s">
        <v>1189</v>
      </c>
      <c r="J313" s="1" t="s">
        <v>1190</v>
      </c>
    </row>
    <row r="314" spans="1:10" ht="15" customHeight="1" x14ac:dyDescent="0.25">
      <c r="A314" t="s">
        <v>1191</v>
      </c>
      <c r="B314">
        <v>2023</v>
      </c>
      <c r="C314" t="s">
        <v>176</v>
      </c>
      <c r="D314" t="b">
        <f>FALSE()</f>
        <v>0</v>
      </c>
      <c r="E314" t="b">
        <f>COUNTIF(connections!A:A, A314) &gt; 0</f>
        <v>0</v>
      </c>
      <c r="G314" t="s">
        <v>1192</v>
      </c>
      <c r="H314" t="s">
        <v>187</v>
      </c>
      <c r="I314" t="s">
        <v>1193</v>
      </c>
      <c r="J314" s="1" t="s">
        <v>1194</v>
      </c>
    </row>
    <row r="315" spans="1:10" ht="15" customHeight="1" x14ac:dyDescent="0.25">
      <c r="A315" t="s">
        <v>1195</v>
      </c>
      <c r="B315">
        <v>2024</v>
      </c>
      <c r="C315" t="s">
        <v>176</v>
      </c>
      <c r="D315" t="b">
        <f>TRUE()</f>
        <v>1</v>
      </c>
      <c r="E315" t="b">
        <f>COUNTIF(connections!A:A, A315) &gt; 0</f>
        <v>0</v>
      </c>
      <c r="G315" t="s">
        <v>1196</v>
      </c>
    </row>
    <row r="316" spans="1:10" ht="15" customHeight="1" x14ac:dyDescent="0.25">
      <c r="A316" t="s">
        <v>1197</v>
      </c>
      <c r="B316">
        <v>2020</v>
      </c>
      <c r="C316" t="s">
        <v>179</v>
      </c>
      <c r="D316" t="b">
        <f>TRUE()</f>
        <v>1</v>
      </c>
      <c r="E316" t="b">
        <f>COUNTIF(connections!A:A, A316) &gt; 0</f>
        <v>0</v>
      </c>
      <c r="G316" t="s">
        <v>1198</v>
      </c>
      <c r="H316" t="s">
        <v>187</v>
      </c>
      <c r="I316" t="s">
        <v>1199</v>
      </c>
      <c r="J316" s="1" t="s">
        <v>1200</v>
      </c>
    </row>
    <row r="317" spans="1:10" ht="15" customHeight="1" x14ac:dyDescent="0.25">
      <c r="A317" t="s">
        <v>1201</v>
      </c>
      <c r="B317">
        <v>2025</v>
      </c>
      <c r="C317" t="s">
        <v>222</v>
      </c>
      <c r="D317" t="b">
        <v>1</v>
      </c>
      <c r="E317" t="b">
        <f>COUNTIF(connections!A:A, A317) &gt; 0</f>
        <v>0</v>
      </c>
      <c r="F317" t="s">
        <v>404</v>
      </c>
      <c r="G317" t="s">
        <v>1202</v>
      </c>
      <c r="H317" t="s">
        <v>187</v>
      </c>
      <c r="I317" t="s">
        <v>1203</v>
      </c>
      <c r="J317" s="1" t="s">
        <v>1204</v>
      </c>
    </row>
    <row r="318" spans="1:10" ht="15" customHeight="1" x14ac:dyDescent="0.25">
      <c r="A318" t="s">
        <v>1205</v>
      </c>
      <c r="B318">
        <v>2024</v>
      </c>
      <c r="C318" t="s">
        <v>176</v>
      </c>
      <c r="D318" t="b">
        <f>FALSE()</f>
        <v>0</v>
      </c>
      <c r="E318" t="b">
        <f>COUNTIF(connections!A:A, A318) &gt; 0</f>
        <v>0</v>
      </c>
      <c r="F318" t="s">
        <v>277</v>
      </c>
      <c r="G318" t="s">
        <v>1206</v>
      </c>
      <c r="H318" t="s">
        <v>187</v>
      </c>
      <c r="I318" t="s">
        <v>1207</v>
      </c>
      <c r="J318" s="1" t="s">
        <v>1208</v>
      </c>
    </row>
    <row r="319" spans="1:10" ht="15" customHeight="1" x14ac:dyDescent="0.25">
      <c r="A319" t="s">
        <v>1209</v>
      </c>
      <c r="B319">
        <v>2026</v>
      </c>
      <c r="C319" t="s">
        <v>182</v>
      </c>
      <c r="D319" t="b">
        <f>FALSE()</f>
        <v>0</v>
      </c>
      <c r="E319" t="b">
        <f>COUNTIF(connections!A:A, A319) &gt; 0</f>
        <v>0</v>
      </c>
      <c r="F319" t="s">
        <v>264</v>
      </c>
      <c r="G319" t="s">
        <v>1210</v>
      </c>
    </row>
    <row r="320" spans="1:10" ht="15" customHeight="1" x14ac:dyDescent="0.25">
      <c r="A320" t="s">
        <v>1211</v>
      </c>
      <c r="B320">
        <v>2023</v>
      </c>
      <c r="C320" t="s">
        <v>176</v>
      </c>
      <c r="D320" t="b">
        <f>TRUE()</f>
        <v>1</v>
      </c>
      <c r="E320" t="b">
        <f>COUNTIF(connections!A:A, A320) &gt; 0</f>
        <v>0</v>
      </c>
      <c r="G320" t="s">
        <v>1212</v>
      </c>
      <c r="H320" t="s">
        <v>187</v>
      </c>
      <c r="I320" t="s">
        <v>1213</v>
      </c>
      <c r="J320" s="1" t="s">
        <v>1214</v>
      </c>
    </row>
    <row r="321" spans="1:10" ht="15" customHeight="1" x14ac:dyDescent="0.25">
      <c r="A321" t="s">
        <v>1215</v>
      </c>
      <c r="B321">
        <v>2025</v>
      </c>
      <c r="C321" t="s">
        <v>176</v>
      </c>
      <c r="D321" t="b">
        <f>FALSE()</f>
        <v>0</v>
      </c>
      <c r="E321" t="b">
        <f>COUNTIF(connections!A:A, A321) &gt; 0</f>
        <v>0</v>
      </c>
      <c r="G321" t="s">
        <v>1216</v>
      </c>
      <c r="H321" t="s">
        <v>187</v>
      </c>
      <c r="I321" t="s">
        <v>1217</v>
      </c>
      <c r="J321" s="1" t="s">
        <v>1218</v>
      </c>
    </row>
    <row r="322" spans="1:10" ht="15" customHeight="1" x14ac:dyDescent="0.25">
      <c r="A322" t="s">
        <v>1219</v>
      </c>
      <c r="B322">
        <v>2020</v>
      </c>
      <c r="C322" t="s">
        <v>176</v>
      </c>
      <c r="D322" t="b">
        <f>TRUE()</f>
        <v>1</v>
      </c>
      <c r="E322" t="b">
        <f>COUNTIF(connections!A:A, A322) &gt; 0</f>
        <v>0</v>
      </c>
      <c r="G322" t="s">
        <v>1220</v>
      </c>
      <c r="H322" t="s">
        <v>187</v>
      </c>
      <c r="I322" t="s">
        <v>1221</v>
      </c>
      <c r="J322" s="1" t="s">
        <v>1222</v>
      </c>
    </row>
    <row r="323" spans="1:10" ht="15" customHeight="1" x14ac:dyDescent="0.25">
      <c r="A323" t="s">
        <v>1223</v>
      </c>
      <c r="B323">
        <v>2014</v>
      </c>
      <c r="C323" t="s">
        <v>179</v>
      </c>
      <c r="D323" t="b">
        <f>TRUE()</f>
        <v>1</v>
      </c>
      <c r="E323" t="b">
        <f>COUNTIF(connections!A:A, A323) &gt; 0</f>
        <v>0</v>
      </c>
      <c r="G323" t="s">
        <v>1224</v>
      </c>
      <c r="H323" t="s">
        <v>187</v>
      </c>
      <c r="I323" t="s">
        <v>1225</v>
      </c>
      <c r="J323" s="1" t="s">
        <v>1226</v>
      </c>
    </row>
    <row r="324" spans="1:10" ht="15" customHeight="1" x14ac:dyDescent="0.25">
      <c r="A324" t="s">
        <v>1227</v>
      </c>
      <c r="B324">
        <v>2020</v>
      </c>
      <c r="C324" t="s">
        <v>176</v>
      </c>
      <c r="D324" t="b">
        <f>TRUE()</f>
        <v>1</v>
      </c>
      <c r="E324" t="b">
        <f>COUNTIF(connections!A:A, A324) &gt; 0</f>
        <v>0</v>
      </c>
      <c r="G324" t="s">
        <v>1228</v>
      </c>
      <c r="H324" t="s">
        <v>187</v>
      </c>
      <c r="I324" t="s">
        <v>1229</v>
      </c>
      <c r="J324" s="1" t="s">
        <v>1230</v>
      </c>
    </row>
    <row r="325" spans="1:10" ht="15" customHeight="1" x14ac:dyDescent="0.25">
      <c r="A325" t="s">
        <v>1231</v>
      </c>
      <c r="B325">
        <v>2022</v>
      </c>
      <c r="C325" t="s">
        <v>176</v>
      </c>
      <c r="D325" t="b">
        <f>TRUE()</f>
        <v>1</v>
      </c>
      <c r="E325" t="b">
        <f>COUNTIF(connections!A:A, A325) &gt; 0</f>
        <v>0</v>
      </c>
      <c r="G325" t="s">
        <v>1232</v>
      </c>
      <c r="H325" t="s">
        <v>187</v>
      </c>
      <c r="I325" t="s">
        <v>1233</v>
      </c>
      <c r="J325" s="1" t="s">
        <v>1234</v>
      </c>
    </row>
    <row r="326" spans="1:10" ht="15" customHeight="1" x14ac:dyDescent="0.25">
      <c r="A326" t="s">
        <v>1235</v>
      </c>
      <c r="B326">
        <v>2016</v>
      </c>
      <c r="C326" t="s">
        <v>176</v>
      </c>
      <c r="D326" t="b">
        <f>TRUE()</f>
        <v>1</v>
      </c>
      <c r="E326" t="b">
        <f>COUNTIF(connections!A:A, A326) &gt; 0</f>
        <v>1</v>
      </c>
      <c r="G326" t="s">
        <v>1236</v>
      </c>
      <c r="H326" t="s">
        <v>187</v>
      </c>
      <c r="I326" t="s">
        <v>1237</v>
      </c>
      <c r="J326" s="1" t="s">
        <v>1238</v>
      </c>
    </row>
    <row r="327" spans="1:10" ht="15" customHeight="1" x14ac:dyDescent="0.25">
      <c r="A327" t="s">
        <v>1239</v>
      </c>
      <c r="B327">
        <v>2020</v>
      </c>
      <c r="C327" t="s">
        <v>176</v>
      </c>
      <c r="D327" t="b">
        <f>TRUE()</f>
        <v>1</v>
      </c>
      <c r="E327" t="b">
        <f>COUNTIF(connections!A:A, A327) &gt; 0</f>
        <v>0</v>
      </c>
      <c r="G327" t="s">
        <v>1240</v>
      </c>
      <c r="H327" t="s">
        <v>187</v>
      </c>
      <c r="I327" t="s">
        <v>1241</v>
      </c>
      <c r="J327" s="1" t="s">
        <v>1242</v>
      </c>
    </row>
    <row r="328" spans="1:10" ht="15" customHeight="1" x14ac:dyDescent="0.25">
      <c r="A328" t="s">
        <v>1243</v>
      </c>
      <c r="B328">
        <v>2023</v>
      </c>
      <c r="C328" t="s">
        <v>176</v>
      </c>
      <c r="D328" t="b">
        <f>TRUE()</f>
        <v>1</v>
      </c>
      <c r="E328" t="b">
        <f>COUNTIF(connections!A:A, A328) &gt; 0</f>
        <v>0</v>
      </c>
      <c r="G328" t="s">
        <v>1244</v>
      </c>
    </row>
    <row r="329" spans="1:10" ht="15" customHeight="1" x14ac:dyDescent="0.25">
      <c r="A329" t="s">
        <v>1245</v>
      </c>
      <c r="B329">
        <v>2020</v>
      </c>
      <c r="C329" t="s">
        <v>182</v>
      </c>
      <c r="D329" t="b">
        <f>TRUE()</f>
        <v>1</v>
      </c>
      <c r="E329" t="b">
        <f>COUNTIF(connections!A:A, A329) &gt; 0</f>
        <v>0</v>
      </c>
      <c r="G329" t="s">
        <v>1246</v>
      </c>
      <c r="H329" t="s">
        <v>187</v>
      </c>
      <c r="I329" t="s">
        <v>1247</v>
      </c>
      <c r="J329" s="10" t="s">
        <v>1248</v>
      </c>
    </row>
    <row r="330" spans="1:10" ht="15" customHeight="1" x14ac:dyDescent="0.25">
      <c r="A330" t="s">
        <v>1249</v>
      </c>
      <c r="B330">
        <v>2025</v>
      </c>
      <c r="C330" t="s">
        <v>176</v>
      </c>
      <c r="D330" t="b">
        <f>FALSE()</f>
        <v>0</v>
      </c>
      <c r="E330" t="b">
        <f>COUNTIF(connections!A:A, A330) &gt; 0</f>
        <v>0</v>
      </c>
      <c r="F330" t="s">
        <v>277</v>
      </c>
      <c r="G330" t="s">
        <v>1250</v>
      </c>
    </row>
    <row r="331" spans="1:10" ht="15" customHeight="1" x14ac:dyDescent="0.25">
      <c r="A331" t="s">
        <v>1251</v>
      </c>
      <c r="B331">
        <v>2023</v>
      </c>
      <c r="C331" t="s">
        <v>176</v>
      </c>
      <c r="D331" t="b">
        <f>TRUE()</f>
        <v>1</v>
      </c>
      <c r="E331" t="b">
        <f>COUNTIF(connections!A:A, A331) &gt; 0</f>
        <v>0</v>
      </c>
      <c r="G331" t="s">
        <v>1252</v>
      </c>
      <c r="H331" t="s">
        <v>187</v>
      </c>
      <c r="I331" t="s">
        <v>1253</v>
      </c>
      <c r="J331" s="1" t="s">
        <v>1254</v>
      </c>
    </row>
    <row r="332" spans="1:10" ht="15" customHeight="1" x14ac:dyDescent="0.25">
      <c r="A332" t="s">
        <v>1255</v>
      </c>
      <c r="B332">
        <v>2020</v>
      </c>
      <c r="C332" t="s">
        <v>182</v>
      </c>
      <c r="D332" t="b">
        <f>TRUE()</f>
        <v>1</v>
      </c>
      <c r="E332" t="b">
        <f>COUNTIF(connections!A:A, A332) &gt; 0</f>
        <v>1</v>
      </c>
      <c r="G332" t="s">
        <v>1256</v>
      </c>
      <c r="H332" t="s">
        <v>187</v>
      </c>
      <c r="I332" t="s">
        <v>1257</v>
      </c>
      <c r="J332" s="1" t="s">
        <v>1258</v>
      </c>
    </row>
    <row r="333" spans="1:10" ht="15" customHeight="1" x14ac:dyDescent="0.25">
      <c r="A333" t="s">
        <v>1259</v>
      </c>
      <c r="B333">
        <v>2021</v>
      </c>
      <c r="C333" t="s">
        <v>176</v>
      </c>
      <c r="D333" t="b">
        <f>TRUE()</f>
        <v>1</v>
      </c>
      <c r="E333" t="b">
        <f>COUNTIF(connections!A:A, A333) &gt; 0</f>
        <v>1</v>
      </c>
      <c r="G333" t="s">
        <v>1260</v>
      </c>
      <c r="H333" t="s">
        <v>187</v>
      </c>
      <c r="I333" t="s">
        <v>1261</v>
      </c>
    </row>
    <row r="334" spans="1:10" ht="15" customHeight="1" x14ac:dyDescent="0.25">
      <c r="A334" t="s">
        <v>1262</v>
      </c>
      <c r="B334">
        <v>2024</v>
      </c>
      <c r="C334" t="s">
        <v>176</v>
      </c>
      <c r="D334" t="b">
        <f>TRUE()</f>
        <v>1</v>
      </c>
      <c r="E334" t="b">
        <f>COUNTIF(connections!A:A, A334) &gt; 0</f>
        <v>0</v>
      </c>
      <c r="G334" t="s">
        <v>1263</v>
      </c>
      <c r="J334" s="10" t="s">
        <v>1264</v>
      </c>
    </row>
    <row r="335" spans="1:10" ht="15" customHeight="1" x14ac:dyDescent="0.25">
      <c r="A335" t="s">
        <v>1265</v>
      </c>
      <c r="B335">
        <v>2015</v>
      </c>
      <c r="C335" t="s">
        <v>182</v>
      </c>
      <c r="D335" t="b">
        <f>TRUE()</f>
        <v>1</v>
      </c>
      <c r="E335" t="b">
        <f>COUNTIF(connections!A:A, A335) &gt; 0</f>
        <v>1</v>
      </c>
      <c r="G335" t="s">
        <v>1266</v>
      </c>
      <c r="J335" s="1" t="s">
        <v>1267</v>
      </c>
    </row>
    <row r="336" spans="1:10" ht="15" customHeight="1" x14ac:dyDescent="0.25">
      <c r="A336" t="s">
        <v>1268</v>
      </c>
      <c r="B336">
        <v>2017</v>
      </c>
      <c r="C336" t="s">
        <v>222</v>
      </c>
      <c r="D336" t="b">
        <f>FALSE()</f>
        <v>0</v>
      </c>
      <c r="E336" t="b">
        <f>COUNTIF(connections!A:A, A336) &gt; 0</f>
        <v>0</v>
      </c>
      <c r="G336" t="s">
        <v>1269</v>
      </c>
      <c r="H336" t="s">
        <v>187</v>
      </c>
      <c r="I336" t="s">
        <v>1270</v>
      </c>
      <c r="J336" s="1" t="s">
        <v>1271</v>
      </c>
    </row>
    <row r="337" spans="1:10" ht="15" customHeight="1" x14ac:dyDescent="0.25">
      <c r="A337" t="s">
        <v>1272</v>
      </c>
      <c r="B337">
        <v>2020</v>
      </c>
      <c r="C337" t="s">
        <v>176</v>
      </c>
      <c r="D337" t="b">
        <f>TRUE()</f>
        <v>1</v>
      </c>
      <c r="E337" t="b">
        <f>COUNTIF(connections!A:A, A337) &gt; 0</f>
        <v>1</v>
      </c>
      <c r="G337" t="s">
        <v>1273</v>
      </c>
      <c r="H337" t="s">
        <v>187</v>
      </c>
      <c r="I337" t="s">
        <v>1274</v>
      </c>
      <c r="J337" s="1" t="s">
        <v>1275</v>
      </c>
    </row>
    <row r="338" spans="1:10" ht="15" customHeight="1" x14ac:dyDescent="0.25">
      <c r="A338" t="s">
        <v>1276</v>
      </c>
      <c r="B338">
        <v>2022</v>
      </c>
      <c r="C338" t="s">
        <v>176</v>
      </c>
      <c r="D338" t="b">
        <f>TRUE()</f>
        <v>1</v>
      </c>
      <c r="E338" t="b">
        <f>COUNTIF(connections!A:A, A338) &gt; 0</f>
        <v>1</v>
      </c>
      <c r="F338" t="s">
        <v>274</v>
      </c>
      <c r="G338" t="s">
        <v>1277</v>
      </c>
      <c r="H338" t="s">
        <v>187</v>
      </c>
      <c r="I338" t="s">
        <v>1278</v>
      </c>
      <c r="J338" s="1" t="s">
        <v>1279</v>
      </c>
    </row>
    <row r="339" spans="1:10" ht="15" customHeight="1" x14ac:dyDescent="0.25">
      <c r="A339" t="s">
        <v>1280</v>
      </c>
      <c r="B339">
        <v>2025</v>
      </c>
      <c r="C339" t="s">
        <v>176</v>
      </c>
      <c r="D339" t="b">
        <f>TRUE()</f>
        <v>1</v>
      </c>
      <c r="E339" t="b">
        <f>COUNTIF(connections!A:A, A339) &gt; 0</f>
        <v>0</v>
      </c>
      <c r="F339" t="s">
        <v>274</v>
      </c>
      <c r="G339" t="s">
        <v>1281</v>
      </c>
      <c r="H339" t="s">
        <v>187</v>
      </c>
      <c r="I339" t="s">
        <v>1282</v>
      </c>
      <c r="J339" s="1" t="s">
        <v>1283</v>
      </c>
    </row>
    <row r="340" spans="1:10" ht="15" customHeight="1" x14ac:dyDescent="0.25">
      <c r="A340" t="s">
        <v>7708</v>
      </c>
      <c r="B340">
        <v>2025</v>
      </c>
      <c r="C340" t="s">
        <v>176</v>
      </c>
      <c r="D340" t="b">
        <f>TRUE()</f>
        <v>1</v>
      </c>
      <c r="E340" t="b">
        <f>COUNTIF(connections!A:A, A340) &gt; 0</f>
        <v>0</v>
      </c>
      <c r="G340" t="s">
        <v>7709</v>
      </c>
      <c r="H340" t="s">
        <v>187</v>
      </c>
      <c r="I340" t="s">
        <v>7712</v>
      </c>
      <c r="J340" s="10" t="s">
        <v>7710</v>
      </c>
    </row>
    <row r="341" spans="1:10" ht="15" customHeight="1" x14ac:dyDescent="0.25">
      <c r="A341" t="s">
        <v>1284</v>
      </c>
      <c r="B341">
        <v>1984</v>
      </c>
      <c r="C341" t="s">
        <v>179</v>
      </c>
      <c r="D341" t="b">
        <f>TRUE()</f>
        <v>1</v>
      </c>
      <c r="E341" t="b">
        <f>COUNTIF(connections!A:A, A341) &gt; 0</f>
        <v>1</v>
      </c>
      <c r="G341" t="s">
        <v>1285</v>
      </c>
      <c r="H341" t="s">
        <v>187</v>
      </c>
      <c r="I341" t="s">
        <v>1286</v>
      </c>
    </row>
    <row r="342" spans="1:10" ht="15" customHeight="1" x14ac:dyDescent="0.25">
      <c r="A342" t="s">
        <v>1287</v>
      </c>
      <c r="B342">
        <v>2022</v>
      </c>
      <c r="C342" t="s">
        <v>179</v>
      </c>
      <c r="D342" t="b">
        <f>TRUE()</f>
        <v>1</v>
      </c>
      <c r="E342" t="b">
        <f>COUNTIF(connections!A:A, A342) &gt; 0</f>
        <v>1</v>
      </c>
      <c r="G342" t="s">
        <v>1288</v>
      </c>
      <c r="H342" t="s">
        <v>187</v>
      </c>
      <c r="I342" t="s">
        <v>1289</v>
      </c>
    </row>
    <row r="343" spans="1:10" ht="15" customHeight="1" x14ac:dyDescent="0.25">
      <c r="A343" t="s">
        <v>1290</v>
      </c>
      <c r="B343">
        <v>2021</v>
      </c>
      <c r="C343" t="s">
        <v>182</v>
      </c>
      <c r="D343" t="b">
        <f>TRUE()</f>
        <v>1</v>
      </c>
      <c r="E343" t="b">
        <f>COUNTIF(connections!A:A, A343) &gt; 0</f>
        <v>0</v>
      </c>
      <c r="F343" t="s">
        <v>199</v>
      </c>
      <c r="G343" t="s">
        <v>1291</v>
      </c>
      <c r="H343" t="s">
        <v>187</v>
      </c>
      <c r="I343" t="s">
        <v>1292</v>
      </c>
      <c r="J343" s="1" t="s">
        <v>1293</v>
      </c>
    </row>
    <row r="344" spans="1:10" ht="15" customHeight="1" x14ac:dyDescent="0.25">
      <c r="A344" t="s">
        <v>1294</v>
      </c>
      <c r="B344">
        <v>2019</v>
      </c>
      <c r="C344" t="s">
        <v>176</v>
      </c>
      <c r="D344" t="b">
        <f>TRUE()</f>
        <v>1</v>
      </c>
      <c r="E344" t="b">
        <f>COUNTIF(connections!A:A, A344) &gt; 0</f>
        <v>1</v>
      </c>
      <c r="F344" t="s">
        <v>199</v>
      </c>
      <c r="G344" t="s">
        <v>1295</v>
      </c>
      <c r="H344" t="s">
        <v>187</v>
      </c>
      <c r="I344" t="s">
        <v>1296</v>
      </c>
      <c r="J344" s="1" t="s">
        <v>1297</v>
      </c>
    </row>
    <row r="345" spans="1:10" ht="15" customHeight="1" x14ac:dyDescent="0.25">
      <c r="A345" t="s">
        <v>1298</v>
      </c>
      <c r="B345">
        <v>2024</v>
      </c>
      <c r="C345" t="s">
        <v>176</v>
      </c>
      <c r="D345" t="b">
        <f>TRUE()</f>
        <v>1</v>
      </c>
      <c r="E345" t="b">
        <f>COUNTIF(connections!A:A, A345) &gt; 0</f>
        <v>0</v>
      </c>
      <c r="F345" t="s">
        <v>199</v>
      </c>
      <c r="G345" t="s">
        <v>1299</v>
      </c>
      <c r="H345" t="s">
        <v>187</v>
      </c>
      <c r="I345" t="s">
        <v>1300</v>
      </c>
      <c r="J345" s="1" t="s">
        <v>1301</v>
      </c>
    </row>
    <row r="346" spans="1:10" ht="15" customHeight="1" x14ac:dyDescent="0.25">
      <c r="A346" t="s">
        <v>1302</v>
      </c>
      <c r="B346">
        <v>2023</v>
      </c>
      <c r="C346" t="s">
        <v>176</v>
      </c>
      <c r="D346" t="b">
        <f>TRUE()</f>
        <v>1</v>
      </c>
      <c r="E346" t="b">
        <f>COUNTIF(connections!A:A, A346) &gt; 0</f>
        <v>1</v>
      </c>
      <c r="F346" t="s">
        <v>199</v>
      </c>
      <c r="G346" t="s">
        <v>1303</v>
      </c>
      <c r="H346" t="s">
        <v>187</v>
      </c>
      <c r="I346" t="s">
        <v>1304</v>
      </c>
      <c r="J346" s="1" t="s">
        <v>1305</v>
      </c>
    </row>
    <row r="347" spans="1:10" ht="15" customHeight="1" x14ac:dyDescent="0.25">
      <c r="A347" t="s">
        <v>1306</v>
      </c>
      <c r="B347">
        <v>2014</v>
      </c>
      <c r="C347" t="s">
        <v>182</v>
      </c>
      <c r="D347" t="b">
        <f>TRUE()</f>
        <v>1</v>
      </c>
      <c r="E347" t="b">
        <f>COUNTIF(connections!A:A, A347) &gt; 0</f>
        <v>1</v>
      </c>
      <c r="G347" t="s">
        <v>1307</v>
      </c>
      <c r="H347" t="s">
        <v>187</v>
      </c>
      <c r="I347" t="s">
        <v>1308</v>
      </c>
      <c r="J347" s="1" t="s">
        <v>1309</v>
      </c>
    </row>
    <row r="348" spans="1:10" ht="15" customHeight="1" x14ac:dyDescent="0.25">
      <c r="A348" t="s">
        <v>1310</v>
      </c>
      <c r="B348">
        <v>2017</v>
      </c>
      <c r="C348" t="s">
        <v>182</v>
      </c>
      <c r="D348" t="b">
        <f>TRUE()</f>
        <v>1</v>
      </c>
      <c r="E348" t="b">
        <f>COUNTIF(connections!A:A, A348) &gt; 0</f>
        <v>0</v>
      </c>
      <c r="G348" t="s">
        <v>1311</v>
      </c>
      <c r="H348" t="s">
        <v>187</v>
      </c>
      <c r="I348" t="s">
        <v>8143</v>
      </c>
      <c r="J348" s="10" t="s">
        <v>8144</v>
      </c>
    </row>
    <row r="349" spans="1:10" ht="15" customHeight="1" x14ac:dyDescent="0.25">
      <c r="A349" t="s">
        <v>1312</v>
      </c>
      <c r="B349">
        <v>2026</v>
      </c>
      <c r="C349" t="s">
        <v>176</v>
      </c>
      <c r="D349" t="b">
        <v>1</v>
      </c>
      <c r="E349" t="b">
        <f>COUNTIF(connections!A:A, A349) &gt; 0</f>
        <v>0</v>
      </c>
      <c r="G349" t="s">
        <v>1313</v>
      </c>
      <c r="J349" s="10" t="s">
        <v>1314</v>
      </c>
    </row>
    <row r="350" spans="1:10" ht="15" customHeight="1" x14ac:dyDescent="0.25">
      <c r="A350" t="s">
        <v>7861</v>
      </c>
      <c r="B350">
        <v>2026</v>
      </c>
      <c r="C350" t="s">
        <v>182</v>
      </c>
      <c r="D350" t="b">
        <f>TRUE()</f>
        <v>1</v>
      </c>
      <c r="E350" t="b">
        <f>COUNTIF(connections!A:A, A350) &gt; 0</f>
        <v>0</v>
      </c>
      <c r="G350" t="s">
        <v>7862</v>
      </c>
      <c r="J350" s="10" t="s">
        <v>7863</v>
      </c>
    </row>
    <row r="351" spans="1:10" ht="15" customHeight="1" x14ac:dyDescent="0.25">
      <c r="A351" t="s">
        <v>1315</v>
      </c>
      <c r="B351">
        <v>2025</v>
      </c>
      <c r="C351" t="s">
        <v>176</v>
      </c>
      <c r="D351" t="b">
        <f>FALSE()</f>
        <v>0</v>
      </c>
      <c r="E351" t="b">
        <f>COUNTIF(connections!A:A, A351) &gt; 0</f>
        <v>0</v>
      </c>
      <c r="F351" t="s">
        <v>614</v>
      </c>
      <c r="G351" t="s">
        <v>1316</v>
      </c>
    </row>
    <row r="352" spans="1:10" ht="15" customHeight="1" x14ac:dyDescent="0.25">
      <c r="A352" t="s">
        <v>1317</v>
      </c>
      <c r="B352">
        <v>2017</v>
      </c>
      <c r="C352" t="s">
        <v>179</v>
      </c>
      <c r="D352" t="b">
        <f>TRUE()</f>
        <v>1</v>
      </c>
      <c r="E352" t="b">
        <f>COUNTIF(connections!A:A, A352) &gt; 0</f>
        <v>0</v>
      </c>
      <c r="G352" t="s">
        <v>1318</v>
      </c>
      <c r="J352" s="1" t="s">
        <v>1319</v>
      </c>
    </row>
    <row r="353" spans="1:10" ht="15" customHeight="1" x14ac:dyDescent="0.25">
      <c r="A353" t="s">
        <v>1320</v>
      </c>
      <c r="B353">
        <v>2017</v>
      </c>
      <c r="C353" t="s">
        <v>176</v>
      </c>
      <c r="D353" t="b">
        <f>TRUE()</f>
        <v>1</v>
      </c>
      <c r="E353" t="b">
        <f>COUNTIF(connections!A:A, A353) &gt; 0</f>
        <v>0</v>
      </c>
      <c r="G353" t="s">
        <v>1321</v>
      </c>
    </row>
    <row r="354" spans="1:10" ht="15" customHeight="1" x14ac:dyDescent="0.25">
      <c r="A354" t="s">
        <v>1322</v>
      </c>
      <c r="B354">
        <v>2025</v>
      </c>
      <c r="C354" t="s">
        <v>176</v>
      </c>
      <c r="D354" t="b">
        <f>FALSE()</f>
        <v>0</v>
      </c>
      <c r="E354" t="b">
        <f>COUNTIF(connections!A:A, A354) &gt; 0</f>
        <v>0</v>
      </c>
      <c r="G354" t="s">
        <v>1323</v>
      </c>
      <c r="H354" t="s">
        <v>187</v>
      </c>
      <c r="I354" t="s">
        <v>1324</v>
      </c>
      <c r="J354" s="1" t="s">
        <v>1325</v>
      </c>
    </row>
    <row r="355" spans="1:10" ht="15" customHeight="1" x14ac:dyDescent="0.25">
      <c r="A355" t="s">
        <v>1326</v>
      </c>
      <c r="B355">
        <v>2022</v>
      </c>
      <c r="C355" t="s">
        <v>176</v>
      </c>
      <c r="D355" t="b">
        <f>TRUE()</f>
        <v>1</v>
      </c>
      <c r="E355" t="b">
        <f>COUNTIF(connections!A:A, A355) &gt; 0</f>
        <v>0</v>
      </c>
      <c r="F355" t="s">
        <v>199</v>
      </c>
      <c r="G355" t="s">
        <v>1327</v>
      </c>
      <c r="H355" t="s">
        <v>187</v>
      </c>
      <c r="I355" t="s">
        <v>1328</v>
      </c>
      <c r="J355" s="1" t="s">
        <v>1329</v>
      </c>
    </row>
    <row r="356" spans="1:10" ht="15" customHeight="1" x14ac:dyDescent="0.25">
      <c r="A356" t="s">
        <v>1330</v>
      </c>
      <c r="B356">
        <v>2025</v>
      </c>
      <c r="C356" t="s">
        <v>182</v>
      </c>
      <c r="D356" t="b">
        <f>TRUE()</f>
        <v>1</v>
      </c>
      <c r="E356" t="b">
        <f>COUNTIF(connections!A:A, A356) &gt; 0</f>
        <v>0</v>
      </c>
      <c r="G356" t="s">
        <v>1331</v>
      </c>
      <c r="H356" t="s">
        <v>187</v>
      </c>
      <c r="I356" t="s">
        <v>1332</v>
      </c>
      <c r="J356" s="1" t="s">
        <v>1333</v>
      </c>
    </row>
    <row r="357" spans="1:10" ht="15" customHeight="1" x14ac:dyDescent="0.25">
      <c r="A357" t="s">
        <v>1334</v>
      </c>
      <c r="B357">
        <v>2023</v>
      </c>
      <c r="C357" t="s">
        <v>176</v>
      </c>
      <c r="D357" t="b">
        <v>1</v>
      </c>
      <c r="E357" t="b">
        <f>COUNTIF(connections!A:A, A357) &gt; 0</f>
        <v>0</v>
      </c>
      <c r="G357" t="s">
        <v>1335</v>
      </c>
    </row>
    <row r="358" spans="1:10" ht="15" customHeight="1" x14ac:dyDescent="0.25">
      <c r="A358" t="s">
        <v>1336</v>
      </c>
      <c r="B358">
        <v>2017</v>
      </c>
      <c r="C358" t="s">
        <v>176</v>
      </c>
      <c r="D358" t="b">
        <v>1</v>
      </c>
      <c r="E358" t="b">
        <f>COUNTIF(connections!A:A, A358) &gt; 0</f>
        <v>0</v>
      </c>
      <c r="G358" t="s">
        <v>1337</v>
      </c>
      <c r="H358" t="s">
        <v>187</v>
      </c>
      <c r="I358" t="s">
        <v>1338</v>
      </c>
      <c r="J358" s="1" t="s">
        <v>1339</v>
      </c>
    </row>
    <row r="359" spans="1:10" ht="15" customHeight="1" x14ac:dyDescent="0.25">
      <c r="A359" t="s">
        <v>1340</v>
      </c>
      <c r="B359">
        <v>2014</v>
      </c>
      <c r="C359" t="s">
        <v>176</v>
      </c>
      <c r="D359" t="b">
        <v>1</v>
      </c>
      <c r="E359" t="b">
        <f>COUNTIF(connections!A:A, A359) &gt; 0</f>
        <v>0</v>
      </c>
      <c r="G359" t="s">
        <v>1341</v>
      </c>
      <c r="H359" t="s">
        <v>187</v>
      </c>
      <c r="I359" t="s">
        <v>1342</v>
      </c>
      <c r="J359" s="1" t="s">
        <v>1343</v>
      </c>
    </row>
    <row r="360" spans="1:10" ht="15" customHeight="1" x14ac:dyDescent="0.25">
      <c r="A360" t="s">
        <v>1344</v>
      </c>
      <c r="B360">
        <v>2025</v>
      </c>
      <c r="C360" t="s">
        <v>176</v>
      </c>
      <c r="D360" t="b">
        <f>TRUE()</f>
        <v>1</v>
      </c>
      <c r="E360" t="b">
        <f>COUNTIF(connections!A:A, A360) &gt; 0</f>
        <v>0</v>
      </c>
      <c r="G360" t="s">
        <v>1345</v>
      </c>
      <c r="H360" t="s">
        <v>187</v>
      </c>
      <c r="I360" t="s">
        <v>1346</v>
      </c>
      <c r="J360" s="1" t="s">
        <v>1347</v>
      </c>
    </row>
    <row r="361" spans="1:10" ht="15" customHeight="1" x14ac:dyDescent="0.25">
      <c r="A361" t="s">
        <v>1348</v>
      </c>
      <c r="B361">
        <v>2026</v>
      </c>
      <c r="C361" t="s">
        <v>176</v>
      </c>
      <c r="D361" t="b">
        <f>TRUE()</f>
        <v>1</v>
      </c>
      <c r="E361" t="b">
        <f>COUNTIF(connections!A:A, A361) &gt; 0</f>
        <v>0</v>
      </c>
      <c r="F361" t="s">
        <v>199</v>
      </c>
      <c r="G361" t="s">
        <v>1349</v>
      </c>
      <c r="J361" s="10" t="s">
        <v>1350</v>
      </c>
    </row>
    <row r="362" spans="1:10" ht="15" customHeight="1" x14ac:dyDescent="0.25">
      <c r="A362" t="s">
        <v>1351</v>
      </c>
      <c r="B362">
        <v>2023</v>
      </c>
      <c r="C362" t="s">
        <v>176</v>
      </c>
      <c r="D362" t="b">
        <f>FALSE()</f>
        <v>0</v>
      </c>
      <c r="E362" t="b">
        <f>COUNTIF(connections!A:A, A362) &gt; 0</f>
        <v>0</v>
      </c>
      <c r="G362" t="s">
        <v>1352</v>
      </c>
    </row>
    <row r="363" spans="1:10" ht="15" customHeight="1" x14ac:dyDescent="0.25">
      <c r="A363" t="s">
        <v>1353</v>
      </c>
      <c r="B363">
        <v>2023</v>
      </c>
      <c r="C363" t="s">
        <v>182</v>
      </c>
      <c r="D363" t="b">
        <f>TRUE()</f>
        <v>1</v>
      </c>
      <c r="E363" t="b">
        <f>COUNTIF(connections!A:A, A363) &gt; 0</f>
        <v>0</v>
      </c>
      <c r="G363" t="s">
        <v>1354</v>
      </c>
      <c r="H363" t="s">
        <v>187</v>
      </c>
      <c r="I363" t="s">
        <v>1355</v>
      </c>
      <c r="J363" s="1" t="s">
        <v>1356</v>
      </c>
    </row>
    <row r="364" spans="1:10" ht="15" customHeight="1" x14ac:dyDescent="0.25">
      <c r="A364" t="s">
        <v>1357</v>
      </c>
      <c r="B364">
        <v>2025</v>
      </c>
      <c r="C364" t="s">
        <v>176</v>
      </c>
      <c r="D364" t="b">
        <f>TRUE()</f>
        <v>1</v>
      </c>
      <c r="E364" t="b">
        <f>COUNTIF(connections!A:A, A364) &gt; 0</f>
        <v>0</v>
      </c>
      <c r="G364" t="s">
        <v>1358</v>
      </c>
      <c r="H364" t="s">
        <v>187</v>
      </c>
      <c r="I364" t="s">
        <v>1359</v>
      </c>
      <c r="J364" s="1" t="s">
        <v>1360</v>
      </c>
    </row>
    <row r="365" spans="1:10" ht="15" customHeight="1" x14ac:dyDescent="0.25">
      <c r="A365" t="s">
        <v>1361</v>
      </c>
      <c r="B365">
        <v>2023</v>
      </c>
      <c r="C365" t="s">
        <v>176</v>
      </c>
      <c r="D365" t="b">
        <f>TRUE()</f>
        <v>1</v>
      </c>
      <c r="E365" t="b">
        <f>COUNTIF(connections!A:A, A365) &gt; 0</f>
        <v>0</v>
      </c>
      <c r="F365" t="s">
        <v>199</v>
      </c>
      <c r="G365" t="s">
        <v>1362</v>
      </c>
      <c r="H365" t="s">
        <v>187</v>
      </c>
      <c r="I365" t="s">
        <v>1363</v>
      </c>
      <c r="J365" s="1" t="s">
        <v>1364</v>
      </c>
    </row>
    <row r="366" spans="1:10" ht="15" customHeight="1" x14ac:dyDescent="0.25">
      <c r="A366" t="s">
        <v>1365</v>
      </c>
      <c r="B366">
        <v>2018</v>
      </c>
      <c r="C366" t="s">
        <v>176</v>
      </c>
      <c r="D366" t="b">
        <f>TRUE()</f>
        <v>1</v>
      </c>
      <c r="E366" t="b">
        <f>COUNTIF(connections!A:A, A366) &gt; 0</f>
        <v>1</v>
      </c>
      <c r="G366" t="s">
        <v>1366</v>
      </c>
      <c r="H366" t="s">
        <v>187</v>
      </c>
      <c r="I366" t="s">
        <v>1367</v>
      </c>
      <c r="J366" s="1" t="s">
        <v>1368</v>
      </c>
    </row>
    <row r="367" spans="1:10" ht="15" customHeight="1" x14ac:dyDescent="0.25">
      <c r="A367" t="s">
        <v>1369</v>
      </c>
      <c r="B367">
        <v>2025</v>
      </c>
      <c r="C367" t="s">
        <v>176</v>
      </c>
      <c r="D367" t="b">
        <f>TRUE()</f>
        <v>1</v>
      </c>
      <c r="E367" t="b">
        <f>COUNTIF(connections!A:A, A367) &gt; 0</f>
        <v>0</v>
      </c>
      <c r="G367" t="s">
        <v>1370</v>
      </c>
      <c r="H367" t="s">
        <v>187</v>
      </c>
      <c r="I367" t="s">
        <v>1371</v>
      </c>
      <c r="J367" s="1" t="s">
        <v>1372</v>
      </c>
    </row>
    <row r="368" spans="1:10" ht="15" customHeight="1" x14ac:dyDescent="0.25">
      <c r="A368" t="s">
        <v>1373</v>
      </c>
      <c r="B368">
        <v>2025</v>
      </c>
      <c r="C368" t="s">
        <v>222</v>
      </c>
      <c r="D368" t="b">
        <f>TRUE()</f>
        <v>1</v>
      </c>
      <c r="E368" t="b">
        <f>COUNTIF(connections!A:A, A368) &gt; 0</f>
        <v>0</v>
      </c>
      <c r="G368" t="s">
        <v>1374</v>
      </c>
      <c r="J368" s="10" t="s">
        <v>1375</v>
      </c>
    </row>
    <row r="369" spans="1:10" ht="15" customHeight="1" x14ac:dyDescent="0.25">
      <c r="A369" t="s">
        <v>1376</v>
      </c>
      <c r="B369">
        <v>2026</v>
      </c>
      <c r="C369" t="s">
        <v>222</v>
      </c>
      <c r="D369" t="b">
        <f>TRUE()</f>
        <v>1</v>
      </c>
      <c r="E369" t="b">
        <f>COUNTIF(connections!A:A, A369) &gt; 0</f>
        <v>0</v>
      </c>
      <c r="G369" t="s">
        <v>1377</v>
      </c>
    </row>
    <row r="370" spans="1:10" ht="15" customHeight="1" x14ac:dyDescent="0.25">
      <c r="A370" t="s">
        <v>1378</v>
      </c>
      <c r="B370">
        <v>2023</v>
      </c>
      <c r="C370" t="s">
        <v>176</v>
      </c>
      <c r="D370" t="b">
        <f>TRUE()</f>
        <v>1</v>
      </c>
      <c r="E370" t="b">
        <f>COUNTIF(connections!A:A, A370) &gt; 0</f>
        <v>0</v>
      </c>
      <c r="G370" t="s">
        <v>1379</v>
      </c>
      <c r="H370" t="s">
        <v>187</v>
      </c>
      <c r="I370" t="s">
        <v>1380</v>
      </c>
      <c r="J370" s="1" t="s">
        <v>1381</v>
      </c>
    </row>
    <row r="371" spans="1:10" ht="15" customHeight="1" x14ac:dyDescent="0.25">
      <c r="A371" t="s">
        <v>1382</v>
      </c>
      <c r="B371">
        <v>2026</v>
      </c>
      <c r="C371" t="s">
        <v>179</v>
      </c>
      <c r="D371" t="b">
        <f>TRUE()</f>
        <v>1</v>
      </c>
      <c r="E371" t="b">
        <f>COUNTIF(connections!A:A, A371) &gt; 0</f>
        <v>0</v>
      </c>
      <c r="G371" t="s">
        <v>1383</v>
      </c>
      <c r="J371" s="10" t="s">
        <v>1384</v>
      </c>
    </row>
    <row r="372" spans="1:10" ht="15" customHeight="1" x14ac:dyDescent="0.25">
      <c r="A372" t="s">
        <v>1385</v>
      </c>
      <c r="B372">
        <v>2013</v>
      </c>
      <c r="C372" t="s">
        <v>179</v>
      </c>
      <c r="D372" t="b">
        <f>TRUE()</f>
        <v>1</v>
      </c>
      <c r="E372" t="b">
        <f>COUNTIF(connections!A:A, A372) &gt; 0</f>
        <v>1</v>
      </c>
      <c r="G372" t="s">
        <v>1386</v>
      </c>
      <c r="H372" t="s">
        <v>187</v>
      </c>
      <c r="I372" t="s">
        <v>1387</v>
      </c>
    </row>
    <row r="373" spans="1:10" ht="15" customHeight="1" x14ac:dyDescent="0.25">
      <c r="A373" t="s">
        <v>1388</v>
      </c>
      <c r="B373">
        <v>2025</v>
      </c>
      <c r="C373" t="s">
        <v>179</v>
      </c>
      <c r="D373" t="b">
        <f>TRUE()</f>
        <v>1</v>
      </c>
      <c r="E373" t="b">
        <f>COUNTIF(connections!A:A, A373) &gt; 0</f>
        <v>0</v>
      </c>
      <c r="F373" t="s">
        <v>1389</v>
      </c>
      <c r="G373" t="s">
        <v>1390</v>
      </c>
    </row>
    <row r="374" spans="1:10" ht="15" customHeight="1" x14ac:dyDescent="0.25">
      <c r="A374" t="s">
        <v>1391</v>
      </c>
      <c r="B374">
        <v>2026</v>
      </c>
      <c r="C374" t="s">
        <v>176</v>
      </c>
      <c r="D374" t="b">
        <f>TRUE()</f>
        <v>1</v>
      </c>
      <c r="E374" t="b">
        <f>COUNTIF(connections!A:A, A374) &gt; 0</f>
        <v>0</v>
      </c>
      <c r="G374" t="s">
        <v>1392</v>
      </c>
      <c r="J374" s="10" t="s">
        <v>1393</v>
      </c>
    </row>
    <row r="375" spans="1:10" ht="15" customHeight="1" x14ac:dyDescent="0.25">
      <c r="A375" t="s">
        <v>1394</v>
      </c>
      <c r="B375">
        <v>2026</v>
      </c>
      <c r="C375" t="s">
        <v>182</v>
      </c>
      <c r="D375" t="b">
        <f>TRUE()</f>
        <v>1</v>
      </c>
      <c r="E375" t="b">
        <f>COUNTIF(connections!A:A, A375) &gt; 0</f>
        <v>0</v>
      </c>
      <c r="G375" t="s">
        <v>1395</v>
      </c>
    </row>
    <row r="376" spans="1:10" ht="15" customHeight="1" x14ac:dyDescent="0.25">
      <c r="A376" t="s">
        <v>1396</v>
      </c>
      <c r="B376">
        <v>2026</v>
      </c>
      <c r="C376" t="s">
        <v>176</v>
      </c>
      <c r="D376" t="b">
        <f>TRUE()</f>
        <v>1</v>
      </c>
      <c r="E376" t="b">
        <f>COUNTIF(connections!A:A, A376) &gt; 0</f>
        <v>0</v>
      </c>
      <c r="F376" t="s">
        <v>1397</v>
      </c>
      <c r="G376" t="s">
        <v>1398</v>
      </c>
      <c r="H376" t="s">
        <v>187</v>
      </c>
      <c r="I376" t="s">
        <v>1399</v>
      </c>
    </row>
    <row r="377" spans="1:10" ht="15" customHeight="1" x14ac:dyDescent="0.25">
      <c r="A377" t="s">
        <v>1400</v>
      </c>
      <c r="B377">
        <v>2012</v>
      </c>
      <c r="C377" t="s">
        <v>179</v>
      </c>
      <c r="D377" t="b">
        <f>TRUE()</f>
        <v>1</v>
      </c>
      <c r="E377" t="b">
        <f>COUNTIF(connections!A:A, A377) &gt; 0</f>
        <v>0</v>
      </c>
      <c r="G377" t="s">
        <v>1401</v>
      </c>
      <c r="J377" s="10" t="s">
        <v>1402</v>
      </c>
    </row>
    <row r="378" spans="1:10" ht="15" customHeight="1" x14ac:dyDescent="0.25">
      <c r="A378" t="s">
        <v>1403</v>
      </c>
      <c r="B378">
        <v>2025</v>
      </c>
      <c r="C378" t="s">
        <v>176</v>
      </c>
      <c r="D378" t="b">
        <f>TRUE()</f>
        <v>1</v>
      </c>
      <c r="E378" t="b">
        <f>COUNTIF(connections!A:A, A378) &gt; 0</f>
        <v>0</v>
      </c>
      <c r="G378" t="s">
        <v>1404</v>
      </c>
      <c r="H378" t="s">
        <v>187</v>
      </c>
      <c r="I378" t="s">
        <v>1405</v>
      </c>
      <c r="J378" s="1" t="s">
        <v>1406</v>
      </c>
    </row>
    <row r="379" spans="1:10" ht="15" customHeight="1" x14ac:dyDescent="0.25">
      <c r="A379" t="s">
        <v>1407</v>
      </c>
      <c r="B379">
        <v>2017</v>
      </c>
      <c r="C379" t="s">
        <v>179</v>
      </c>
      <c r="D379" t="b">
        <f>TRUE()</f>
        <v>1</v>
      </c>
      <c r="E379" t="b">
        <f>COUNTIF(connections!A:A, A379) &gt; 0</f>
        <v>0</v>
      </c>
      <c r="G379" t="s">
        <v>1408</v>
      </c>
    </row>
    <row r="380" spans="1:10" ht="15" customHeight="1" x14ac:dyDescent="0.25">
      <c r="A380" t="s">
        <v>1409</v>
      </c>
      <c r="B380">
        <v>2022</v>
      </c>
      <c r="C380" t="s">
        <v>176</v>
      </c>
      <c r="D380" t="b">
        <f>TRUE()</f>
        <v>1</v>
      </c>
      <c r="E380" t="b">
        <f>COUNTIF(connections!A:A, A380) &gt; 0</f>
        <v>0</v>
      </c>
      <c r="G380" t="s">
        <v>1410</v>
      </c>
      <c r="H380" t="s">
        <v>187</v>
      </c>
      <c r="I380" t="s">
        <v>1411</v>
      </c>
      <c r="J380" s="1" t="s">
        <v>1412</v>
      </c>
    </row>
    <row r="381" spans="1:10" ht="15" customHeight="1" x14ac:dyDescent="0.25">
      <c r="A381" t="s">
        <v>1413</v>
      </c>
      <c r="B381">
        <v>2017</v>
      </c>
      <c r="C381" t="s">
        <v>176</v>
      </c>
      <c r="D381" t="b">
        <f>TRUE()</f>
        <v>1</v>
      </c>
      <c r="E381" t="b">
        <f>COUNTIF(connections!A:A, A381) &gt; 0</f>
        <v>0</v>
      </c>
      <c r="G381" t="s">
        <v>1414</v>
      </c>
      <c r="H381" t="s">
        <v>187</v>
      </c>
      <c r="I381" t="s">
        <v>1415</v>
      </c>
      <c r="J381" s="1" t="s">
        <v>1416</v>
      </c>
    </row>
    <row r="382" spans="1:10" ht="15" customHeight="1" x14ac:dyDescent="0.25">
      <c r="A382" t="s">
        <v>1417</v>
      </c>
      <c r="B382">
        <v>2016</v>
      </c>
      <c r="C382" t="s">
        <v>176</v>
      </c>
      <c r="D382" t="b">
        <v>1</v>
      </c>
      <c r="E382" t="b">
        <f>COUNTIF(connections!A:A, A382) &gt; 0</f>
        <v>0</v>
      </c>
      <c r="G382" t="s">
        <v>1418</v>
      </c>
      <c r="J382" s="10" t="s">
        <v>1419</v>
      </c>
    </row>
    <row r="383" spans="1:10" ht="15" customHeight="1" x14ac:dyDescent="0.25">
      <c r="A383" t="s">
        <v>1420</v>
      </c>
      <c r="B383">
        <v>2007</v>
      </c>
      <c r="C383" t="s">
        <v>179</v>
      </c>
      <c r="D383" t="b">
        <f>TRUE()</f>
        <v>1</v>
      </c>
      <c r="E383" t="b">
        <f>COUNTIF(connections!A:A, A383) &gt; 0</f>
        <v>1</v>
      </c>
      <c r="G383" t="s">
        <v>1421</v>
      </c>
      <c r="H383" t="s">
        <v>187</v>
      </c>
      <c r="I383" t="s">
        <v>1422</v>
      </c>
    </row>
    <row r="384" spans="1:10" ht="15" customHeight="1" x14ac:dyDescent="0.25">
      <c r="A384" t="s">
        <v>1423</v>
      </c>
      <c r="B384">
        <v>2015</v>
      </c>
      <c r="C384" t="s">
        <v>222</v>
      </c>
      <c r="D384" t="b">
        <f>TRUE()</f>
        <v>1</v>
      </c>
      <c r="E384" t="b">
        <f>COUNTIF(connections!A:A, A384) &gt; 0</f>
        <v>0</v>
      </c>
      <c r="G384" t="s">
        <v>1424</v>
      </c>
      <c r="H384" t="s">
        <v>187</v>
      </c>
      <c r="I384" t="s">
        <v>8428</v>
      </c>
    </row>
    <row r="385" spans="1:10" ht="15" customHeight="1" x14ac:dyDescent="0.25">
      <c r="A385" t="s">
        <v>1425</v>
      </c>
      <c r="B385">
        <v>2011</v>
      </c>
      <c r="C385" t="s">
        <v>179</v>
      </c>
      <c r="D385" t="b">
        <f>TRUE()</f>
        <v>1</v>
      </c>
      <c r="E385" t="b">
        <f>COUNTIF(connections!A:A, A385) &gt; 0</f>
        <v>0</v>
      </c>
      <c r="F385" t="s">
        <v>274</v>
      </c>
      <c r="G385" t="s">
        <v>1426</v>
      </c>
      <c r="H385" t="s">
        <v>187</v>
      </c>
      <c r="I385" t="s">
        <v>1427</v>
      </c>
    </row>
    <row r="386" spans="1:10" ht="15" customHeight="1" x14ac:dyDescent="0.25">
      <c r="A386" t="s">
        <v>1428</v>
      </c>
      <c r="B386">
        <v>2023</v>
      </c>
      <c r="C386" t="s">
        <v>222</v>
      </c>
      <c r="D386" t="b">
        <f>TRUE()</f>
        <v>1</v>
      </c>
      <c r="E386" t="b">
        <f>COUNTIF(connections!A:A, A386) &gt; 0</f>
        <v>1</v>
      </c>
      <c r="G386" t="s">
        <v>1429</v>
      </c>
      <c r="H386" t="s">
        <v>187</v>
      </c>
      <c r="I386" t="s">
        <v>1430</v>
      </c>
      <c r="J386" s="10" t="s">
        <v>1431</v>
      </c>
    </row>
    <row r="387" spans="1:10" ht="15" customHeight="1" x14ac:dyDescent="0.25">
      <c r="A387" t="s">
        <v>1432</v>
      </c>
      <c r="B387">
        <v>2025</v>
      </c>
      <c r="C387" t="s">
        <v>222</v>
      </c>
      <c r="D387" t="b">
        <f>TRUE()</f>
        <v>1</v>
      </c>
      <c r="E387" t="b">
        <f>COUNTIF(connections!A:A, A387) &gt; 0</f>
        <v>0</v>
      </c>
      <c r="G387" t="s">
        <v>1433</v>
      </c>
      <c r="J387" s="10" t="s">
        <v>1434</v>
      </c>
    </row>
    <row r="388" spans="1:10" ht="15" customHeight="1" x14ac:dyDescent="0.25">
      <c r="A388" t="s">
        <v>1435</v>
      </c>
      <c r="B388">
        <v>2021</v>
      </c>
      <c r="C388" t="s">
        <v>182</v>
      </c>
      <c r="D388" t="b">
        <f>TRUE()</f>
        <v>1</v>
      </c>
      <c r="E388" t="b">
        <f>COUNTIF(connections!A:A, A388) &gt; 0</f>
        <v>1</v>
      </c>
      <c r="G388" t="s">
        <v>1436</v>
      </c>
      <c r="H388" t="s">
        <v>187</v>
      </c>
      <c r="I388" t="s">
        <v>1437</v>
      </c>
      <c r="J388" s="1" t="s">
        <v>1438</v>
      </c>
    </row>
    <row r="389" spans="1:10" ht="15" customHeight="1" x14ac:dyDescent="0.25">
      <c r="A389" t="s">
        <v>7996</v>
      </c>
      <c r="B389">
        <v>2026</v>
      </c>
      <c r="C389" t="s">
        <v>182</v>
      </c>
      <c r="D389" t="b">
        <f>TRUE()</f>
        <v>1</v>
      </c>
      <c r="E389" t="b">
        <f>COUNTIF(connections!A:A, A389) &gt; 0</f>
        <v>0</v>
      </c>
      <c r="G389" t="s">
        <v>7997</v>
      </c>
      <c r="J389" s="10" t="s">
        <v>7998</v>
      </c>
    </row>
    <row r="390" spans="1:10" ht="15" customHeight="1" x14ac:dyDescent="0.25">
      <c r="A390" t="s">
        <v>1439</v>
      </c>
      <c r="B390">
        <v>2021</v>
      </c>
      <c r="C390" t="s">
        <v>222</v>
      </c>
      <c r="D390" t="b">
        <f>TRUE()</f>
        <v>1</v>
      </c>
      <c r="E390" t="b">
        <f>COUNTIF(connections!A:A, A390) &gt; 0</f>
        <v>0</v>
      </c>
      <c r="G390" t="s">
        <v>1440</v>
      </c>
      <c r="H390" t="s">
        <v>187</v>
      </c>
      <c r="I390" t="s">
        <v>1441</v>
      </c>
      <c r="J390" s="1" t="s">
        <v>1442</v>
      </c>
    </row>
    <row r="391" spans="1:10" ht="15" customHeight="1" x14ac:dyDescent="0.25">
      <c r="A391" t="s">
        <v>1443</v>
      </c>
      <c r="B391">
        <v>2018</v>
      </c>
      <c r="C391" t="s">
        <v>222</v>
      </c>
      <c r="D391" t="b">
        <f>TRUE()</f>
        <v>1</v>
      </c>
      <c r="E391" t="b">
        <f>COUNTIF(connections!A:A, A391) &gt; 0</f>
        <v>1</v>
      </c>
      <c r="F391" t="s">
        <v>274</v>
      </c>
      <c r="G391" t="s">
        <v>1444</v>
      </c>
      <c r="H391" t="s">
        <v>187</v>
      </c>
      <c r="I391" t="s">
        <v>1445</v>
      </c>
      <c r="J391" s="1" t="s">
        <v>1446</v>
      </c>
    </row>
    <row r="392" spans="1:10" ht="15" customHeight="1" x14ac:dyDescent="0.25">
      <c r="A392" t="s">
        <v>1447</v>
      </c>
      <c r="B392">
        <v>2025</v>
      </c>
      <c r="C392" t="s">
        <v>182</v>
      </c>
      <c r="D392" t="b">
        <f>TRUE()</f>
        <v>1</v>
      </c>
      <c r="E392" t="b">
        <f>COUNTIF(connections!A:A, A392) &gt; 0</f>
        <v>0</v>
      </c>
      <c r="G392" t="s">
        <v>1448</v>
      </c>
      <c r="J392" s="10" t="s">
        <v>1449</v>
      </c>
    </row>
    <row r="393" spans="1:10" ht="15" customHeight="1" x14ac:dyDescent="0.25">
      <c r="A393" t="s">
        <v>1450</v>
      </c>
      <c r="B393">
        <v>2019</v>
      </c>
      <c r="C393" t="s">
        <v>222</v>
      </c>
      <c r="D393" t="b">
        <f>TRUE()</f>
        <v>1</v>
      </c>
      <c r="E393" t="b">
        <f>COUNTIF(connections!A:A, A393) &gt; 0</f>
        <v>0</v>
      </c>
      <c r="G393" t="s">
        <v>1451</v>
      </c>
      <c r="H393" t="s">
        <v>187</v>
      </c>
      <c r="I393" t="s">
        <v>1452</v>
      </c>
      <c r="J393" s="1" t="s">
        <v>1453</v>
      </c>
    </row>
    <row r="394" spans="1:10" ht="15" customHeight="1" x14ac:dyDescent="0.25">
      <c r="A394" t="s">
        <v>1454</v>
      </c>
      <c r="B394">
        <v>2001</v>
      </c>
      <c r="C394" t="s">
        <v>179</v>
      </c>
      <c r="D394" t="b">
        <f>TRUE()</f>
        <v>1</v>
      </c>
      <c r="E394" t="b">
        <f>COUNTIF(connections!A:A, A394) &gt; 0</f>
        <v>1</v>
      </c>
      <c r="G394" t="s">
        <v>1455</v>
      </c>
      <c r="H394" t="s">
        <v>187</v>
      </c>
      <c r="I394" t="s">
        <v>1456</v>
      </c>
    </row>
    <row r="395" spans="1:10" ht="15" customHeight="1" x14ac:dyDescent="0.25">
      <c r="A395" t="s">
        <v>1457</v>
      </c>
      <c r="B395">
        <v>2007</v>
      </c>
      <c r="C395" t="s">
        <v>179</v>
      </c>
      <c r="D395" t="b">
        <f>TRUE()</f>
        <v>1</v>
      </c>
      <c r="E395" t="b">
        <f>COUNTIF(connections!A:A, A395) &gt; 0</f>
        <v>0</v>
      </c>
      <c r="G395" t="s">
        <v>1458</v>
      </c>
      <c r="H395" t="s">
        <v>187</v>
      </c>
      <c r="I395" t="s">
        <v>1459</v>
      </c>
    </row>
    <row r="396" spans="1:10" ht="15" customHeight="1" x14ac:dyDescent="0.25">
      <c r="A396" t="s">
        <v>1460</v>
      </c>
      <c r="B396">
        <v>2006</v>
      </c>
      <c r="C396" t="s">
        <v>179</v>
      </c>
      <c r="D396" t="b">
        <f>TRUE()</f>
        <v>1</v>
      </c>
      <c r="E396" t="b">
        <f>COUNTIF(connections!A:A, A396) &gt; 0</f>
        <v>1</v>
      </c>
      <c r="G396" t="s">
        <v>1461</v>
      </c>
      <c r="H396" t="s">
        <v>187</v>
      </c>
      <c r="I396" t="s">
        <v>1462</v>
      </c>
    </row>
    <row r="397" spans="1:10" ht="15" customHeight="1" x14ac:dyDescent="0.25">
      <c r="A397" t="s">
        <v>1463</v>
      </c>
      <c r="B397">
        <v>2025</v>
      </c>
      <c r="C397" t="s">
        <v>176</v>
      </c>
      <c r="D397" t="b">
        <f>TRUE()</f>
        <v>1</v>
      </c>
      <c r="E397" t="b">
        <f>COUNTIF(connections!A:A, A397) &gt; 0</f>
        <v>0</v>
      </c>
      <c r="G397" t="s">
        <v>1464</v>
      </c>
    </row>
    <row r="398" spans="1:10" ht="15" customHeight="1" x14ac:dyDescent="0.25">
      <c r="A398" t="s">
        <v>1465</v>
      </c>
      <c r="B398">
        <v>2018</v>
      </c>
      <c r="C398" t="s">
        <v>176</v>
      </c>
      <c r="D398" t="b">
        <f>FALSE()</f>
        <v>0</v>
      </c>
      <c r="E398" t="b">
        <f>COUNTIF(connections!A:A, A398) &gt; 0</f>
        <v>0</v>
      </c>
      <c r="F398" t="s">
        <v>264</v>
      </c>
      <c r="G398" t="s">
        <v>1466</v>
      </c>
    </row>
    <row r="399" spans="1:10" ht="15" customHeight="1" x14ac:dyDescent="0.25">
      <c r="A399" t="s">
        <v>1467</v>
      </c>
      <c r="B399">
        <v>2019</v>
      </c>
      <c r="C399" t="s">
        <v>179</v>
      </c>
      <c r="D399" t="b">
        <f>TRUE()</f>
        <v>1</v>
      </c>
      <c r="E399" t="b">
        <f>COUNTIF(connections!A:A, A399) &gt; 0</f>
        <v>0</v>
      </c>
      <c r="F399" t="s">
        <v>274</v>
      </c>
      <c r="G399" t="s">
        <v>1468</v>
      </c>
      <c r="H399" t="s">
        <v>187</v>
      </c>
      <c r="I399" t="s">
        <v>1469</v>
      </c>
      <c r="J399" s="1" t="s">
        <v>1470</v>
      </c>
    </row>
    <row r="400" spans="1:10" ht="15" customHeight="1" x14ac:dyDescent="0.25">
      <c r="A400" t="s">
        <v>1471</v>
      </c>
      <c r="B400">
        <v>2023</v>
      </c>
      <c r="C400" t="s">
        <v>176</v>
      </c>
      <c r="D400" t="b">
        <f>TRUE()</f>
        <v>1</v>
      </c>
      <c r="E400" t="b">
        <f>COUNTIF(connections!A:A, A400) &gt; 0</f>
        <v>0</v>
      </c>
      <c r="G400" t="s">
        <v>1472</v>
      </c>
      <c r="H400" t="s">
        <v>187</v>
      </c>
      <c r="I400" t="s">
        <v>1473</v>
      </c>
      <c r="J400" s="1" t="s">
        <v>1474</v>
      </c>
    </row>
    <row r="401" spans="1:10" ht="15" customHeight="1" x14ac:dyDescent="0.25">
      <c r="A401" t="s">
        <v>1475</v>
      </c>
      <c r="B401">
        <v>2024</v>
      </c>
      <c r="C401" t="s">
        <v>222</v>
      </c>
      <c r="D401" t="b">
        <f>TRUE()</f>
        <v>1</v>
      </c>
      <c r="E401" t="b">
        <f>COUNTIF(connections!A:A, A401) &gt; 0</f>
        <v>0</v>
      </c>
      <c r="G401" t="s">
        <v>1476</v>
      </c>
      <c r="H401" t="s">
        <v>187</v>
      </c>
      <c r="I401" t="s">
        <v>1477</v>
      </c>
      <c r="J401" s="1" t="s">
        <v>1478</v>
      </c>
    </row>
    <row r="402" spans="1:10" ht="15" customHeight="1" x14ac:dyDescent="0.25">
      <c r="A402" t="s">
        <v>1479</v>
      </c>
      <c r="B402">
        <v>2025</v>
      </c>
      <c r="C402" t="s">
        <v>176</v>
      </c>
      <c r="D402" t="b">
        <f>TRUE()</f>
        <v>1</v>
      </c>
      <c r="E402" t="b">
        <f>COUNTIF(connections!A:A, A402) &gt; 0</f>
        <v>0</v>
      </c>
      <c r="G402" t="s">
        <v>1480</v>
      </c>
      <c r="J402" s="10" t="s">
        <v>1481</v>
      </c>
    </row>
    <row r="403" spans="1:10" ht="15" customHeight="1" x14ac:dyDescent="0.25">
      <c r="A403" t="s">
        <v>1482</v>
      </c>
      <c r="B403">
        <v>2015</v>
      </c>
      <c r="C403" t="s">
        <v>179</v>
      </c>
      <c r="D403" t="b">
        <f>TRUE()</f>
        <v>1</v>
      </c>
      <c r="E403" t="b">
        <f>COUNTIF(connections!A:A, A403) &gt; 0</f>
        <v>0</v>
      </c>
      <c r="G403" t="s">
        <v>1483</v>
      </c>
      <c r="H403" t="s">
        <v>187</v>
      </c>
      <c r="I403" t="s">
        <v>1484</v>
      </c>
      <c r="J403" s="1" t="s">
        <v>1485</v>
      </c>
    </row>
    <row r="404" spans="1:10" ht="15" customHeight="1" x14ac:dyDescent="0.25">
      <c r="A404" t="s">
        <v>1486</v>
      </c>
      <c r="B404">
        <v>2023</v>
      </c>
      <c r="C404" t="s">
        <v>176</v>
      </c>
      <c r="D404" t="b">
        <f>TRUE()</f>
        <v>1</v>
      </c>
      <c r="E404" t="b">
        <f>COUNTIF(connections!A:A, A404) &gt; 0</f>
        <v>0</v>
      </c>
      <c r="G404" t="s">
        <v>1487</v>
      </c>
      <c r="H404" t="s">
        <v>187</v>
      </c>
      <c r="I404" t="s">
        <v>1488</v>
      </c>
      <c r="J404" s="1" t="s">
        <v>1489</v>
      </c>
    </row>
    <row r="405" spans="1:10" ht="15" customHeight="1" x14ac:dyDescent="0.25">
      <c r="A405" t="s">
        <v>7987</v>
      </c>
      <c r="B405">
        <v>2026</v>
      </c>
      <c r="C405" t="s">
        <v>176</v>
      </c>
      <c r="D405" t="b">
        <f>TRUE()</f>
        <v>1</v>
      </c>
      <c r="E405" t="b">
        <f>COUNTIF(connections!A:A, A405) &gt; 0</f>
        <v>0</v>
      </c>
      <c r="G405" t="s">
        <v>7988</v>
      </c>
      <c r="J405" s="10" t="s">
        <v>7989</v>
      </c>
    </row>
    <row r="406" spans="1:10" ht="15" customHeight="1" x14ac:dyDescent="0.25">
      <c r="A406" t="s">
        <v>1490</v>
      </c>
      <c r="B406">
        <v>2025</v>
      </c>
      <c r="C406" t="s">
        <v>222</v>
      </c>
      <c r="D406" t="b">
        <v>1</v>
      </c>
      <c r="E406" t="b">
        <f>COUNTIF(connections!A:A, A406) &gt; 0</f>
        <v>0</v>
      </c>
      <c r="G406" t="s">
        <v>1491</v>
      </c>
    </row>
    <row r="407" spans="1:10" ht="15" customHeight="1" x14ac:dyDescent="0.25">
      <c r="A407" t="s">
        <v>1492</v>
      </c>
      <c r="B407">
        <v>2025</v>
      </c>
      <c r="C407" t="s">
        <v>176</v>
      </c>
      <c r="D407" t="b">
        <f>TRUE()</f>
        <v>1</v>
      </c>
      <c r="E407" t="b">
        <f>COUNTIF(connections!A:A, A407) &gt; 0</f>
        <v>0</v>
      </c>
      <c r="F407" t="s">
        <v>399</v>
      </c>
      <c r="G407" t="s">
        <v>1493</v>
      </c>
      <c r="H407" t="s">
        <v>187</v>
      </c>
      <c r="I407" t="s">
        <v>1494</v>
      </c>
      <c r="J407" s="1" t="s">
        <v>1495</v>
      </c>
    </row>
    <row r="408" spans="1:10" ht="15" customHeight="1" x14ac:dyDescent="0.25">
      <c r="A408" t="s">
        <v>1496</v>
      </c>
      <c r="B408">
        <v>2016</v>
      </c>
      <c r="C408" t="s">
        <v>222</v>
      </c>
      <c r="D408" t="b">
        <f>TRUE()</f>
        <v>1</v>
      </c>
      <c r="E408" t="b">
        <f>COUNTIF(connections!A:A, A408) &gt; 0</f>
        <v>1</v>
      </c>
      <c r="G408" t="s">
        <v>1497</v>
      </c>
      <c r="H408" t="s">
        <v>187</v>
      </c>
      <c r="I408" t="s">
        <v>1498</v>
      </c>
      <c r="J408" s="1" t="s">
        <v>1499</v>
      </c>
    </row>
    <row r="409" spans="1:10" ht="15" customHeight="1" x14ac:dyDescent="0.25">
      <c r="A409" t="s">
        <v>1500</v>
      </c>
      <c r="B409">
        <v>2023</v>
      </c>
      <c r="C409" t="s">
        <v>176</v>
      </c>
      <c r="D409" t="b">
        <f>TRUE()</f>
        <v>1</v>
      </c>
      <c r="E409" t="b">
        <f>COUNTIF(connections!A:A, A409) &gt; 0</f>
        <v>0</v>
      </c>
      <c r="F409" t="s">
        <v>529</v>
      </c>
      <c r="G409" t="s">
        <v>1501</v>
      </c>
      <c r="H409" t="s">
        <v>187</v>
      </c>
      <c r="I409" t="s">
        <v>1502</v>
      </c>
      <c r="J409" s="1" t="s">
        <v>1020</v>
      </c>
    </row>
    <row r="410" spans="1:10" ht="15" customHeight="1" x14ac:dyDescent="0.25">
      <c r="A410" t="s">
        <v>1503</v>
      </c>
      <c r="B410">
        <v>2025</v>
      </c>
      <c r="C410" t="s">
        <v>222</v>
      </c>
      <c r="D410" t="b">
        <f>TRUE()</f>
        <v>1</v>
      </c>
      <c r="E410" t="b">
        <f>COUNTIF(connections!A:A, A410) &gt; 0</f>
        <v>0</v>
      </c>
      <c r="F410" t="s">
        <v>1030</v>
      </c>
      <c r="G410" t="s">
        <v>1504</v>
      </c>
      <c r="H410" t="s">
        <v>187</v>
      </c>
      <c r="I410" t="s">
        <v>1505</v>
      </c>
      <c r="J410" s="1" t="s">
        <v>1506</v>
      </c>
    </row>
    <row r="411" spans="1:10" ht="15" customHeight="1" x14ac:dyDescent="0.25">
      <c r="A411" t="s">
        <v>1507</v>
      </c>
      <c r="B411">
        <v>2025</v>
      </c>
      <c r="C411" t="s">
        <v>182</v>
      </c>
      <c r="D411" t="b">
        <f>TRUE()</f>
        <v>1</v>
      </c>
      <c r="E411" t="b">
        <f>COUNTIF(connections!A:A, A411) &gt; 0</f>
        <v>0</v>
      </c>
      <c r="F411" t="s">
        <v>1030</v>
      </c>
      <c r="G411" t="s">
        <v>1508</v>
      </c>
      <c r="H411" t="s">
        <v>187</v>
      </c>
      <c r="I411" t="s">
        <v>1509</v>
      </c>
      <c r="J411" s="1" t="s">
        <v>1510</v>
      </c>
    </row>
    <row r="412" spans="1:10" ht="15" customHeight="1" x14ac:dyDescent="0.25">
      <c r="A412" t="s">
        <v>1511</v>
      </c>
      <c r="B412">
        <v>2020</v>
      </c>
      <c r="C412" t="s">
        <v>182</v>
      </c>
      <c r="D412" t="b">
        <f>TRUE()</f>
        <v>1</v>
      </c>
      <c r="E412" t="b">
        <f>COUNTIF(connections!A:A, A412) &gt; 0</f>
        <v>0</v>
      </c>
      <c r="G412" t="s">
        <v>1512</v>
      </c>
    </row>
    <row r="413" spans="1:10" ht="15" customHeight="1" x14ac:dyDescent="0.25">
      <c r="A413" t="s">
        <v>1513</v>
      </c>
      <c r="B413">
        <v>2020</v>
      </c>
      <c r="C413" t="s">
        <v>179</v>
      </c>
      <c r="D413" t="b">
        <f>TRUE()</f>
        <v>1</v>
      </c>
      <c r="E413" t="b">
        <f>COUNTIF(connections!A:A, A413) &gt; 0</f>
        <v>0</v>
      </c>
      <c r="G413" t="s">
        <v>1514</v>
      </c>
      <c r="H413" t="s">
        <v>187</v>
      </c>
      <c r="I413" t="s">
        <v>1515</v>
      </c>
    </row>
    <row r="414" spans="1:10" ht="15" customHeight="1" x14ac:dyDescent="0.25">
      <c r="A414" t="s">
        <v>1516</v>
      </c>
      <c r="B414">
        <v>2024</v>
      </c>
      <c r="C414" t="s">
        <v>176</v>
      </c>
      <c r="D414" t="b">
        <f>TRUE()</f>
        <v>1</v>
      </c>
      <c r="E414" t="b">
        <f>COUNTIF(connections!A:A, A414) &gt; 0</f>
        <v>1</v>
      </c>
      <c r="F414" t="s">
        <v>652</v>
      </c>
      <c r="G414" t="s">
        <v>1517</v>
      </c>
      <c r="H414" t="s">
        <v>187</v>
      </c>
      <c r="I414" t="s">
        <v>1518</v>
      </c>
      <c r="J414" s="1" t="s">
        <v>1519</v>
      </c>
    </row>
    <row r="415" spans="1:10" ht="15" customHeight="1" x14ac:dyDescent="0.25">
      <c r="A415" t="s">
        <v>1520</v>
      </c>
      <c r="B415">
        <v>2006</v>
      </c>
      <c r="C415" t="s">
        <v>179</v>
      </c>
      <c r="D415" t="b">
        <f>TRUE()</f>
        <v>1</v>
      </c>
      <c r="E415" t="b">
        <f>COUNTIF(connections!A:A, A415) &gt; 0</f>
        <v>0</v>
      </c>
      <c r="G415" t="s">
        <v>1521</v>
      </c>
      <c r="H415" t="s">
        <v>187</v>
      </c>
      <c r="I415" t="s">
        <v>1522</v>
      </c>
    </row>
    <row r="416" spans="1:10" ht="15" customHeight="1" x14ac:dyDescent="0.25">
      <c r="A416" t="s">
        <v>1523</v>
      </c>
      <c r="B416">
        <v>1986</v>
      </c>
      <c r="C416" t="s">
        <v>179</v>
      </c>
      <c r="D416" t="b">
        <f>TRUE()</f>
        <v>1</v>
      </c>
      <c r="E416" t="b">
        <f>COUNTIF(connections!A:A, A416) &gt; 0</f>
        <v>1</v>
      </c>
      <c r="G416" t="s">
        <v>1524</v>
      </c>
      <c r="H416" t="s">
        <v>187</v>
      </c>
      <c r="I416" t="s">
        <v>1525</v>
      </c>
    </row>
    <row r="417" spans="1:10" ht="15" customHeight="1" x14ac:dyDescent="0.25">
      <c r="A417" t="s">
        <v>8109</v>
      </c>
      <c r="B417">
        <v>2013</v>
      </c>
      <c r="C417" t="s">
        <v>176</v>
      </c>
      <c r="D417" t="b">
        <f>TRUE()</f>
        <v>1</v>
      </c>
      <c r="E417" t="b">
        <f>COUNTIF(connections!A:A, A417) &gt; 0</f>
        <v>0</v>
      </c>
      <c r="G417" t="s">
        <v>8110</v>
      </c>
      <c r="J417" s="10" t="s">
        <v>8111</v>
      </c>
    </row>
    <row r="418" spans="1:10" ht="15" customHeight="1" x14ac:dyDescent="0.25">
      <c r="A418" t="s">
        <v>1526</v>
      </c>
      <c r="B418">
        <v>2019</v>
      </c>
      <c r="C418" t="s">
        <v>222</v>
      </c>
      <c r="D418" t="b">
        <f>TRUE()</f>
        <v>1</v>
      </c>
      <c r="E418" t="b">
        <f>COUNTIF(connections!A:A, A418) &gt; 0</f>
        <v>0</v>
      </c>
      <c r="G418" t="s">
        <v>1527</v>
      </c>
      <c r="H418" t="s">
        <v>187</v>
      </c>
      <c r="I418" t="s">
        <v>1528</v>
      </c>
      <c r="J418" s="1" t="s">
        <v>1529</v>
      </c>
    </row>
    <row r="419" spans="1:10" ht="15" customHeight="1" x14ac:dyDescent="0.25">
      <c r="A419" t="s">
        <v>7962</v>
      </c>
      <c r="B419">
        <v>2026</v>
      </c>
      <c r="C419" t="s">
        <v>222</v>
      </c>
      <c r="D419" t="b">
        <f>TRUE()</f>
        <v>1</v>
      </c>
      <c r="E419" t="b">
        <f>COUNTIF(connections!A:A, A419) &gt; 0</f>
        <v>0</v>
      </c>
      <c r="G419" t="s">
        <v>7963</v>
      </c>
      <c r="J419" s="10" t="s">
        <v>7964</v>
      </c>
    </row>
    <row r="420" spans="1:10" ht="15" customHeight="1" x14ac:dyDescent="0.25">
      <c r="A420" t="s">
        <v>1530</v>
      </c>
      <c r="B420">
        <v>2024</v>
      </c>
      <c r="C420" t="s">
        <v>176</v>
      </c>
      <c r="D420" t="b">
        <f>TRUE()</f>
        <v>1</v>
      </c>
      <c r="E420" t="b">
        <f>COUNTIF(connections!A:A, A420) &gt; 0</f>
        <v>0</v>
      </c>
      <c r="F420" t="s">
        <v>264</v>
      </c>
      <c r="G420" t="s">
        <v>1531</v>
      </c>
    </row>
    <row r="421" spans="1:10" ht="15" customHeight="1" x14ac:dyDescent="0.25">
      <c r="A421" t="s">
        <v>1532</v>
      </c>
      <c r="B421">
        <v>2026</v>
      </c>
      <c r="C421" t="s">
        <v>182</v>
      </c>
      <c r="D421" t="b">
        <v>1</v>
      </c>
      <c r="E421" t="b">
        <f>COUNTIF(connections!A:A, A421) &gt; 0</f>
        <v>0</v>
      </c>
      <c r="G421" t="s">
        <v>1533</v>
      </c>
    </row>
    <row r="422" spans="1:10" ht="15" customHeight="1" x14ac:dyDescent="0.25">
      <c r="A422" t="s">
        <v>1534</v>
      </c>
      <c r="B422">
        <v>2023</v>
      </c>
      <c r="C422" t="s">
        <v>222</v>
      </c>
      <c r="D422" t="b">
        <v>1</v>
      </c>
      <c r="E422" t="b">
        <f>COUNTIF(connections!A:A, A422) &gt; 0</f>
        <v>0</v>
      </c>
      <c r="G422" t="s">
        <v>1535</v>
      </c>
      <c r="H422" t="s">
        <v>187</v>
      </c>
      <c r="I422" t="s">
        <v>1536</v>
      </c>
      <c r="J422" s="1" t="s">
        <v>1537</v>
      </c>
    </row>
    <row r="423" spans="1:10" ht="15" customHeight="1" x14ac:dyDescent="0.25">
      <c r="A423" t="s">
        <v>8000</v>
      </c>
      <c r="B423">
        <v>2026</v>
      </c>
      <c r="C423" t="s">
        <v>182</v>
      </c>
      <c r="D423" t="b">
        <f>TRUE()</f>
        <v>1</v>
      </c>
      <c r="E423" t="b">
        <f>COUNTIF(connections!A:A, A423) &gt; 0</f>
        <v>0</v>
      </c>
      <c r="G423" t="s">
        <v>8001</v>
      </c>
      <c r="J423" s="10" t="s">
        <v>8002</v>
      </c>
    </row>
    <row r="424" spans="1:10" ht="16.5" customHeight="1" x14ac:dyDescent="0.25">
      <c r="A424" t="s">
        <v>1538</v>
      </c>
      <c r="B424">
        <v>1995</v>
      </c>
      <c r="C424" t="s">
        <v>179</v>
      </c>
      <c r="D424" t="b">
        <f>TRUE()</f>
        <v>1</v>
      </c>
      <c r="E424" t="b">
        <f>COUNTIF(connections!A:A, A424) &gt; 0</f>
        <v>1</v>
      </c>
      <c r="G424" t="s">
        <v>1539</v>
      </c>
      <c r="H424" t="s">
        <v>187</v>
      </c>
      <c r="I424" t="s">
        <v>1540</v>
      </c>
    </row>
    <row r="425" spans="1:10" ht="15" customHeight="1" x14ac:dyDescent="0.25">
      <c r="A425" t="s">
        <v>1541</v>
      </c>
      <c r="B425">
        <v>2023</v>
      </c>
      <c r="C425" t="s">
        <v>176</v>
      </c>
      <c r="D425" t="b">
        <f>TRUE()</f>
        <v>1</v>
      </c>
      <c r="E425" t="b">
        <f>COUNTIF(connections!A:A, A425) &gt; 0</f>
        <v>0</v>
      </c>
      <c r="G425" t="s">
        <v>1542</v>
      </c>
      <c r="H425" t="s">
        <v>187</v>
      </c>
      <c r="I425" t="s">
        <v>1543</v>
      </c>
      <c r="J425" s="1" t="s">
        <v>1544</v>
      </c>
    </row>
    <row r="426" spans="1:10" ht="15" customHeight="1" x14ac:dyDescent="0.25">
      <c r="A426" t="s">
        <v>1545</v>
      </c>
      <c r="B426">
        <v>2024</v>
      </c>
      <c r="C426" t="s">
        <v>222</v>
      </c>
      <c r="D426" t="b">
        <f>TRUE()</f>
        <v>1</v>
      </c>
      <c r="E426" t="b">
        <f>COUNTIF(connections!A:A, A426) &gt; 0</f>
        <v>0</v>
      </c>
      <c r="F426" t="s">
        <v>274</v>
      </c>
      <c r="G426" t="s">
        <v>1546</v>
      </c>
      <c r="H426" t="s">
        <v>187</v>
      </c>
      <c r="I426" t="s">
        <v>1547</v>
      </c>
      <c r="J426" s="1" t="s">
        <v>1548</v>
      </c>
    </row>
    <row r="427" spans="1:10" ht="15" customHeight="1" x14ac:dyDescent="0.25">
      <c r="A427" t="s">
        <v>1549</v>
      </c>
      <c r="B427">
        <v>2021</v>
      </c>
      <c r="C427" t="s">
        <v>222</v>
      </c>
      <c r="D427" t="b">
        <f>TRUE()</f>
        <v>1</v>
      </c>
      <c r="E427" t="b">
        <f>COUNTIF(connections!A:A, A427) &gt; 0</f>
        <v>1</v>
      </c>
      <c r="G427" t="s">
        <v>1550</v>
      </c>
      <c r="H427" t="s">
        <v>187</v>
      </c>
      <c r="I427" t="s">
        <v>1551</v>
      </c>
      <c r="J427" s="1" t="s">
        <v>1552</v>
      </c>
    </row>
    <row r="428" spans="1:10" ht="15" customHeight="1" x14ac:dyDescent="0.25">
      <c r="A428" t="s">
        <v>1553</v>
      </c>
      <c r="B428">
        <v>2017</v>
      </c>
      <c r="C428" t="s">
        <v>222</v>
      </c>
      <c r="D428" t="b">
        <f>TRUE()</f>
        <v>1</v>
      </c>
      <c r="E428" t="b">
        <f>COUNTIF(connections!A:A, A428) &gt; 0</f>
        <v>1</v>
      </c>
      <c r="G428" t="s">
        <v>1554</v>
      </c>
    </row>
    <row r="429" spans="1:10" ht="15" customHeight="1" x14ac:dyDescent="0.25">
      <c r="A429" t="s">
        <v>1555</v>
      </c>
      <c r="B429">
        <v>2022</v>
      </c>
      <c r="C429" t="s">
        <v>222</v>
      </c>
      <c r="D429" t="b">
        <f>FALSE()</f>
        <v>0</v>
      </c>
      <c r="E429" t="b">
        <f>COUNTIF(connections!A:A, A429) &gt; 0</f>
        <v>0</v>
      </c>
      <c r="F429" t="s">
        <v>652</v>
      </c>
      <c r="G429" t="s">
        <v>1556</v>
      </c>
      <c r="H429" t="s">
        <v>187</v>
      </c>
      <c r="I429" t="s">
        <v>1557</v>
      </c>
      <c r="J429" s="1" t="s">
        <v>1558</v>
      </c>
    </row>
    <row r="430" spans="1:10" ht="15" customHeight="1" x14ac:dyDescent="0.25">
      <c r="A430" t="s">
        <v>1559</v>
      </c>
      <c r="B430">
        <v>2025</v>
      </c>
      <c r="C430" t="s">
        <v>222</v>
      </c>
      <c r="D430" t="b">
        <f>TRUE()</f>
        <v>1</v>
      </c>
      <c r="E430" t="b">
        <f>COUNTIF(connections!A:A, A430) &gt; 0</f>
        <v>0</v>
      </c>
      <c r="G430" t="s">
        <v>1560</v>
      </c>
    </row>
    <row r="431" spans="1:10" ht="15" customHeight="1" x14ac:dyDescent="0.25">
      <c r="A431" t="s">
        <v>1561</v>
      </c>
      <c r="B431">
        <v>2026</v>
      </c>
      <c r="C431" t="s">
        <v>176</v>
      </c>
      <c r="D431" t="b">
        <f>TRUE()</f>
        <v>1</v>
      </c>
      <c r="E431" t="b">
        <f>COUNTIF(connections!A:A, A431) &gt; 0</f>
        <v>0</v>
      </c>
      <c r="G431" t="s">
        <v>1562</v>
      </c>
    </row>
    <row r="432" spans="1:10" ht="15" customHeight="1" x14ac:dyDescent="0.25">
      <c r="A432" t="s">
        <v>1563</v>
      </c>
      <c r="B432">
        <v>2019</v>
      </c>
      <c r="C432" t="s">
        <v>179</v>
      </c>
      <c r="D432" t="b">
        <f>TRUE()</f>
        <v>1</v>
      </c>
      <c r="E432" t="b">
        <f>COUNTIF(connections!A:A, A432) &gt; 0</f>
        <v>0</v>
      </c>
      <c r="G432" t="s">
        <v>1564</v>
      </c>
    </row>
    <row r="433" spans="1:10" ht="15" customHeight="1" x14ac:dyDescent="0.25">
      <c r="A433" t="s">
        <v>1565</v>
      </c>
      <c r="B433">
        <v>2023</v>
      </c>
      <c r="C433" t="s">
        <v>182</v>
      </c>
      <c r="D433" t="b">
        <f>TRUE()</f>
        <v>1</v>
      </c>
      <c r="E433" t="b">
        <f>COUNTIF(connections!A:A, A433) &gt; 0</f>
        <v>1</v>
      </c>
      <c r="G433" t="s">
        <v>1566</v>
      </c>
      <c r="J433" s="10" t="s">
        <v>1567</v>
      </c>
    </row>
    <row r="434" spans="1:10" ht="15" customHeight="1" x14ac:dyDescent="0.25">
      <c r="A434" t="s">
        <v>1568</v>
      </c>
      <c r="B434">
        <v>2022</v>
      </c>
      <c r="C434" t="s">
        <v>182</v>
      </c>
      <c r="D434" t="b">
        <f>TRUE()</f>
        <v>1</v>
      </c>
      <c r="E434" t="b">
        <f>COUNTIF(connections!A:A, A434) &gt; 0</f>
        <v>0</v>
      </c>
      <c r="G434" t="s">
        <v>1569</v>
      </c>
    </row>
    <row r="435" spans="1:10" ht="15" customHeight="1" x14ac:dyDescent="0.25">
      <c r="A435" t="s">
        <v>1570</v>
      </c>
      <c r="B435">
        <v>2025</v>
      </c>
      <c r="C435" t="s">
        <v>176</v>
      </c>
      <c r="D435" t="b">
        <f>TRUE()</f>
        <v>1</v>
      </c>
      <c r="E435" t="b">
        <f>COUNTIF(connections!A:A, A435) &gt; 0</f>
        <v>0</v>
      </c>
      <c r="G435" t="s">
        <v>1571</v>
      </c>
      <c r="H435" t="s">
        <v>187</v>
      </c>
      <c r="I435" t="s">
        <v>7873</v>
      </c>
      <c r="J435" s="10" t="s">
        <v>7874</v>
      </c>
    </row>
    <row r="436" spans="1:10" ht="15" customHeight="1" x14ac:dyDescent="0.25">
      <c r="A436" t="s">
        <v>1572</v>
      </c>
      <c r="B436">
        <v>2001</v>
      </c>
      <c r="C436" t="s">
        <v>179</v>
      </c>
      <c r="D436" t="b">
        <f>TRUE()</f>
        <v>1</v>
      </c>
      <c r="E436" t="b">
        <f>COUNTIF(connections!A:A, A436) &gt; 0</f>
        <v>1</v>
      </c>
      <c r="G436" t="s">
        <v>1573</v>
      </c>
    </row>
    <row r="437" spans="1:10" ht="15" customHeight="1" x14ac:dyDescent="0.25">
      <c r="A437" t="s">
        <v>1574</v>
      </c>
      <c r="B437">
        <v>2024</v>
      </c>
      <c r="C437" t="s">
        <v>182</v>
      </c>
      <c r="D437" t="b">
        <f>TRUE()</f>
        <v>1</v>
      </c>
      <c r="E437" t="b">
        <f>COUNTIF(connections!A:A, A437) &gt; 0</f>
        <v>0</v>
      </c>
      <c r="G437" t="s">
        <v>1575</v>
      </c>
    </row>
    <row r="438" spans="1:10" ht="15" customHeight="1" x14ac:dyDescent="0.25">
      <c r="A438" t="s">
        <v>1576</v>
      </c>
      <c r="B438">
        <v>2021</v>
      </c>
      <c r="C438" t="s">
        <v>182</v>
      </c>
      <c r="D438" t="b">
        <f>TRUE()</f>
        <v>1</v>
      </c>
      <c r="E438" t="b">
        <f>COUNTIF(connections!A:A, A438) &gt; 0</f>
        <v>1</v>
      </c>
      <c r="F438" t="s">
        <v>354</v>
      </c>
      <c r="G438" t="s">
        <v>1577</v>
      </c>
      <c r="H438" t="s">
        <v>187</v>
      </c>
      <c r="I438" t="s">
        <v>1578</v>
      </c>
      <c r="J438" s="1" t="s">
        <v>1579</v>
      </c>
    </row>
    <row r="439" spans="1:10" ht="15" customHeight="1" x14ac:dyDescent="0.25">
      <c r="A439" t="s">
        <v>1580</v>
      </c>
      <c r="B439">
        <v>2023</v>
      </c>
      <c r="C439" t="s">
        <v>182</v>
      </c>
      <c r="D439" t="b">
        <f>TRUE()</f>
        <v>1</v>
      </c>
      <c r="E439" t="b">
        <f>COUNTIF(connections!A:A, A439) &gt; 0</f>
        <v>0</v>
      </c>
      <c r="F439" t="s">
        <v>354</v>
      </c>
      <c r="G439" t="s">
        <v>1581</v>
      </c>
      <c r="H439" t="s">
        <v>187</v>
      </c>
      <c r="I439" t="s">
        <v>1582</v>
      </c>
      <c r="J439" s="1" t="s">
        <v>1583</v>
      </c>
    </row>
    <row r="440" spans="1:10" ht="15" customHeight="1" x14ac:dyDescent="0.25">
      <c r="A440" t="s">
        <v>1584</v>
      </c>
      <c r="B440">
        <v>2026</v>
      </c>
      <c r="C440" t="s">
        <v>176</v>
      </c>
      <c r="D440" t="b">
        <f>TRUE()</f>
        <v>1</v>
      </c>
      <c r="E440" t="b">
        <f>COUNTIF(connections!A:A, A440) &gt; 0</f>
        <v>0</v>
      </c>
      <c r="G440" t="s">
        <v>1585</v>
      </c>
      <c r="J440" s="10" t="s">
        <v>1586</v>
      </c>
    </row>
    <row r="441" spans="1:10" ht="15" customHeight="1" x14ac:dyDescent="0.25">
      <c r="A441" t="s">
        <v>1587</v>
      </c>
      <c r="B441">
        <v>2026</v>
      </c>
      <c r="C441" t="s">
        <v>222</v>
      </c>
      <c r="D441" t="b">
        <f>TRUE()</f>
        <v>1</v>
      </c>
      <c r="E441" t="b">
        <f>COUNTIF(connections!A:A, A441) &gt; 0</f>
        <v>0</v>
      </c>
      <c r="F441" t="s">
        <v>264</v>
      </c>
      <c r="G441" t="s">
        <v>1588</v>
      </c>
    </row>
    <row r="442" spans="1:10" ht="15" customHeight="1" x14ac:dyDescent="0.25">
      <c r="A442" t="s">
        <v>1589</v>
      </c>
      <c r="B442">
        <v>2026</v>
      </c>
      <c r="C442" t="s">
        <v>176</v>
      </c>
      <c r="D442" t="b">
        <f>FALSE()</f>
        <v>0</v>
      </c>
      <c r="E442" t="b">
        <f>COUNTIF(connections!A:A, A442) &gt; 0</f>
        <v>0</v>
      </c>
      <c r="G442" t="s">
        <v>1590</v>
      </c>
      <c r="J442" s="1" t="s">
        <v>1591</v>
      </c>
    </row>
    <row r="443" spans="1:10" ht="15" customHeight="1" x14ac:dyDescent="0.25">
      <c r="A443" t="s">
        <v>1592</v>
      </c>
      <c r="B443">
        <v>2019</v>
      </c>
      <c r="C443" t="s">
        <v>176</v>
      </c>
      <c r="D443" t="b">
        <f>TRUE()</f>
        <v>1</v>
      </c>
      <c r="E443" t="b">
        <f>COUNTIF(connections!A:A, A443) &gt; 0</f>
        <v>1</v>
      </c>
      <c r="G443" t="s">
        <v>1593</v>
      </c>
    </row>
    <row r="444" spans="1:10" ht="15" customHeight="1" x14ac:dyDescent="0.25">
      <c r="A444" t="s">
        <v>1594</v>
      </c>
      <c r="B444">
        <v>2023</v>
      </c>
      <c r="C444" t="s">
        <v>176</v>
      </c>
      <c r="D444" t="b">
        <f>TRUE()</f>
        <v>1</v>
      </c>
      <c r="E444" t="b">
        <f>COUNTIF(connections!A:A, A444) &gt; 0</f>
        <v>1</v>
      </c>
      <c r="G444" t="s">
        <v>1595</v>
      </c>
    </row>
    <row r="445" spans="1:10" ht="15" customHeight="1" x14ac:dyDescent="0.25">
      <c r="A445" t="s">
        <v>1596</v>
      </c>
      <c r="B445">
        <v>2025</v>
      </c>
      <c r="C445" t="s">
        <v>176</v>
      </c>
      <c r="D445" t="b">
        <f>TRUE()</f>
        <v>1</v>
      </c>
      <c r="E445" t="b">
        <f>COUNTIF(connections!A:A, A445) &gt; 0</f>
        <v>0</v>
      </c>
      <c r="G445" t="s">
        <v>1597</v>
      </c>
    </row>
    <row r="446" spans="1:10" ht="15" customHeight="1" x14ac:dyDescent="0.25">
      <c r="A446" t="s">
        <v>1598</v>
      </c>
      <c r="B446">
        <v>2020</v>
      </c>
      <c r="C446" t="s">
        <v>179</v>
      </c>
      <c r="D446" t="b">
        <f>TRUE()</f>
        <v>1</v>
      </c>
      <c r="E446" t="b">
        <f>COUNTIF(connections!A:A, A446) &gt; 0</f>
        <v>0</v>
      </c>
      <c r="G446" t="s">
        <v>1599</v>
      </c>
      <c r="H446" t="s">
        <v>187</v>
      </c>
      <c r="I446" t="s">
        <v>1600</v>
      </c>
      <c r="J446" s="1" t="s">
        <v>1601</v>
      </c>
    </row>
    <row r="447" spans="1:10" ht="15" customHeight="1" x14ac:dyDescent="0.25">
      <c r="A447" t="s">
        <v>1602</v>
      </c>
      <c r="B447">
        <v>2018</v>
      </c>
      <c r="C447" t="s">
        <v>176</v>
      </c>
      <c r="D447" t="b">
        <f>TRUE()</f>
        <v>1</v>
      </c>
      <c r="E447" t="b">
        <f>COUNTIF(connections!A:A, A447) &gt; 0</f>
        <v>0</v>
      </c>
      <c r="G447" t="s">
        <v>1603</v>
      </c>
      <c r="H447" t="s">
        <v>187</v>
      </c>
      <c r="I447" t="s">
        <v>1604</v>
      </c>
      <c r="J447" s="1" t="s">
        <v>1605</v>
      </c>
    </row>
    <row r="448" spans="1:10" ht="15" customHeight="1" x14ac:dyDescent="0.25">
      <c r="A448" t="s">
        <v>1606</v>
      </c>
      <c r="B448">
        <v>2025</v>
      </c>
      <c r="C448" t="s">
        <v>176</v>
      </c>
      <c r="D448" t="b">
        <f>TRUE()</f>
        <v>1</v>
      </c>
      <c r="E448" t="b">
        <f>COUNTIF(connections!A:A, A448) &gt; 0</f>
        <v>0</v>
      </c>
      <c r="G448" t="s">
        <v>1607</v>
      </c>
      <c r="H448" t="s">
        <v>187</v>
      </c>
      <c r="I448" t="s">
        <v>1608</v>
      </c>
      <c r="J448" s="10" t="s">
        <v>1609</v>
      </c>
    </row>
    <row r="449" spans="1:10" ht="15" customHeight="1" x14ac:dyDescent="0.25">
      <c r="A449" t="s">
        <v>1610</v>
      </c>
      <c r="B449">
        <v>2026</v>
      </c>
      <c r="C449" t="s">
        <v>182</v>
      </c>
      <c r="D449" t="b">
        <f>TRUE()</f>
        <v>1</v>
      </c>
      <c r="E449" t="b">
        <f>COUNTIF(connections!A:A, A449) &gt; 0</f>
        <v>0</v>
      </c>
      <c r="G449" t="s">
        <v>1611</v>
      </c>
      <c r="J449" s="10" t="s">
        <v>1612</v>
      </c>
    </row>
    <row r="450" spans="1:10" ht="15" customHeight="1" x14ac:dyDescent="0.25">
      <c r="A450" t="s">
        <v>1613</v>
      </c>
      <c r="B450">
        <v>2025</v>
      </c>
      <c r="C450" t="s">
        <v>176</v>
      </c>
      <c r="D450" t="b">
        <f>TRUE()</f>
        <v>1</v>
      </c>
      <c r="E450" t="b">
        <f>COUNTIF(connections!A:A, A450) &gt; 0</f>
        <v>0</v>
      </c>
      <c r="G450" t="s">
        <v>1614</v>
      </c>
      <c r="H450" t="s">
        <v>187</v>
      </c>
      <c r="I450" t="s">
        <v>1615</v>
      </c>
      <c r="J450" s="1" t="s">
        <v>1616</v>
      </c>
    </row>
    <row r="451" spans="1:10" ht="15" customHeight="1" x14ac:dyDescent="0.25">
      <c r="A451" t="s">
        <v>1617</v>
      </c>
      <c r="B451">
        <v>2022</v>
      </c>
      <c r="C451" t="s">
        <v>222</v>
      </c>
      <c r="D451" t="b">
        <f>FALSE()</f>
        <v>0</v>
      </c>
      <c r="E451" t="b">
        <f>COUNTIF(connections!A:A, A451) &gt; 0</f>
        <v>0</v>
      </c>
      <c r="G451" t="s">
        <v>1618</v>
      </c>
      <c r="H451" t="s">
        <v>187</v>
      </c>
      <c r="I451" t="s">
        <v>1619</v>
      </c>
      <c r="J451" s="1" t="s">
        <v>1620</v>
      </c>
    </row>
    <row r="452" spans="1:10" ht="15" customHeight="1" x14ac:dyDescent="0.25">
      <c r="A452" t="s">
        <v>1621</v>
      </c>
      <c r="B452">
        <v>2025</v>
      </c>
      <c r="C452" t="s">
        <v>176</v>
      </c>
      <c r="D452" t="b">
        <f>TRUE()</f>
        <v>1</v>
      </c>
      <c r="E452" t="b">
        <f>COUNTIF(connections!A:A, A452) &gt; 0</f>
        <v>1</v>
      </c>
      <c r="G452" t="s">
        <v>1622</v>
      </c>
      <c r="H452" t="s">
        <v>187</v>
      </c>
      <c r="I452" t="s">
        <v>1623</v>
      </c>
      <c r="J452" s="1" t="s">
        <v>1624</v>
      </c>
    </row>
    <row r="453" spans="1:10" ht="15" customHeight="1" x14ac:dyDescent="0.25">
      <c r="A453" t="s">
        <v>1625</v>
      </c>
      <c r="B453">
        <v>2024</v>
      </c>
      <c r="C453" t="s">
        <v>182</v>
      </c>
      <c r="D453" t="b">
        <f>TRUE()</f>
        <v>1</v>
      </c>
      <c r="E453" t="b">
        <f>COUNTIF(connections!A:A, A453) &gt; 0</f>
        <v>0</v>
      </c>
      <c r="G453" t="s">
        <v>1626</v>
      </c>
    </row>
    <row r="454" spans="1:10" ht="15" customHeight="1" x14ac:dyDescent="0.25">
      <c r="A454" t="s">
        <v>1627</v>
      </c>
      <c r="B454">
        <v>2024</v>
      </c>
      <c r="C454" t="s">
        <v>182</v>
      </c>
      <c r="D454" t="b">
        <f>TRUE()</f>
        <v>1</v>
      </c>
      <c r="E454" t="b">
        <f>COUNTIF(connections!A:A, A454) &gt; 0</f>
        <v>0</v>
      </c>
      <c r="G454" t="s">
        <v>1628</v>
      </c>
      <c r="H454" t="s">
        <v>187</v>
      </c>
      <c r="I454" t="s">
        <v>1629</v>
      </c>
      <c r="J454" s="1" t="s">
        <v>1630</v>
      </c>
    </row>
    <row r="455" spans="1:10" ht="15" customHeight="1" x14ac:dyDescent="0.25">
      <c r="A455" t="s">
        <v>1631</v>
      </c>
      <c r="B455">
        <v>2026</v>
      </c>
      <c r="C455" t="s">
        <v>182</v>
      </c>
      <c r="D455" t="b">
        <f>TRUE()</f>
        <v>1</v>
      </c>
      <c r="E455" t="b">
        <f>COUNTIF(connections!A:A, A455) &gt; 0</f>
        <v>0</v>
      </c>
      <c r="G455" t="s">
        <v>1632</v>
      </c>
    </row>
    <row r="456" spans="1:10" ht="15" customHeight="1" x14ac:dyDescent="0.25">
      <c r="A456" t="s">
        <v>1633</v>
      </c>
      <c r="B456">
        <v>2025</v>
      </c>
      <c r="C456" t="s">
        <v>182</v>
      </c>
      <c r="D456" t="b">
        <f>TRUE()</f>
        <v>1</v>
      </c>
      <c r="E456" t="b">
        <f>COUNTIF(connections!A:A, A456) &gt; 0</f>
        <v>0</v>
      </c>
      <c r="G456" t="s">
        <v>1634</v>
      </c>
      <c r="H456" t="s">
        <v>187</v>
      </c>
      <c r="I456" t="s">
        <v>1635</v>
      </c>
      <c r="J456" s="1" t="s">
        <v>1636</v>
      </c>
    </row>
    <row r="457" spans="1:10" ht="15" customHeight="1" x14ac:dyDescent="0.25">
      <c r="A457" t="s">
        <v>1637</v>
      </c>
      <c r="B457">
        <v>2024</v>
      </c>
      <c r="C457" t="s">
        <v>222</v>
      </c>
      <c r="D457" t="b">
        <f>TRUE()</f>
        <v>1</v>
      </c>
      <c r="E457" t="b">
        <f>COUNTIF(connections!A:A, A457) &gt; 0</f>
        <v>0</v>
      </c>
      <c r="G457" t="s">
        <v>1638</v>
      </c>
      <c r="H457" t="s">
        <v>187</v>
      </c>
      <c r="I457" t="s">
        <v>1639</v>
      </c>
      <c r="J457" s="1" t="s">
        <v>1640</v>
      </c>
    </row>
    <row r="458" spans="1:10" ht="15" customHeight="1" x14ac:dyDescent="0.25">
      <c r="A458" t="s">
        <v>1641</v>
      </c>
      <c r="B458">
        <v>2020</v>
      </c>
      <c r="C458" t="s">
        <v>176</v>
      </c>
      <c r="D458" t="b">
        <f>TRUE()</f>
        <v>1</v>
      </c>
      <c r="E458" t="b">
        <f>COUNTIF(connections!A:A, A458) &gt; 0</f>
        <v>0</v>
      </c>
      <c r="G458" t="s">
        <v>1642</v>
      </c>
      <c r="H458" t="s">
        <v>187</v>
      </c>
      <c r="I458" t="s">
        <v>1643</v>
      </c>
      <c r="J458" s="1" t="s">
        <v>1644</v>
      </c>
    </row>
    <row r="459" spans="1:10" ht="15" customHeight="1" x14ac:dyDescent="0.25">
      <c r="A459" t="s">
        <v>1645</v>
      </c>
      <c r="B459">
        <v>2021</v>
      </c>
      <c r="C459" t="s">
        <v>176</v>
      </c>
      <c r="D459" t="b">
        <v>1</v>
      </c>
      <c r="E459" t="b">
        <f>COUNTIF(connections!A:A, A459) &gt; 0</f>
        <v>0</v>
      </c>
      <c r="G459" t="s">
        <v>1646</v>
      </c>
      <c r="H459" t="s">
        <v>187</v>
      </c>
      <c r="I459" t="s">
        <v>1647</v>
      </c>
      <c r="J459" s="1" t="s">
        <v>1648</v>
      </c>
    </row>
    <row r="460" spans="1:10" ht="15" customHeight="1" x14ac:dyDescent="0.25">
      <c r="A460" t="s">
        <v>1649</v>
      </c>
      <c r="B460">
        <v>2026</v>
      </c>
      <c r="C460" t="s">
        <v>222</v>
      </c>
      <c r="D460" t="b">
        <f>TRUE()</f>
        <v>1</v>
      </c>
      <c r="E460" t="b">
        <f>COUNTIF(connections!A:A, A460) &gt; 0</f>
        <v>0</v>
      </c>
      <c r="F460" t="s">
        <v>529</v>
      </c>
      <c r="G460" t="s">
        <v>1650</v>
      </c>
      <c r="H460" t="s">
        <v>187</v>
      </c>
      <c r="I460" t="s">
        <v>1651</v>
      </c>
      <c r="J460" s="1" t="s">
        <v>1652</v>
      </c>
    </row>
    <row r="461" spans="1:10" ht="15" customHeight="1" x14ac:dyDescent="0.25">
      <c r="A461" t="s">
        <v>1653</v>
      </c>
      <c r="B461">
        <v>2025</v>
      </c>
      <c r="C461" t="s">
        <v>176</v>
      </c>
      <c r="D461" t="b">
        <v>1</v>
      </c>
      <c r="E461" t="b">
        <f>COUNTIF(connections!A:A, A461) &gt; 0</f>
        <v>0</v>
      </c>
      <c r="G461" t="s">
        <v>1654</v>
      </c>
    </row>
    <row r="462" spans="1:10" ht="15" customHeight="1" x14ac:dyDescent="0.25">
      <c r="A462" t="s">
        <v>1655</v>
      </c>
      <c r="B462">
        <v>2024</v>
      </c>
      <c r="C462" t="s">
        <v>222</v>
      </c>
      <c r="D462" t="b">
        <v>1</v>
      </c>
      <c r="E462" t="b">
        <f>COUNTIF(connections!A:A, A462) &gt; 0</f>
        <v>1</v>
      </c>
      <c r="G462" t="s">
        <v>1656</v>
      </c>
      <c r="H462" t="s">
        <v>187</v>
      </c>
      <c r="I462" t="s">
        <v>1657</v>
      </c>
      <c r="J462" s="1" t="s">
        <v>1658</v>
      </c>
    </row>
    <row r="463" spans="1:10" ht="15" customHeight="1" x14ac:dyDescent="0.25">
      <c r="A463" t="s">
        <v>1659</v>
      </c>
      <c r="B463">
        <v>2012</v>
      </c>
      <c r="C463" t="s">
        <v>179</v>
      </c>
      <c r="D463" t="b">
        <f>TRUE()</f>
        <v>1</v>
      </c>
      <c r="E463" t="b">
        <f>COUNTIF(connections!A:A, A463) &gt; 0</f>
        <v>1</v>
      </c>
      <c r="F463" t="s">
        <v>328</v>
      </c>
      <c r="G463" t="s">
        <v>1660</v>
      </c>
    </row>
    <row r="464" spans="1:10" ht="15" customHeight="1" x14ac:dyDescent="0.25">
      <c r="A464" t="s">
        <v>1661</v>
      </c>
      <c r="B464">
        <v>2011</v>
      </c>
      <c r="C464" t="s">
        <v>179</v>
      </c>
      <c r="D464" t="b">
        <f>TRUE()</f>
        <v>1</v>
      </c>
      <c r="E464" t="b">
        <f>COUNTIF(connections!A:A, A464) &gt; 0</f>
        <v>1</v>
      </c>
      <c r="F464" t="s">
        <v>328</v>
      </c>
      <c r="G464" t="s">
        <v>1662</v>
      </c>
    </row>
    <row r="465" spans="1:10" ht="15" customHeight="1" x14ac:dyDescent="0.25">
      <c r="A465" t="s">
        <v>1663</v>
      </c>
      <c r="B465">
        <v>1987</v>
      </c>
      <c r="C465" t="s">
        <v>179</v>
      </c>
      <c r="D465" t="b">
        <v>1</v>
      </c>
      <c r="E465" t="b">
        <f>COUNTIF(connections!A:A, A465) &gt; 0</f>
        <v>0</v>
      </c>
      <c r="G465" t="s">
        <v>1664</v>
      </c>
      <c r="H465" t="s">
        <v>187</v>
      </c>
      <c r="I465" t="s">
        <v>1665</v>
      </c>
    </row>
    <row r="466" spans="1:10" ht="15" customHeight="1" x14ac:dyDescent="0.25">
      <c r="A466" t="s">
        <v>1666</v>
      </c>
      <c r="B466">
        <v>2023</v>
      </c>
      <c r="C466" t="s">
        <v>176</v>
      </c>
      <c r="D466" t="b">
        <f>TRUE()</f>
        <v>1</v>
      </c>
      <c r="E466" t="b">
        <f>COUNTIF(connections!A:A, A466) &gt; 0</f>
        <v>0</v>
      </c>
      <c r="G466" t="s">
        <v>1667</v>
      </c>
      <c r="H466" t="s">
        <v>187</v>
      </c>
      <c r="I466" t="s">
        <v>1668</v>
      </c>
      <c r="J466" s="1" t="s">
        <v>1669</v>
      </c>
    </row>
    <row r="467" spans="1:10" ht="15" customHeight="1" x14ac:dyDescent="0.25">
      <c r="A467" t="s">
        <v>1670</v>
      </c>
      <c r="B467">
        <v>2022</v>
      </c>
      <c r="C467" t="s">
        <v>176</v>
      </c>
      <c r="D467" t="b">
        <f>TRUE()</f>
        <v>1</v>
      </c>
      <c r="E467" t="b">
        <f>COUNTIF(connections!A:A, A467) &gt; 0</f>
        <v>0</v>
      </c>
      <c r="G467" t="s">
        <v>1671</v>
      </c>
    </row>
    <row r="468" spans="1:10" ht="15" customHeight="1" x14ac:dyDescent="0.25">
      <c r="A468" t="s">
        <v>1672</v>
      </c>
      <c r="B468">
        <v>2021</v>
      </c>
      <c r="C468" t="s">
        <v>182</v>
      </c>
      <c r="D468" t="b">
        <f>TRUE()</f>
        <v>1</v>
      </c>
      <c r="E468" t="b">
        <f>COUNTIF(connections!A:A, A468) &gt; 0</f>
        <v>0</v>
      </c>
      <c r="G468" t="s">
        <v>1673</v>
      </c>
      <c r="H468" t="s">
        <v>187</v>
      </c>
      <c r="I468" t="s">
        <v>1674</v>
      </c>
      <c r="J468" s="1" t="s">
        <v>1675</v>
      </c>
    </row>
    <row r="469" spans="1:10" ht="15" customHeight="1" x14ac:dyDescent="0.25">
      <c r="A469" t="s">
        <v>1676</v>
      </c>
      <c r="B469">
        <v>2002</v>
      </c>
      <c r="C469" t="s">
        <v>179</v>
      </c>
      <c r="D469" t="b">
        <f>TRUE()</f>
        <v>1</v>
      </c>
      <c r="E469" t="b">
        <f>COUNTIF(connections!A:A, A469) &gt; 0</f>
        <v>1</v>
      </c>
      <c r="G469" t="s">
        <v>1677</v>
      </c>
      <c r="H469" t="s">
        <v>187</v>
      </c>
      <c r="I469" t="s">
        <v>1678</v>
      </c>
    </row>
    <row r="470" spans="1:10" ht="15" customHeight="1" x14ac:dyDescent="0.25">
      <c r="A470" t="s">
        <v>1679</v>
      </c>
      <c r="B470">
        <v>2003</v>
      </c>
      <c r="C470" t="s">
        <v>179</v>
      </c>
      <c r="D470" t="b">
        <f>TRUE()</f>
        <v>1</v>
      </c>
      <c r="E470" t="b">
        <f>COUNTIF(connections!A:A, A470) &gt; 0</f>
        <v>0</v>
      </c>
      <c r="G470" t="s">
        <v>1680</v>
      </c>
      <c r="H470" t="s">
        <v>187</v>
      </c>
      <c r="I470" t="s">
        <v>1681</v>
      </c>
    </row>
    <row r="471" spans="1:10" ht="15" customHeight="1" x14ac:dyDescent="0.25">
      <c r="A471" t="s">
        <v>1682</v>
      </c>
      <c r="B471">
        <v>2020</v>
      </c>
      <c r="C471" t="s">
        <v>179</v>
      </c>
      <c r="D471" t="b">
        <f>TRUE()</f>
        <v>1</v>
      </c>
      <c r="E471" t="b">
        <f>COUNTIF(connections!A:A, A471) &gt; 0</f>
        <v>1</v>
      </c>
      <c r="G471" t="s">
        <v>1683</v>
      </c>
    </row>
    <row r="472" spans="1:10" ht="15" customHeight="1" x14ac:dyDescent="0.25">
      <c r="A472" t="s">
        <v>1684</v>
      </c>
      <c r="B472">
        <v>2022</v>
      </c>
      <c r="C472" t="s">
        <v>179</v>
      </c>
      <c r="D472" t="b">
        <f>TRUE()</f>
        <v>1</v>
      </c>
      <c r="E472" t="b">
        <f>COUNTIF(connections!A:A, A472) &gt; 0</f>
        <v>0</v>
      </c>
      <c r="G472" t="s">
        <v>1685</v>
      </c>
    </row>
    <row r="473" spans="1:10" ht="15" customHeight="1" x14ac:dyDescent="0.25">
      <c r="A473" t="s">
        <v>1686</v>
      </c>
      <c r="B473">
        <v>2017</v>
      </c>
      <c r="C473" t="s">
        <v>182</v>
      </c>
      <c r="D473" t="b">
        <f>TRUE()</f>
        <v>1</v>
      </c>
      <c r="E473" t="b">
        <f>COUNTIF(connections!A:A, A473) &gt; 0</f>
        <v>1</v>
      </c>
      <c r="G473" t="s">
        <v>1687</v>
      </c>
      <c r="H473" t="s">
        <v>187</v>
      </c>
      <c r="I473" t="s">
        <v>1688</v>
      </c>
      <c r="J473" s="1" t="s">
        <v>1689</v>
      </c>
    </row>
    <row r="474" spans="1:10" ht="15" customHeight="1" x14ac:dyDescent="0.25">
      <c r="A474" t="s">
        <v>1690</v>
      </c>
      <c r="B474">
        <v>2020</v>
      </c>
      <c r="C474" t="s">
        <v>182</v>
      </c>
      <c r="D474" t="b">
        <f>TRUE()</f>
        <v>1</v>
      </c>
      <c r="E474" t="b">
        <f>COUNTIF(connections!A:A, A474) &gt; 0</f>
        <v>1</v>
      </c>
      <c r="G474" t="s">
        <v>1691</v>
      </c>
      <c r="H474" t="s">
        <v>187</v>
      </c>
      <c r="I474" t="s">
        <v>1692</v>
      </c>
      <c r="J474" s="1" t="s">
        <v>1693</v>
      </c>
    </row>
    <row r="475" spans="1:10" ht="15" customHeight="1" x14ac:dyDescent="0.25">
      <c r="A475" t="s">
        <v>1694</v>
      </c>
      <c r="B475">
        <v>2025</v>
      </c>
      <c r="C475" t="s">
        <v>182</v>
      </c>
      <c r="D475" t="b">
        <f>TRUE()</f>
        <v>1</v>
      </c>
      <c r="E475" t="b">
        <f>COUNTIF(connections!A:A, A475) &gt; 0</f>
        <v>0</v>
      </c>
      <c r="G475" t="s">
        <v>1695</v>
      </c>
    </row>
    <row r="476" spans="1:10" ht="15" customHeight="1" x14ac:dyDescent="0.25">
      <c r="A476" t="s">
        <v>1696</v>
      </c>
      <c r="B476">
        <v>2025</v>
      </c>
      <c r="C476" t="s">
        <v>176</v>
      </c>
      <c r="D476" t="b">
        <f>TRUE()</f>
        <v>1</v>
      </c>
      <c r="E476" t="b">
        <f>COUNTIF(connections!A:A, A476) &gt; 0</f>
        <v>0</v>
      </c>
      <c r="G476" t="s">
        <v>1697</v>
      </c>
      <c r="H476" t="s">
        <v>187</v>
      </c>
      <c r="I476" t="s">
        <v>1698</v>
      </c>
      <c r="J476" s="1" t="s">
        <v>1699</v>
      </c>
    </row>
    <row r="477" spans="1:10" ht="15" customHeight="1" x14ac:dyDescent="0.25">
      <c r="A477" t="s">
        <v>1700</v>
      </c>
      <c r="B477">
        <v>2015</v>
      </c>
      <c r="C477" t="s">
        <v>176</v>
      </c>
      <c r="D477" t="b">
        <f>TRUE()</f>
        <v>1</v>
      </c>
      <c r="E477" t="b">
        <f>COUNTIF(connections!A:A, A477) &gt; 0</f>
        <v>0</v>
      </c>
      <c r="G477" t="s">
        <v>1701</v>
      </c>
      <c r="H477" t="s">
        <v>187</v>
      </c>
      <c r="I477" t="s">
        <v>1702</v>
      </c>
      <c r="J477" s="1" t="s">
        <v>1703</v>
      </c>
    </row>
    <row r="478" spans="1:10" ht="15" customHeight="1" x14ac:dyDescent="0.25">
      <c r="A478" t="s">
        <v>1704</v>
      </c>
      <c r="B478">
        <v>2026</v>
      </c>
      <c r="C478" t="s">
        <v>182</v>
      </c>
      <c r="D478" t="b">
        <f>TRUE()</f>
        <v>1</v>
      </c>
      <c r="E478" t="b">
        <f>COUNTIF(connections!A:A, A478) &gt; 0</f>
        <v>0</v>
      </c>
      <c r="G478" t="s">
        <v>1705</v>
      </c>
      <c r="J478" s="10" t="s">
        <v>1706</v>
      </c>
    </row>
    <row r="479" spans="1:10" ht="15" customHeight="1" x14ac:dyDescent="0.25">
      <c r="A479" t="s">
        <v>1707</v>
      </c>
      <c r="B479">
        <v>2016</v>
      </c>
      <c r="C479" t="s">
        <v>176</v>
      </c>
      <c r="D479" t="b">
        <f>FALSE()</f>
        <v>0</v>
      </c>
      <c r="E479" t="b">
        <f>COUNTIF(connections!A:A, A479) &gt; 0</f>
        <v>1</v>
      </c>
      <c r="G479" t="s">
        <v>1708</v>
      </c>
      <c r="H479" t="s">
        <v>187</v>
      </c>
      <c r="I479" t="s">
        <v>1709</v>
      </c>
      <c r="J479" s="1" t="s">
        <v>1710</v>
      </c>
    </row>
    <row r="480" spans="1:10" ht="15" customHeight="1" x14ac:dyDescent="0.25">
      <c r="A480" t="s">
        <v>1711</v>
      </c>
      <c r="B480">
        <v>2024</v>
      </c>
      <c r="C480" t="s">
        <v>176</v>
      </c>
      <c r="D480" t="b">
        <f>TRUE()</f>
        <v>1</v>
      </c>
      <c r="E480" t="b">
        <f>COUNTIF(connections!A:A, A480) &gt; 0</f>
        <v>0</v>
      </c>
      <c r="G480" t="s">
        <v>1712</v>
      </c>
    </row>
    <row r="481" spans="1:10" ht="15" customHeight="1" x14ac:dyDescent="0.25">
      <c r="A481" t="s">
        <v>1713</v>
      </c>
      <c r="B481">
        <v>2018</v>
      </c>
      <c r="C481" t="s">
        <v>176</v>
      </c>
      <c r="D481" t="b">
        <f>TRUE()</f>
        <v>1</v>
      </c>
      <c r="E481" t="b">
        <f>COUNTIF(connections!A:A, A481) &gt; 0</f>
        <v>1</v>
      </c>
      <c r="G481" t="s">
        <v>1714</v>
      </c>
      <c r="H481" t="s">
        <v>187</v>
      </c>
      <c r="I481" t="s">
        <v>1715</v>
      </c>
      <c r="J481" s="1" t="s">
        <v>1716</v>
      </c>
    </row>
    <row r="482" spans="1:10" ht="15" customHeight="1" x14ac:dyDescent="0.25">
      <c r="A482" t="s">
        <v>1717</v>
      </c>
      <c r="B482">
        <v>2025</v>
      </c>
      <c r="C482" t="s">
        <v>176</v>
      </c>
      <c r="D482" t="b">
        <f>TRUE()</f>
        <v>1</v>
      </c>
      <c r="E482" t="b">
        <f>COUNTIF(connections!A:A, A482) &gt; 0</f>
        <v>0</v>
      </c>
      <c r="G482" t="s">
        <v>1718</v>
      </c>
    </row>
    <row r="483" spans="1:10" ht="15" customHeight="1" x14ac:dyDescent="0.25">
      <c r="A483" t="s">
        <v>1719</v>
      </c>
      <c r="B483">
        <v>2023</v>
      </c>
      <c r="C483" t="s">
        <v>179</v>
      </c>
      <c r="D483" t="b">
        <f>TRUE()</f>
        <v>1</v>
      </c>
      <c r="E483" t="b">
        <f>COUNTIF(connections!A:A, A483) &gt; 0</f>
        <v>0</v>
      </c>
      <c r="G483" t="s">
        <v>1720</v>
      </c>
      <c r="H483" t="s">
        <v>187</v>
      </c>
      <c r="I483" t="s">
        <v>1721</v>
      </c>
      <c r="J483" s="1" t="s">
        <v>1722</v>
      </c>
    </row>
    <row r="484" spans="1:10" ht="15" customHeight="1" x14ac:dyDescent="0.25">
      <c r="A484" t="s">
        <v>1723</v>
      </c>
      <c r="B484">
        <v>2026</v>
      </c>
      <c r="C484" t="s">
        <v>176</v>
      </c>
      <c r="D484" t="b">
        <f>TRUE()</f>
        <v>1</v>
      </c>
      <c r="E484" t="b">
        <f>COUNTIF(connections!A:A, A484) &gt; 0</f>
        <v>0</v>
      </c>
      <c r="G484" t="s">
        <v>1724</v>
      </c>
    </row>
    <row r="485" spans="1:10" ht="15" customHeight="1" x14ac:dyDescent="0.25">
      <c r="A485" t="s">
        <v>1725</v>
      </c>
      <c r="B485">
        <v>1983</v>
      </c>
      <c r="C485" t="s">
        <v>179</v>
      </c>
      <c r="D485" t="b">
        <f>TRUE()</f>
        <v>1</v>
      </c>
      <c r="E485" t="b">
        <f>COUNTIF(connections!A:A, A485) &gt; 0</f>
        <v>1</v>
      </c>
      <c r="G485" t="s">
        <v>1726</v>
      </c>
      <c r="H485" t="s">
        <v>187</v>
      </c>
      <c r="I485" t="s">
        <v>1727</v>
      </c>
    </row>
    <row r="486" spans="1:10" ht="15" customHeight="1" x14ac:dyDescent="0.25">
      <c r="A486" t="s">
        <v>1728</v>
      </c>
      <c r="B486">
        <v>2024</v>
      </c>
      <c r="C486" t="s">
        <v>182</v>
      </c>
      <c r="D486" t="b">
        <f>TRUE()</f>
        <v>1</v>
      </c>
      <c r="E486" t="b">
        <f>COUNTIF(connections!A:A, A486) &gt; 0</f>
        <v>0</v>
      </c>
      <c r="F486" t="s">
        <v>568</v>
      </c>
      <c r="G486" t="s">
        <v>1729</v>
      </c>
      <c r="H486" t="s">
        <v>187</v>
      </c>
      <c r="I486" t="s">
        <v>1730</v>
      </c>
      <c r="J486" s="1" t="s">
        <v>1731</v>
      </c>
    </row>
    <row r="487" spans="1:10" ht="15" customHeight="1" x14ac:dyDescent="0.25">
      <c r="A487" t="s">
        <v>1732</v>
      </c>
      <c r="B487">
        <v>2025</v>
      </c>
      <c r="C487" t="s">
        <v>176</v>
      </c>
      <c r="D487" t="b">
        <f>FALSE()</f>
        <v>0</v>
      </c>
      <c r="E487" t="b">
        <f>COUNTIF(connections!A:A, A487) &gt; 0</f>
        <v>0</v>
      </c>
      <c r="G487" t="s">
        <v>1733</v>
      </c>
    </row>
    <row r="488" spans="1:10" ht="15" customHeight="1" x14ac:dyDescent="0.25">
      <c r="A488" t="s">
        <v>1734</v>
      </c>
      <c r="B488">
        <v>2023</v>
      </c>
      <c r="C488" t="s">
        <v>176</v>
      </c>
      <c r="D488" t="b">
        <f>TRUE()</f>
        <v>1</v>
      </c>
      <c r="E488" t="b">
        <f>COUNTIF(connections!A:A, A488) &gt; 0</f>
        <v>0</v>
      </c>
      <c r="G488" t="s">
        <v>1735</v>
      </c>
      <c r="H488" t="s">
        <v>187</v>
      </c>
      <c r="I488" t="s">
        <v>1736</v>
      </c>
      <c r="J488" s="1" t="s">
        <v>1737</v>
      </c>
    </row>
    <row r="489" spans="1:10" ht="15" customHeight="1" x14ac:dyDescent="0.25">
      <c r="A489" t="s">
        <v>1738</v>
      </c>
      <c r="B489">
        <v>2018</v>
      </c>
      <c r="C489" t="s">
        <v>176</v>
      </c>
      <c r="D489" t="b">
        <f>TRUE()</f>
        <v>1</v>
      </c>
      <c r="E489" t="b">
        <f>COUNTIF(connections!A:A, A489) &gt; 0</f>
        <v>1</v>
      </c>
      <c r="F489" t="s">
        <v>277</v>
      </c>
      <c r="G489" t="s">
        <v>1739</v>
      </c>
      <c r="H489" t="s">
        <v>187</v>
      </c>
      <c r="I489" t="s">
        <v>1740</v>
      </c>
      <c r="J489" s="1" t="s">
        <v>1741</v>
      </c>
    </row>
    <row r="490" spans="1:10" ht="15" customHeight="1" x14ac:dyDescent="0.25">
      <c r="A490" t="s">
        <v>1742</v>
      </c>
      <c r="B490">
        <v>2022</v>
      </c>
      <c r="C490" t="s">
        <v>176</v>
      </c>
      <c r="D490" t="b">
        <f>TRUE()</f>
        <v>1</v>
      </c>
      <c r="E490" t="b">
        <f>COUNTIF(connections!A:A, A490) &gt; 0</f>
        <v>0</v>
      </c>
      <c r="F490" t="s">
        <v>277</v>
      </c>
      <c r="G490" t="s">
        <v>1743</v>
      </c>
      <c r="H490" t="s">
        <v>187</v>
      </c>
      <c r="I490" t="s">
        <v>1744</v>
      </c>
      <c r="J490" s="1" t="s">
        <v>1745</v>
      </c>
    </row>
    <row r="491" spans="1:10" ht="15" customHeight="1" x14ac:dyDescent="0.25">
      <c r="A491" t="s">
        <v>1746</v>
      </c>
      <c r="B491">
        <v>2011</v>
      </c>
      <c r="C491" t="s">
        <v>179</v>
      </c>
      <c r="D491" t="b">
        <f>TRUE()</f>
        <v>1</v>
      </c>
      <c r="E491" t="b">
        <f>COUNTIF(connections!A:A, A491) &gt; 0</f>
        <v>1</v>
      </c>
      <c r="F491" t="s">
        <v>328</v>
      </c>
      <c r="G491" t="s">
        <v>1747</v>
      </c>
    </row>
    <row r="492" spans="1:10" ht="16.5" customHeight="1" x14ac:dyDescent="0.25">
      <c r="A492" t="s">
        <v>1748</v>
      </c>
      <c r="B492">
        <v>2023</v>
      </c>
      <c r="C492" t="s">
        <v>176</v>
      </c>
      <c r="D492" t="b">
        <f>TRUE()</f>
        <v>1</v>
      </c>
      <c r="E492" t="b">
        <f>COUNTIF(connections!A:A, A492) &gt; 0</f>
        <v>0</v>
      </c>
      <c r="G492" t="s">
        <v>1749</v>
      </c>
      <c r="H492" t="s">
        <v>187</v>
      </c>
      <c r="I492" t="s">
        <v>1750</v>
      </c>
      <c r="J492" s="1" t="s">
        <v>1751</v>
      </c>
    </row>
    <row r="493" spans="1:10" ht="15" customHeight="1" x14ac:dyDescent="0.25">
      <c r="A493" t="s">
        <v>1752</v>
      </c>
      <c r="B493">
        <v>2021</v>
      </c>
      <c r="C493" t="s">
        <v>176</v>
      </c>
      <c r="D493" t="b">
        <f>TRUE()</f>
        <v>1</v>
      </c>
      <c r="E493" t="b">
        <f>COUNTIF(connections!A:A, A493) &gt; 0</f>
        <v>1</v>
      </c>
      <c r="G493" t="s">
        <v>1753</v>
      </c>
      <c r="H493" t="s">
        <v>187</v>
      </c>
      <c r="I493" t="s">
        <v>1754</v>
      </c>
      <c r="J493" s="1" t="s">
        <v>1755</v>
      </c>
    </row>
    <row r="494" spans="1:10" ht="15" customHeight="1" x14ac:dyDescent="0.25">
      <c r="A494" t="s">
        <v>1756</v>
      </c>
      <c r="B494">
        <v>2025</v>
      </c>
      <c r="C494" t="s">
        <v>182</v>
      </c>
      <c r="D494" t="b">
        <f>TRUE()</f>
        <v>1</v>
      </c>
      <c r="E494" t="b">
        <f>COUNTIF(connections!A:A, A494) &gt; 0</f>
        <v>0</v>
      </c>
      <c r="G494" t="s">
        <v>1757</v>
      </c>
    </row>
    <row r="495" spans="1:10" ht="15" customHeight="1" x14ac:dyDescent="0.25">
      <c r="A495" t="s">
        <v>1758</v>
      </c>
      <c r="B495">
        <v>2016</v>
      </c>
      <c r="C495" t="s">
        <v>179</v>
      </c>
      <c r="D495" t="b">
        <f>TRUE()</f>
        <v>1</v>
      </c>
      <c r="E495" t="b">
        <f>COUNTIF(connections!A:A, A495) &gt; 0</f>
        <v>0</v>
      </c>
      <c r="G495" t="s">
        <v>1759</v>
      </c>
      <c r="H495" t="s">
        <v>187</v>
      </c>
      <c r="I495" t="s">
        <v>7824</v>
      </c>
      <c r="J495" s="10" t="s">
        <v>1760</v>
      </c>
    </row>
    <row r="496" spans="1:10" ht="15" customHeight="1" x14ac:dyDescent="0.25">
      <c r="A496" t="s">
        <v>1761</v>
      </c>
      <c r="B496">
        <v>1995</v>
      </c>
      <c r="C496" t="s">
        <v>179</v>
      </c>
      <c r="D496" t="b">
        <f>TRUE()</f>
        <v>1</v>
      </c>
      <c r="E496" t="b">
        <f>COUNTIF(connections!A:A, A496) &gt; 0</f>
        <v>1</v>
      </c>
      <c r="G496" t="s">
        <v>1762</v>
      </c>
      <c r="H496" t="s">
        <v>187</v>
      </c>
      <c r="I496" t="s">
        <v>1763</v>
      </c>
    </row>
    <row r="497" spans="1:10" ht="15" customHeight="1" x14ac:dyDescent="0.25">
      <c r="A497" t="s">
        <v>1764</v>
      </c>
      <c r="B497">
        <v>2024</v>
      </c>
      <c r="C497" t="s">
        <v>176</v>
      </c>
      <c r="D497" t="b">
        <f>TRUE()</f>
        <v>1</v>
      </c>
      <c r="E497" t="b">
        <f>COUNTIF(connections!A:A, A497) &gt; 0</f>
        <v>0</v>
      </c>
      <c r="G497" t="s">
        <v>1765</v>
      </c>
      <c r="H497" t="s">
        <v>187</v>
      </c>
      <c r="I497" t="s">
        <v>1766</v>
      </c>
      <c r="J497" s="1" t="s">
        <v>1767</v>
      </c>
    </row>
    <row r="498" spans="1:10" ht="15" customHeight="1" x14ac:dyDescent="0.25">
      <c r="A498" t="s">
        <v>1768</v>
      </c>
      <c r="B498">
        <v>2022</v>
      </c>
      <c r="C498" t="s">
        <v>182</v>
      </c>
      <c r="D498" t="b">
        <f>TRUE()</f>
        <v>1</v>
      </c>
      <c r="E498" t="b">
        <f>COUNTIF(connections!A:A, A498) &gt; 0</f>
        <v>0</v>
      </c>
      <c r="G498" t="s">
        <v>1769</v>
      </c>
      <c r="J498" s="10" t="s">
        <v>1770</v>
      </c>
    </row>
    <row r="499" spans="1:10" ht="15" customHeight="1" x14ac:dyDescent="0.25">
      <c r="A499" t="s">
        <v>1771</v>
      </c>
      <c r="B499">
        <v>2022</v>
      </c>
      <c r="C499" t="s">
        <v>176</v>
      </c>
      <c r="D499" t="b">
        <f>TRUE()</f>
        <v>1</v>
      </c>
      <c r="E499" t="b">
        <f>COUNTIF(connections!A:A, A499) &gt; 0</f>
        <v>0</v>
      </c>
      <c r="F499" t="s">
        <v>458</v>
      </c>
      <c r="G499" t="s">
        <v>1772</v>
      </c>
      <c r="H499" t="s">
        <v>187</v>
      </c>
      <c r="I499" t="s">
        <v>1773</v>
      </c>
      <c r="J499" s="1" t="s">
        <v>1774</v>
      </c>
    </row>
    <row r="500" spans="1:10" ht="15" customHeight="1" x14ac:dyDescent="0.25">
      <c r="A500" t="s">
        <v>1775</v>
      </c>
      <c r="B500">
        <v>2024</v>
      </c>
      <c r="C500" t="s">
        <v>222</v>
      </c>
      <c r="D500" t="b">
        <f>FALSE()</f>
        <v>0</v>
      </c>
      <c r="E500" t="b">
        <f>COUNTIF(connections!A:A, A500) &gt; 0</f>
        <v>0</v>
      </c>
      <c r="F500" t="s">
        <v>458</v>
      </c>
      <c r="G500" t="s">
        <v>1776</v>
      </c>
      <c r="H500" t="s">
        <v>187</v>
      </c>
      <c r="I500" t="s">
        <v>1777</v>
      </c>
      <c r="J500" s="1" t="s">
        <v>1778</v>
      </c>
    </row>
    <row r="501" spans="1:10" ht="15" customHeight="1" x14ac:dyDescent="0.25">
      <c r="A501" t="s">
        <v>1779</v>
      </c>
      <c r="B501">
        <v>2022</v>
      </c>
      <c r="C501" t="s">
        <v>176</v>
      </c>
      <c r="D501" t="b">
        <f>TRUE()</f>
        <v>1</v>
      </c>
      <c r="E501" t="b">
        <f>COUNTIF(connections!A:A, A501) &gt; 0</f>
        <v>1</v>
      </c>
      <c r="F501" t="s">
        <v>458</v>
      </c>
      <c r="G501" t="s">
        <v>1780</v>
      </c>
      <c r="H501" t="s">
        <v>187</v>
      </c>
      <c r="I501" t="s">
        <v>1781</v>
      </c>
      <c r="J501" s="1" t="s">
        <v>1782</v>
      </c>
    </row>
    <row r="502" spans="1:10" ht="15" customHeight="1" x14ac:dyDescent="0.25">
      <c r="A502" t="s">
        <v>1783</v>
      </c>
      <c r="B502">
        <v>2024</v>
      </c>
      <c r="C502" t="s">
        <v>176</v>
      </c>
      <c r="D502" t="b">
        <f>TRUE()</f>
        <v>1</v>
      </c>
      <c r="E502" t="b">
        <f>COUNTIF(connections!A:A, A502) &gt; 0</f>
        <v>0</v>
      </c>
      <c r="F502" t="s">
        <v>458</v>
      </c>
      <c r="G502" t="s">
        <v>1784</v>
      </c>
      <c r="H502" t="s">
        <v>187</v>
      </c>
      <c r="I502" t="s">
        <v>1785</v>
      </c>
      <c r="J502" s="1" t="s">
        <v>1786</v>
      </c>
    </row>
    <row r="503" spans="1:10" ht="15" customHeight="1" x14ac:dyDescent="0.25">
      <c r="A503" t="s">
        <v>1787</v>
      </c>
      <c r="B503">
        <v>2019</v>
      </c>
      <c r="C503" t="s">
        <v>176</v>
      </c>
      <c r="D503" t="b">
        <f>TRUE()</f>
        <v>1</v>
      </c>
      <c r="E503" t="b">
        <f>COUNTIF(connections!A:A, A503) &gt; 0</f>
        <v>1</v>
      </c>
      <c r="G503" t="s">
        <v>1788</v>
      </c>
      <c r="H503" t="s">
        <v>187</v>
      </c>
      <c r="I503" t="s">
        <v>1789</v>
      </c>
      <c r="J503" s="1" t="s">
        <v>1790</v>
      </c>
    </row>
    <row r="504" spans="1:10" ht="15" customHeight="1" x14ac:dyDescent="0.25">
      <c r="A504" t="s">
        <v>1791</v>
      </c>
      <c r="B504">
        <v>2025</v>
      </c>
      <c r="C504" t="s">
        <v>176</v>
      </c>
      <c r="D504" t="b">
        <f>TRUE()</f>
        <v>1</v>
      </c>
      <c r="E504" t="b">
        <f>COUNTIF(connections!A:A, A504) &gt; 0</f>
        <v>0</v>
      </c>
      <c r="G504" t="s">
        <v>1792</v>
      </c>
    </row>
    <row r="505" spans="1:10" ht="15" customHeight="1" x14ac:dyDescent="0.25">
      <c r="A505" t="s">
        <v>1793</v>
      </c>
      <c r="B505">
        <v>2022</v>
      </c>
      <c r="C505" t="s">
        <v>176</v>
      </c>
      <c r="D505" t="b">
        <f>TRUE()</f>
        <v>1</v>
      </c>
      <c r="E505" t="b">
        <f>COUNTIF(connections!A:A, A505) &gt; 0</f>
        <v>0</v>
      </c>
      <c r="G505" t="s">
        <v>1794</v>
      </c>
    </row>
    <row r="506" spans="1:10" ht="15" customHeight="1" x14ac:dyDescent="0.25">
      <c r="A506" t="s">
        <v>1795</v>
      </c>
      <c r="B506">
        <v>1987</v>
      </c>
      <c r="C506" t="s">
        <v>179</v>
      </c>
      <c r="D506" t="b">
        <f>TRUE()</f>
        <v>1</v>
      </c>
      <c r="E506" t="b">
        <f>COUNTIF(connections!A:A, A506) &gt; 0</f>
        <v>1</v>
      </c>
      <c r="G506" t="s">
        <v>1796</v>
      </c>
      <c r="H506" t="s">
        <v>187</v>
      </c>
      <c r="I506" t="s">
        <v>1797</v>
      </c>
    </row>
    <row r="507" spans="1:10" ht="15" customHeight="1" x14ac:dyDescent="0.25">
      <c r="A507" t="s">
        <v>1798</v>
      </c>
      <c r="B507">
        <v>2025</v>
      </c>
      <c r="C507" t="s">
        <v>176</v>
      </c>
      <c r="D507" t="b">
        <f>TRUE()</f>
        <v>1</v>
      </c>
      <c r="E507" t="b">
        <f>COUNTIF(connections!A:A, A507) &gt; 0</f>
        <v>0</v>
      </c>
      <c r="G507" t="s">
        <v>1799</v>
      </c>
      <c r="J507" s="10" t="s">
        <v>1800</v>
      </c>
    </row>
    <row r="508" spans="1:10" ht="15" customHeight="1" x14ac:dyDescent="0.25">
      <c r="A508" t="s">
        <v>1801</v>
      </c>
      <c r="B508">
        <v>2021</v>
      </c>
      <c r="C508" t="s">
        <v>176</v>
      </c>
      <c r="D508" t="b">
        <f>TRUE()</f>
        <v>1</v>
      </c>
      <c r="E508" t="b">
        <f>COUNTIF(connections!A:A, A508) &gt; 0</f>
        <v>0</v>
      </c>
      <c r="G508" t="s">
        <v>1802</v>
      </c>
      <c r="J508" s="10" t="s">
        <v>1803</v>
      </c>
    </row>
    <row r="509" spans="1:10" ht="15" customHeight="1" x14ac:dyDescent="0.25">
      <c r="A509" t="s">
        <v>1804</v>
      </c>
      <c r="B509">
        <v>2025</v>
      </c>
      <c r="C509" t="s">
        <v>176</v>
      </c>
      <c r="D509" t="b">
        <f>TRUE()</f>
        <v>1</v>
      </c>
      <c r="E509" t="b">
        <f>COUNTIF(connections!A:A, A509) &gt; 0</f>
        <v>0</v>
      </c>
      <c r="F509" t="s">
        <v>1805</v>
      </c>
      <c r="G509" t="s">
        <v>1806</v>
      </c>
      <c r="H509" t="s">
        <v>187</v>
      </c>
      <c r="I509" t="s">
        <v>1807</v>
      </c>
      <c r="J509" s="1" t="s">
        <v>1808</v>
      </c>
    </row>
    <row r="510" spans="1:10" ht="15" customHeight="1" x14ac:dyDescent="0.25">
      <c r="A510" t="s">
        <v>1809</v>
      </c>
      <c r="B510">
        <v>2024</v>
      </c>
      <c r="C510" t="s">
        <v>176</v>
      </c>
      <c r="D510" t="b">
        <f>TRUE()</f>
        <v>1</v>
      </c>
      <c r="E510" t="b">
        <f>COUNTIF(connections!A:A, A510) &gt; 0</f>
        <v>0</v>
      </c>
      <c r="G510" t="s">
        <v>1810</v>
      </c>
    </row>
    <row r="511" spans="1:10" ht="15" customHeight="1" x14ac:dyDescent="0.25">
      <c r="A511" t="s">
        <v>1811</v>
      </c>
      <c r="B511">
        <v>2026</v>
      </c>
      <c r="C511" t="s">
        <v>182</v>
      </c>
      <c r="D511" t="b">
        <f>TRUE()</f>
        <v>1</v>
      </c>
      <c r="E511" t="b">
        <f>COUNTIF(connections!A:A, A511) &gt; 0</f>
        <v>0</v>
      </c>
      <c r="G511" t="s">
        <v>1812</v>
      </c>
    </row>
    <row r="512" spans="1:10" ht="15" customHeight="1" x14ac:dyDescent="0.25">
      <c r="A512" t="s">
        <v>1813</v>
      </c>
      <c r="B512">
        <v>2024</v>
      </c>
      <c r="C512" t="s">
        <v>222</v>
      </c>
      <c r="D512" t="b">
        <f>TRUE()</f>
        <v>1</v>
      </c>
      <c r="E512" t="b">
        <f>COUNTIF(connections!A:A, A512) &gt; 0</f>
        <v>1</v>
      </c>
      <c r="G512" t="s">
        <v>1814</v>
      </c>
      <c r="H512" t="s">
        <v>187</v>
      </c>
      <c r="I512" t="s">
        <v>1815</v>
      </c>
      <c r="J512" s="10" t="s">
        <v>1816</v>
      </c>
    </row>
    <row r="513" spans="1:10" ht="15" customHeight="1" x14ac:dyDescent="0.25">
      <c r="A513" t="s">
        <v>1817</v>
      </c>
      <c r="B513">
        <v>2019</v>
      </c>
      <c r="C513" t="s">
        <v>176</v>
      </c>
      <c r="D513" t="b">
        <f>TRUE()</f>
        <v>1</v>
      </c>
      <c r="E513" t="b">
        <f>COUNTIF(connections!A:A, A513) &gt; 0</f>
        <v>1</v>
      </c>
      <c r="G513" t="s">
        <v>1818</v>
      </c>
      <c r="H513" t="s">
        <v>187</v>
      </c>
      <c r="I513" t="s">
        <v>1819</v>
      </c>
      <c r="J513" s="1" t="s">
        <v>1820</v>
      </c>
    </row>
    <row r="514" spans="1:10" ht="15" customHeight="1" x14ac:dyDescent="0.25">
      <c r="A514" t="s">
        <v>1821</v>
      </c>
      <c r="B514">
        <v>2022</v>
      </c>
      <c r="C514" t="s">
        <v>176</v>
      </c>
      <c r="D514" t="b">
        <f>TRUE()</f>
        <v>1</v>
      </c>
      <c r="E514" t="b">
        <f>COUNTIF(connections!A:A, A514) &gt; 0</f>
        <v>0</v>
      </c>
      <c r="G514" t="s">
        <v>1822</v>
      </c>
      <c r="H514" t="s">
        <v>187</v>
      </c>
      <c r="I514" t="s">
        <v>1823</v>
      </c>
      <c r="J514" s="1" t="s">
        <v>1824</v>
      </c>
    </row>
    <row r="515" spans="1:10" ht="15" customHeight="1" x14ac:dyDescent="0.25">
      <c r="A515" t="s">
        <v>1825</v>
      </c>
      <c r="B515">
        <v>2025</v>
      </c>
      <c r="C515" t="s">
        <v>176</v>
      </c>
      <c r="D515" t="b">
        <f>TRUE()</f>
        <v>1</v>
      </c>
      <c r="E515" t="b">
        <f>COUNTIF(connections!A:A, A515) &gt; 0</f>
        <v>0</v>
      </c>
      <c r="G515" t="s">
        <v>1826</v>
      </c>
      <c r="H515" t="s">
        <v>187</v>
      </c>
      <c r="I515" t="s">
        <v>1827</v>
      </c>
      <c r="J515" s="1" t="s">
        <v>1828</v>
      </c>
    </row>
    <row r="516" spans="1:10" ht="15" customHeight="1" x14ac:dyDescent="0.25">
      <c r="A516" t="s">
        <v>1829</v>
      </c>
      <c r="B516">
        <v>2023</v>
      </c>
      <c r="C516" t="s">
        <v>176</v>
      </c>
      <c r="D516" t="b">
        <f>TRUE()</f>
        <v>1</v>
      </c>
      <c r="E516" t="b">
        <f>COUNTIF(connections!A:A, A516) &gt; 0</f>
        <v>0</v>
      </c>
      <c r="G516" t="s">
        <v>1830</v>
      </c>
      <c r="H516" t="s">
        <v>187</v>
      </c>
      <c r="I516" t="s">
        <v>1831</v>
      </c>
      <c r="J516" s="1" t="s">
        <v>1832</v>
      </c>
    </row>
    <row r="517" spans="1:10" ht="15" customHeight="1" x14ac:dyDescent="0.25">
      <c r="A517" t="s">
        <v>1833</v>
      </c>
      <c r="B517">
        <v>2025</v>
      </c>
      <c r="C517" t="s">
        <v>222</v>
      </c>
      <c r="D517" t="b">
        <f>TRUE()</f>
        <v>1</v>
      </c>
      <c r="E517" t="b">
        <f>COUNTIF(connections!A:A, A517) &gt; 0</f>
        <v>0</v>
      </c>
      <c r="G517" t="s">
        <v>1834</v>
      </c>
      <c r="H517" t="s">
        <v>187</v>
      </c>
      <c r="I517" t="s">
        <v>1835</v>
      </c>
      <c r="J517" s="1" t="s">
        <v>1836</v>
      </c>
    </row>
    <row r="518" spans="1:10" ht="15" customHeight="1" x14ac:dyDescent="0.25">
      <c r="A518" t="s">
        <v>1837</v>
      </c>
      <c r="B518">
        <v>2022</v>
      </c>
      <c r="C518" t="s">
        <v>176</v>
      </c>
      <c r="D518" t="b">
        <f>TRUE()</f>
        <v>1</v>
      </c>
      <c r="E518" t="b">
        <f>COUNTIF(connections!A:A, A518) &gt; 0</f>
        <v>0</v>
      </c>
      <c r="G518" t="s">
        <v>1838</v>
      </c>
      <c r="H518" t="s">
        <v>187</v>
      </c>
      <c r="I518" t="s">
        <v>1839</v>
      </c>
      <c r="J518" s="1" t="s">
        <v>1840</v>
      </c>
    </row>
    <row r="519" spans="1:10" ht="15" customHeight="1" x14ac:dyDescent="0.25">
      <c r="A519" t="s">
        <v>1841</v>
      </c>
      <c r="B519">
        <v>2025</v>
      </c>
      <c r="C519" t="s">
        <v>222</v>
      </c>
      <c r="D519" t="b">
        <f>FALSE()</f>
        <v>0</v>
      </c>
      <c r="E519" t="b">
        <f>COUNTIF(connections!A:A, A519) &gt; 0</f>
        <v>0</v>
      </c>
      <c r="F519" t="s">
        <v>506</v>
      </c>
      <c r="G519" t="s">
        <v>1842</v>
      </c>
    </row>
    <row r="520" spans="1:10" ht="15" customHeight="1" x14ac:dyDescent="0.25">
      <c r="A520" t="s">
        <v>1843</v>
      </c>
      <c r="B520">
        <v>2019</v>
      </c>
      <c r="C520" t="s">
        <v>176</v>
      </c>
      <c r="D520" t="b">
        <f>TRUE()</f>
        <v>1</v>
      </c>
      <c r="E520" t="b">
        <f>COUNTIF(connections!A:A, A520) &gt; 0</f>
        <v>1</v>
      </c>
      <c r="F520" t="s">
        <v>274</v>
      </c>
      <c r="G520" t="s">
        <v>1844</v>
      </c>
      <c r="H520" t="s">
        <v>187</v>
      </c>
      <c r="I520" t="s">
        <v>1845</v>
      </c>
      <c r="J520" s="1" t="s">
        <v>1846</v>
      </c>
    </row>
    <row r="521" spans="1:10" ht="15" customHeight="1" x14ac:dyDescent="0.25">
      <c r="A521" t="s">
        <v>1847</v>
      </c>
      <c r="B521">
        <v>2019</v>
      </c>
      <c r="C521" t="s">
        <v>182</v>
      </c>
      <c r="D521" t="b">
        <f>TRUE()</f>
        <v>1</v>
      </c>
      <c r="E521" t="b">
        <f>COUNTIF(connections!A:A, A521) &gt; 0</f>
        <v>0</v>
      </c>
      <c r="G521" t="s">
        <v>1848</v>
      </c>
      <c r="H521" t="s">
        <v>187</v>
      </c>
      <c r="I521" t="s">
        <v>1849</v>
      </c>
      <c r="J521" s="1" t="s">
        <v>1850</v>
      </c>
    </row>
    <row r="522" spans="1:10" ht="15" customHeight="1" x14ac:dyDescent="0.25">
      <c r="A522" t="s">
        <v>1851</v>
      </c>
      <c r="B522">
        <v>2024</v>
      </c>
      <c r="C522" t="s">
        <v>222</v>
      </c>
      <c r="D522" t="b">
        <f>TRUE()</f>
        <v>1</v>
      </c>
      <c r="E522" t="b">
        <f>COUNTIF(connections!A:A, A522) &gt; 0</f>
        <v>1</v>
      </c>
      <c r="G522" t="s">
        <v>1852</v>
      </c>
      <c r="H522" t="s">
        <v>187</v>
      </c>
      <c r="I522" t="s">
        <v>1853</v>
      </c>
      <c r="J522" s="1" t="s">
        <v>1854</v>
      </c>
    </row>
    <row r="523" spans="1:10" ht="15" customHeight="1" x14ac:dyDescent="0.25">
      <c r="A523" t="s">
        <v>1855</v>
      </c>
      <c r="B523">
        <v>2015</v>
      </c>
      <c r="C523" t="s">
        <v>176</v>
      </c>
      <c r="D523" t="b">
        <f>TRUE()</f>
        <v>1</v>
      </c>
      <c r="E523" t="b">
        <f>COUNTIF(connections!A:A, A523) &gt; 0</f>
        <v>1</v>
      </c>
      <c r="G523" t="s">
        <v>1856</v>
      </c>
      <c r="H523" t="s">
        <v>187</v>
      </c>
      <c r="I523" t="s">
        <v>1857</v>
      </c>
      <c r="J523" s="1" t="s">
        <v>1858</v>
      </c>
    </row>
    <row r="524" spans="1:10" ht="15" customHeight="1" x14ac:dyDescent="0.25">
      <c r="A524" t="s">
        <v>1859</v>
      </c>
      <c r="B524">
        <v>2025</v>
      </c>
      <c r="C524" t="s">
        <v>176</v>
      </c>
      <c r="D524" t="b">
        <f>TRUE()</f>
        <v>1</v>
      </c>
      <c r="E524" t="b">
        <f>COUNTIF(connections!A:A, A524) &gt; 0</f>
        <v>0</v>
      </c>
      <c r="G524" t="s">
        <v>1860</v>
      </c>
      <c r="H524" t="s">
        <v>187</v>
      </c>
      <c r="I524" t="s">
        <v>1861</v>
      </c>
      <c r="J524" s="1" t="s">
        <v>1862</v>
      </c>
    </row>
    <row r="525" spans="1:10" ht="15" customHeight="1" x14ac:dyDescent="0.25">
      <c r="A525" t="s">
        <v>1863</v>
      </c>
      <c r="B525">
        <v>2026</v>
      </c>
      <c r="C525" t="s">
        <v>222</v>
      </c>
      <c r="D525" t="b">
        <f>TRUE()</f>
        <v>1</v>
      </c>
      <c r="E525" t="b">
        <f>COUNTIF(connections!A:A, A525) &gt; 0</f>
        <v>1</v>
      </c>
      <c r="G525" t="s">
        <v>1864</v>
      </c>
    </row>
    <row r="526" spans="1:10" ht="15" customHeight="1" x14ac:dyDescent="0.25">
      <c r="A526" t="s">
        <v>1865</v>
      </c>
      <c r="B526">
        <v>2023</v>
      </c>
      <c r="C526" t="s">
        <v>176</v>
      </c>
      <c r="D526" t="b">
        <f>TRUE()</f>
        <v>1</v>
      </c>
      <c r="E526" t="b">
        <f>COUNTIF(connections!A:A, A526) &gt; 0</f>
        <v>0</v>
      </c>
      <c r="G526" t="s">
        <v>1866</v>
      </c>
    </row>
    <row r="527" spans="1:10" ht="15" customHeight="1" x14ac:dyDescent="0.25">
      <c r="A527" t="s">
        <v>1867</v>
      </c>
      <c r="B527">
        <v>2021</v>
      </c>
      <c r="C527" t="s">
        <v>182</v>
      </c>
      <c r="D527" t="b">
        <v>1</v>
      </c>
      <c r="E527" t="b">
        <f>COUNTIF(connections!A:A, A527) &gt; 0</f>
        <v>0</v>
      </c>
      <c r="G527" t="s">
        <v>1868</v>
      </c>
      <c r="H527" t="s">
        <v>187</v>
      </c>
      <c r="I527" t="s">
        <v>1869</v>
      </c>
      <c r="J527" s="10" t="s">
        <v>1870</v>
      </c>
    </row>
    <row r="528" spans="1:10" ht="15" customHeight="1" x14ac:dyDescent="0.25">
      <c r="A528" t="s">
        <v>1871</v>
      </c>
      <c r="B528">
        <v>2018</v>
      </c>
      <c r="C528" t="s">
        <v>176</v>
      </c>
      <c r="D528" t="b">
        <f>FALSE()</f>
        <v>0</v>
      </c>
      <c r="E528" t="b">
        <f>COUNTIF(connections!A:A, A528) &gt; 0</f>
        <v>0</v>
      </c>
      <c r="G528" t="s">
        <v>1872</v>
      </c>
      <c r="H528" t="s">
        <v>187</v>
      </c>
      <c r="I528" t="s">
        <v>1873</v>
      </c>
      <c r="J528" s="1" t="s">
        <v>1874</v>
      </c>
    </row>
    <row r="529" spans="1:10" ht="15" customHeight="1" x14ac:dyDescent="0.25">
      <c r="A529" t="s">
        <v>1875</v>
      </c>
      <c r="B529">
        <v>2026</v>
      </c>
      <c r="C529" t="s">
        <v>176</v>
      </c>
      <c r="D529" t="b">
        <f>TRUE()</f>
        <v>1</v>
      </c>
      <c r="E529" t="b">
        <f>COUNTIF(connections!A:A, A529) &gt; 0</f>
        <v>0</v>
      </c>
      <c r="G529" t="s">
        <v>1876</v>
      </c>
    </row>
    <row r="530" spans="1:10" ht="15" customHeight="1" x14ac:dyDescent="0.25">
      <c r="A530" t="s">
        <v>1877</v>
      </c>
      <c r="B530">
        <v>2025</v>
      </c>
      <c r="C530" t="s">
        <v>176</v>
      </c>
      <c r="D530" t="b">
        <f>TRUE()</f>
        <v>1</v>
      </c>
      <c r="E530" t="b">
        <f>COUNTIF(connections!A:A, A530) &gt; 0</f>
        <v>0</v>
      </c>
      <c r="G530" t="s">
        <v>1878</v>
      </c>
    </row>
    <row r="531" spans="1:10" ht="15" customHeight="1" x14ac:dyDescent="0.25">
      <c r="A531" t="s">
        <v>1879</v>
      </c>
      <c r="B531">
        <v>2026</v>
      </c>
      <c r="C531" t="s">
        <v>176</v>
      </c>
      <c r="D531" t="b">
        <f>TRUE()</f>
        <v>1</v>
      </c>
      <c r="E531" t="b">
        <f>COUNTIF(connections!A:A, A531) &gt; 0</f>
        <v>0</v>
      </c>
      <c r="G531" t="s">
        <v>1880</v>
      </c>
      <c r="J531" s="10" t="s">
        <v>1881</v>
      </c>
    </row>
    <row r="532" spans="1:10" ht="15" customHeight="1" x14ac:dyDescent="0.25">
      <c r="A532" t="s">
        <v>1882</v>
      </c>
      <c r="B532">
        <v>1987</v>
      </c>
      <c r="C532" t="s">
        <v>179</v>
      </c>
      <c r="D532" t="b">
        <f>TRUE()</f>
        <v>1</v>
      </c>
      <c r="E532" t="b">
        <f>COUNTIF(connections!A:A, A532) &gt; 0</f>
        <v>1</v>
      </c>
      <c r="G532" t="s">
        <v>1883</v>
      </c>
      <c r="H532" t="s">
        <v>187</v>
      </c>
      <c r="I532" t="s">
        <v>1884</v>
      </c>
    </row>
    <row r="533" spans="1:10" ht="15" customHeight="1" x14ac:dyDescent="0.25">
      <c r="A533" t="s">
        <v>1885</v>
      </c>
      <c r="B533">
        <v>2015</v>
      </c>
      <c r="C533" t="s">
        <v>179</v>
      </c>
      <c r="D533" t="b">
        <f>TRUE()</f>
        <v>1</v>
      </c>
      <c r="E533" t="b">
        <f>COUNTIF(connections!A:A, A533) &gt; 0</f>
        <v>1</v>
      </c>
      <c r="G533" t="s">
        <v>1886</v>
      </c>
    </row>
    <row r="534" spans="1:10" ht="15" customHeight="1" x14ac:dyDescent="0.25">
      <c r="A534" t="s">
        <v>1887</v>
      </c>
      <c r="B534">
        <v>2019</v>
      </c>
      <c r="C534" t="s">
        <v>179</v>
      </c>
      <c r="D534" t="b">
        <f>TRUE()</f>
        <v>1</v>
      </c>
      <c r="E534" t="b">
        <f>COUNTIF(connections!A:A, A534) &gt; 0</f>
        <v>0</v>
      </c>
      <c r="G534" t="s">
        <v>1888</v>
      </c>
      <c r="H534" t="s">
        <v>187</v>
      </c>
      <c r="I534" t="s">
        <v>1889</v>
      </c>
      <c r="J534" s="10" t="s">
        <v>1890</v>
      </c>
    </row>
    <row r="535" spans="1:10" ht="15" customHeight="1" x14ac:dyDescent="0.25">
      <c r="A535" t="s">
        <v>1891</v>
      </c>
      <c r="B535">
        <v>2017</v>
      </c>
      <c r="C535" t="s">
        <v>179</v>
      </c>
      <c r="D535" t="b">
        <f>TRUE()</f>
        <v>1</v>
      </c>
      <c r="E535" t="b">
        <f>COUNTIF(connections!A:A, A535) &gt; 0</f>
        <v>1</v>
      </c>
      <c r="G535" t="s">
        <v>1892</v>
      </c>
    </row>
    <row r="536" spans="1:10" ht="15" customHeight="1" x14ac:dyDescent="0.25">
      <c r="A536" t="s">
        <v>1893</v>
      </c>
      <c r="B536">
        <v>2025</v>
      </c>
      <c r="C536" t="s">
        <v>182</v>
      </c>
      <c r="D536" t="b">
        <f>TRUE()</f>
        <v>1</v>
      </c>
      <c r="E536" t="b">
        <f>COUNTIF(connections!A:A, A536) &gt; 0</f>
        <v>0</v>
      </c>
      <c r="F536" t="s">
        <v>264</v>
      </c>
      <c r="G536" t="s">
        <v>1894</v>
      </c>
    </row>
    <row r="537" spans="1:10" ht="15" customHeight="1" x14ac:dyDescent="0.25">
      <c r="A537" t="s">
        <v>1895</v>
      </c>
      <c r="B537">
        <v>2020</v>
      </c>
      <c r="C537" t="s">
        <v>176</v>
      </c>
      <c r="D537" t="b">
        <f>TRUE()</f>
        <v>1</v>
      </c>
      <c r="E537" t="b">
        <f>COUNTIF(connections!A:A, A537) &gt; 0</f>
        <v>0</v>
      </c>
      <c r="G537" t="s">
        <v>1896</v>
      </c>
      <c r="H537" t="s">
        <v>187</v>
      </c>
      <c r="I537" t="s">
        <v>1897</v>
      </c>
      <c r="J537" s="1" t="s">
        <v>1898</v>
      </c>
    </row>
    <row r="538" spans="1:10" ht="15" customHeight="1" x14ac:dyDescent="0.25">
      <c r="A538" t="s">
        <v>1899</v>
      </c>
      <c r="B538">
        <v>2014</v>
      </c>
      <c r="C538" t="s">
        <v>179</v>
      </c>
      <c r="D538" t="b">
        <f>TRUE()</f>
        <v>1</v>
      </c>
      <c r="E538" t="b">
        <f>COUNTIF(connections!A:A, A538) &gt; 0</f>
        <v>1</v>
      </c>
      <c r="G538" t="s">
        <v>1900</v>
      </c>
      <c r="H538" t="s">
        <v>187</v>
      </c>
      <c r="I538" t="s">
        <v>1901</v>
      </c>
      <c r="J538" s="10" t="s">
        <v>1902</v>
      </c>
    </row>
    <row r="539" spans="1:10" ht="15" customHeight="1" x14ac:dyDescent="0.25">
      <c r="A539" t="s">
        <v>1903</v>
      </c>
      <c r="B539">
        <v>2019</v>
      </c>
      <c r="C539" t="s">
        <v>179</v>
      </c>
      <c r="D539" t="b">
        <f>TRUE()</f>
        <v>1</v>
      </c>
      <c r="E539" t="b">
        <f>COUNTIF(connections!A:A, A539) &gt; 0</f>
        <v>0</v>
      </c>
      <c r="G539" t="s">
        <v>1904</v>
      </c>
      <c r="H539" t="s">
        <v>187</v>
      </c>
      <c r="I539" t="s">
        <v>1905</v>
      </c>
      <c r="J539" s="1" t="s">
        <v>1906</v>
      </c>
    </row>
    <row r="540" spans="1:10" ht="15" customHeight="1" x14ac:dyDescent="0.25">
      <c r="A540" t="s">
        <v>7838</v>
      </c>
      <c r="B540">
        <v>2026</v>
      </c>
      <c r="C540" t="s">
        <v>182</v>
      </c>
      <c r="D540" t="b">
        <f>TRUE()</f>
        <v>1</v>
      </c>
      <c r="E540" t="b">
        <f>COUNTIF(connections!A:A, A540) &gt; 0</f>
        <v>0</v>
      </c>
      <c r="G540" t="s">
        <v>7821</v>
      </c>
      <c r="J540" s="10" t="s">
        <v>7822</v>
      </c>
    </row>
    <row r="541" spans="1:10" ht="15" customHeight="1" x14ac:dyDescent="0.25">
      <c r="A541" t="s">
        <v>1907</v>
      </c>
      <c r="B541">
        <v>2023</v>
      </c>
      <c r="C541" t="s">
        <v>176</v>
      </c>
      <c r="D541" t="b">
        <f>FALSE()</f>
        <v>0</v>
      </c>
      <c r="E541" t="b">
        <f>COUNTIF(connections!A:A, A541) &gt; 0</f>
        <v>0</v>
      </c>
      <c r="G541" t="s">
        <v>1908</v>
      </c>
      <c r="H541" t="s">
        <v>187</v>
      </c>
      <c r="I541" t="s">
        <v>1909</v>
      </c>
      <c r="J541" s="1" t="s">
        <v>1910</v>
      </c>
    </row>
    <row r="542" spans="1:10" ht="15" customHeight="1" x14ac:dyDescent="0.25">
      <c r="A542" t="s">
        <v>1911</v>
      </c>
      <c r="B542">
        <v>2014</v>
      </c>
      <c r="C542" t="s">
        <v>176</v>
      </c>
      <c r="D542" t="b">
        <v>1</v>
      </c>
      <c r="E542" t="b">
        <f>COUNTIF(connections!A:A, A542) &gt; 0</f>
        <v>0</v>
      </c>
      <c r="G542" t="s">
        <v>1912</v>
      </c>
      <c r="J542" s="10" t="s">
        <v>1913</v>
      </c>
    </row>
    <row r="543" spans="1:10" ht="15" customHeight="1" x14ac:dyDescent="0.25">
      <c r="A543" t="s">
        <v>1914</v>
      </c>
      <c r="B543">
        <v>2025</v>
      </c>
      <c r="C543" t="s">
        <v>222</v>
      </c>
      <c r="D543" t="b">
        <f>FALSE()</f>
        <v>0</v>
      </c>
      <c r="E543" t="b">
        <f>COUNTIF(connections!A:A, A543) &gt; 0</f>
        <v>0</v>
      </c>
      <c r="G543" t="s">
        <v>1915</v>
      </c>
      <c r="H543" t="s">
        <v>187</v>
      </c>
      <c r="I543" t="s">
        <v>1916</v>
      </c>
      <c r="J543" s="1" t="s">
        <v>1917</v>
      </c>
    </row>
    <row r="544" spans="1:10" ht="15" customHeight="1" x14ac:dyDescent="0.25">
      <c r="A544" t="s">
        <v>1918</v>
      </c>
      <c r="B544">
        <v>2022</v>
      </c>
      <c r="C544" t="s">
        <v>179</v>
      </c>
      <c r="D544" t="b">
        <f>TRUE()</f>
        <v>1</v>
      </c>
      <c r="E544" t="b">
        <f>COUNTIF(connections!A:A, A544) &gt; 0</f>
        <v>0</v>
      </c>
      <c r="G544" t="s">
        <v>1919</v>
      </c>
      <c r="H544" t="s">
        <v>187</v>
      </c>
      <c r="I544" t="s">
        <v>1920</v>
      </c>
    </row>
    <row r="545" spans="1:10" ht="15" customHeight="1" x14ac:dyDescent="0.25">
      <c r="A545" t="s">
        <v>1921</v>
      </c>
      <c r="B545">
        <v>2025</v>
      </c>
      <c r="C545" t="s">
        <v>182</v>
      </c>
      <c r="D545" t="b">
        <f>TRUE()</f>
        <v>1</v>
      </c>
      <c r="E545" t="b">
        <f>COUNTIF(connections!A:A, A545) &gt; 0</f>
        <v>0</v>
      </c>
      <c r="G545" t="s">
        <v>1922</v>
      </c>
      <c r="H545" t="s">
        <v>187</v>
      </c>
      <c r="I545" t="s">
        <v>1923</v>
      </c>
      <c r="J545" s="1" t="s">
        <v>1924</v>
      </c>
    </row>
    <row r="546" spans="1:10" ht="15" customHeight="1" x14ac:dyDescent="0.25">
      <c r="A546" t="s">
        <v>1925</v>
      </c>
      <c r="B546">
        <v>2025</v>
      </c>
      <c r="C546" t="s">
        <v>179</v>
      </c>
      <c r="D546" t="b">
        <f>TRUE()</f>
        <v>1</v>
      </c>
      <c r="E546" t="b">
        <f>COUNTIF(connections!A:A, A546) &gt; 0</f>
        <v>0</v>
      </c>
      <c r="G546" t="s">
        <v>1926</v>
      </c>
    </row>
    <row r="547" spans="1:10" ht="15" customHeight="1" x14ac:dyDescent="0.25">
      <c r="A547" t="s">
        <v>1927</v>
      </c>
      <c r="B547">
        <v>2023</v>
      </c>
      <c r="C547" t="s">
        <v>176</v>
      </c>
      <c r="D547" t="b">
        <f>TRUE()</f>
        <v>1</v>
      </c>
      <c r="E547" t="b">
        <f>COUNTIF(connections!A:A, A547) &gt; 0</f>
        <v>0</v>
      </c>
      <c r="G547" t="s">
        <v>1928</v>
      </c>
      <c r="H547" t="s">
        <v>187</v>
      </c>
      <c r="I547" t="s">
        <v>1929</v>
      </c>
      <c r="J547" s="1" t="s">
        <v>1930</v>
      </c>
    </row>
    <row r="548" spans="1:10" ht="15" customHeight="1" x14ac:dyDescent="0.25">
      <c r="A548" t="s">
        <v>7925</v>
      </c>
      <c r="B548">
        <v>2026</v>
      </c>
      <c r="C548" t="s">
        <v>176</v>
      </c>
      <c r="D548" t="b">
        <f>TRUE()</f>
        <v>1</v>
      </c>
      <c r="E548" t="b">
        <f>COUNTIF(connections!A:A, A548) &gt; 0</f>
        <v>0</v>
      </c>
      <c r="G548" t="s">
        <v>7926</v>
      </c>
      <c r="J548" s="10" t="s">
        <v>7927</v>
      </c>
    </row>
    <row r="549" spans="1:10" ht="15" customHeight="1" x14ac:dyDescent="0.25">
      <c r="A549" t="s">
        <v>1931</v>
      </c>
      <c r="B549">
        <v>2025</v>
      </c>
      <c r="C549" t="s">
        <v>222</v>
      </c>
      <c r="D549" t="b">
        <f>TRUE()</f>
        <v>1</v>
      </c>
      <c r="E549" t="b">
        <f>COUNTIF(connections!A:A, A549) &gt; 0</f>
        <v>0</v>
      </c>
      <c r="F549" t="s">
        <v>1164</v>
      </c>
      <c r="G549" t="s">
        <v>1932</v>
      </c>
    </row>
    <row r="550" spans="1:10" ht="15" customHeight="1" x14ac:dyDescent="0.25">
      <c r="A550" t="s">
        <v>1933</v>
      </c>
      <c r="B550">
        <v>2021</v>
      </c>
      <c r="C550" t="s">
        <v>176</v>
      </c>
      <c r="D550" t="b">
        <f>TRUE()</f>
        <v>1</v>
      </c>
      <c r="E550" t="b">
        <f>COUNTIF(connections!A:A, A550) &gt; 0</f>
        <v>1</v>
      </c>
      <c r="G550" t="s">
        <v>1934</v>
      </c>
      <c r="H550" t="s">
        <v>187</v>
      </c>
      <c r="I550" t="s">
        <v>1935</v>
      </c>
      <c r="J550" s="1" t="s">
        <v>1936</v>
      </c>
    </row>
    <row r="551" spans="1:10" ht="15" customHeight="1" x14ac:dyDescent="0.25">
      <c r="A551" t="s">
        <v>1937</v>
      </c>
      <c r="B551">
        <v>2023</v>
      </c>
      <c r="C551" t="s">
        <v>179</v>
      </c>
      <c r="D551" t="b">
        <f>TRUE()</f>
        <v>1</v>
      </c>
      <c r="E551" t="b">
        <f>COUNTIF(connections!A:A, A551) &gt; 0</f>
        <v>0</v>
      </c>
      <c r="G551" t="s">
        <v>1938</v>
      </c>
      <c r="H551" t="s">
        <v>187</v>
      </c>
      <c r="I551" t="s">
        <v>1939</v>
      </c>
      <c r="J551" s="1" t="s">
        <v>1940</v>
      </c>
    </row>
    <row r="552" spans="1:10" ht="15" customHeight="1" x14ac:dyDescent="0.25">
      <c r="A552" t="s">
        <v>1941</v>
      </c>
      <c r="B552">
        <v>2026</v>
      </c>
      <c r="C552" t="s">
        <v>176</v>
      </c>
      <c r="D552" t="b">
        <v>1</v>
      </c>
      <c r="E552" t="b">
        <f>COUNTIF(connections!A:A, A552) &gt; 0</f>
        <v>0</v>
      </c>
      <c r="G552" t="s">
        <v>1942</v>
      </c>
      <c r="J552" s="10" t="s">
        <v>1943</v>
      </c>
    </row>
    <row r="553" spans="1:10" ht="15" customHeight="1" x14ac:dyDescent="0.25">
      <c r="A553" t="s">
        <v>1944</v>
      </c>
      <c r="B553">
        <v>2015</v>
      </c>
      <c r="C553" t="s">
        <v>179</v>
      </c>
      <c r="D553" t="b">
        <f>TRUE()</f>
        <v>1</v>
      </c>
      <c r="E553" t="b">
        <f>COUNTIF(connections!A:A, A553) &gt; 0</f>
        <v>0</v>
      </c>
      <c r="G553" t="s">
        <v>1945</v>
      </c>
      <c r="H553" t="s">
        <v>187</v>
      </c>
      <c r="I553" t="s">
        <v>1946</v>
      </c>
    </row>
    <row r="554" spans="1:10" ht="15" customHeight="1" x14ac:dyDescent="0.25">
      <c r="A554" t="s">
        <v>1947</v>
      </c>
      <c r="B554">
        <v>2021</v>
      </c>
      <c r="C554" t="s">
        <v>222</v>
      </c>
      <c r="D554" t="b">
        <f>TRUE()</f>
        <v>1</v>
      </c>
      <c r="E554" t="b">
        <f>COUNTIF(connections!A:A, A554) &gt; 0</f>
        <v>1</v>
      </c>
      <c r="F554" t="s">
        <v>1164</v>
      </c>
      <c r="G554" t="s">
        <v>1948</v>
      </c>
      <c r="H554" t="s">
        <v>187</v>
      </c>
      <c r="I554" t="s">
        <v>1949</v>
      </c>
      <c r="J554" s="1" t="s">
        <v>1950</v>
      </c>
    </row>
    <row r="555" spans="1:10" ht="15" customHeight="1" x14ac:dyDescent="0.25">
      <c r="A555" t="s">
        <v>8127</v>
      </c>
      <c r="B555">
        <v>2026</v>
      </c>
      <c r="C555" t="s">
        <v>176</v>
      </c>
      <c r="D555" t="b">
        <f>TRUE()</f>
        <v>1</v>
      </c>
      <c r="E555" t="b">
        <f>COUNTIF(connections!A:A, A555) &gt; 0</f>
        <v>0</v>
      </c>
      <c r="F555" t="s">
        <v>1030</v>
      </c>
      <c r="G555" t="s">
        <v>8128</v>
      </c>
      <c r="J555" s="10" t="s">
        <v>8129</v>
      </c>
    </row>
    <row r="556" spans="1:10" ht="15" customHeight="1" x14ac:dyDescent="0.25">
      <c r="A556" t="s">
        <v>1951</v>
      </c>
      <c r="B556">
        <v>2022</v>
      </c>
      <c r="C556" t="s">
        <v>182</v>
      </c>
      <c r="D556" t="b">
        <f>TRUE()</f>
        <v>1</v>
      </c>
      <c r="E556" t="b">
        <f>COUNTIF(connections!A:A, A556) &gt; 0</f>
        <v>1</v>
      </c>
      <c r="F556" t="s">
        <v>354</v>
      </c>
      <c r="G556" t="s">
        <v>1952</v>
      </c>
      <c r="H556" t="s">
        <v>187</v>
      </c>
      <c r="I556" t="s">
        <v>1953</v>
      </c>
      <c r="J556" s="1" t="s">
        <v>1954</v>
      </c>
    </row>
    <row r="557" spans="1:10" ht="15" customHeight="1" x14ac:dyDescent="0.25">
      <c r="A557" t="s">
        <v>1955</v>
      </c>
      <c r="B557">
        <v>2026</v>
      </c>
      <c r="C557" t="s">
        <v>182</v>
      </c>
      <c r="D557" t="b">
        <f>TRUE()</f>
        <v>1</v>
      </c>
      <c r="E557" t="b">
        <f>COUNTIF(connections!A:A, A557) &gt; 0</f>
        <v>0</v>
      </c>
      <c r="G557" t="s">
        <v>1956</v>
      </c>
      <c r="J557" s="10" t="s">
        <v>1957</v>
      </c>
    </row>
    <row r="558" spans="1:10" ht="15" customHeight="1" x14ac:dyDescent="0.25">
      <c r="A558" t="s">
        <v>7653</v>
      </c>
      <c r="B558">
        <v>2026</v>
      </c>
      <c r="C558" t="s">
        <v>176</v>
      </c>
      <c r="D558" t="b">
        <f>TRUE()</f>
        <v>1</v>
      </c>
      <c r="E558" t="b">
        <f>COUNTIF(connections!A:A, A558) &gt; 0</f>
        <v>0</v>
      </c>
      <c r="G558" t="s">
        <v>7654</v>
      </c>
      <c r="J558" s="10" t="s">
        <v>7655</v>
      </c>
    </row>
    <row r="559" spans="1:10" ht="15" customHeight="1" x14ac:dyDescent="0.25">
      <c r="A559" t="s">
        <v>1958</v>
      </c>
      <c r="B559">
        <v>2024</v>
      </c>
      <c r="C559" t="s">
        <v>176</v>
      </c>
      <c r="D559" t="b">
        <f>TRUE()</f>
        <v>1</v>
      </c>
      <c r="E559" t="b">
        <f>COUNTIF(connections!A:A, A559) &gt; 0</f>
        <v>0</v>
      </c>
      <c r="G559" t="s">
        <v>1959</v>
      </c>
      <c r="H559" t="s">
        <v>187</v>
      </c>
      <c r="I559" t="s">
        <v>1960</v>
      </c>
      <c r="J559" s="1" t="s">
        <v>1961</v>
      </c>
    </row>
    <row r="560" spans="1:10" ht="15" customHeight="1" x14ac:dyDescent="0.25">
      <c r="A560" t="s">
        <v>1962</v>
      </c>
      <c r="B560">
        <v>2023</v>
      </c>
      <c r="C560" t="s">
        <v>176</v>
      </c>
      <c r="D560" t="b">
        <f>TRUE()</f>
        <v>1</v>
      </c>
      <c r="E560" t="b">
        <f>COUNTIF(connections!A:A, A560) &gt; 0</f>
        <v>0</v>
      </c>
      <c r="G560" t="s">
        <v>1963</v>
      </c>
      <c r="H560" t="s">
        <v>187</v>
      </c>
      <c r="I560" t="s">
        <v>1964</v>
      </c>
      <c r="J560" s="1" t="s">
        <v>1965</v>
      </c>
    </row>
    <row r="561" spans="1:10" ht="15" customHeight="1" x14ac:dyDescent="0.25">
      <c r="A561" t="s">
        <v>1966</v>
      </c>
      <c r="B561">
        <v>2025</v>
      </c>
      <c r="C561" t="s">
        <v>182</v>
      </c>
      <c r="D561" t="b">
        <f>TRUE()</f>
        <v>1</v>
      </c>
      <c r="E561" t="b">
        <f>COUNTIF(connections!A:A, A561) &gt; 0</f>
        <v>0</v>
      </c>
      <c r="F561" t="s">
        <v>315</v>
      </c>
      <c r="G561" t="s">
        <v>1967</v>
      </c>
      <c r="H561" t="s">
        <v>187</v>
      </c>
      <c r="I561" t="s">
        <v>1968</v>
      </c>
      <c r="J561" s="1" t="s">
        <v>1969</v>
      </c>
    </row>
    <row r="562" spans="1:10" ht="15" customHeight="1" x14ac:dyDescent="0.25">
      <c r="A562" t="s">
        <v>1970</v>
      </c>
      <c r="B562">
        <v>2012</v>
      </c>
      <c r="C562" t="s">
        <v>179</v>
      </c>
      <c r="D562" t="b">
        <f>TRUE()</f>
        <v>1</v>
      </c>
      <c r="E562" t="b">
        <f>COUNTIF(connections!A:A, A562) &gt; 0</f>
        <v>1</v>
      </c>
      <c r="G562" t="s">
        <v>1971</v>
      </c>
      <c r="H562" t="s">
        <v>187</v>
      </c>
      <c r="I562" t="s">
        <v>8336</v>
      </c>
      <c r="J562" s="10" t="s">
        <v>1972</v>
      </c>
    </row>
    <row r="563" spans="1:10" ht="15" customHeight="1" x14ac:dyDescent="0.25">
      <c r="A563" t="s">
        <v>1973</v>
      </c>
      <c r="B563">
        <v>2022</v>
      </c>
      <c r="C563" t="s">
        <v>222</v>
      </c>
      <c r="D563" t="b">
        <f>FALSE()</f>
        <v>0</v>
      </c>
      <c r="E563" t="b">
        <f>COUNTIF(connections!A:A, A563) &gt; 0</f>
        <v>0</v>
      </c>
      <c r="F563" t="s">
        <v>264</v>
      </c>
      <c r="G563" t="s">
        <v>1974</v>
      </c>
      <c r="H563" t="s">
        <v>187</v>
      </c>
      <c r="I563" t="s">
        <v>1975</v>
      </c>
      <c r="J563" s="1" t="s">
        <v>1976</v>
      </c>
    </row>
    <row r="564" spans="1:10" ht="15" customHeight="1" x14ac:dyDescent="0.25">
      <c r="A564" t="s">
        <v>1977</v>
      </c>
      <c r="B564">
        <v>2026</v>
      </c>
      <c r="C564" t="s">
        <v>182</v>
      </c>
      <c r="D564" t="b">
        <f>TRUE()</f>
        <v>1</v>
      </c>
      <c r="E564" t="b">
        <f>COUNTIF(connections!A:A, A564) &gt; 0</f>
        <v>0</v>
      </c>
      <c r="G564" t="s">
        <v>1978</v>
      </c>
      <c r="H564" t="s">
        <v>187</v>
      </c>
      <c r="I564" t="s">
        <v>8337</v>
      </c>
      <c r="J564" s="1" t="s">
        <v>1979</v>
      </c>
    </row>
    <row r="565" spans="1:10" ht="15" customHeight="1" x14ac:dyDescent="0.25">
      <c r="A565" t="s">
        <v>1980</v>
      </c>
      <c r="B565">
        <v>2021</v>
      </c>
      <c r="C565" t="s">
        <v>182</v>
      </c>
      <c r="D565" t="b">
        <f>TRUE()</f>
        <v>1</v>
      </c>
      <c r="E565" t="b">
        <f>COUNTIF(connections!A:A, A565) &gt; 0</f>
        <v>0</v>
      </c>
      <c r="F565" t="s">
        <v>354</v>
      </c>
      <c r="G565" t="s">
        <v>1981</v>
      </c>
    </row>
    <row r="566" spans="1:10" ht="15" customHeight="1" x14ac:dyDescent="0.25">
      <c r="A566" t="s">
        <v>1982</v>
      </c>
      <c r="B566">
        <v>2026</v>
      </c>
      <c r="C566" t="s">
        <v>182</v>
      </c>
      <c r="D566" t="b">
        <f>TRUE()</f>
        <v>1</v>
      </c>
      <c r="E566" t="b">
        <f>COUNTIF(connections!A:A, A566) &gt; 0</f>
        <v>0</v>
      </c>
      <c r="G566" t="s">
        <v>1983</v>
      </c>
    </row>
    <row r="567" spans="1:10" ht="15" customHeight="1" x14ac:dyDescent="0.25">
      <c r="A567" t="s">
        <v>1984</v>
      </c>
      <c r="B567">
        <v>2022</v>
      </c>
      <c r="C567" t="s">
        <v>182</v>
      </c>
      <c r="D567" t="b">
        <f>TRUE()</f>
        <v>1</v>
      </c>
      <c r="E567" t="b">
        <f>COUNTIF(connections!A:A, A567) &gt; 0</f>
        <v>0</v>
      </c>
      <c r="F567" t="s">
        <v>1985</v>
      </c>
      <c r="G567" t="s">
        <v>1986</v>
      </c>
      <c r="H567" t="s">
        <v>187</v>
      </c>
      <c r="I567" t="s">
        <v>1987</v>
      </c>
    </row>
    <row r="568" spans="1:10" ht="15" customHeight="1" x14ac:dyDescent="0.25">
      <c r="A568" t="s">
        <v>1988</v>
      </c>
      <c r="B568">
        <v>2024</v>
      </c>
      <c r="C568" t="s">
        <v>176</v>
      </c>
      <c r="D568" t="b">
        <f>FALSE()</f>
        <v>0</v>
      </c>
      <c r="E568" t="b">
        <f>COUNTIF(connections!A:A, A568) &gt; 0</f>
        <v>0</v>
      </c>
      <c r="G568" t="s">
        <v>1989</v>
      </c>
      <c r="H568" t="s">
        <v>187</v>
      </c>
      <c r="I568" t="s">
        <v>1990</v>
      </c>
      <c r="J568" s="1" t="s">
        <v>1991</v>
      </c>
    </row>
    <row r="569" spans="1:10" ht="15" customHeight="1" x14ac:dyDescent="0.25">
      <c r="A569" t="s">
        <v>1992</v>
      </c>
      <c r="B569">
        <v>2026</v>
      </c>
      <c r="C569" t="s">
        <v>222</v>
      </c>
      <c r="D569" t="b">
        <f>TRUE()</f>
        <v>1</v>
      </c>
      <c r="E569" t="b">
        <f>COUNTIF(connections!A:A, A569) &gt; 0</f>
        <v>0</v>
      </c>
      <c r="F569" t="s">
        <v>1985</v>
      </c>
      <c r="G569" t="s">
        <v>1993</v>
      </c>
      <c r="H569" t="s">
        <v>187</v>
      </c>
      <c r="I569" t="s">
        <v>1994</v>
      </c>
    </row>
    <row r="570" spans="1:10" ht="15" customHeight="1" x14ac:dyDescent="0.25">
      <c r="A570" t="s">
        <v>1995</v>
      </c>
      <c r="B570">
        <v>2021</v>
      </c>
      <c r="C570" t="s">
        <v>222</v>
      </c>
      <c r="D570" t="b">
        <f>TRUE()</f>
        <v>1</v>
      </c>
      <c r="E570" t="b">
        <f>COUNTIF(connections!A:A, A570) &gt; 0</f>
        <v>1</v>
      </c>
      <c r="F570" t="s">
        <v>1985</v>
      </c>
      <c r="G570" t="s">
        <v>1996</v>
      </c>
      <c r="H570" t="s">
        <v>187</v>
      </c>
      <c r="I570" t="s">
        <v>1997</v>
      </c>
    </row>
    <row r="571" spans="1:10" ht="15" customHeight="1" x14ac:dyDescent="0.25">
      <c r="A571" t="s">
        <v>1998</v>
      </c>
      <c r="B571">
        <v>2026</v>
      </c>
      <c r="C571" t="s">
        <v>222</v>
      </c>
      <c r="D571" t="b">
        <f>TRUE()</f>
        <v>1</v>
      </c>
      <c r="E571" t="b">
        <f>COUNTIF(connections!A:A, A571) &gt; 0</f>
        <v>0</v>
      </c>
      <c r="F571" t="s">
        <v>1985</v>
      </c>
      <c r="G571" t="s">
        <v>1999</v>
      </c>
      <c r="H571" t="s">
        <v>187</v>
      </c>
      <c r="I571" t="s">
        <v>2000</v>
      </c>
    </row>
    <row r="572" spans="1:10" ht="15" customHeight="1" x14ac:dyDescent="0.25">
      <c r="A572" t="s">
        <v>2001</v>
      </c>
      <c r="B572">
        <v>2009</v>
      </c>
      <c r="C572" t="s">
        <v>179</v>
      </c>
      <c r="D572" t="b">
        <f>TRUE()</f>
        <v>1</v>
      </c>
      <c r="E572" t="b">
        <f>COUNTIF(connections!A:A, A572) &gt; 0</f>
        <v>0</v>
      </c>
      <c r="F572" t="s">
        <v>1985</v>
      </c>
      <c r="G572" t="s">
        <v>2002</v>
      </c>
      <c r="H572" t="s">
        <v>187</v>
      </c>
      <c r="I572" t="s">
        <v>2003</v>
      </c>
    </row>
    <row r="573" spans="1:10" ht="15" customHeight="1" x14ac:dyDescent="0.25">
      <c r="A573" t="s">
        <v>2004</v>
      </c>
      <c r="B573">
        <v>2007</v>
      </c>
      <c r="C573" t="s">
        <v>179</v>
      </c>
      <c r="D573" t="b">
        <f>TRUE()</f>
        <v>1</v>
      </c>
      <c r="E573" t="b">
        <f>COUNTIF(connections!A:A, A573) &gt; 0</f>
        <v>1</v>
      </c>
      <c r="F573" t="s">
        <v>1985</v>
      </c>
      <c r="G573" t="s">
        <v>2005</v>
      </c>
      <c r="H573" t="s">
        <v>187</v>
      </c>
      <c r="I573" t="s">
        <v>2006</v>
      </c>
    </row>
    <row r="574" spans="1:10" ht="15" customHeight="1" x14ac:dyDescent="0.25">
      <c r="A574" t="s">
        <v>2007</v>
      </c>
      <c r="B574">
        <v>2012</v>
      </c>
      <c r="C574" t="s">
        <v>179</v>
      </c>
      <c r="D574" t="b">
        <f>TRUE()</f>
        <v>1</v>
      </c>
      <c r="E574" t="b">
        <f>COUNTIF(connections!A:A, A574) &gt; 0</f>
        <v>0</v>
      </c>
      <c r="F574" t="s">
        <v>1985</v>
      </c>
      <c r="G574" t="s">
        <v>2008</v>
      </c>
    </row>
    <row r="575" spans="1:10" ht="15" customHeight="1" x14ac:dyDescent="0.25">
      <c r="A575" t="s">
        <v>2009</v>
      </c>
      <c r="B575">
        <v>2005</v>
      </c>
      <c r="C575" t="s">
        <v>179</v>
      </c>
      <c r="D575" t="b">
        <f>TRUE()</f>
        <v>1</v>
      </c>
      <c r="E575" t="b">
        <f>COUNTIF(connections!A:A, A575) &gt; 0</f>
        <v>1</v>
      </c>
      <c r="F575" t="s">
        <v>1985</v>
      </c>
      <c r="G575" t="s">
        <v>2010</v>
      </c>
      <c r="H575" t="s">
        <v>187</v>
      </c>
      <c r="I575" t="s">
        <v>2011</v>
      </c>
    </row>
    <row r="576" spans="1:10" ht="15" customHeight="1" x14ac:dyDescent="0.25">
      <c r="A576" t="s">
        <v>2012</v>
      </c>
      <c r="B576">
        <v>2020</v>
      </c>
      <c r="C576" t="s">
        <v>179</v>
      </c>
      <c r="D576" t="b">
        <f>TRUE()</f>
        <v>1</v>
      </c>
      <c r="E576" t="b">
        <f>COUNTIF(connections!A:A, A576) &gt; 0</f>
        <v>0</v>
      </c>
      <c r="F576" t="s">
        <v>1985</v>
      </c>
      <c r="G576" t="s">
        <v>2013</v>
      </c>
    </row>
    <row r="577" spans="1:10" ht="15" customHeight="1" x14ac:dyDescent="0.25">
      <c r="A577" t="s">
        <v>2014</v>
      </c>
      <c r="B577">
        <v>2015</v>
      </c>
      <c r="C577" t="s">
        <v>179</v>
      </c>
      <c r="D577" t="b">
        <f>TRUE()</f>
        <v>1</v>
      </c>
      <c r="E577" t="b">
        <f>COUNTIF(connections!A:A, A577) &gt; 0</f>
        <v>0</v>
      </c>
      <c r="F577" t="s">
        <v>1985</v>
      </c>
      <c r="G577" t="s">
        <v>2015</v>
      </c>
    </row>
    <row r="578" spans="1:10" ht="15" customHeight="1" x14ac:dyDescent="0.25">
      <c r="A578" t="s">
        <v>7944</v>
      </c>
      <c r="B578">
        <v>2026</v>
      </c>
      <c r="C578" t="s">
        <v>176</v>
      </c>
      <c r="D578" t="b">
        <f>TRUE()</f>
        <v>1</v>
      </c>
      <c r="E578" t="b">
        <f>COUNTIF(connections!A:A, A578) &gt; 0</f>
        <v>0</v>
      </c>
      <c r="F578" t="s">
        <v>1985</v>
      </c>
      <c r="G578" t="s">
        <v>7945</v>
      </c>
      <c r="H578" t="s">
        <v>187</v>
      </c>
      <c r="I578" t="s">
        <v>7946</v>
      </c>
    </row>
    <row r="579" spans="1:10" ht="15" customHeight="1" x14ac:dyDescent="0.25">
      <c r="A579" t="s">
        <v>2016</v>
      </c>
      <c r="B579">
        <v>2024</v>
      </c>
      <c r="C579" t="s">
        <v>222</v>
      </c>
      <c r="D579" t="b">
        <f>TRUE()</f>
        <v>1</v>
      </c>
      <c r="E579" t="b">
        <f>COUNTIF(connections!A:A, A579) &gt; 0</f>
        <v>1</v>
      </c>
      <c r="F579" t="s">
        <v>1985</v>
      </c>
      <c r="G579" t="s">
        <v>2017</v>
      </c>
    </row>
    <row r="580" spans="1:10" ht="15" customHeight="1" x14ac:dyDescent="0.25">
      <c r="A580" t="s">
        <v>2018</v>
      </c>
      <c r="B580">
        <v>2025</v>
      </c>
      <c r="C580" t="s">
        <v>222</v>
      </c>
      <c r="D580" t="b">
        <f>TRUE()</f>
        <v>1</v>
      </c>
      <c r="E580" t="b">
        <f>COUNTIF(connections!A:A, A580) &gt; 0</f>
        <v>0</v>
      </c>
      <c r="F580" t="s">
        <v>1985</v>
      </c>
      <c r="G580" t="s">
        <v>2019</v>
      </c>
      <c r="H580" t="s">
        <v>187</v>
      </c>
      <c r="I580" t="s">
        <v>2020</v>
      </c>
    </row>
    <row r="581" spans="1:10" ht="15" customHeight="1" x14ac:dyDescent="0.25">
      <c r="A581" t="s">
        <v>2021</v>
      </c>
      <c r="B581">
        <v>2020</v>
      </c>
      <c r="C581" t="s">
        <v>222</v>
      </c>
      <c r="D581" t="b">
        <f>TRUE()</f>
        <v>1</v>
      </c>
      <c r="E581" t="b">
        <f>COUNTIF(connections!A:A, A581) &gt; 0</f>
        <v>1</v>
      </c>
      <c r="G581" t="s">
        <v>2022</v>
      </c>
    </row>
    <row r="582" spans="1:10" ht="15" customHeight="1" x14ac:dyDescent="0.25">
      <c r="A582" t="s">
        <v>2023</v>
      </c>
      <c r="B582">
        <v>2003</v>
      </c>
      <c r="C582" t="s">
        <v>179</v>
      </c>
      <c r="D582" t="b">
        <f>TRUE()</f>
        <v>1</v>
      </c>
      <c r="E582" t="b">
        <f>COUNTIF(connections!A:A, A582) &gt; 0</f>
        <v>1</v>
      </c>
      <c r="G582" t="s">
        <v>2024</v>
      </c>
      <c r="H582" t="s">
        <v>187</v>
      </c>
      <c r="I582" t="s">
        <v>2025</v>
      </c>
    </row>
    <row r="583" spans="1:10" ht="15" customHeight="1" x14ac:dyDescent="0.25">
      <c r="A583" t="s">
        <v>2026</v>
      </c>
      <c r="B583">
        <v>2024</v>
      </c>
      <c r="C583" t="s">
        <v>176</v>
      </c>
      <c r="D583" t="b">
        <f>TRUE()</f>
        <v>1</v>
      </c>
      <c r="E583" t="b">
        <f>COUNTIF(connections!A:A, A583) &gt; 0</f>
        <v>0</v>
      </c>
      <c r="G583" t="s">
        <v>2027</v>
      </c>
    </row>
    <row r="584" spans="1:10" ht="15" customHeight="1" x14ac:dyDescent="0.25">
      <c r="A584" t="s">
        <v>2028</v>
      </c>
      <c r="B584">
        <v>2026</v>
      </c>
      <c r="C584" t="s">
        <v>222</v>
      </c>
      <c r="D584" t="b">
        <f>TRUE()</f>
        <v>1</v>
      </c>
      <c r="E584" t="b">
        <f>COUNTIF(connections!A:A, A584) &gt; 0</f>
        <v>0</v>
      </c>
      <c r="F584" t="s">
        <v>731</v>
      </c>
      <c r="G584" t="s">
        <v>2029</v>
      </c>
      <c r="J584" s="1" t="s">
        <v>2030</v>
      </c>
    </row>
    <row r="585" spans="1:10" ht="15" customHeight="1" x14ac:dyDescent="0.25">
      <c r="A585" t="s">
        <v>2031</v>
      </c>
      <c r="B585">
        <v>2022</v>
      </c>
      <c r="C585" t="s">
        <v>176</v>
      </c>
      <c r="D585" t="b">
        <f>TRUE()</f>
        <v>1</v>
      </c>
      <c r="E585" t="b">
        <f>COUNTIF(connections!A:A, A585) &gt; 0</f>
        <v>0</v>
      </c>
      <c r="G585" t="s">
        <v>2032</v>
      </c>
      <c r="H585" t="s">
        <v>187</v>
      </c>
      <c r="I585" t="s">
        <v>2033</v>
      </c>
      <c r="J585" s="1" t="s">
        <v>2034</v>
      </c>
    </row>
    <row r="586" spans="1:10" ht="15" customHeight="1" x14ac:dyDescent="0.25">
      <c r="A586" t="s">
        <v>8115</v>
      </c>
      <c r="B586">
        <v>2024</v>
      </c>
      <c r="C586" t="s">
        <v>182</v>
      </c>
      <c r="D586" t="b">
        <f>TRUE()</f>
        <v>1</v>
      </c>
      <c r="E586" t="b">
        <f>COUNTIF(connections!A:A, A586) &gt; 0</f>
        <v>0</v>
      </c>
      <c r="G586" t="s">
        <v>8116</v>
      </c>
      <c r="J586" s="10" t="s">
        <v>8117</v>
      </c>
    </row>
    <row r="587" spans="1:10" ht="15" customHeight="1" x14ac:dyDescent="0.25">
      <c r="A587" t="s">
        <v>2035</v>
      </c>
      <c r="B587">
        <v>2023</v>
      </c>
      <c r="C587" t="s">
        <v>179</v>
      </c>
      <c r="D587" t="b">
        <f>TRUE()</f>
        <v>1</v>
      </c>
      <c r="E587" t="b">
        <f>COUNTIF(connections!A:A, A587) &gt; 0</f>
        <v>0</v>
      </c>
      <c r="G587" t="s">
        <v>2036</v>
      </c>
      <c r="H587" t="s">
        <v>187</v>
      </c>
      <c r="I587" t="s">
        <v>2037</v>
      </c>
      <c r="J587" s="1" t="s">
        <v>2038</v>
      </c>
    </row>
    <row r="588" spans="1:10" ht="15" customHeight="1" x14ac:dyDescent="0.25">
      <c r="A588" t="s">
        <v>2039</v>
      </c>
      <c r="B588">
        <v>2014</v>
      </c>
      <c r="C588" t="s">
        <v>179</v>
      </c>
      <c r="D588" t="b">
        <f>TRUE()</f>
        <v>1</v>
      </c>
      <c r="E588" t="b">
        <f>COUNTIF(connections!A:A, A588) &gt; 0</f>
        <v>0</v>
      </c>
      <c r="G588" t="s">
        <v>2040</v>
      </c>
      <c r="H588" t="s">
        <v>187</v>
      </c>
      <c r="I588" t="s">
        <v>2041</v>
      </c>
      <c r="J588" s="1" t="s">
        <v>2042</v>
      </c>
    </row>
    <row r="589" spans="1:10" ht="15" customHeight="1" x14ac:dyDescent="0.25">
      <c r="A589" t="s">
        <v>2043</v>
      </c>
      <c r="B589">
        <v>2024</v>
      </c>
      <c r="C589" t="s">
        <v>176</v>
      </c>
      <c r="D589" t="b">
        <v>1</v>
      </c>
      <c r="E589" t="b">
        <f>COUNTIF(connections!A:A, A589) &gt; 0</f>
        <v>0</v>
      </c>
      <c r="G589" t="s">
        <v>2044</v>
      </c>
      <c r="H589" t="s">
        <v>187</v>
      </c>
      <c r="I589" t="s">
        <v>7877</v>
      </c>
      <c r="J589" s="10" t="s">
        <v>7878</v>
      </c>
    </row>
    <row r="590" spans="1:10" ht="15" customHeight="1" x14ac:dyDescent="0.25">
      <c r="A590" t="s">
        <v>2045</v>
      </c>
      <c r="B590">
        <v>2026</v>
      </c>
      <c r="C590" t="s">
        <v>182</v>
      </c>
      <c r="D590" t="b">
        <f>TRUE()</f>
        <v>1</v>
      </c>
      <c r="E590" t="b">
        <f>COUNTIF(connections!A:A, A590) &gt; 0</f>
        <v>0</v>
      </c>
      <c r="F590" t="s">
        <v>354</v>
      </c>
      <c r="G590" t="s">
        <v>2046</v>
      </c>
      <c r="H590" t="s">
        <v>187</v>
      </c>
      <c r="I590" t="s">
        <v>2047</v>
      </c>
      <c r="J590" s="1" t="s">
        <v>2048</v>
      </c>
    </row>
    <row r="591" spans="1:10" ht="15" customHeight="1" x14ac:dyDescent="0.25">
      <c r="A591" t="s">
        <v>2049</v>
      </c>
      <c r="B591">
        <v>2024</v>
      </c>
      <c r="C591" t="s">
        <v>222</v>
      </c>
      <c r="D591" t="b">
        <f>TRUE()</f>
        <v>1</v>
      </c>
      <c r="E591" t="b">
        <f>COUNTIF(connections!A:A, A591) &gt; 0</f>
        <v>0</v>
      </c>
      <c r="G591" t="s">
        <v>2050</v>
      </c>
      <c r="H591" t="s">
        <v>187</v>
      </c>
      <c r="I591" t="s">
        <v>2051</v>
      </c>
      <c r="J591" s="1" t="s">
        <v>2052</v>
      </c>
    </row>
    <row r="592" spans="1:10" ht="15" customHeight="1" x14ac:dyDescent="0.25">
      <c r="A592" t="s">
        <v>2053</v>
      </c>
      <c r="B592">
        <v>1992</v>
      </c>
      <c r="C592" t="s">
        <v>179</v>
      </c>
      <c r="D592" t="b">
        <f>TRUE()</f>
        <v>1</v>
      </c>
      <c r="E592" t="b">
        <f>COUNTIF(connections!A:A, A592) &gt; 0</f>
        <v>1</v>
      </c>
      <c r="G592" t="s">
        <v>2054</v>
      </c>
      <c r="H592" t="s">
        <v>187</v>
      </c>
      <c r="I592" t="s">
        <v>2055</v>
      </c>
    </row>
    <row r="593" spans="1:10" ht="15" customHeight="1" x14ac:dyDescent="0.25">
      <c r="A593" t="s">
        <v>2056</v>
      </c>
      <c r="B593">
        <v>2024</v>
      </c>
      <c r="C593" t="s">
        <v>176</v>
      </c>
      <c r="D593" t="b">
        <f>TRUE()</f>
        <v>1</v>
      </c>
      <c r="E593" t="b">
        <f>COUNTIF(connections!A:A, A593) &gt; 0</f>
        <v>0</v>
      </c>
      <c r="G593" t="s">
        <v>2057</v>
      </c>
    </row>
    <row r="594" spans="1:10" ht="15" customHeight="1" x14ac:dyDescent="0.25">
      <c r="A594" t="s">
        <v>2058</v>
      </c>
      <c r="B594">
        <v>2015</v>
      </c>
      <c r="C594" t="s">
        <v>176</v>
      </c>
      <c r="D594" t="b">
        <f>TRUE()</f>
        <v>1</v>
      </c>
      <c r="E594" t="b">
        <f>COUNTIF(connections!A:A, A594) &gt; 0</f>
        <v>0</v>
      </c>
      <c r="G594" t="s">
        <v>2059</v>
      </c>
      <c r="J594" s="10" t="s">
        <v>2060</v>
      </c>
    </row>
    <row r="595" spans="1:10" ht="15" customHeight="1" x14ac:dyDescent="0.25">
      <c r="A595" t="s">
        <v>7929</v>
      </c>
      <c r="B595">
        <v>2026</v>
      </c>
      <c r="C595" t="s">
        <v>179</v>
      </c>
      <c r="D595" t="b">
        <f>TRUE()</f>
        <v>1</v>
      </c>
      <c r="E595" t="b">
        <f>COUNTIF(connections!A:A, A595) &gt; 0</f>
        <v>0</v>
      </c>
      <c r="G595" t="s">
        <v>7931</v>
      </c>
      <c r="J595" s="10" t="s">
        <v>7932</v>
      </c>
    </row>
    <row r="596" spans="1:10" ht="15" customHeight="1" x14ac:dyDescent="0.25">
      <c r="A596" t="s">
        <v>2061</v>
      </c>
      <c r="B596">
        <v>2019</v>
      </c>
      <c r="C596" t="s">
        <v>182</v>
      </c>
      <c r="D596" t="b">
        <f>TRUE()</f>
        <v>1</v>
      </c>
      <c r="E596" t="b">
        <f>COUNTIF(connections!A:A, A596) &gt; 0</f>
        <v>0</v>
      </c>
      <c r="G596" t="s">
        <v>2062</v>
      </c>
      <c r="H596" t="s">
        <v>187</v>
      </c>
      <c r="I596" t="s">
        <v>2063</v>
      </c>
      <c r="J596" s="1" t="s">
        <v>2064</v>
      </c>
    </row>
    <row r="597" spans="1:10" ht="15" customHeight="1" x14ac:dyDescent="0.25">
      <c r="A597" t="s">
        <v>2065</v>
      </c>
      <c r="B597">
        <v>2023</v>
      </c>
      <c r="C597" t="s">
        <v>176</v>
      </c>
      <c r="D597" t="b">
        <f>TRUE()</f>
        <v>1</v>
      </c>
      <c r="E597" t="b">
        <f>COUNTIF(connections!A:A, A597) &gt; 0</f>
        <v>1</v>
      </c>
      <c r="G597" t="s">
        <v>2066</v>
      </c>
      <c r="H597" t="s">
        <v>187</v>
      </c>
      <c r="I597" t="s">
        <v>2067</v>
      </c>
      <c r="J597" s="1" t="s">
        <v>2068</v>
      </c>
    </row>
    <row r="598" spans="1:10" ht="15" customHeight="1" x14ac:dyDescent="0.25">
      <c r="A598" t="s">
        <v>2069</v>
      </c>
      <c r="B598">
        <v>2025</v>
      </c>
      <c r="C598" t="s">
        <v>176</v>
      </c>
      <c r="D598" t="b">
        <f>TRUE()</f>
        <v>1</v>
      </c>
      <c r="E598" t="b">
        <f>COUNTIF(connections!A:A, A598) &gt; 0</f>
        <v>0</v>
      </c>
      <c r="F598" t="s">
        <v>274</v>
      </c>
      <c r="G598" t="s">
        <v>2070</v>
      </c>
    </row>
    <row r="599" spans="1:10" ht="15" customHeight="1" x14ac:dyDescent="0.25">
      <c r="A599" t="s">
        <v>2071</v>
      </c>
      <c r="B599">
        <v>2024</v>
      </c>
      <c r="C599" t="s">
        <v>176</v>
      </c>
      <c r="D599" t="b">
        <f>TRUE()</f>
        <v>1</v>
      </c>
      <c r="E599" t="b">
        <f>COUNTIF(connections!A:A, A599) &gt; 0</f>
        <v>0</v>
      </c>
      <c r="G599" t="s">
        <v>2072</v>
      </c>
    </row>
    <row r="600" spans="1:10" ht="15" customHeight="1" x14ac:dyDescent="0.25">
      <c r="A600" t="s">
        <v>2073</v>
      </c>
      <c r="B600">
        <v>2010</v>
      </c>
      <c r="C600" t="s">
        <v>176</v>
      </c>
      <c r="D600" t="b">
        <f>TRUE()</f>
        <v>1</v>
      </c>
      <c r="E600" t="b">
        <f>COUNTIF(connections!A:A, A600) &gt; 0</f>
        <v>1</v>
      </c>
      <c r="G600" t="s">
        <v>2074</v>
      </c>
      <c r="H600" t="s">
        <v>187</v>
      </c>
      <c r="I600" t="s">
        <v>2075</v>
      </c>
      <c r="J600" s="1" t="s">
        <v>2076</v>
      </c>
    </row>
    <row r="601" spans="1:10" ht="15" customHeight="1" x14ac:dyDescent="0.25">
      <c r="A601" t="s">
        <v>2077</v>
      </c>
      <c r="B601">
        <v>2012</v>
      </c>
      <c r="C601" t="s">
        <v>176</v>
      </c>
      <c r="D601" t="b">
        <f>TRUE()</f>
        <v>1</v>
      </c>
      <c r="E601" t="b">
        <f>COUNTIF(connections!A:A, A601) &gt; 0</f>
        <v>0</v>
      </c>
      <c r="G601" t="s">
        <v>2078</v>
      </c>
      <c r="H601" t="s">
        <v>187</v>
      </c>
      <c r="I601" t="s">
        <v>2079</v>
      </c>
    </row>
    <row r="602" spans="1:10" ht="15" customHeight="1" x14ac:dyDescent="0.25">
      <c r="A602" t="s">
        <v>7919</v>
      </c>
      <c r="B602">
        <v>2025</v>
      </c>
      <c r="C602" t="s">
        <v>176</v>
      </c>
      <c r="D602" t="b">
        <f>TRUE()</f>
        <v>1</v>
      </c>
      <c r="E602" t="b">
        <f>COUNTIF(connections!A:A, A602) &gt; 0</f>
        <v>0</v>
      </c>
      <c r="G602" t="s">
        <v>7920</v>
      </c>
      <c r="H602" t="s">
        <v>187</v>
      </c>
      <c r="I602" t="s">
        <v>7923</v>
      </c>
      <c r="J602" s="10" t="s">
        <v>7921</v>
      </c>
    </row>
    <row r="603" spans="1:10" ht="15" customHeight="1" x14ac:dyDescent="0.25">
      <c r="A603" t="s">
        <v>2080</v>
      </c>
      <c r="B603">
        <v>2015</v>
      </c>
      <c r="C603" t="s">
        <v>222</v>
      </c>
      <c r="D603" t="b">
        <f>TRUE()</f>
        <v>1</v>
      </c>
      <c r="E603" t="b">
        <f>COUNTIF(connections!A:A, A603) &gt; 0</f>
        <v>1</v>
      </c>
      <c r="G603" t="s">
        <v>2081</v>
      </c>
      <c r="H603" t="s">
        <v>187</v>
      </c>
      <c r="I603" t="s">
        <v>2082</v>
      </c>
      <c r="J603" s="10" t="s">
        <v>2083</v>
      </c>
    </row>
    <row r="604" spans="1:10" ht="15" customHeight="1" x14ac:dyDescent="0.25">
      <c r="A604" t="s">
        <v>2084</v>
      </c>
      <c r="B604">
        <v>2022</v>
      </c>
      <c r="C604" t="s">
        <v>176</v>
      </c>
      <c r="D604" t="b">
        <f>TRUE()</f>
        <v>1</v>
      </c>
      <c r="E604" t="b">
        <f>COUNTIF(connections!A:A, A604) &gt; 0</f>
        <v>0</v>
      </c>
      <c r="G604" t="s">
        <v>2085</v>
      </c>
      <c r="H604" t="s">
        <v>187</v>
      </c>
      <c r="I604" t="s">
        <v>2086</v>
      </c>
      <c r="J604" s="1" t="s">
        <v>2087</v>
      </c>
    </row>
    <row r="605" spans="1:10" ht="15" customHeight="1" x14ac:dyDescent="0.25">
      <c r="A605" t="s">
        <v>2088</v>
      </c>
      <c r="B605">
        <v>2025</v>
      </c>
      <c r="C605" t="s">
        <v>182</v>
      </c>
      <c r="D605" t="b">
        <f>TRUE()</f>
        <v>1</v>
      </c>
      <c r="E605" t="b">
        <f>COUNTIF(connections!A:A, A605) &gt; 0</f>
        <v>0</v>
      </c>
      <c r="G605" t="s">
        <v>2089</v>
      </c>
      <c r="J605" s="10" t="s">
        <v>2090</v>
      </c>
    </row>
    <row r="606" spans="1:10" ht="15" customHeight="1" x14ac:dyDescent="0.25">
      <c r="A606" t="s">
        <v>2091</v>
      </c>
      <c r="B606">
        <v>2023</v>
      </c>
      <c r="C606" t="s">
        <v>176</v>
      </c>
      <c r="D606" t="b">
        <f>TRUE()</f>
        <v>1</v>
      </c>
      <c r="E606" t="b">
        <f>COUNTIF(connections!A:A, A606) &gt; 0</f>
        <v>0</v>
      </c>
      <c r="G606" t="s">
        <v>2092</v>
      </c>
      <c r="H606" t="s">
        <v>187</v>
      </c>
      <c r="I606" t="s">
        <v>2093</v>
      </c>
      <c r="J606" s="1" t="s">
        <v>2094</v>
      </c>
    </row>
    <row r="607" spans="1:10" ht="15" customHeight="1" x14ac:dyDescent="0.25">
      <c r="A607" t="s">
        <v>2095</v>
      </c>
      <c r="B607">
        <v>2023</v>
      </c>
      <c r="C607" t="s">
        <v>176</v>
      </c>
      <c r="D607" t="b">
        <f>TRUE()</f>
        <v>1</v>
      </c>
      <c r="E607" t="b">
        <f>COUNTIF(connections!A:A, A607) &gt; 0</f>
        <v>1</v>
      </c>
      <c r="G607" t="s">
        <v>2096</v>
      </c>
      <c r="H607" t="s">
        <v>187</v>
      </c>
      <c r="I607" t="s">
        <v>2097</v>
      </c>
      <c r="J607" s="1" t="s">
        <v>2098</v>
      </c>
    </row>
    <row r="608" spans="1:10" ht="15" customHeight="1" x14ac:dyDescent="0.25">
      <c r="A608" t="s">
        <v>2099</v>
      </c>
      <c r="B608">
        <v>2021</v>
      </c>
      <c r="C608" t="s">
        <v>176</v>
      </c>
      <c r="D608" t="b">
        <f>TRUE()</f>
        <v>1</v>
      </c>
      <c r="E608" t="b">
        <f>COUNTIF(connections!A:A, A608) &gt; 0</f>
        <v>1</v>
      </c>
      <c r="G608" t="s">
        <v>2100</v>
      </c>
      <c r="H608" t="s">
        <v>187</v>
      </c>
      <c r="I608" t="s">
        <v>2101</v>
      </c>
      <c r="J608" s="1" t="s">
        <v>2102</v>
      </c>
    </row>
    <row r="609" spans="1:10" ht="15" customHeight="1" x14ac:dyDescent="0.25">
      <c r="A609" t="s">
        <v>2103</v>
      </c>
      <c r="B609">
        <v>2025</v>
      </c>
      <c r="C609" t="s">
        <v>176</v>
      </c>
      <c r="D609" t="b">
        <f>TRUE()</f>
        <v>1</v>
      </c>
      <c r="E609" t="b">
        <f>COUNTIF(connections!A:A, A609) &gt; 0</f>
        <v>0</v>
      </c>
      <c r="F609" t="s">
        <v>399</v>
      </c>
      <c r="G609" t="s">
        <v>2104</v>
      </c>
      <c r="H609" t="s">
        <v>187</v>
      </c>
      <c r="I609" t="s">
        <v>2105</v>
      </c>
      <c r="J609" s="1" t="s">
        <v>2106</v>
      </c>
    </row>
    <row r="610" spans="1:10" ht="15" customHeight="1" x14ac:dyDescent="0.25">
      <c r="A610" t="s">
        <v>2107</v>
      </c>
      <c r="B610">
        <v>2020</v>
      </c>
      <c r="C610" t="s">
        <v>179</v>
      </c>
      <c r="D610" t="b">
        <f>TRUE()</f>
        <v>1</v>
      </c>
      <c r="E610" t="b">
        <f>COUNTIF(connections!A:A, A610) &gt; 0</f>
        <v>1</v>
      </c>
      <c r="G610" t="s">
        <v>2108</v>
      </c>
      <c r="H610" t="s">
        <v>187</v>
      </c>
      <c r="I610" t="s">
        <v>2109</v>
      </c>
      <c r="J610" s="1" t="s">
        <v>2110</v>
      </c>
    </row>
    <row r="611" spans="1:10" ht="15" customHeight="1" x14ac:dyDescent="0.25">
      <c r="A611" t="s">
        <v>2111</v>
      </c>
      <c r="B611">
        <v>2024</v>
      </c>
      <c r="C611" t="s">
        <v>179</v>
      </c>
      <c r="D611" t="b">
        <f>TRUE()</f>
        <v>1</v>
      </c>
      <c r="E611" t="b">
        <f>COUNTIF(connections!A:A, A611) &gt; 0</f>
        <v>1</v>
      </c>
      <c r="G611" t="s">
        <v>2112</v>
      </c>
      <c r="H611" t="s">
        <v>187</v>
      </c>
      <c r="I611" t="s">
        <v>2113</v>
      </c>
      <c r="J611" s="1" t="s">
        <v>2114</v>
      </c>
    </row>
    <row r="612" spans="1:10" ht="15" customHeight="1" x14ac:dyDescent="0.25">
      <c r="A612" t="s">
        <v>2115</v>
      </c>
      <c r="B612">
        <v>2026</v>
      </c>
      <c r="C612" t="s">
        <v>179</v>
      </c>
      <c r="D612" t="b">
        <f>TRUE()</f>
        <v>1</v>
      </c>
      <c r="E612" t="b">
        <f>COUNTIF(connections!A:A, A612) &gt; 0</f>
        <v>0</v>
      </c>
      <c r="G612" t="s">
        <v>2116</v>
      </c>
      <c r="J612" s="1" t="s">
        <v>2117</v>
      </c>
    </row>
    <row r="613" spans="1:10" ht="15" customHeight="1" x14ac:dyDescent="0.25">
      <c r="A613" t="s">
        <v>7934</v>
      </c>
      <c r="B613">
        <v>2026</v>
      </c>
      <c r="C613" t="s">
        <v>176</v>
      </c>
      <c r="D613" t="b">
        <f>TRUE()</f>
        <v>1</v>
      </c>
      <c r="E613" t="b">
        <f>COUNTIF(connections!A:A, A613) &gt; 0</f>
        <v>0</v>
      </c>
      <c r="G613" t="s">
        <v>7935</v>
      </c>
      <c r="J613" s="10" t="s">
        <v>7936</v>
      </c>
    </row>
    <row r="614" spans="1:10" ht="15" customHeight="1" x14ac:dyDescent="0.25">
      <c r="A614" t="s">
        <v>2118</v>
      </c>
      <c r="B614">
        <v>2022</v>
      </c>
      <c r="C614" t="s">
        <v>182</v>
      </c>
      <c r="D614" t="b">
        <f>TRUE()</f>
        <v>1</v>
      </c>
      <c r="E614" t="b">
        <f>COUNTIF(connections!A:A, A614) &gt; 0</f>
        <v>0</v>
      </c>
      <c r="G614" t="s">
        <v>2119</v>
      </c>
      <c r="H614" t="s">
        <v>187</v>
      </c>
      <c r="I614" t="s">
        <v>2120</v>
      </c>
      <c r="J614" s="1" t="s">
        <v>2121</v>
      </c>
    </row>
    <row r="615" spans="1:10" ht="15" customHeight="1" x14ac:dyDescent="0.25">
      <c r="A615" t="s">
        <v>2122</v>
      </c>
      <c r="B615">
        <v>2020</v>
      </c>
      <c r="C615" t="s">
        <v>222</v>
      </c>
      <c r="D615" t="b">
        <f>TRUE()</f>
        <v>1</v>
      </c>
      <c r="E615" t="b">
        <f>COUNTIF(connections!A:A, A615) &gt; 0</f>
        <v>1</v>
      </c>
      <c r="G615" t="s">
        <v>2123</v>
      </c>
      <c r="H615" t="s">
        <v>187</v>
      </c>
      <c r="I615" t="s">
        <v>2124</v>
      </c>
      <c r="J615" s="1" t="s">
        <v>2125</v>
      </c>
    </row>
    <row r="616" spans="1:10" ht="15" customHeight="1" x14ac:dyDescent="0.25">
      <c r="A616" t="s">
        <v>2126</v>
      </c>
      <c r="B616">
        <v>2025</v>
      </c>
      <c r="C616" t="s">
        <v>182</v>
      </c>
      <c r="D616" t="b">
        <f>FALSE()</f>
        <v>0</v>
      </c>
      <c r="E616" t="b">
        <f>COUNTIF(connections!A:A, A616) &gt; 0</f>
        <v>0</v>
      </c>
      <c r="G616" t="s">
        <v>2127</v>
      </c>
      <c r="H616" t="s">
        <v>187</v>
      </c>
      <c r="I616" t="s">
        <v>2128</v>
      </c>
      <c r="J616" s="1" t="s">
        <v>2129</v>
      </c>
    </row>
    <row r="617" spans="1:10" ht="15" customHeight="1" x14ac:dyDescent="0.25">
      <c r="A617" t="s">
        <v>2130</v>
      </c>
      <c r="B617">
        <v>2017</v>
      </c>
      <c r="C617" t="s">
        <v>176</v>
      </c>
      <c r="D617" t="b">
        <f>TRUE()</f>
        <v>1</v>
      </c>
      <c r="E617" t="b">
        <f>COUNTIF(connections!A:A, A617) &gt; 0</f>
        <v>1</v>
      </c>
      <c r="G617" t="s">
        <v>2131</v>
      </c>
    </row>
    <row r="618" spans="1:10" ht="15" customHeight="1" x14ac:dyDescent="0.25">
      <c r="A618" t="s">
        <v>2132</v>
      </c>
      <c r="B618">
        <v>2013</v>
      </c>
      <c r="C618" t="s">
        <v>176</v>
      </c>
      <c r="D618" t="b">
        <f>TRUE()</f>
        <v>1</v>
      </c>
      <c r="E618" t="b">
        <f>COUNTIF(connections!A:A, A618) &gt; 0</f>
        <v>1</v>
      </c>
      <c r="F618" t="s">
        <v>274</v>
      </c>
      <c r="G618" t="s">
        <v>2133</v>
      </c>
      <c r="H618" t="s">
        <v>187</v>
      </c>
      <c r="I618" t="s">
        <v>2134</v>
      </c>
      <c r="J618" s="1" t="s">
        <v>2135</v>
      </c>
    </row>
    <row r="619" spans="1:10" ht="15" customHeight="1" x14ac:dyDescent="0.25">
      <c r="A619" t="s">
        <v>2136</v>
      </c>
      <c r="B619">
        <v>2020</v>
      </c>
      <c r="C619" t="s">
        <v>176</v>
      </c>
      <c r="D619" t="b">
        <f>TRUE()</f>
        <v>1</v>
      </c>
      <c r="E619" t="b">
        <f>COUNTIF(connections!A:A, A619) &gt; 0</f>
        <v>1</v>
      </c>
      <c r="F619" t="s">
        <v>274</v>
      </c>
      <c r="G619" t="s">
        <v>2137</v>
      </c>
      <c r="H619" t="s">
        <v>187</v>
      </c>
      <c r="I619" t="s">
        <v>2138</v>
      </c>
      <c r="J619" s="1" t="s">
        <v>2139</v>
      </c>
    </row>
    <row r="620" spans="1:10" ht="15" customHeight="1" x14ac:dyDescent="0.25">
      <c r="A620" t="s">
        <v>2140</v>
      </c>
      <c r="B620">
        <v>2023</v>
      </c>
      <c r="C620" t="s">
        <v>176</v>
      </c>
      <c r="D620" t="b">
        <f>TRUE()</f>
        <v>1</v>
      </c>
      <c r="E620" t="b">
        <f>COUNTIF(connections!A:A, A620) &gt; 0</f>
        <v>0</v>
      </c>
      <c r="F620" t="s">
        <v>274</v>
      </c>
      <c r="G620" t="s">
        <v>2141</v>
      </c>
      <c r="H620" t="s">
        <v>187</v>
      </c>
      <c r="I620" t="s">
        <v>2142</v>
      </c>
      <c r="J620" s="1" t="s">
        <v>2143</v>
      </c>
    </row>
    <row r="621" spans="1:10" ht="15" customHeight="1" x14ac:dyDescent="0.25">
      <c r="A621" t="s">
        <v>2144</v>
      </c>
      <c r="B621">
        <v>2014</v>
      </c>
      <c r="C621" t="s">
        <v>222</v>
      </c>
      <c r="D621" t="b">
        <f>TRUE()</f>
        <v>1</v>
      </c>
      <c r="E621" t="b">
        <f>COUNTIF(connections!A:A, A621) &gt; 0</f>
        <v>0</v>
      </c>
      <c r="G621" t="s">
        <v>2145</v>
      </c>
    </row>
    <row r="622" spans="1:10" ht="15" customHeight="1" x14ac:dyDescent="0.25">
      <c r="A622" t="s">
        <v>2146</v>
      </c>
      <c r="B622">
        <v>2020</v>
      </c>
      <c r="C622" t="s">
        <v>176</v>
      </c>
      <c r="D622" t="b">
        <f>TRUE()</f>
        <v>1</v>
      </c>
      <c r="E622" t="b">
        <f>COUNTIF(connections!A:A, A622) &gt; 0</f>
        <v>1</v>
      </c>
      <c r="G622" t="s">
        <v>2147</v>
      </c>
      <c r="H622" t="s">
        <v>187</v>
      </c>
      <c r="I622" t="s">
        <v>2148</v>
      </c>
      <c r="J622" s="1" t="s">
        <v>2149</v>
      </c>
    </row>
    <row r="623" spans="1:10" ht="15" customHeight="1" x14ac:dyDescent="0.25">
      <c r="A623" t="s">
        <v>2150</v>
      </c>
      <c r="B623">
        <v>2024</v>
      </c>
      <c r="C623" t="s">
        <v>176</v>
      </c>
      <c r="D623" t="b">
        <f>TRUE()</f>
        <v>1</v>
      </c>
      <c r="E623" t="b">
        <f>COUNTIF(connections!A:A, A623) &gt; 0</f>
        <v>0</v>
      </c>
      <c r="F623" t="s">
        <v>274</v>
      </c>
      <c r="G623" t="s">
        <v>2151</v>
      </c>
      <c r="H623" t="s">
        <v>187</v>
      </c>
      <c r="I623" t="s">
        <v>2152</v>
      </c>
      <c r="J623" s="1" t="s">
        <v>2153</v>
      </c>
    </row>
    <row r="624" spans="1:10" ht="15" customHeight="1" x14ac:dyDescent="0.25">
      <c r="A624" t="s">
        <v>2154</v>
      </c>
      <c r="B624">
        <v>1980</v>
      </c>
      <c r="C624" t="s">
        <v>179</v>
      </c>
      <c r="D624" t="b">
        <f>TRUE()</f>
        <v>1</v>
      </c>
      <c r="E624" t="b">
        <f>COUNTIF(connections!A:A, A624) &gt; 0</f>
        <v>1</v>
      </c>
      <c r="G624" t="s">
        <v>2155</v>
      </c>
      <c r="H624" t="s">
        <v>187</v>
      </c>
      <c r="I624" t="s">
        <v>2156</v>
      </c>
      <c r="J624" s="1" t="s">
        <v>2157</v>
      </c>
    </row>
    <row r="625" spans="1:10" ht="15" customHeight="1" x14ac:dyDescent="0.25">
      <c r="A625" t="s">
        <v>2158</v>
      </c>
      <c r="B625">
        <v>2024</v>
      </c>
      <c r="C625" t="s">
        <v>222</v>
      </c>
      <c r="D625" t="b">
        <f>TRUE()</f>
        <v>1</v>
      </c>
      <c r="E625" t="b">
        <f>COUNTIF(connections!A:A, A625) &gt; 0</f>
        <v>0</v>
      </c>
      <c r="G625" t="s">
        <v>2159</v>
      </c>
    </row>
    <row r="626" spans="1:10" ht="15" customHeight="1" x14ac:dyDescent="0.25">
      <c r="A626" t="s">
        <v>2160</v>
      </c>
      <c r="B626">
        <v>2019</v>
      </c>
      <c r="C626" t="s">
        <v>179</v>
      </c>
      <c r="D626" t="b">
        <f>TRUE()</f>
        <v>1</v>
      </c>
      <c r="E626" t="b">
        <f>COUNTIF(connections!A:A, A626) &gt; 0</f>
        <v>0</v>
      </c>
      <c r="G626" t="s">
        <v>2161</v>
      </c>
    </row>
    <row r="627" spans="1:10" ht="15" customHeight="1" x14ac:dyDescent="0.25">
      <c r="A627" t="s">
        <v>2162</v>
      </c>
      <c r="B627">
        <v>2026</v>
      </c>
      <c r="C627" t="s">
        <v>176</v>
      </c>
      <c r="D627" t="b">
        <f>TRUE()</f>
        <v>1</v>
      </c>
      <c r="E627" t="b">
        <f>COUNTIF(connections!A:A, A627) &gt; 0</f>
        <v>0</v>
      </c>
      <c r="G627" t="s">
        <v>2163</v>
      </c>
    </row>
    <row r="628" spans="1:10" ht="15" customHeight="1" x14ac:dyDescent="0.25">
      <c r="A628" t="s">
        <v>2164</v>
      </c>
      <c r="B628">
        <v>2024</v>
      </c>
      <c r="C628" t="s">
        <v>176</v>
      </c>
      <c r="D628" t="b">
        <f>FALSE()</f>
        <v>0</v>
      </c>
      <c r="E628" t="b">
        <f>COUNTIF(connections!A:A, A628) &gt; 0</f>
        <v>0</v>
      </c>
      <c r="F628" t="s">
        <v>274</v>
      </c>
      <c r="G628" t="s">
        <v>2165</v>
      </c>
    </row>
    <row r="629" spans="1:10" ht="15" customHeight="1" x14ac:dyDescent="0.25">
      <c r="A629" t="s">
        <v>2166</v>
      </c>
      <c r="B629">
        <v>2007</v>
      </c>
      <c r="C629" t="s">
        <v>179</v>
      </c>
      <c r="D629" t="b">
        <f>TRUE()</f>
        <v>1</v>
      </c>
      <c r="E629" t="b">
        <f>COUNTIF(connections!A:A, A629) &gt; 0</f>
        <v>0</v>
      </c>
      <c r="G629" t="s">
        <v>2167</v>
      </c>
      <c r="H629" t="s">
        <v>187</v>
      </c>
      <c r="I629" t="s">
        <v>2168</v>
      </c>
    </row>
    <row r="630" spans="1:10" ht="15" customHeight="1" x14ac:dyDescent="0.25">
      <c r="A630" t="s">
        <v>2169</v>
      </c>
      <c r="B630">
        <v>2021</v>
      </c>
      <c r="C630" t="s">
        <v>176</v>
      </c>
      <c r="D630" t="b">
        <f>TRUE()</f>
        <v>1</v>
      </c>
      <c r="E630" t="b">
        <f>COUNTIF(connections!A:A, A630) &gt; 0</f>
        <v>0</v>
      </c>
      <c r="G630" t="s">
        <v>2170</v>
      </c>
      <c r="H630" t="s">
        <v>187</v>
      </c>
      <c r="I630" t="s">
        <v>2171</v>
      </c>
      <c r="J630" s="1" t="s">
        <v>2172</v>
      </c>
    </row>
    <row r="631" spans="1:10" ht="15" customHeight="1" x14ac:dyDescent="0.25">
      <c r="A631" t="s">
        <v>2173</v>
      </c>
      <c r="B631">
        <v>2013</v>
      </c>
      <c r="C631" t="s">
        <v>176</v>
      </c>
      <c r="D631" t="b">
        <f>TRUE()</f>
        <v>1</v>
      </c>
      <c r="E631" t="b">
        <f>COUNTIF(connections!A:A, A631) &gt; 0</f>
        <v>1</v>
      </c>
      <c r="G631" t="s">
        <v>2174</v>
      </c>
      <c r="H631" t="s">
        <v>187</v>
      </c>
      <c r="I631" t="s">
        <v>2175</v>
      </c>
      <c r="J631" s="1" t="s">
        <v>2176</v>
      </c>
    </row>
    <row r="632" spans="1:10" ht="15" customHeight="1" x14ac:dyDescent="0.25">
      <c r="A632" t="s">
        <v>2177</v>
      </c>
      <c r="B632">
        <v>2020</v>
      </c>
      <c r="C632" t="s">
        <v>176</v>
      </c>
      <c r="D632" t="b">
        <f>TRUE()</f>
        <v>1</v>
      </c>
      <c r="E632" t="b">
        <f>COUNTIF(connections!A:A, A632) &gt; 0</f>
        <v>0</v>
      </c>
      <c r="G632" t="s">
        <v>2178</v>
      </c>
      <c r="H632" t="s">
        <v>187</v>
      </c>
      <c r="I632" t="s">
        <v>2179</v>
      </c>
      <c r="J632" s="1" t="s">
        <v>2180</v>
      </c>
    </row>
    <row r="633" spans="1:10" ht="15" customHeight="1" x14ac:dyDescent="0.25">
      <c r="A633" t="s">
        <v>2181</v>
      </c>
      <c r="B633">
        <v>2021</v>
      </c>
      <c r="C633" t="s">
        <v>222</v>
      </c>
      <c r="D633" t="b">
        <f>TRUE()</f>
        <v>1</v>
      </c>
      <c r="E633" t="b">
        <f>COUNTIF(connections!A:A, A633) &gt; 0</f>
        <v>0</v>
      </c>
      <c r="F633" t="s">
        <v>1805</v>
      </c>
      <c r="G633" t="s">
        <v>2182</v>
      </c>
      <c r="H633" t="s">
        <v>187</v>
      </c>
      <c r="I633" t="s">
        <v>2183</v>
      </c>
      <c r="J633" s="1" t="s">
        <v>2184</v>
      </c>
    </row>
    <row r="634" spans="1:10" ht="15" customHeight="1" x14ac:dyDescent="0.25">
      <c r="A634" t="s">
        <v>2185</v>
      </c>
      <c r="B634">
        <v>2022</v>
      </c>
      <c r="C634" t="s">
        <v>222</v>
      </c>
      <c r="D634" t="b">
        <f>TRUE()</f>
        <v>1</v>
      </c>
      <c r="E634" t="b">
        <f>COUNTIF(connections!A:A, A634) &gt; 0</f>
        <v>1</v>
      </c>
      <c r="F634" t="s">
        <v>404</v>
      </c>
      <c r="G634" t="s">
        <v>2186</v>
      </c>
    </row>
    <row r="635" spans="1:10" ht="15" customHeight="1" x14ac:dyDescent="0.25">
      <c r="A635" t="s">
        <v>2187</v>
      </c>
      <c r="B635">
        <v>2024</v>
      </c>
      <c r="C635" t="s">
        <v>182</v>
      </c>
      <c r="D635" t="b">
        <v>1</v>
      </c>
      <c r="E635" t="b">
        <f>COUNTIF(connections!A:A, A635) &gt; 0</f>
        <v>0</v>
      </c>
      <c r="G635" t="s">
        <v>2188</v>
      </c>
      <c r="J635" s="10" t="s">
        <v>2189</v>
      </c>
    </row>
    <row r="636" spans="1:10" ht="15" customHeight="1" x14ac:dyDescent="0.25">
      <c r="A636" t="s">
        <v>2190</v>
      </c>
      <c r="B636">
        <v>2016</v>
      </c>
      <c r="C636" t="s">
        <v>222</v>
      </c>
      <c r="D636" t="b">
        <v>1</v>
      </c>
      <c r="E636" t="b">
        <f>COUNTIF(connections!A:A, A636) &gt; 0</f>
        <v>0</v>
      </c>
      <c r="G636" t="s">
        <v>2191</v>
      </c>
    </row>
    <row r="637" spans="1:10" ht="15" customHeight="1" x14ac:dyDescent="0.25">
      <c r="A637" t="s">
        <v>2192</v>
      </c>
      <c r="B637">
        <v>2022</v>
      </c>
      <c r="C637" t="s">
        <v>176</v>
      </c>
      <c r="D637" t="b">
        <f>TRUE()</f>
        <v>1</v>
      </c>
      <c r="E637" t="b">
        <f>COUNTIF(connections!A:A, A637) &gt; 0</f>
        <v>1</v>
      </c>
      <c r="G637" t="s">
        <v>2193</v>
      </c>
      <c r="H637" t="s">
        <v>187</v>
      </c>
      <c r="I637" t="s">
        <v>2194</v>
      </c>
      <c r="J637" s="1" t="s">
        <v>2195</v>
      </c>
    </row>
    <row r="638" spans="1:10" ht="15" customHeight="1" x14ac:dyDescent="0.25">
      <c r="A638" t="s">
        <v>2196</v>
      </c>
      <c r="B638">
        <v>2021</v>
      </c>
      <c r="C638" t="s">
        <v>182</v>
      </c>
      <c r="D638" t="b">
        <f>TRUE()</f>
        <v>1</v>
      </c>
      <c r="E638" t="b">
        <f>COUNTIF(connections!A:A, A638) &gt; 0</f>
        <v>1</v>
      </c>
      <c r="G638" t="s">
        <v>2197</v>
      </c>
      <c r="H638" t="s">
        <v>187</v>
      </c>
      <c r="I638" t="s">
        <v>2198</v>
      </c>
      <c r="J638" s="1" t="s">
        <v>2199</v>
      </c>
    </row>
    <row r="639" spans="1:10" ht="15" customHeight="1" x14ac:dyDescent="0.25">
      <c r="A639" t="s">
        <v>2200</v>
      </c>
      <c r="B639">
        <v>2023</v>
      </c>
      <c r="C639" t="s">
        <v>179</v>
      </c>
      <c r="D639" t="b">
        <f>TRUE()</f>
        <v>1</v>
      </c>
      <c r="E639" t="b">
        <f>COUNTIF(connections!A:A, A639) &gt; 0</f>
        <v>0</v>
      </c>
      <c r="G639" t="s">
        <v>2201</v>
      </c>
    </row>
    <row r="640" spans="1:10" ht="15" customHeight="1" x14ac:dyDescent="0.25">
      <c r="A640" t="s">
        <v>2202</v>
      </c>
      <c r="B640">
        <v>2026</v>
      </c>
      <c r="C640" t="s">
        <v>182</v>
      </c>
      <c r="D640" t="b">
        <f>TRUE()</f>
        <v>1</v>
      </c>
      <c r="E640" t="b">
        <f>COUNTIF(connections!A:A, A640) &gt; 0</f>
        <v>0</v>
      </c>
      <c r="F640" t="s">
        <v>354</v>
      </c>
      <c r="G640" t="s">
        <v>2203</v>
      </c>
    </row>
    <row r="641" spans="1:10" ht="15" customHeight="1" x14ac:dyDescent="0.25">
      <c r="A641" t="s">
        <v>2204</v>
      </c>
      <c r="B641">
        <v>2014</v>
      </c>
      <c r="C641" t="s">
        <v>179</v>
      </c>
      <c r="D641" t="b">
        <f>TRUE()</f>
        <v>1</v>
      </c>
      <c r="E641" t="b">
        <f>COUNTIF(connections!A:A, A641) &gt; 0</f>
        <v>0</v>
      </c>
      <c r="G641" t="s">
        <v>2205</v>
      </c>
      <c r="J641" s="1" t="s">
        <v>2206</v>
      </c>
    </row>
    <row r="642" spans="1:10" ht="15" customHeight="1" x14ac:dyDescent="0.25">
      <c r="A642" t="s">
        <v>2207</v>
      </c>
      <c r="B642">
        <v>2022</v>
      </c>
      <c r="C642" t="s">
        <v>222</v>
      </c>
      <c r="D642" t="b">
        <f>FALSE()</f>
        <v>0</v>
      </c>
      <c r="E642" t="b">
        <f>COUNTIF(connections!A:A, A642) &gt; 0</f>
        <v>0</v>
      </c>
      <c r="G642" t="s">
        <v>2208</v>
      </c>
      <c r="H642" t="s">
        <v>187</v>
      </c>
      <c r="I642" t="s">
        <v>2209</v>
      </c>
      <c r="J642" s="1" t="s">
        <v>2210</v>
      </c>
    </row>
    <row r="643" spans="1:10" ht="15" customHeight="1" x14ac:dyDescent="0.25">
      <c r="A643" t="s">
        <v>2211</v>
      </c>
      <c r="B643">
        <v>2021</v>
      </c>
      <c r="C643" t="s">
        <v>222</v>
      </c>
      <c r="D643" t="b">
        <f>TRUE()</f>
        <v>1</v>
      </c>
      <c r="E643" t="b">
        <f>COUNTIF(connections!A:A, A643) &gt; 0</f>
        <v>1</v>
      </c>
      <c r="F643" t="s">
        <v>315</v>
      </c>
      <c r="G643" t="s">
        <v>2212</v>
      </c>
      <c r="H643" t="s">
        <v>187</v>
      </c>
      <c r="I643" t="s">
        <v>2213</v>
      </c>
      <c r="J643" s="1" t="s">
        <v>2214</v>
      </c>
    </row>
    <row r="644" spans="1:10" ht="15" customHeight="1" x14ac:dyDescent="0.25">
      <c r="A644" t="s">
        <v>2215</v>
      </c>
      <c r="B644">
        <v>2024</v>
      </c>
      <c r="C644" t="s">
        <v>222</v>
      </c>
      <c r="D644" t="b">
        <f>TRUE()</f>
        <v>1</v>
      </c>
      <c r="E644" t="b">
        <f>COUNTIF(connections!A:A, A644) &gt; 0</f>
        <v>0</v>
      </c>
      <c r="F644" t="s">
        <v>315</v>
      </c>
      <c r="G644" t="s">
        <v>2216</v>
      </c>
      <c r="H644" t="s">
        <v>187</v>
      </c>
      <c r="I644" t="s">
        <v>2217</v>
      </c>
      <c r="J644" s="1" t="s">
        <v>2218</v>
      </c>
    </row>
    <row r="645" spans="1:10" ht="15" customHeight="1" x14ac:dyDescent="0.25">
      <c r="A645" t="s">
        <v>2219</v>
      </c>
      <c r="B645">
        <v>2026</v>
      </c>
      <c r="C645" t="s">
        <v>182</v>
      </c>
      <c r="D645" t="b">
        <v>1</v>
      </c>
      <c r="E645" t="b">
        <f>COUNTIF(connections!A:A, A645) &gt; 0</f>
        <v>0</v>
      </c>
      <c r="G645" t="s">
        <v>2220</v>
      </c>
      <c r="J645" s="10" t="s">
        <v>2221</v>
      </c>
    </row>
    <row r="646" spans="1:10" ht="15" customHeight="1" x14ac:dyDescent="0.25">
      <c r="A646" t="s">
        <v>2222</v>
      </c>
      <c r="B646">
        <v>2025</v>
      </c>
      <c r="C646" t="s">
        <v>182</v>
      </c>
      <c r="D646" t="b">
        <f>TRUE()</f>
        <v>1</v>
      </c>
      <c r="E646" t="b">
        <f>COUNTIF(connections!A:A, A646) &gt; 0</f>
        <v>0</v>
      </c>
      <c r="F646" t="s">
        <v>354</v>
      </c>
      <c r="G646" t="s">
        <v>2223</v>
      </c>
      <c r="J646" s="10" t="s">
        <v>2224</v>
      </c>
    </row>
    <row r="647" spans="1:10" ht="15" customHeight="1" x14ac:dyDescent="0.25">
      <c r="A647" t="s">
        <v>2225</v>
      </c>
      <c r="B647">
        <v>2021</v>
      </c>
      <c r="C647" t="s">
        <v>176</v>
      </c>
      <c r="D647" t="b">
        <f>FALSE()</f>
        <v>0</v>
      </c>
      <c r="E647" t="b">
        <f>COUNTIF(connections!A:A, A647) &gt; 0</f>
        <v>1</v>
      </c>
      <c r="G647" t="s">
        <v>2226</v>
      </c>
      <c r="H647" t="s">
        <v>187</v>
      </c>
      <c r="I647" t="s">
        <v>2227</v>
      </c>
      <c r="J647" s="1" t="s">
        <v>2228</v>
      </c>
    </row>
    <row r="648" spans="1:10" ht="15" customHeight="1" x14ac:dyDescent="0.25">
      <c r="A648" t="s">
        <v>2229</v>
      </c>
      <c r="B648">
        <v>2026</v>
      </c>
      <c r="C648" t="s">
        <v>182</v>
      </c>
      <c r="D648" t="b">
        <f>TRUE()</f>
        <v>1</v>
      </c>
      <c r="E648" t="b">
        <f>COUNTIF(connections!A:A, A648) &gt; 0</f>
        <v>0</v>
      </c>
      <c r="F648" t="s">
        <v>315</v>
      </c>
      <c r="G648" t="s">
        <v>2230</v>
      </c>
      <c r="J648" s="10" t="s">
        <v>2231</v>
      </c>
    </row>
    <row r="649" spans="1:10" ht="15" customHeight="1" x14ac:dyDescent="0.25">
      <c r="A649" t="s">
        <v>2232</v>
      </c>
      <c r="B649">
        <v>2025</v>
      </c>
      <c r="C649" t="s">
        <v>182</v>
      </c>
      <c r="D649" t="b">
        <f>TRUE()</f>
        <v>1</v>
      </c>
      <c r="E649" t="b">
        <f>COUNTIF(connections!A:A, A649) &gt; 0</f>
        <v>0</v>
      </c>
      <c r="G649" t="s">
        <v>2233</v>
      </c>
      <c r="H649" t="s">
        <v>187</v>
      </c>
      <c r="I649" t="s">
        <v>2234</v>
      </c>
      <c r="J649" s="1" t="s">
        <v>2235</v>
      </c>
    </row>
    <row r="650" spans="1:10" ht="15" customHeight="1" x14ac:dyDescent="0.25">
      <c r="A650" t="s">
        <v>2236</v>
      </c>
      <c r="B650">
        <v>2026</v>
      </c>
      <c r="C650" t="s">
        <v>182</v>
      </c>
      <c r="D650" t="b">
        <f>TRUE()</f>
        <v>1</v>
      </c>
      <c r="E650" t="b">
        <f>COUNTIF(connections!A:A, A650) &gt; 0</f>
        <v>0</v>
      </c>
      <c r="G650" t="s">
        <v>2237</v>
      </c>
      <c r="J650" s="10" t="s">
        <v>2238</v>
      </c>
    </row>
    <row r="651" spans="1:10" ht="15" customHeight="1" x14ac:dyDescent="0.25">
      <c r="A651" t="s">
        <v>2239</v>
      </c>
      <c r="B651">
        <v>2023</v>
      </c>
      <c r="C651" t="s">
        <v>182</v>
      </c>
      <c r="D651" t="b">
        <f>TRUE()</f>
        <v>1</v>
      </c>
      <c r="E651" t="b">
        <f>COUNTIF(connections!A:A, A651) &gt; 0</f>
        <v>0</v>
      </c>
      <c r="G651" t="s">
        <v>2240</v>
      </c>
      <c r="J651" s="10" t="s">
        <v>2241</v>
      </c>
    </row>
    <row r="652" spans="1:10" ht="15" customHeight="1" x14ac:dyDescent="0.25">
      <c r="A652" t="s">
        <v>8384</v>
      </c>
      <c r="B652">
        <v>2022</v>
      </c>
      <c r="C652" t="s">
        <v>176</v>
      </c>
      <c r="D652" t="b">
        <f>TRUE()</f>
        <v>1</v>
      </c>
      <c r="E652" t="b">
        <f>COUNTIF(connections!A:A, A652) &gt; 0</f>
        <v>1</v>
      </c>
      <c r="G652" t="s">
        <v>8385</v>
      </c>
      <c r="H652" t="s">
        <v>187</v>
      </c>
      <c r="I652" t="s">
        <v>8427</v>
      </c>
      <c r="J652" s="10" t="s">
        <v>8386</v>
      </c>
    </row>
    <row r="653" spans="1:10" ht="15" customHeight="1" x14ac:dyDescent="0.25">
      <c r="A653" t="s">
        <v>2242</v>
      </c>
      <c r="B653">
        <v>2010</v>
      </c>
      <c r="C653" t="s">
        <v>179</v>
      </c>
      <c r="D653" t="b">
        <f>TRUE()</f>
        <v>1</v>
      </c>
      <c r="E653" t="b">
        <f>COUNTIF(connections!A:A, A653) &gt; 0</f>
        <v>0</v>
      </c>
      <c r="F653" t="s">
        <v>328</v>
      </c>
      <c r="G653" t="s">
        <v>2243</v>
      </c>
    </row>
    <row r="654" spans="1:10" ht="15" customHeight="1" x14ac:dyDescent="0.25">
      <c r="A654" t="s">
        <v>2244</v>
      </c>
      <c r="B654">
        <v>2024</v>
      </c>
      <c r="C654" t="s">
        <v>176</v>
      </c>
      <c r="D654" t="b">
        <f>TRUE()</f>
        <v>1</v>
      </c>
      <c r="E654" t="b">
        <f>COUNTIF(connections!A:A, A654) &gt; 0</f>
        <v>0</v>
      </c>
      <c r="G654" t="s">
        <v>2245</v>
      </c>
      <c r="H654" t="s">
        <v>187</v>
      </c>
      <c r="I654" t="s">
        <v>8145</v>
      </c>
      <c r="J654" s="10" t="s">
        <v>2246</v>
      </c>
    </row>
    <row r="655" spans="1:10" ht="15" customHeight="1" x14ac:dyDescent="0.25">
      <c r="A655" t="s">
        <v>2247</v>
      </c>
      <c r="B655">
        <v>2022</v>
      </c>
      <c r="C655" t="s">
        <v>176</v>
      </c>
      <c r="D655" t="b">
        <f>TRUE()</f>
        <v>1</v>
      </c>
      <c r="E655" t="b">
        <f>COUNTIF(connections!A:A, A655) &gt; 0</f>
        <v>0</v>
      </c>
      <c r="G655" t="s">
        <v>2248</v>
      </c>
      <c r="H655" t="s">
        <v>187</v>
      </c>
      <c r="I655" t="s">
        <v>2249</v>
      </c>
      <c r="J655" s="1" t="s">
        <v>2250</v>
      </c>
    </row>
    <row r="656" spans="1:10" ht="15" customHeight="1" x14ac:dyDescent="0.25">
      <c r="A656" t="s">
        <v>2251</v>
      </c>
      <c r="B656">
        <v>2023</v>
      </c>
      <c r="C656" t="s">
        <v>176</v>
      </c>
      <c r="D656" t="b">
        <v>1</v>
      </c>
      <c r="E656" t="b">
        <f>COUNTIF(connections!A:A, A656) &gt; 0</f>
        <v>0</v>
      </c>
      <c r="G656" t="s">
        <v>2252</v>
      </c>
      <c r="J656" s="10" t="s">
        <v>2253</v>
      </c>
    </row>
    <row r="657" spans="1:10" ht="15" customHeight="1" x14ac:dyDescent="0.25">
      <c r="A657" t="s">
        <v>2254</v>
      </c>
      <c r="B657">
        <v>2020</v>
      </c>
      <c r="C657" t="s">
        <v>176</v>
      </c>
      <c r="D657" t="b">
        <f>TRUE()</f>
        <v>1</v>
      </c>
      <c r="E657" t="b">
        <f>COUNTIF(connections!A:A, A657) &gt; 0</f>
        <v>1</v>
      </c>
      <c r="G657" t="s">
        <v>2255</v>
      </c>
      <c r="H657" t="s">
        <v>187</v>
      </c>
      <c r="I657" t="s">
        <v>2256</v>
      </c>
      <c r="J657" s="1" t="s">
        <v>2257</v>
      </c>
    </row>
    <row r="658" spans="1:10" ht="15" customHeight="1" x14ac:dyDescent="0.25">
      <c r="A658" t="s">
        <v>2258</v>
      </c>
      <c r="B658">
        <v>2023</v>
      </c>
      <c r="C658" t="s">
        <v>176</v>
      </c>
      <c r="D658" t="b">
        <f>TRUE()</f>
        <v>1</v>
      </c>
      <c r="E658" t="b">
        <f>COUNTIF(connections!A:A, A658) &gt; 0</f>
        <v>0</v>
      </c>
      <c r="F658" t="s">
        <v>652</v>
      </c>
      <c r="G658" t="s">
        <v>2259</v>
      </c>
    </row>
    <row r="659" spans="1:10" ht="15" customHeight="1" x14ac:dyDescent="0.25">
      <c r="A659" t="s">
        <v>2260</v>
      </c>
      <c r="B659">
        <v>2023</v>
      </c>
      <c r="C659" t="s">
        <v>176</v>
      </c>
      <c r="D659" t="b">
        <f>FALSE()</f>
        <v>0</v>
      </c>
      <c r="E659" t="b">
        <f>COUNTIF(connections!A:A, A659) &gt; 0</f>
        <v>0</v>
      </c>
      <c r="G659" t="s">
        <v>2261</v>
      </c>
      <c r="H659" t="s">
        <v>187</v>
      </c>
      <c r="I659" t="s">
        <v>2262</v>
      </c>
      <c r="J659" s="1" t="s">
        <v>2263</v>
      </c>
    </row>
    <row r="660" spans="1:10" ht="15" customHeight="1" x14ac:dyDescent="0.25">
      <c r="A660" t="s">
        <v>2264</v>
      </c>
      <c r="B660">
        <v>2025</v>
      </c>
      <c r="C660" t="s">
        <v>222</v>
      </c>
      <c r="D660" t="b">
        <f>TRUE()</f>
        <v>1</v>
      </c>
      <c r="E660" t="b">
        <f>COUNTIF(connections!A:A, A660) &gt; 0</f>
        <v>0</v>
      </c>
      <c r="G660" t="s">
        <v>2265</v>
      </c>
      <c r="J660" s="1" t="s">
        <v>2266</v>
      </c>
    </row>
    <row r="661" spans="1:10" ht="15" customHeight="1" x14ac:dyDescent="0.25">
      <c r="A661" t="s">
        <v>2267</v>
      </c>
      <c r="B661">
        <v>2025</v>
      </c>
      <c r="C661" t="s">
        <v>176</v>
      </c>
      <c r="D661" t="b">
        <f>TRUE()</f>
        <v>1</v>
      </c>
      <c r="E661" t="b">
        <f>COUNTIF(connections!A:A, A661) &gt; 0</f>
        <v>0</v>
      </c>
      <c r="G661" t="s">
        <v>2268</v>
      </c>
    </row>
    <row r="662" spans="1:10" ht="15" customHeight="1" x14ac:dyDescent="0.25">
      <c r="A662" t="s">
        <v>2269</v>
      </c>
      <c r="B662">
        <v>2022</v>
      </c>
      <c r="C662" t="s">
        <v>176</v>
      </c>
      <c r="D662" t="b">
        <f>TRUE()</f>
        <v>1</v>
      </c>
      <c r="E662" t="b">
        <f>COUNTIF(connections!A:A, A662) &gt; 0</f>
        <v>1</v>
      </c>
      <c r="G662" t="s">
        <v>2270</v>
      </c>
      <c r="H662" t="s">
        <v>187</v>
      </c>
      <c r="I662" t="s">
        <v>2271</v>
      </c>
      <c r="J662" s="1" t="s">
        <v>2272</v>
      </c>
    </row>
    <row r="663" spans="1:10" ht="15" customHeight="1" x14ac:dyDescent="0.25">
      <c r="A663" t="s">
        <v>2273</v>
      </c>
      <c r="B663">
        <v>2026</v>
      </c>
      <c r="C663" t="s">
        <v>176</v>
      </c>
      <c r="D663" t="b">
        <f>TRUE()</f>
        <v>1</v>
      </c>
      <c r="E663" t="b">
        <f>COUNTIF(connections!A:A, A663) &gt; 0</f>
        <v>0</v>
      </c>
      <c r="G663" t="s">
        <v>2274</v>
      </c>
      <c r="J663" s="10" t="s">
        <v>2275</v>
      </c>
    </row>
    <row r="664" spans="1:10" ht="15" customHeight="1" x14ac:dyDescent="0.25">
      <c r="A664" t="s">
        <v>2276</v>
      </c>
      <c r="B664">
        <v>2015</v>
      </c>
      <c r="C664" t="s">
        <v>179</v>
      </c>
      <c r="D664" t="b">
        <f>TRUE()</f>
        <v>1</v>
      </c>
      <c r="E664" t="b">
        <f>COUNTIF(connections!A:A, A664) &gt; 0</f>
        <v>0</v>
      </c>
      <c r="G664" t="s">
        <v>2277</v>
      </c>
      <c r="H664" t="s">
        <v>187</v>
      </c>
      <c r="I664" t="s">
        <v>2278</v>
      </c>
    </row>
    <row r="665" spans="1:10" ht="15" customHeight="1" x14ac:dyDescent="0.25">
      <c r="A665" t="s">
        <v>2279</v>
      </c>
      <c r="B665">
        <v>2025</v>
      </c>
      <c r="C665" t="s">
        <v>222</v>
      </c>
      <c r="D665" t="b">
        <f>TRUE()</f>
        <v>1</v>
      </c>
      <c r="E665" t="b">
        <f>COUNTIF(connections!A:A, A665) &gt; 0</f>
        <v>0</v>
      </c>
      <c r="G665" t="s">
        <v>2280</v>
      </c>
    </row>
    <row r="666" spans="1:10" ht="15" customHeight="1" x14ac:dyDescent="0.25">
      <c r="A666" t="s">
        <v>2281</v>
      </c>
      <c r="B666">
        <v>2025</v>
      </c>
      <c r="C666" t="s">
        <v>176</v>
      </c>
      <c r="D666" t="b">
        <f>TRUE()</f>
        <v>1</v>
      </c>
      <c r="E666" t="b">
        <f>COUNTIF(connections!A:A, A666) &gt; 0</f>
        <v>0</v>
      </c>
      <c r="G666" t="s">
        <v>2282</v>
      </c>
      <c r="H666" t="s">
        <v>187</v>
      </c>
      <c r="I666" t="s">
        <v>8355</v>
      </c>
      <c r="J666" s="10" t="s">
        <v>8356</v>
      </c>
    </row>
    <row r="667" spans="1:10" ht="15" customHeight="1" x14ac:dyDescent="0.25">
      <c r="A667" t="s">
        <v>2283</v>
      </c>
      <c r="B667">
        <v>2023</v>
      </c>
      <c r="C667" t="s">
        <v>176</v>
      </c>
      <c r="D667" t="b">
        <f>TRUE()</f>
        <v>1</v>
      </c>
      <c r="E667" t="b">
        <f>COUNTIF(connections!A:A, A667) &gt; 0</f>
        <v>0</v>
      </c>
      <c r="G667" t="s">
        <v>2284</v>
      </c>
      <c r="J667" s="10" t="s">
        <v>2285</v>
      </c>
    </row>
    <row r="668" spans="1:10" ht="15" customHeight="1" x14ac:dyDescent="0.25">
      <c r="A668" t="s">
        <v>7942</v>
      </c>
      <c r="B668">
        <v>2025</v>
      </c>
      <c r="C668" t="s">
        <v>176</v>
      </c>
      <c r="D668" t="b">
        <f>TRUE()</f>
        <v>1</v>
      </c>
      <c r="E668" t="b">
        <f>COUNTIF(connections!A:A, A668) &gt; 0</f>
        <v>0</v>
      </c>
      <c r="G668" t="s">
        <v>7943</v>
      </c>
      <c r="J668" s="10" t="s">
        <v>7941</v>
      </c>
    </row>
    <row r="669" spans="1:10" ht="15" customHeight="1" x14ac:dyDescent="0.25">
      <c r="A669" t="s">
        <v>2286</v>
      </c>
      <c r="B669">
        <v>2014</v>
      </c>
      <c r="C669" t="s">
        <v>179</v>
      </c>
      <c r="D669" t="b">
        <f>TRUE()</f>
        <v>1</v>
      </c>
      <c r="E669" t="b">
        <f>COUNTIF(connections!A:A, A669) &gt; 0</f>
        <v>1</v>
      </c>
      <c r="G669" t="s">
        <v>2287</v>
      </c>
    </row>
    <row r="670" spans="1:10" ht="15" customHeight="1" x14ac:dyDescent="0.25">
      <c r="A670" t="s">
        <v>2288</v>
      </c>
      <c r="B670">
        <v>2022</v>
      </c>
      <c r="C670" t="s">
        <v>176</v>
      </c>
      <c r="D670" t="b">
        <f>TRUE()</f>
        <v>1</v>
      </c>
      <c r="E670" t="b">
        <f>COUNTIF(connections!A:A, A670) &gt; 0</f>
        <v>0</v>
      </c>
      <c r="F670" t="s">
        <v>652</v>
      </c>
      <c r="G670" t="s">
        <v>2289</v>
      </c>
      <c r="H670" t="s">
        <v>187</v>
      </c>
      <c r="I670" t="s">
        <v>2290</v>
      </c>
      <c r="J670" s="1" t="s">
        <v>2291</v>
      </c>
    </row>
    <row r="671" spans="1:10" ht="15" customHeight="1" x14ac:dyDescent="0.25">
      <c r="A671" t="s">
        <v>2292</v>
      </c>
      <c r="B671">
        <v>2008</v>
      </c>
      <c r="C671" t="s">
        <v>179</v>
      </c>
      <c r="D671" t="b">
        <f>TRUE()</f>
        <v>1</v>
      </c>
      <c r="E671" t="b">
        <f>COUNTIF(connections!A:A, A671) &gt; 0</f>
        <v>1</v>
      </c>
      <c r="G671" t="s">
        <v>2293</v>
      </c>
      <c r="H671" t="s">
        <v>187</v>
      </c>
      <c r="I671" t="s">
        <v>2294</v>
      </c>
    </row>
    <row r="672" spans="1:10" ht="15" customHeight="1" x14ac:dyDescent="0.25">
      <c r="A672" t="s">
        <v>2295</v>
      </c>
      <c r="B672">
        <v>2000</v>
      </c>
      <c r="C672" t="s">
        <v>179</v>
      </c>
      <c r="D672" t="b">
        <f>TRUE()</f>
        <v>1</v>
      </c>
      <c r="E672" t="b">
        <f>COUNTIF(connections!A:A, A672) &gt; 0</f>
        <v>1</v>
      </c>
      <c r="G672" t="s">
        <v>2296</v>
      </c>
      <c r="H672" t="s">
        <v>187</v>
      </c>
      <c r="I672" t="s">
        <v>2297</v>
      </c>
    </row>
    <row r="673" spans="1:10" ht="15" customHeight="1" x14ac:dyDescent="0.25">
      <c r="A673" t="s">
        <v>2298</v>
      </c>
      <c r="B673">
        <v>2010</v>
      </c>
      <c r="C673" t="s">
        <v>179</v>
      </c>
      <c r="D673" t="b">
        <f>TRUE()</f>
        <v>1</v>
      </c>
      <c r="E673" t="b">
        <f>COUNTIF(connections!A:A, A673) &gt; 0</f>
        <v>1</v>
      </c>
      <c r="G673" t="s">
        <v>2299</v>
      </c>
      <c r="H673" t="s">
        <v>187</v>
      </c>
      <c r="I673" t="s">
        <v>2300</v>
      </c>
    </row>
    <row r="674" spans="1:10" ht="15" customHeight="1" x14ac:dyDescent="0.25">
      <c r="A674" t="s">
        <v>2301</v>
      </c>
      <c r="B674">
        <v>2002</v>
      </c>
      <c r="C674" t="s">
        <v>179</v>
      </c>
      <c r="D674" t="b">
        <f>TRUE()</f>
        <v>1</v>
      </c>
      <c r="E674" t="b">
        <f>COUNTIF(connections!A:A, A674) &gt; 0</f>
        <v>0</v>
      </c>
      <c r="G674" t="s">
        <v>2302</v>
      </c>
      <c r="H674" t="s">
        <v>187</v>
      </c>
      <c r="I674" t="s">
        <v>2303</v>
      </c>
    </row>
    <row r="675" spans="1:10" ht="15" customHeight="1" x14ac:dyDescent="0.25">
      <c r="A675" t="s">
        <v>2304</v>
      </c>
      <c r="B675">
        <v>1996</v>
      </c>
      <c r="C675" t="s">
        <v>179</v>
      </c>
      <c r="D675" t="b">
        <f>TRUE()</f>
        <v>1</v>
      </c>
      <c r="E675" t="b">
        <f>COUNTIF(connections!A:A, A675) &gt; 0</f>
        <v>1</v>
      </c>
      <c r="G675" t="s">
        <v>2305</v>
      </c>
      <c r="H675" t="s">
        <v>187</v>
      </c>
      <c r="I675" t="s">
        <v>2306</v>
      </c>
    </row>
    <row r="676" spans="1:10" ht="15" customHeight="1" x14ac:dyDescent="0.25">
      <c r="A676" t="s">
        <v>2307</v>
      </c>
      <c r="B676">
        <v>2001</v>
      </c>
      <c r="C676" t="s">
        <v>179</v>
      </c>
      <c r="D676" t="b">
        <f>TRUE()</f>
        <v>1</v>
      </c>
      <c r="E676" t="b">
        <f>COUNTIF(connections!A:A, A676) &gt; 0</f>
        <v>0</v>
      </c>
      <c r="G676" t="s">
        <v>2308</v>
      </c>
      <c r="H676" t="s">
        <v>187</v>
      </c>
      <c r="I676" t="s">
        <v>2309</v>
      </c>
    </row>
    <row r="677" spans="1:10" ht="15" customHeight="1" x14ac:dyDescent="0.25">
      <c r="A677" t="s">
        <v>2310</v>
      </c>
      <c r="B677">
        <v>2024</v>
      </c>
      <c r="C677" t="s">
        <v>179</v>
      </c>
      <c r="D677" t="b">
        <f>TRUE()</f>
        <v>1</v>
      </c>
      <c r="E677" t="b">
        <f>COUNTIF(connections!A:A, A677) &gt; 0</f>
        <v>0</v>
      </c>
      <c r="G677" t="s">
        <v>2311</v>
      </c>
      <c r="H677" t="s">
        <v>187</v>
      </c>
      <c r="I677" t="s">
        <v>2312</v>
      </c>
      <c r="J677" s="1" t="s">
        <v>2313</v>
      </c>
    </row>
    <row r="678" spans="1:10" ht="15" customHeight="1" x14ac:dyDescent="0.25">
      <c r="A678" t="s">
        <v>2314</v>
      </c>
      <c r="B678">
        <v>2010</v>
      </c>
      <c r="C678" t="s">
        <v>179</v>
      </c>
      <c r="D678" t="b">
        <f>TRUE()</f>
        <v>1</v>
      </c>
      <c r="E678" t="b">
        <f>COUNTIF(connections!A:A, A678) &gt; 0</f>
        <v>1</v>
      </c>
      <c r="G678" t="s">
        <v>2315</v>
      </c>
      <c r="H678" t="s">
        <v>187</v>
      </c>
      <c r="I678" t="s">
        <v>2316</v>
      </c>
      <c r="J678" s="1" t="s">
        <v>2317</v>
      </c>
    </row>
    <row r="679" spans="1:10" ht="15" customHeight="1" x14ac:dyDescent="0.25">
      <c r="A679" t="s">
        <v>2318</v>
      </c>
      <c r="B679">
        <v>2023</v>
      </c>
      <c r="C679" t="s">
        <v>222</v>
      </c>
      <c r="D679" t="b">
        <f>TRUE()</f>
        <v>1</v>
      </c>
      <c r="E679" t="b">
        <f>COUNTIF(connections!A:A, A679) &gt; 0</f>
        <v>1</v>
      </c>
      <c r="G679" t="s">
        <v>2319</v>
      </c>
      <c r="H679" t="s">
        <v>187</v>
      </c>
      <c r="I679" t="s">
        <v>2320</v>
      </c>
      <c r="J679" s="1" t="s">
        <v>2321</v>
      </c>
    </row>
    <row r="680" spans="1:10" ht="15" customHeight="1" x14ac:dyDescent="0.25">
      <c r="A680" t="s">
        <v>2322</v>
      </c>
      <c r="B680">
        <v>2010</v>
      </c>
      <c r="C680" t="s">
        <v>176</v>
      </c>
      <c r="D680" t="b">
        <f>TRUE()</f>
        <v>1</v>
      </c>
      <c r="E680" t="b">
        <f>COUNTIF(connections!A:A, A680) &gt; 0</f>
        <v>1</v>
      </c>
      <c r="G680" t="s">
        <v>2323</v>
      </c>
    </row>
    <row r="681" spans="1:10" ht="15" customHeight="1" x14ac:dyDescent="0.25">
      <c r="A681" t="s">
        <v>2324</v>
      </c>
      <c r="B681">
        <v>2022</v>
      </c>
      <c r="C681" t="s">
        <v>222</v>
      </c>
      <c r="D681" t="b">
        <f>TRUE()</f>
        <v>1</v>
      </c>
      <c r="E681" t="b">
        <f>COUNTIF(connections!A:A, A681) &gt; 0</f>
        <v>1</v>
      </c>
      <c r="F681" t="s">
        <v>1164</v>
      </c>
      <c r="G681" t="s">
        <v>2325</v>
      </c>
      <c r="H681" t="s">
        <v>187</v>
      </c>
      <c r="I681" t="s">
        <v>2326</v>
      </c>
      <c r="J681" s="1" t="s">
        <v>2327</v>
      </c>
    </row>
    <row r="682" spans="1:10" ht="15" customHeight="1" x14ac:dyDescent="0.25">
      <c r="A682" t="s">
        <v>2328</v>
      </c>
      <c r="B682">
        <v>2022</v>
      </c>
      <c r="C682" t="s">
        <v>176</v>
      </c>
      <c r="D682" t="b">
        <f>TRUE()</f>
        <v>1</v>
      </c>
      <c r="E682" t="b">
        <f>COUNTIF(connections!A:A, A682) &gt; 0</f>
        <v>0</v>
      </c>
      <c r="F682" t="s">
        <v>1030</v>
      </c>
      <c r="G682" t="s">
        <v>2329</v>
      </c>
    </row>
    <row r="683" spans="1:10" ht="15" customHeight="1" x14ac:dyDescent="0.25">
      <c r="A683" t="s">
        <v>7949</v>
      </c>
      <c r="B683">
        <v>2026</v>
      </c>
      <c r="C683" t="s">
        <v>182</v>
      </c>
      <c r="D683" t="b">
        <f>TRUE()</f>
        <v>1</v>
      </c>
      <c r="E683" t="b">
        <f>COUNTIF(connections!A:A, A683) &gt; 0</f>
        <v>0</v>
      </c>
      <c r="G683" t="s">
        <v>7950</v>
      </c>
      <c r="J683" s="10" t="s">
        <v>7951</v>
      </c>
    </row>
    <row r="684" spans="1:10" ht="15" customHeight="1" x14ac:dyDescent="0.25">
      <c r="A684" t="s">
        <v>2330</v>
      </c>
      <c r="B684">
        <v>2012</v>
      </c>
      <c r="C684" t="s">
        <v>179</v>
      </c>
      <c r="D684" t="b">
        <f>TRUE()</f>
        <v>1</v>
      </c>
      <c r="E684" t="b">
        <f>COUNTIF(connections!A:A, A684) &gt; 0</f>
        <v>0</v>
      </c>
      <c r="G684" t="s">
        <v>2331</v>
      </c>
    </row>
    <row r="685" spans="1:10" ht="15" customHeight="1" x14ac:dyDescent="0.25">
      <c r="A685" t="s">
        <v>2332</v>
      </c>
      <c r="B685">
        <v>2026</v>
      </c>
      <c r="C685" t="s">
        <v>222</v>
      </c>
      <c r="D685" t="b">
        <f>TRUE()</f>
        <v>1</v>
      </c>
      <c r="E685" t="b">
        <f>COUNTIF(connections!A:A, A685) &gt; 0</f>
        <v>0</v>
      </c>
      <c r="G685" t="s">
        <v>2333</v>
      </c>
      <c r="J685" s="10" t="s">
        <v>2334</v>
      </c>
    </row>
    <row r="686" spans="1:10" ht="15" customHeight="1" x14ac:dyDescent="0.25">
      <c r="A686" t="s">
        <v>2335</v>
      </c>
      <c r="B686">
        <v>2020</v>
      </c>
      <c r="C686" t="s">
        <v>176</v>
      </c>
      <c r="D686" t="b">
        <f>TRUE()</f>
        <v>1</v>
      </c>
      <c r="E686" t="b">
        <f>COUNTIF(connections!A:A, A686) &gt; 0</f>
        <v>1</v>
      </c>
      <c r="G686" t="s">
        <v>2336</v>
      </c>
      <c r="H686" t="s">
        <v>187</v>
      </c>
      <c r="I686" t="s">
        <v>2337</v>
      </c>
      <c r="J686" s="1" t="s">
        <v>2338</v>
      </c>
    </row>
    <row r="687" spans="1:10" ht="15" customHeight="1" x14ac:dyDescent="0.25">
      <c r="A687" t="s">
        <v>2339</v>
      </c>
      <c r="B687">
        <v>2026</v>
      </c>
      <c r="C687" t="s">
        <v>176</v>
      </c>
      <c r="D687" t="b">
        <f>TRUE()</f>
        <v>1</v>
      </c>
      <c r="E687" t="b">
        <f>COUNTIF(connections!A:A, A687) &gt; 0</f>
        <v>0</v>
      </c>
      <c r="G687" t="s">
        <v>2340</v>
      </c>
      <c r="H687" t="s">
        <v>187</v>
      </c>
      <c r="I687" t="s">
        <v>8352</v>
      </c>
      <c r="J687" s="10" t="s">
        <v>8353</v>
      </c>
    </row>
    <row r="688" spans="1:10" ht="15" customHeight="1" x14ac:dyDescent="0.25">
      <c r="A688" t="s">
        <v>2341</v>
      </c>
      <c r="B688">
        <v>2014</v>
      </c>
      <c r="C688" t="s">
        <v>176</v>
      </c>
      <c r="D688" t="b">
        <f>TRUE()</f>
        <v>1</v>
      </c>
      <c r="E688" t="b">
        <f>COUNTIF(connections!A:A, A688) &gt; 0</f>
        <v>0</v>
      </c>
      <c r="G688" t="s">
        <v>2342</v>
      </c>
      <c r="H688" t="s">
        <v>187</v>
      </c>
      <c r="I688" t="s">
        <v>8338</v>
      </c>
      <c r="J688" s="10" t="s">
        <v>2343</v>
      </c>
    </row>
    <row r="689" spans="1:10" ht="15" customHeight="1" x14ac:dyDescent="0.25">
      <c r="A689" t="s">
        <v>2344</v>
      </c>
      <c r="B689">
        <v>2024</v>
      </c>
      <c r="C689" t="s">
        <v>182</v>
      </c>
      <c r="D689" t="b">
        <f>TRUE()</f>
        <v>1</v>
      </c>
      <c r="E689" t="b">
        <f>COUNTIF(connections!A:A, A689) &gt; 0</f>
        <v>0</v>
      </c>
      <c r="F689" t="s">
        <v>271</v>
      </c>
      <c r="G689" t="s">
        <v>2345</v>
      </c>
      <c r="H689" t="s">
        <v>187</v>
      </c>
      <c r="I689" t="s">
        <v>2346</v>
      </c>
      <c r="J689" s="1" t="s">
        <v>2347</v>
      </c>
    </row>
    <row r="690" spans="1:10" ht="15" customHeight="1" x14ac:dyDescent="0.25">
      <c r="A690" t="s">
        <v>2348</v>
      </c>
      <c r="B690">
        <v>2006</v>
      </c>
      <c r="C690" t="s">
        <v>179</v>
      </c>
      <c r="D690" t="b">
        <f>TRUE()</f>
        <v>1</v>
      </c>
      <c r="E690" t="b">
        <f>COUNTIF(connections!A:A, A690) &gt; 0</f>
        <v>1</v>
      </c>
      <c r="G690" t="s">
        <v>2349</v>
      </c>
      <c r="H690" t="s">
        <v>187</v>
      </c>
      <c r="I690" t="s">
        <v>2350</v>
      </c>
    </row>
    <row r="691" spans="1:10" ht="15" customHeight="1" x14ac:dyDescent="0.25">
      <c r="A691" t="s">
        <v>2351</v>
      </c>
      <c r="B691">
        <v>2018</v>
      </c>
      <c r="C691" t="s">
        <v>176</v>
      </c>
      <c r="D691" t="b">
        <f>FALSE()</f>
        <v>0</v>
      </c>
      <c r="E691" t="b">
        <f>COUNTIF(connections!A:A, A691) &gt; 0</f>
        <v>0</v>
      </c>
      <c r="G691" t="s">
        <v>2352</v>
      </c>
      <c r="H691" t="s">
        <v>187</v>
      </c>
      <c r="I691" t="s">
        <v>2353</v>
      </c>
      <c r="J691" s="1" t="s">
        <v>2354</v>
      </c>
    </row>
    <row r="692" spans="1:10" ht="15" customHeight="1" x14ac:dyDescent="0.25">
      <c r="A692" t="s">
        <v>90</v>
      </c>
      <c r="B692">
        <v>2017</v>
      </c>
      <c r="C692" t="s">
        <v>182</v>
      </c>
      <c r="D692" t="b">
        <f>TRUE()</f>
        <v>1</v>
      </c>
      <c r="E692" t="b">
        <f>COUNTIF(connections!A:A, A692) &gt; 0</f>
        <v>1</v>
      </c>
      <c r="G692" t="s">
        <v>2355</v>
      </c>
      <c r="H692" t="s">
        <v>187</v>
      </c>
      <c r="I692" t="s">
        <v>2356</v>
      </c>
      <c r="J692" s="1" t="s">
        <v>2357</v>
      </c>
    </row>
    <row r="693" spans="1:10" ht="15" customHeight="1" x14ac:dyDescent="0.25">
      <c r="A693" t="s">
        <v>38</v>
      </c>
      <c r="B693">
        <v>2026</v>
      </c>
      <c r="C693" t="s">
        <v>182</v>
      </c>
      <c r="D693" t="b">
        <f>TRUE()</f>
        <v>1</v>
      </c>
      <c r="E693" t="b">
        <f>COUNTIF(connections!A:A, A693) &gt; 0</f>
        <v>0</v>
      </c>
      <c r="G693" t="s">
        <v>2358</v>
      </c>
      <c r="H693" t="s">
        <v>187</v>
      </c>
      <c r="I693" t="s">
        <v>2359</v>
      </c>
      <c r="J693" s="1" t="s">
        <v>2360</v>
      </c>
    </row>
    <row r="694" spans="1:10" ht="15" customHeight="1" x14ac:dyDescent="0.25">
      <c r="A694" t="s">
        <v>2361</v>
      </c>
      <c r="B694">
        <v>2018</v>
      </c>
      <c r="C694" t="s">
        <v>222</v>
      </c>
      <c r="D694" t="b">
        <f>TRUE()</f>
        <v>1</v>
      </c>
      <c r="E694" t="b">
        <f>COUNTIF(connections!A:A, A694) &gt; 0</f>
        <v>1</v>
      </c>
      <c r="F694" t="s">
        <v>315</v>
      </c>
      <c r="G694" t="s">
        <v>2362</v>
      </c>
      <c r="H694" t="s">
        <v>187</v>
      </c>
      <c r="I694" t="s">
        <v>2363</v>
      </c>
      <c r="J694" s="1" t="s">
        <v>2364</v>
      </c>
    </row>
    <row r="695" spans="1:10" ht="15" customHeight="1" x14ac:dyDescent="0.25">
      <c r="A695" t="s">
        <v>8389</v>
      </c>
      <c r="B695">
        <v>2024</v>
      </c>
      <c r="C695" t="s">
        <v>176</v>
      </c>
      <c r="D695" t="b">
        <f>TRUE()</f>
        <v>1</v>
      </c>
      <c r="E695" t="b">
        <f>COUNTIF(connections!A:A, A695) &gt; 0</f>
        <v>0</v>
      </c>
      <c r="G695" t="s">
        <v>8390</v>
      </c>
      <c r="H695" t="s">
        <v>187</v>
      </c>
      <c r="I695" t="s">
        <v>8391</v>
      </c>
    </row>
    <row r="696" spans="1:10" ht="15" customHeight="1" x14ac:dyDescent="0.25">
      <c r="A696" t="s">
        <v>2365</v>
      </c>
      <c r="B696">
        <v>2023</v>
      </c>
      <c r="C696" t="s">
        <v>176</v>
      </c>
      <c r="D696" t="b">
        <f>TRUE()</f>
        <v>1</v>
      </c>
      <c r="E696" t="b">
        <f>COUNTIF(connections!A:A, A696) &gt; 0</f>
        <v>1</v>
      </c>
      <c r="G696" t="s">
        <v>2366</v>
      </c>
      <c r="H696" t="s">
        <v>187</v>
      </c>
      <c r="I696" t="s">
        <v>2367</v>
      </c>
      <c r="J696" s="1" t="s">
        <v>2368</v>
      </c>
    </row>
    <row r="697" spans="1:10" ht="15" customHeight="1" x14ac:dyDescent="0.25">
      <c r="A697" t="s">
        <v>2369</v>
      </c>
      <c r="B697">
        <v>2025</v>
      </c>
      <c r="C697" t="s">
        <v>182</v>
      </c>
      <c r="D697" t="b">
        <f>TRUE()</f>
        <v>1</v>
      </c>
      <c r="E697" t="b">
        <f>COUNTIF(connections!A:A, A697) &gt; 0</f>
        <v>0</v>
      </c>
      <c r="F697" t="s">
        <v>354</v>
      </c>
      <c r="G697" t="s">
        <v>2370</v>
      </c>
    </row>
    <row r="698" spans="1:10" ht="15" customHeight="1" x14ac:dyDescent="0.25">
      <c r="A698" t="s">
        <v>2371</v>
      </c>
      <c r="B698">
        <v>2026</v>
      </c>
      <c r="C698" t="s">
        <v>182</v>
      </c>
      <c r="D698" t="b">
        <f>TRUE()</f>
        <v>1</v>
      </c>
      <c r="E698" t="b">
        <f>COUNTIF(connections!A:A, A698) &gt; 0</f>
        <v>0</v>
      </c>
      <c r="F698" t="s">
        <v>354</v>
      </c>
      <c r="G698" t="s">
        <v>2372</v>
      </c>
    </row>
    <row r="699" spans="1:10" ht="15" customHeight="1" x14ac:dyDescent="0.25">
      <c r="A699" t="s">
        <v>2373</v>
      </c>
      <c r="B699">
        <v>2025</v>
      </c>
      <c r="C699" t="s">
        <v>182</v>
      </c>
      <c r="D699" t="b">
        <f>FALSE()</f>
        <v>0</v>
      </c>
      <c r="E699" t="b">
        <f>COUNTIF(connections!A:A, A699) &gt; 0</f>
        <v>0</v>
      </c>
      <c r="F699" t="s">
        <v>354</v>
      </c>
      <c r="G699" t="s">
        <v>2374</v>
      </c>
      <c r="H699" t="s">
        <v>187</v>
      </c>
      <c r="I699" t="s">
        <v>2375</v>
      </c>
      <c r="J699" s="1" t="s">
        <v>2376</v>
      </c>
    </row>
    <row r="700" spans="1:10" ht="15" customHeight="1" x14ac:dyDescent="0.25">
      <c r="A700" t="s">
        <v>2377</v>
      </c>
      <c r="B700">
        <v>2021</v>
      </c>
      <c r="C700" t="s">
        <v>176</v>
      </c>
      <c r="D700" t="b">
        <f>TRUE()</f>
        <v>1</v>
      </c>
      <c r="E700" t="b">
        <f>COUNTIF(connections!A:A, A700) &gt; 0</f>
        <v>1</v>
      </c>
      <c r="G700" t="s">
        <v>2378</v>
      </c>
      <c r="H700" t="s">
        <v>187</v>
      </c>
      <c r="I700" t="s">
        <v>2379</v>
      </c>
      <c r="J700" s="1" t="s">
        <v>2380</v>
      </c>
    </row>
    <row r="701" spans="1:10" ht="15" customHeight="1" x14ac:dyDescent="0.25">
      <c r="A701" t="s">
        <v>2381</v>
      </c>
      <c r="B701">
        <v>2025</v>
      </c>
      <c r="C701" t="s">
        <v>176</v>
      </c>
      <c r="D701" t="b">
        <f>TRUE()</f>
        <v>1</v>
      </c>
      <c r="E701" t="b">
        <f>COUNTIF(connections!A:A, A701) &gt; 0</f>
        <v>0</v>
      </c>
      <c r="G701" t="s">
        <v>2382</v>
      </c>
      <c r="H701" t="s">
        <v>187</v>
      </c>
      <c r="I701" t="s">
        <v>2383</v>
      </c>
      <c r="J701" s="1" t="s">
        <v>2384</v>
      </c>
    </row>
    <row r="702" spans="1:10" ht="15" customHeight="1" x14ac:dyDescent="0.25">
      <c r="A702" t="s">
        <v>2385</v>
      </c>
      <c r="B702">
        <v>2025</v>
      </c>
      <c r="C702" t="s">
        <v>222</v>
      </c>
      <c r="D702" t="b">
        <v>1</v>
      </c>
      <c r="E702" t="b">
        <f>COUNTIF(connections!A:A, A702) &gt; 0</f>
        <v>0</v>
      </c>
      <c r="G702" t="s">
        <v>2386</v>
      </c>
      <c r="H702" t="s">
        <v>187</v>
      </c>
      <c r="I702" t="s">
        <v>2387</v>
      </c>
      <c r="J702" s="1" t="s">
        <v>2388</v>
      </c>
    </row>
    <row r="703" spans="1:10" ht="15" customHeight="1" x14ac:dyDescent="0.25">
      <c r="A703" t="s">
        <v>2389</v>
      </c>
      <c r="B703">
        <v>2016</v>
      </c>
      <c r="C703" t="s">
        <v>182</v>
      </c>
      <c r="D703" t="b">
        <f>FALSE()</f>
        <v>0</v>
      </c>
      <c r="E703" t="b">
        <f>COUNTIF(connections!A:A, A703) &gt; 0</f>
        <v>0</v>
      </c>
      <c r="G703" t="s">
        <v>2390</v>
      </c>
      <c r="H703" t="s">
        <v>187</v>
      </c>
      <c r="I703" t="s">
        <v>2391</v>
      </c>
      <c r="J703" s="1" t="s">
        <v>2392</v>
      </c>
    </row>
    <row r="704" spans="1:10" ht="15" customHeight="1" x14ac:dyDescent="0.25">
      <c r="A704" t="s">
        <v>2393</v>
      </c>
      <c r="B704">
        <v>2022</v>
      </c>
      <c r="C704" t="s">
        <v>179</v>
      </c>
      <c r="D704" t="b">
        <f>TRUE()</f>
        <v>1</v>
      </c>
      <c r="E704" t="b">
        <f>COUNTIF(connections!A:A, A704) &gt; 0</f>
        <v>1</v>
      </c>
      <c r="G704" t="s">
        <v>2394</v>
      </c>
    </row>
    <row r="705" spans="1:10" ht="15" customHeight="1" x14ac:dyDescent="0.25">
      <c r="A705" t="s">
        <v>2395</v>
      </c>
      <c r="B705">
        <v>2023</v>
      </c>
      <c r="C705" t="s">
        <v>179</v>
      </c>
      <c r="D705" t="b">
        <f>TRUE()</f>
        <v>1</v>
      </c>
      <c r="E705" t="b">
        <f>COUNTIF(connections!A:A, A705) &gt; 0</f>
        <v>0</v>
      </c>
      <c r="G705" t="s">
        <v>2396</v>
      </c>
    </row>
    <row r="706" spans="1:10" ht="15" customHeight="1" x14ac:dyDescent="0.25">
      <c r="A706" t="s">
        <v>2397</v>
      </c>
      <c r="B706">
        <v>2022</v>
      </c>
      <c r="C706" t="s">
        <v>176</v>
      </c>
      <c r="D706" t="b">
        <f>TRUE()</f>
        <v>1</v>
      </c>
      <c r="E706" t="b">
        <f>COUNTIF(connections!A:A, A706) &gt; 0</f>
        <v>1</v>
      </c>
      <c r="G706" t="s">
        <v>2398</v>
      </c>
      <c r="H706" t="s">
        <v>187</v>
      </c>
      <c r="I706" t="s">
        <v>2399</v>
      </c>
      <c r="J706" s="1" t="s">
        <v>2400</v>
      </c>
    </row>
    <row r="707" spans="1:10" ht="15" customHeight="1" x14ac:dyDescent="0.25">
      <c r="A707" t="s">
        <v>2401</v>
      </c>
      <c r="B707">
        <v>2015</v>
      </c>
      <c r="C707" t="s">
        <v>176</v>
      </c>
      <c r="D707" t="b">
        <f>FALSE()</f>
        <v>0</v>
      </c>
      <c r="E707" t="b">
        <f>COUNTIF(connections!A:A, A707) &gt; 0</f>
        <v>0</v>
      </c>
      <c r="F707" t="s">
        <v>274</v>
      </c>
      <c r="G707" t="s">
        <v>2402</v>
      </c>
    </row>
    <row r="708" spans="1:10" ht="15" customHeight="1" x14ac:dyDescent="0.25">
      <c r="A708" t="s">
        <v>2403</v>
      </c>
      <c r="B708">
        <v>2019</v>
      </c>
      <c r="C708" t="s">
        <v>176</v>
      </c>
      <c r="D708" t="b">
        <f>TRUE()</f>
        <v>1</v>
      </c>
      <c r="E708" t="b">
        <f>COUNTIF(connections!A:A, A708) &gt; 0</f>
        <v>1</v>
      </c>
      <c r="G708" t="s">
        <v>2404</v>
      </c>
      <c r="J708" s="1" t="s">
        <v>2405</v>
      </c>
    </row>
    <row r="709" spans="1:10" ht="15" customHeight="1" x14ac:dyDescent="0.25">
      <c r="A709" t="s">
        <v>2406</v>
      </c>
      <c r="B709">
        <v>2016</v>
      </c>
      <c r="C709" t="s">
        <v>179</v>
      </c>
      <c r="D709" t="b">
        <f>TRUE()</f>
        <v>1</v>
      </c>
      <c r="E709" t="b">
        <f>COUNTIF(connections!A:A, A709) &gt; 0</f>
        <v>0</v>
      </c>
      <c r="G709" t="s">
        <v>2407</v>
      </c>
      <c r="H709" t="s">
        <v>187</v>
      </c>
      <c r="I709" t="s">
        <v>2408</v>
      </c>
      <c r="J709" s="10" t="s">
        <v>2409</v>
      </c>
    </row>
    <row r="710" spans="1:10" ht="15" customHeight="1" x14ac:dyDescent="0.25">
      <c r="A710" t="s">
        <v>8118</v>
      </c>
      <c r="B710">
        <v>2024</v>
      </c>
      <c r="C710" t="s">
        <v>222</v>
      </c>
      <c r="D710" t="b">
        <f>TRUE()</f>
        <v>1</v>
      </c>
      <c r="E710" t="b">
        <f>COUNTIF(connections!A:A, A710) &gt; 0</f>
        <v>0</v>
      </c>
      <c r="F710" t="s">
        <v>274</v>
      </c>
      <c r="G710" t="s">
        <v>8119</v>
      </c>
      <c r="H710" t="s">
        <v>187</v>
      </c>
      <c r="I710" t="s">
        <v>8339</v>
      </c>
      <c r="J710" s="10" t="s">
        <v>8120</v>
      </c>
    </row>
    <row r="711" spans="1:10" ht="15" customHeight="1" x14ac:dyDescent="0.25">
      <c r="A711" t="s">
        <v>7857</v>
      </c>
      <c r="B711">
        <v>2019</v>
      </c>
      <c r="C711" t="s">
        <v>176</v>
      </c>
      <c r="D711" t="b">
        <f>TRUE()</f>
        <v>1</v>
      </c>
      <c r="E711" t="b">
        <f>COUNTIF(connections!A:A, A711) &gt; 0</f>
        <v>0</v>
      </c>
      <c r="G711" t="s">
        <v>7858</v>
      </c>
      <c r="H711" t="s">
        <v>187</v>
      </c>
      <c r="I711" t="s">
        <v>8340</v>
      </c>
      <c r="J711" s="10" t="s">
        <v>7859</v>
      </c>
    </row>
    <row r="712" spans="1:10" ht="15" customHeight="1" x14ac:dyDescent="0.25">
      <c r="A712" t="s">
        <v>2410</v>
      </c>
      <c r="B712">
        <v>2022</v>
      </c>
      <c r="C712" t="s">
        <v>176</v>
      </c>
      <c r="D712" t="b">
        <f>TRUE()</f>
        <v>1</v>
      </c>
      <c r="E712" t="b">
        <f>COUNTIF(connections!A:A, A712) &gt; 0</f>
        <v>1</v>
      </c>
      <c r="G712" t="s">
        <v>2411</v>
      </c>
      <c r="H712" t="s">
        <v>187</v>
      </c>
      <c r="I712" t="s">
        <v>2412</v>
      </c>
      <c r="J712" s="1" t="s">
        <v>2413</v>
      </c>
    </row>
    <row r="713" spans="1:10" ht="15" customHeight="1" x14ac:dyDescent="0.25">
      <c r="A713" t="s">
        <v>2414</v>
      </c>
      <c r="B713">
        <v>2023</v>
      </c>
      <c r="C713" t="s">
        <v>222</v>
      </c>
      <c r="D713" t="b">
        <f>TRUE()</f>
        <v>1</v>
      </c>
      <c r="E713" t="b">
        <f>COUNTIF(connections!A:A, A713) &gt; 0</f>
        <v>0</v>
      </c>
      <c r="G713" t="s">
        <v>2415</v>
      </c>
      <c r="H713" t="s">
        <v>187</v>
      </c>
      <c r="I713" t="s">
        <v>7871</v>
      </c>
      <c r="J713" s="10" t="s">
        <v>7872</v>
      </c>
    </row>
    <row r="714" spans="1:10" ht="15" customHeight="1" x14ac:dyDescent="0.25">
      <c r="A714" t="s">
        <v>2416</v>
      </c>
      <c r="B714">
        <v>2024</v>
      </c>
      <c r="C714" t="s">
        <v>182</v>
      </c>
      <c r="D714" t="b">
        <f>TRUE()</f>
        <v>1</v>
      </c>
      <c r="E714" t="b">
        <f>COUNTIF(connections!A:A, A714) &gt; 0</f>
        <v>0</v>
      </c>
      <c r="G714" t="s">
        <v>2417</v>
      </c>
      <c r="H714" t="s">
        <v>187</v>
      </c>
      <c r="I714" t="s">
        <v>2418</v>
      </c>
      <c r="J714" s="1" t="s">
        <v>2419</v>
      </c>
    </row>
    <row r="715" spans="1:10" ht="15" customHeight="1" x14ac:dyDescent="0.25">
      <c r="A715" t="s">
        <v>2420</v>
      </c>
      <c r="B715">
        <v>2012</v>
      </c>
      <c r="C715" t="s">
        <v>176</v>
      </c>
      <c r="D715" t="b">
        <f>TRUE()</f>
        <v>1</v>
      </c>
      <c r="E715" t="b">
        <f>COUNTIF(connections!A:A, A715) &gt; 0</f>
        <v>1</v>
      </c>
      <c r="G715" t="s">
        <v>2421</v>
      </c>
      <c r="H715" t="s">
        <v>187</v>
      </c>
      <c r="I715" t="s">
        <v>2422</v>
      </c>
      <c r="J715" s="1" t="s">
        <v>2423</v>
      </c>
    </row>
    <row r="716" spans="1:10" ht="15" customHeight="1" x14ac:dyDescent="0.25">
      <c r="A716" t="s">
        <v>2424</v>
      </c>
      <c r="B716">
        <v>2020</v>
      </c>
      <c r="C716" t="s">
        <v>176</v>
      </c>
      <c r="D716" t="b">
        <f>TRUE()</f>
        <v>1</v>
      </c>
      <c r="E716" t="b">
        <f>COUNTIF(connections!A:A, A716) &gt; 0</f>
        <v>0</v>
      </c>
      <c r="G716" t="s">
        <v>2425</v>
      </c>
      <c r="H716" t="s">
        <v>187</v>
      </c>
      <c r="I716" t="s">
        <v>2426</v>
      </c>
      <c r="J716" s="1" t="s">
        <v>2427</v>
      </c>
    </row>
    <row r="717" spans="1:10" ht="15" customHeight="1" x14ac:dyDescent="0.25">
      <c r="A717" t="s">
        <v>2428</v>
      </c>
      <c r="B717">
        <v>2008</v>
      </c>
      <c r="C717" t="s">
        <v>176</v>
      </c>
      <c r="D717" t="b">
        <f>TRUE()</f>
        <v>1</v>
      </c>
      <c r="E717" t="b">
        <f>COUNTIF(connections!A:A, A717) &gt; 0</f>
        <v>1</v>
      </c>
      <c r="G717" t="s">
        <v>2429</v>
      </c>
      <c r="H717" t="s">
        <v>187</v>
      </c>
      <c r="I717" t="s">
        <v>2430</v>
      </c>
    </row>
    <row r="718" spans="1:10" ht="15" customHeight="1" x14ac:dyDescent="0.25">
      <c r="A718" t="s">
        <v>2431</v>
      </c>
      <c r="B718">
        <v>2024</v>
      </c>
      <c r="C718" t="s">
        <v>182</v>
      </c>
      <c r="D718" t="b">
        <f>TRUE()</f>
        <v>1</v>
      </c>
      <c r="E718" t="b">
        <f>COUNTIF(connections!A:A, A718) &gt; 0</f>
        <v>0</v>
      </c>
      <c r="F718" t="s">
        <v>354</v>
      </c>
      <c r="G718" t="s">
        <v>2432</v>
      </c>
      <c r="H718" t="s">
        <v>187</v>
      </c>
      <c r="I718" t="s">
        <v>2433</v>
      </c>
      <c r="J718" s="1" t="s">
        <v>2434</v>
      </c>
    </row>
    <row r="719" spans="1:10" ht="15" customHeight="1" x14ac:dyDescent="0.25">
      <c r="A719" t="s">
        <v>2435</v>
      </c>
      <c r="B719">
        <v>2022</v>
      </c>
      <c r="C719" t="s">
        <v>176</v>
      </c>
      <c r="D719" t="b">
        <f>TRUE()</f>
        <v>1</v>
      </c>
      <c r="E719" t="b">
        <f>COUNTIF(connections!A:A, A719) &gt; 0</f>
        <v>0</v>
      </c>
      <c r="G719" t="s">
        <v>2436</v>
      </c>
      <c r="H719" t="s">
        <v>187</v>
      </c>
      <c r="I719" t="s">
        <v>2437</v>
      </c>
      <c r="J719" s="1" t="s">
        <v>2438</v>
      </c>
    </row>
    <row r="720" spans="1:10" ht="15" customHeight="1" x14ac:dyDescent="0.25">
      <c r="A720" t="s">
        <v>2439</v>
      </c>
      <c r="B720">
        <v>2023</v>
      </c>
      <c r="C720" t="s">
        <v>176</v>
      </c>
      <c r="D720" t="b">
        <f>TRUE()</f>
        <v>1</v>
      </c>
      <c r="E720" t="b">
        <f>COUNTIF(connections!A:A, A720) &gt; 0</f>
        <v>0</v>
      </c>
      <c r="G720" t="s">
        <v>2440</v>
      </c>
      <c r="H720" t="s">
        <v>187</v>
      </c>
      <c r="I720" t="s">
        <v>2441</v>
      </c>
      <c r="J720" s="1" t="s">
        <v>2442</v>
      </c>
    </row>
    <row r="721" spans="1:10" ht="15" customHeight="1" x14ac:dyDescent="0.25">
      <c r="A721" t="s">
        <v>2443</v>
      </c>
      <c r="B721">
        <v>2019</v>
      </c>
      <c r="C721" t="s">
        <v>176</v>
      </c>
      <c r="D721" t="b">
        <f>TRUE()</f>
        <v>1</v>
      </c>
      <c r="E721" t="b">
        <f>COUNTIF(connections!A:A, A721) &gt; 0</f>
        <v>1</v>
      </c>
      <c r="G721" t="s">
        <v>2444</v>
      </c>
      <c r="H721" t="s">
        <v>187</v>
      </c>
      <c r="I721" t="s">
        <v>2445</v>
      </c>
      <c r="J721" s="1" t="s">
        <v>2446</v>
      </c>
    </row>
    <row r="722" spans="1:10" ht="15" customHeight="1" x14ac:dyDescent="0.25">
      <c r="A722" t="s">
        <v>2447</v>
      </c>
      <c r="B722">
        <v>2014</v>
      </c>
      <c r="C722" t="s">
        <v>179</v>
      </c>
      <c r="D722" t="b">
        <f>TRUE()</f>
        <v>1</v>
      </c>
      <c r="E722" t="b">
        <f>COUNTIF(connections!A:A, A722) &gt; 0</f>
        <v>1</v>
      </c>
      <c r="G722" t="s">
        <v>2448</v>
      </c>
      <c r="H722" t="s">
        <v>187</v>
      </c>
      <c r="I722" t="s">
        <v>2449</v>
      </c>
      <c r="J722" s="1" t="s">
        <v>2450</v>
      </c>
    </row>
    <row r="723" spans="1:10" ht="15" customHeight="1" x14ac:dyDescent="0.25">
      <c r="A723" t="s">
        <v>2451</v>
      </c>
      <c r="B723">
        <v>2024</v>
      </c>
      <c r="C723" t="s">
        <v>176</v>
      </c>
      <c r="D723" t="b">
        <f>FALSE()</f>
        <v>0</v>
      </c>
      <c r="E723" t="b">
        <f>COUNTIF(connections!A:A, A723) &gt; 0</f>
        <v>0</v>
      </c>
      <c r="G723" t="s">
        <v>2452</v>
      </c>
      <c r="H723" t="s">
        <v>187</v>
      </c>
      <c r="I723" t="s">
        <v>2453</v>
      </c>
      <c r="J723" s="1" t="s">
        <v>2454</v>
      </c>
    </row>
    <row r="724" spans="1:10" ht="15" customHeight="1" x14ac:dyDescent="0.25">
      <c r="A724" t="s">
        <v>2455</v>
      </c>
      <c r="B724">
        <v>2025</v>
      </c>
      <c r="C724" t="s">
        <v>182</v>
      </c>
      <c r="D724" t="b">
        <f>TRUE()</f>
        <v>1</v>
      </c>
      <c r="E724" t="b">
        <f>COUNTIF(connections!A:A, A724) &gt; 0</f>
        <v>0</v>
      </c>
      <c r="G724" t="s">
        <v>2456</v>
      </c>
      <c r="H724" t="s">
        <v>187</v>
      </c>
      <c r="I724" t="s">
        <v>2457</v>
      </c>
      <c r="J724" s="1" t="s">
        <v>2458</v>
      </c>
    </row>
    <row r="725" spans="1:10" ht="15" customHeight="1" x14ac:dyDescent="0.25">
      <c r="A725" t="s">
        <v>2459</v>
      </c>
      <c r="B725">
        <v>2017</v>
      </c>
      <c r="C725" t="s">
        <v>176</v>
      </c>
      <c r="D725" t="b">
        <f>TRUE()</f>
        <v>1</v>
      </c>
      <c r="E725" t="b">
        <f>COUNTIF(connections!A:A, A725) &gt; 0</f>
        <v>1</v>
      </c>
      <c r="G725" t="s">
        <v>2460</v>
      </c>
      <c r="H725" t="s">
        <v>187</v>
      </c>
      <c r="I725" t="s">
        <v>2461</v>
      </c>
      <c r="J725" s="1" t="s">
        <v>2462</v>
      </c>
    </row>
    <row r="726" spans="1:10" ht="15" customHeight="1" x14ac:dyDescent="0.25">
      <c r="A726" t="s">
        <v>8341</v>
      </c>
      <c r="B726">
        <v>2020</v>
      </c>
      <c r="C726" t="s">
        <v>222</v>
      </c>
      <c r="D726" t="b">
        <f>TRUE()</f>
        <v>1</v>
      </c>
      <c r="E726" t="b">
        <f>COUNTIF(connections!A:A, A726) &gt; 0</f>
        <v>0</v>
      </c>
      <c r="G726" t="s">
        <v>8342</v>
      </c>
      <c r="H726" t="s">
        <v>187</v>
      </c>
      <c r="I726" t="s">
        <v>8343</v>
      </c>
      <c r="J726" s="10" t="s">
        <v>8344</v>
      </c>
    </row>
    <row r="727" spans="1:10" ht="15" customHeight="1" x14ac:dyDescent="0.25">
      <c r="A727" t="s">
        <v>2463</v>
      </c>
      <c r="B727">
        <v>2023</v>
      </c>
      <c r="C727" t="s">
        <v>176</v>
      </c>
      <c r="D727" t="b">
        <f>TRUE()</f>
        <v>1</v>
      </c>
      <c r="E727" t="b">
        <f>COUNTIF(connections!A:A, A727) &gt; 0</f>
        <v>0</v>
      </c>
      <c r="F727" t="s">
        <v>274</v>
      </c>
      <c r="G727" t="s">
        <v>2464</v>
      </c>
      <c r="H727" t="s">
        <v>187</v>
      </c>
      <c r="I727" t="s">
        <v>2465</v>
      </c>
      <c r="J727" s="1" t="s">
        <v>2466</v>
      </c>
    </row>
    <row r="728" spans="1:10" ht="15" customHeight="1" x14ac:dyDescent="0.25">
      <c r="A728" t="s">
        <v>2467</v>
      </c>
      <c r="B728">
        <v>2025</v>
      </c>
      <c r="C728" t="s">
        <v>176</v>
      </c>
      <c r="D728" t="b">
        <f>TRUE()</f>
        <v>1</v>
      </c>
      <c r="E728" t="b">
        <f>COUNTIF(connections!A:A, A728) &gt; 0</f>
        <v>0</v>
      </c>
      <c r="G728" t="s">
        <v>2468</v>
      </c>
      <c r="H728" t="s">
        <v>187</v>
      </c>
      <c r="I728" t="s">
        <v>2469</v>
      </c>
      <c r="J728" s="1" t="s">
        <v>2470</v>
      </c>
    </row>
    <row r="729" spans="1:10" ht="15" customHeight="1" x14ac:dyDescent="0.25">
      <c r="A729" t="s">
        <v>2471</v>
      </c>
      <c r="B729">
        <v>2025</v>
      </c>
      <c r="C729" t="s">
        <v>182</v>
      </c>
      <c r="D729" t="b">
        <f>TRUE()</f>
        <v>1</v>
      </c>
      <c r="E729" t="b">
        <f>COUNTIF(connections!A:A, A729) &gt; 0</f>
        <v>1</v>
      </c>
      <c r="F729" t="s">
        <v>277</v>
      </c>
      <c r="G729" t="s">
        <v>2472</v>
      </c>
      <c r="H729" t="s">
        <v>187</v>
      </c>
      <c r="I729" t="s">
        <v>2473</v>
      </c>
      <c r="J729" s="1" t="s">
        <v>2474</v>
      </c>
    </row>
    <row r="730" spans="1:10" ht="14.25" customHeight="1" x14ac:dyDescent="0.25">
      <c r="A730" t="s">
        <v>2475</v>
      </c>
      <c r="B730">
        <v>2025</v>
      </c>
      <c r="C730" t="s">
        <v>182</v>
      </c>
      <c r="D730" t="b">
        <f>TRUE()</f>
        <v>1</v>
      </c>
      <c r="E730" t="b">
        <f>COUNTIF(connections!A:A, A730) &gt; 0</f>
        <v>0</v>
      </c>
      <c r="G730" t="s">
        <v>2476</v>
      </c>
    </row>
    <row r="731" spans="1:10" ht="15" customHeight="1" x14ac:dyDescent="0.25">
      <c r="A731" t="s">
        <v>2477</v>
      </c>
      <c r="B731">
        <v>2025</v>
      </c>
      <c r="C731" t="s">
        <v>176</v>
      </c>
      <c r="D731" t="b">
        <f>FALSE()</f>
        <v>0</v>
      </c>
      <c r="E731" t="b">
        <f>COUNTIF(connections!A:A, A731) &gt; 0</f>
        <v>0</v>
      </c>
      <c r="G731" t="s">
        <v>2478</v>
      </c>
      <c r="H731" t="s">
        <v>187</v>
      </c>
      <c r="I731" t="s">
        <v>2479</v>
      </c>
      <c r="J731" s="1" t="s">
        <v>2480</v>
      </c>
    </row>
    <row r="732" spans="1:10" x14ac:dyDescent="0.25">
      <c r="A732" t="s">
        <v>8112</v>
      </c>
      <c r="B732">
        <v>2026</v>
      </c>
      <c r="C732" t="s">
        <v>176</v>
      </c>
      <c r="D732" t="b">
        <f>TRUE()</f>
        <v>1</v>
      </c>
      <c r="E732" t="b">
        <f>COUNTIF(connections!A:A, A732) &gt; 0</f>
        <v>0</v>
      </c>
      <c r="G732" t="s">
        <v>8113</v>
      </c>
      <c r="J732" s="10" t="s">
        <v>8114</v>
      </c>
    </row>
    <row r="733" spans="1:10" x14ac:dyDescent="0.25">
      <c r="A733" t="s">
        <v>2481</v>
      </c>
      <c r="B733">
        <v>2020</v>
      </c>
      <c r="C733" t="s">
        <v>179</v>
      </c>
      <c r="D733" t="b">
        <f>TRUE()</f>
        <v>1</v>
      </c>
      <c r="E733" t="b">
        <f>COUNTIF(connections!A:A, A733) &gt; 0</f>
        <v>1</v>
      </c>
      <c r="G733" t="s">
        <v>2482</v>
      </c>
    </row>
    <row r="734" spans="1:10" x14ac:dyDescent="0.25">
      <c r="A734" t="s">
        <v>2483</v>
      </c>
      <c r="B734">
        <v>2023</v>
      </c>
      <c r="C734" t="s">
        <v>222</v>
      </c>
      <c r="D734" t="b">
        <f>FALSE()</f>
        <v>0</v>
      </c>
      <c r="E734" t="b">
        <f>COUNTIF(connections!A:A, A734) &gt; 0</f>
        <v>0</v>
      </c>
      <c r="F734" t="s">
        <v>458</v>
      </c>
      <c r="G734" t="s">
        <v>2484</v>
      </c>
      <c r="H734" t="s">
        <v>187</v>
      </c>
      <c r="I734" t="s">
        <v>8345</v>
      </c>
      <c r="J734" s="10" t="s">
        <v>8346</v>
      </c>
    </row>
    <row r="735" spans="1:10" x14ac:dyDescent="0.25">
      <c r="A735" t="s">
        <v>2485</v>
      </c>
      <c r="B735">
        <v>2017</v>
      </c>
      <c r="C735" t="s">
        <v>176</v>
      </c>
      <c r="D735" t="b">
        <v>1</v>
      </c>
      <c r="E735" t="b">
        <f>COUNTIF(connections!A:A, A735) &gt; 0</f>
        <v>0</v>
      </c>
      <c r="G735" t="s">
        <v>2486</v>
      </c>
      <c r="H735" t="s">
        <v>187</v>
      </c>
      <c r="I735" t="s">
        <v>2487</v>
      </c>
      <c r="J735" s="10" t="s">
        <v>2488</v>
      </c>
    </row>
    <row r="736" spans="1:10" x14ac:dyDescent="0.25">
      <c r="A736" t="s">
        <v>2489</v>
      </c>
      <c r="B736">
        <v>2002</v>
      </c>
      <c r="C736" t="s">
        <v>222</v>
      </c>
      <c r="D736" t="b">
        <f>TRUE()</f>
        <v>1</v>
      </c>
      <c r="E736" t="b">
        <f>COUNTIF(connections!A:A, A736) &gt; 0</f>
        <v>1</v>
      </c>
      <c r="F736" t="s">
        <v>274</v>
      </c>
      <c r="G736" t="s">
        <v>2490</v>
      </c>
      <c r="H736" t="s">
        <v>187</v>
      </c>
      <c r="I736" t="s">
        <v>2491</v>
      </c>
    </row>
    <row r="737" spans="1:10" x14ac:dyDescent="0.25">
      <c r="A737" t="s">
        <v>2492</v>
      </c>
      <c r="B737">
        <v>2019</v>
      </c>
      <c r="C737" t="s">
        <v>176</v>
      </c>
      <c r="D737" t="b">
        <f>TRUE()</f>
        <v>1</v>
      </c>
      <c r="E737" t="b">
        <f>COUNTIF(connections!A:A, A737) &gt; 0</f>
        <v>0</v>
      </c>
      <c r="G737" t="s">
        <v>2493</v>
      </c>
      <c r="H737" t="s">
        <v>187</v>
      </c>
      <c r="I737" t="s">
        <v>2494</v>
      </c>
      <c r="J737" s="1" t="s">
        <v>2495</v>
      </c>
    </row>
    <row r="738" spans="1:10" x14ac:dyDescent="0.25">
      <c r="A738" t="s">
        <v>2496</v>
      </c>
      <c r="B738">
        <v>2024</v>
      </c>
      <c r="C738" t="s">
        <v>176</v>
      </c>
      <c r="D738" t="b">
        <f>TRUE()</f>
        <v>1</v>
      </c>
      <c r="E738" t="b">
        <f>COUNTIF(connections!A:A, A738) &gt; 0</f>
        <v>0</v>
      </c>
      <c r="G738" t="s">
        <v>2497</v>
      </c>
    </row>
    <row r="739" spans="1:10" x14ac:dyDescent="0.25">
      <c r="A739" t="s">
        <v>2498</v>
      </c>
      <c r="B739">
        <v>2017</v>
      </c>
      <c r="C739" t="s">
        <v>176</v>
      </c>
      <c r="D739" t="b">
        <f>TRUE()</f>
        <v>1</v>
      </c>
      <c r="E739" t="b">
        <f>COUNTIF(connections!A:A, A739) &gt; 0</f>
        <v>1</v>
      </c>
      <c r="G739" t="s">
        <v>2499</v>
      </c>
      <c r="H739" t="s">
        <v>187</v>
      </c>
      <c r="I739" t="s">
        <v>2500</v>
      </c>
      <c r="J739" s="1" t="s">
        <v>2501</v>
      </c>
    </row>
    <row r="740" spans="1:10" x14ac:dyDescent="0.25">
      <c r="A740" t="s">
        <v>2502</v>
      </c>
      <c r="B740">
        <v>2015</v>
      </c>
      <c r="C740" t="s">
        <v>222</v>
      </c>
      <c r="D740" t="b">
        <f>TRUE()</f>
        <v>1</v>
      </c>
      <c r="E740" t="b">
        <f>COUNTIF(connections!A:A, A740) &gt; 0</f>
        <v>1</v>
      </c>
      <c r="F740" t="s">
        <v>652</v>
      </c>
      <c r="G740" t="s">
        <v>2503</v>
      </c>
      <c r="H740" t="s">
        <v>187</v>
      </c>
      <c r="I740" t="s">
        <v>2504</v>
      </c>
      <c r="J740" s="1" t="s">
        <v>2505</v>
      </c>
    </row>
    <row r="741" spans="1:10" x14ac:dyDescent="0.25">
      <c r="A741" t="s">
        <v>2506</v>
      </c>
      <c r="B741">
        <v>2021</v>
      </c>
      <c r="C741" t="s">
        <v>222</v>
      </c>
      <c r="D741" t="b">
        <f>TRUE()</f>
        <v>1</v>
      </c>
      <c r="E741" t="b">
        <f>COUNTIF(connections!A:A, A741) &gt; 0</f>
        <v>1</v>
      </c>
      <c r="G741" t="s">
        <v>2507</v>
      </c>
      <c r="H741" t="s">
        <v>187</v>
      </c>
      <c r="I741" t="s">
        <v>2508</v>
      </c>
      <c r="J741" s="1" t="s">
        <v>2509</v>
      </c>
    </row>
    <row r="742" spans="1:10" x14ac:dyDescent="0.25">
      <c r="A742" t="s">
        <v>2510</v>
      </c>
      <c r="B742">
        <v>2022</v>
      </c>
      <c r="C742" t="s">
        <v>182</v>
      </c>
      <c r="D742" t="b">
        <v>1</v>
      </c>
      <c r="E742" t="b">
        <f>COUNTIF(connections!A:A, A742) &gt; 0</f>
        <v>0</v>
      </c>
      <c r="G742" t="s">
        <v>2511</v>
      </c>
      <c r="H742" t="s">
        <v>187</v>
      </c>
      <c r="I742" t="s">
        <v>2512</v>
      </c>
      <c r="J742" s="1" t="s">
        <v>2513</v>
      </c>
    </row>
    <row r="743" spans="1:10" x14ac:dyDescent="0.25">
      <c r="A743" t="s">
        <v>2514</v>
      </c>
      <c r="B743">
        <v>2025</v>
      </c>
      <c r="C743" t="s">
        <v>222</v>
      </c>
      <c r="D743" t="b">
        <f>TRUE()</f>
        <v>1</v>
      </c>
      <c r="E743" t="b">
        <f>COUNTIF(connections!A:A, A743) &gt; 0</f>
        <v>0</v>
      </c>
      <c r="G743" t="s">
        <v>2515</v>
      </c>
      <c r="H743" t="s">
        <v>187</v>
      </c>
      <c r="I743" t="s">
        <v>2516</v>
      </c>
      <c r="J743" s="1" t="s">
        <v>2517</v>
      </c>
    </row>
    <row r="744" spans="1:10" x14ac:dyDescent="0.25">
      <c r="A744" t="s">
        <v>2518</v>
      </c>
      <c r="B744">
        <v>2013</v>
      </c>
      <c r="C744" t="s">
        <v>176</v>
      </c>
      <c r="D744" t="b">
        <f>TRUE()</f>
        <v>1</v>
      </c>
      <c r="E744" t="b">
        <f>COUNTIF(connections!A:A, A744) &gt; 0</f>
        <v>1</v>
      </c>
      <c r="G744" t="s">
        <v>2519</v>
      </c>
      <c r="H744" t="s">
        <v>187</v>
      </c>
      <c r="I744" t="s">
        <v>2520</v>
      </c>
      <c r="J744" s="1" t="s">
        <v>2521</v>
      </c>
    </row>
    <row r="745" spans="1:10" x14ac:dyDescent="0.25">
      <c r="A745" t="s">
        <v>2522</v>
      </c>
      <c r="B745">
        <v>2025</v>
      </c>
      <c r="C745" t="s">
        <v>182</v>
      </c>
      <c r="D745" t="b">
        <f>TRUE()</f>
        <v>1</v>
      </c>
      <c r="E745" t="b">
        <f>COUNTIF(connections!A:A, A745) &gt; 0</f>
        <v>1</v>
      </c>
      <c r="G745" t="s">
        <v>2523</v>
      </c>
      <c r="H745" t="s">
        <v>187</v>
      </c>
      <c r="I745" t="s">
        <v>8139</v>
      </c>
      <c r="J745" s="10" t="s">
        <v>8140</v>
      </c>
    </row>
    <row r="746" spans="1:10" x14ac:dyDescent="0.25">
      <c r="A746" t="s">
        <v>2524</v>
      </c>
      <c r="B746">
        <v>2025</v>
      </c>
      <c r="C746" t="s">
        <v>176</v>
      </c>
      <c r="D746" t="b">
        <f>TRUE()</f>
        <v>1</v>
      </c>
      <c r="E746" t="b">
        <f>COUNTIF(connections!A:A, A746) &gt; 0</f>
        <v>0</v>
      </c>
      <c r="G746" t="s">
        <v>2525</v>
      </c>
    </row>
    <row r="747" spans="1:10" x14ac:dyDescent="0.25">
      <c r="A747" t="s">
        <v>2526</v>
      </c>
      <c r="B747">
        <v>2023</v>
      </c>
      <c r="C747" t="s">
        <v>176</v>
      </c>
      <c r="D747" t="b">
        <f>TRUE()</f>
        <v>1</v>
      </c>
      <c r="E747" t="b">
        <f>COUNTIF(connections!A:A, A747) &gt; 0</f>
        <v>0</v>
      </c>
      <c r="F747" t="s">
        <v>277</v>
      </c>
      <c r="G747" t="s">
        <v>2527</v>
      </c>
      <c r="H747" t="s">
        <v>187</v>
      </c>
      <c r="I747" t="s">
        <v>2528</v>
      </c>
      <c r="J747" s="1" t="s">
        <v>2529</v>
      </c>
    </row>
    <row r="748" spans="1:10" x14ac:dyDescent="0.25">
      <c r="A748" t="s">
        <v>2530</v>
      </c>
      <c r="B748">
        <v>2016</v>
      </c>
      <c r="C748" t="s">
        <v>176</v>
      </c>
      <c r="D748" t="b">
        <f>TRUE()</f>
        <v>1</v>
      </c>
      <c r="E748" t="b">
        <f>COUNTIF(connections!A:A, A748) &gt; 0</f>
        <v>0</v>
      </c>
      <c r="F748" t="s">
        <v>787</v>
      </c>
      <c r="G748" t="s">
        <v>2531</v>
      </c>
      <c r="H748" t="s">
        <v>187</v>
      </c>
      <c r="I748" t="s">
        <v>2532</v>
      </c>
      <c r="J748" s="1" t="s">
        <v>2533</v>
      </c>
    </row>
    <row r="749" spans="1:10" x14ac:dyDescent="0.25">
      <c r="A749" t="s">
        <v>2534</v>
      </c>
      <c r="B749">
        <v>1982</v>
      </c>
      <c r="C749" t="s">
        <v>179</v>
      </c>
      <c r="D749" t="b">
        <f>TRUE()</f>
        <v>1</v>
      </c>
      <c r="E749" t="b">
        <f>COUNTIF(connections!A:A, A749) &gt; 0</f>
        <v>1</v>
      </c>
      <c r="G749" t="s">
        <v>2535</v>
      </c>
      <c r="J749" s="10" t="s">
        <v>2536</v>
      </c>
    </row>
    <row r="750" spans="1:10" x14ac:dyDescent="0.25">
      <c r="A750" t="s">
        <v>2537</v>
      </c>
      <c r="B750">
        <v>2021</v>
      </c>
      <c r="C750" t="s">
        <v>176</v>
      </c>
      <c r="D750" t="b">
        <f>TRUE()</f>
        <v>1</v>
      </c>
      <c r="E750" t="b">
        <f>COUNTIF(connections!A:A, A750) &gt; 0</f>
        <v>1</v>
      </c>
      <c r="G750" t="s">
        <v>2538</v>
      </c>
      <c r="H750" t="s">
        <v>187</v>
      </c>
      <c r="I750" t="s">
        <v>8347</v>
      </c>
      <c r="J750" s="10" t="s">
        <v>2539</v>
      </c>
    </row>
    <row r="751" spans="1:10" x14ac:dyDescent="0.25">
      <c r="A751" t="s">
        <v>2540</v>
      </c>
      <c r="B751">
        <v>2025</v>
      </c>
      <c r="C751" t="s">
        <v>176</v>
      </c>
      <c r="D751" t="b">
        <f>TRUE()</f>
        <v>1</v>
      </c>
      <c r="E751" t="b">
        <f>COUNTIF(connections!A:A, A751) &gt; 0</f>
        <v>0</v>
      </c>
      <c r="G751" t="s">
        <v>2541</v>
      </c>
      <c r="J751" s="10" t="s">
        <v>2542</v>
      </c>
    </row>
    <row r="752" spans="1:10" x14ac:dyDescent="0.25">
      <c r="A752" t="s">
        <v>2543</v>
      </c>
      <c r="B752">
        <v>2013</v>
      </c>
      <c r="C752" t="s">
        <v>179</v>
      </c>
      <c r="D752" t="b">
        <f>TRUE()</f>
        <v>1</v>
      </c>
      <c r="E752" t="b">
        <f>COUNTIF(connections!A:A, A752) &gt; 0</f>
        <v>0</v>
      </c>
      <c r="G752" t="s">
        <v>2544</v>
      </c>
      <c r="J752" s="1" t="s">
        <v>2545</v>
      </c>
    </row>
    <row r="753" spans="1:10" x14ac:dyDescent="0.25">
      <c r="A753" t="s">
        <v>2546</v>
      </c>
      <c r="B753">
        <v>2022</v>
      </c>
      <c r="C753" t="s">
        <v>176</v>
      </c>
      <c r="D753" t="b">
        <f>TRUE()</f>
        <v>1</v>
      </c>
      <c r="E753" t="b">
        <f>COUNTIF(connections!A:A, A753) &gt; 0</f>
        <v>0</v>
      </c>
      <c r="G753" t="s">
        <v>2547</v>
      </c>
      <c r="H753" t="s">
        <v>187</v>
      </c>
      <c r="I753" t="s">
        <v>2548</v>
      </c>
      <c r="J753" s="1" t="s">
        <v>2549</v>
      </c>
    </row>
    <row r="754" spans="1:10" x14ac:dyDescent="0.25">
      <c r="A754" t="s">
        <v>2550</v>
      </c>
      <c r="B754">
        <v>2025</v>
      </c>
      <c r="C754" t="s">
        <v>176</v>
      </c>
      <c r="D754" t="b">
        <f>TRUE()</f>
        <v>1</v>
      </c>
      <c r="E754" t="b">
        <f>COUNTIF(connections!A:A, A754) &gt; 0</f>
        <v>0</v>
      </c>
      <c r="G754" t="s">
        <v>2551</v>
      </c>
      <c r="H754" t="s">
        <v>187</v>
      </c>
      <c r="I754" t="s">
        <v>2552</v>
      </c>
      <c r="J754" s="1" t="s">
        <v>2553</v>
      </c>
    </row>
    <row r="755" spans="1:10" x14ac:dyDescent="0.25">
      <c r="A755" t="s">
        <v>2554</v>
      </c>
      <c r="B755">
        <v>2021</v>
      </c>
      <c r="C755" t="s">
        <v>176</v>
      </c>
      <c r="D755" t="b">
        <f>TRUE()</f>
        <v>1</v>
      </c>
      <c r="E755" t="b">
        <f>COUNTIF(connections!A:A, A755) &gt; 0</f>
        <v>0</v>
      </c>
      <c r="G755" t="s">
        <v>2555</v>
      </c>
    </row>
    <row r="756" spans="1:10" x14ac:dyDescent="0.25">
      <c r="A756" t="s">
        <v>2556</v>
      </c>
      <c r="B756">
        <v>2018</v>
      </c>
      <c r="C756" t="s">
        <v>176</v>
      </c>
      <c r="D756" t="b">
        <f>TRUE()</f>
        <v>1</v>
      </c>
      <c r="E756" t="b">
        <f>COUNTIF(connections!A:A, A756) &gt; 0</f>
        <v>1</v>
      </c>
      <c r="G756" t="s">
        <v>2557</v>
      </c>
      <c r="H756" t="s">
        <v>187</v>
      </c>
      <c r="I756" t="s">
        <v>2558</v>
      </c>
      <c r="J756" s="1" t="s">
        <v>2559</v>
      </c>
    </row>
    <row r="757" spans="1:10" x14ac:dyDescent="0.25">
      <c r="A757" t="s">
        <v>2560</v>
      </c>
      <c r="B757">
        <v>2026</v>
      </c>
      <c r="C757" t="s">
        <v>222</v>
      </c>
      <c r="D757" t="b">
        <f>TRUE()</f>
        <v>1</v>
      </c>
      <c r="E757" t="b">
        <f>COUNTIF(connections!A:A, A757) &gt; 0</f>
        <v>0</v>
      </c>
      <c r="G757" t="s">
        <v>2561</v>
      </c>
      <c r="J757" s="1" t="s">
        <v>2562</v>
      </c>
    </row>
    <row r="758" spans="1:10" x14ac:dyDescent="0.25">
      <c r="A758" t="s">
        <v>2563</v>
      </c>
      <c r="B758">
        <v>2020</v>
      </c>
      <c r="C758" t="s">
        <v>182</v>
      </c>
      <c r="D758" t="b">
        <f>TRUE()</f>
        <v>1</v>
      </c>
      <c r="E758" t="b">
        <f>COUNTIF(connections!A:A, A758) &gt; 0</f>
        <v>0</v>
      </c>
      <c r="G758" t="s">
        <v>2564</v>
      </c>
      <c r="H758" t="s">
        <v>187</v>
      </c>
      <c r="I758" t="s">
        <v>2565</v>
      </c>
      <c r="J758" s="1" t="s">
        <v>2566</v>
      </c>
    </row>
    <row r="759" spans="1:10" x14ac:dyDescent="0.25">
      <c r="A759" t="s">
        <v>2567</v>
      </c>
      <c r="B759">
        <v>2023</v>
      </c>
      <c r="C759" t="s">
        <v>176</v>
      </c>
      <c r="D759" t="b">
        <f>TRUE()</f>
        <v>1</v>
      </c>
      <c r="E759" t="b">
        <f>COUNTIF(connections!A:A, A759) &gt; 0</f>
        <v>0</v>
      </c>
      <c r="G759" t="s">
        <v>2568</v>
      </c>
      <c r="H759" t="s">
        <v>187</v>
      </c>
      <c r="I759" t="s">
        <v>2569</v>
      </c>
      <c r="J759" s="1" t="s">
        <v>2570</v>
      </c>
    </row>
    <row r="760" spans="1:10" x14ac:dyDescent="0.25">
      <c r="A760" t="s">
        <v>2571</v>
      </c>
      <c r="B760">
        <v>1998</v>
      </c>
      <c r="C760" t="s">
        <v>179</v>
      </c>
      <c r="D760" t="b">
        <f>TRUE()</f>
        <v>1</v>
      </c>
      <c r="E760" t="b">
        <f>COUNTIF(connections!A:A, A760) &gt; 0</f>
        <v>1</v>
      </c>
      <c r="G760" t="s">
        <v>2572</v>
      </c>
      <c r="H760" t="s">
        <v>187</v>
      </c>
      <c r="I760" t="s">
        <v>2573</v>
      </c>
      <c r="J760" s="1" t="s">
        <v>2574</v>
      </c>
    </row>
    <row r="761" spans="1:10" x14ac:dyDescent="0.25">
      <c r="A761" t="s">
        <v>2575</v>
      </c>
      <c r="B761">
        <v>2026</v>
      </c>
      <c r="C761" t="s">
        <v>182</v>
      </c>
      <c r="D761" t="b">
        <f>TRUE()</f>
        <v>1</v>
      </c>
      <c r="E761" t="b">
        <f>COUNTIF(connections!A:A, A761) &gt; 0</f>
        <v>0</v>
      </c>
      <c r="G761" t="s">
        <v>2576</v>
      </c>
      <c r="J761" s="10" t="s">
        <v>2577</v>
      </c>
    </row>
    <row r="762" spans="1:10" x14ac:dyDescent="0.25">
      <c r="A762" t="s">
        <v>2578</v>
      </c>
      <c r="B762">
        <v>2017</v>
      </c>
      <c r="C762" t="s">
        <v>179</v>
      </c>
      <c r="D762" t="b">
        <f>TRUE()</f>
        <v>1</v>
      </c>
      <c r="E762" t="b">
        <f>COUNTIF(connections!A:A, A762) &gt; 0</f>
        <v>1</v>
      </c>
      <c r="G762" t="s">
        <v>2579</v>
      </c>
      <c r="H762" t="s">
        <v>187</v>
      </c>
      <c r="I762" t="s">
        <v>2580</v>
      </c>
      <c r="J762" s="1" t="s">
        <v>2581</v>
      </c>
    </row>
    <row r="763" spans="1:10" x14ac:dyDescent="0.25">
      <c r="A763" t="s">
        <v>2582</v>
      </c>
      <c r="B763">
        <v>2026</v>
      </c>
      <c r="C763" t="s">
        <v>222</v>
      </c>
      <c r="D763" t="b">
        <f>FALSE()</f>
        <v>0</v>
      </c>
      <c r="E763" t="b">
        <f>COUNTIF(connections!A:A, A763) &gt; 0</f>
        <v>0</v>
      </c>
      <c r="F763" t="s">
        <v>2583</v>
      </c>
      <c r="G763" t="s">
        <v>2584</v>
      </c>
      <c r="H763" t="s">
        <v>187</v>
      </c>
      <c r="I763" t="s">
        <v>2585</v>
      </c>
      <c r="J763" s="1" t="s">
        <v>2586</v>
      </c>
    </row>
    <row r="764" spans="1:10" x14ac:dyDescent="0.25">
      <c r="A764" t="s">
        <v>2587</v>
      </c>
      <c r="B764">
        <v>2006</v>
      </c>
      <c r="C764" t="s">
        <v>179</v>
      </c>
      <c r="D764" t="b">
        <f>TRUE()</f>
        <v>1</v>
      </c>
      <c r="E764" t="b">
        <f>COUNTIF(connections!A:A, A764) &gt; 0</f>
        <v>0</v>
      </c>
      <c r="G764" t="s">
        <v>2588</v>
      </c>
      <c r="H764" t="s">
        <v>187</v>
      </c>
      <c r="I764" t="s">
        <v>2589</v>
      </c>
    </row>
    <row r="765" spans="1:10" x14ac:dyDescent="0.25">
      <c r="A765" t="s">
        <v>2590</v>
      </c>
      <c r="B765">
        <v>2023</v>
      </c>
      <c r="C765" t="s">
        <v>176</v>
      </c>
      <c r="D765" t="b">
        <f>TRUE()</f>
        <v>1</v>
      </c>
      <c r="E765" t="b">
        <f>COUNTIF(connections!A:A, A765) &gt; 0</f>
        <v>0</v>
      </c>
      <c r="F765" t="s">
        <v>614</v>
      </c>
      <c r="G765" t="s">
        <v>2591</v>
      </c>
      <c r="H765" t="s">
        <v>187</v>
      </c>
      <c r="I765" t="s">
        <v>2592</v>
      </c>
      <c r="J765" s="1" t="s">
        <v>2593</v>
      </c>
    </row>
    <row r="766" spans="1:10" x14ac:dyDescent="0.25">
      <c r="A766" t="s">
        <v>2594</v>
      </c>
      <c r="B766">
        <v>2019</v>
      </c>
      <c r="C766" t="s">
        <v>222</v>
      </c>
      <c r="D766" t="b">
        <f>TRUE()</f>
        <v>1</v>
      </c>
      <c r="E766" t="b">
        <f>COUNTIF(connections!A:A, A766) &gt; 0</f>
        <v>1</v>
      </c>
      <c r="G766" t="s">
        <v>2595</v>
      </c>
    </row>
    <row r="767" spans="1:10" x14ac:dyDescent="0.25">
      <c r="A767" t="s">
        <v>2596</v>
      </c>
      <c r="B767">
        <v>2026</v>
      </c>
      <c r="C767" t="s">
        <v>176</v>
      </c>
      <c r="D767" t="b">
        <v>1</v>
      </c>
      <c r="E767" t="b">
        <f>COUNTIF(connections!A:A, A767) &gt; 0</f>
        <v>0</v>
      </c>
      <c r="G767" t="s">
        <v>2597</v>
      </c>
      <c r="J767" s="10" t="s">
        <v>2598</v>
      </c>
    </row>
    <row r="768" spans="1:10" x14ac:dyDescent="0.25">
      <c r="A768" t="s">
        <v>2599</v>
      </c>
      <c r="B768">
        <v>2024</v>
      </c>
      <c r="C768" t="s">
        <v>176</v>
      </c>
      <c r="D768" t="b">
        <f>TRUE()</f>
        <v>1</v>
      </c>
      <c r="E768" t="b">
        <f>COUNTIF(connections!A:A, A768) &gt; 0</f>
        <v>0</v>
      </c>
      <c r="G768" t="s">
        <v>2600</v>
      </c>
      <c r="H768" t="s">
        <v>187</v>
      </c>
      <c r="I768" t="s">
        <v>2601</v>
      </c>
      <c r="J768" s="1" t="s">
        <v>2602</v>
      </c>
    </row>
    <row r="769" spans="1:10" x14ac:dyDescent="0.25">
      <c r="A769" t="s">
        <v>2603</v>
      </c>
      <c r="B769">
        <v>2024</v>
      </c>
      <c r="C769" t="s">
        <v>176</v>
      </c>
      <c r="D769" t="b">
        <f>TRUE()</f>
        <v>1</v>
      </c>
      <c r="E769" t="b">
        <f>COUNTIF(connections!A:A, A769) &gt; 0</f>
        <v>0</v>
      </c>
      <c r="G769" t="s">
        <v>2604</v>
      </c>
    </row>
    <row r="770" spans="1:10" x14ac:dyDescent="0.25">
      <c r="A770" t="s">
        <v>2605</v>
      </c>
      <c r="B770">
        <v>2022</v>
      </c>
      <c r="C770" t="s">
        <v>222</v>
      </c>
      <c r="D770" t="b">
        <f>TRUE()</f>
        <v>1</v>
      </c>
      <c r="E770" t="b">
        <f>COUNTIF(connections!A:A, A770) &gt; 0</f>
        <v>0</v>
      </c>
      <c r="G770" t="s">
        <v>2606</v>
      </c>
      <c r="H770" t="s">
        <v>187</v>
      </c>
      <c r="I770" t="s">
        <v>2607</v>
      </c>
      <c r="J770" s="1" t="s">
        <v>2608</v>
      </c>
    </row>
    <row r="771" spans="1:10" x14ac:dyDescent="0.25">
      <c r="A771" t="s">
        <v>2609</v>
      </c>
      <c r="B771">
        <v>2026</v>
      </c>
      <c r="C771" t="s">
        <v>176</v>
      </c>
      <c r="D771" t="b">
        <f>TRUE()</f>
        <v>1</v>
      </c>
      <c r="E771" t="b">
        <f>COUNTIF(connections!A:A, A771) &gt; 0</f>
        <v>0</v>
      </c>
      <c r="G771" t="s">
        <v>2610</v>
      </c>
      <c r="J771" s="10" t="s">
        <v>2611</v>
      </c>
    </row>
    <row r="772" spans="1:10" x14ac:dyDescent="0.25">
      <c r="A772" t="s">
        <v>2612</v>
      </c>
      <c r="B772">
        <v>2024</v>
      </c>
      <c r="C772" t="s">
        <v>176</v>
      </c>
      <c r="D772" t="b">
        <f>TRUE()</f>
        <v>1</v>
      </c>
      <c r="E772" t="b">
        <f>COUNTIF(connections!A:A, A772) &gt; 0</f>
        <v>0</v>
      </c>
      <c r="G772" t="s">
        <v>2613</v>
      </c>
    </row>
    <row r="773" spans="1:10" x14ac:dyDescent="0.25">
      <c r="A773" t="s">
        <v>2614</v>
      </c>
      <c r="B773">
        <v>2025</v>
      </c>
      <c r="C773" t="s">
        <v>222</v>
      </c>
      <c r="D773" t="b">
        <f>TRUE()</f>
        <v>1</v>
      </c>
      <c r="E773" t="b">
        <f>COUNTIF(connections!A:A, A773) &gt; 0</f>
        <v>1</v>
      </c>
      <c r="G773" t="s">
        <v>2615</v>
      </c>
    </row>
    <row r="774" spans="1:10" x14ac:dyDescent="0.25">
      <c r="A774" t="s">
        <v>160</v>
      </c>
      <c r="B774">
        <v>2011</v>
      </c>
      <c r="C774" t="s">
        <v>176</v>
      </c>
      <c r="D774" t="b">
        <f>TRUE()</f>
        <v>1</v>
      </c>
      <c r="E774" t="b">
        <f>COUNTIF(connections!A:A, A774) &gt; 0</f>
        <v>1</v>
      </c>
      <c r="G774" t="s">
        <v>2616</v>
      </c>
      <c r="H774" t="s">
        <v>187</v>
      </c>
      <c r="I774" t="s">
        <v>2617</v>
      </c>
      <c r="J774" s="1" t="s">
        <v>2618</v>
      </c>
    </row>
    <row r="775" spans="1:10" x14ac:dyDescent="0.25">
      <c r="A775" t="s">
        <v>2619</v>
      </c>
      <c r="B775">
        <v>2014</v>
      </c>
      <c r="C775" t="s">
        <v>176</v>
      </c>
      <c r="D775" t="b">
        <f>TRUE()</f>
        <v>1</v>
      </c>
      <c r="E775" t="b">
        <f>COUNTIF(connections!A:A, A775) &gt; 0</f>
        <v>0</v>
      </c>
      <c r="G775" t="s">
        <v>2620</v>
      </c>
      <c r="H775" t="s">
        <v>187</v>
      </c>
      <c r="I775" t="s">
        <v>2621</v>
      </c>
      <c r="J775" s="1" t="s">
        <v>2622</v>
      </c>
    </row>
    <row r="776" spans="1:10" x14ac:dyDescent="0.25">
      <c r="A776" t="s">
        <v>2623</v>
      </c>
      <c r="B776">
        <v>2021</v>
      </c>
      <c r="C776" t="s">
        <v>179</v>
      </c>
      <c r="D776" t="b">
        <f>TRUE()</f>
        <v>1</v>
      </c>
      <c r="E776" t="b">
        <f>COUNTIF(connections!A:A, A776) &gt; 0</f>
        <v>0</v>
      </c>
      <c r="G776" t="s">
        <v>2624</v>
      </c>
    </row>
    <row r="777" spans="1:10" x14ac:dyDescent="0.25">
      <c r="A777" t="s">
        <v>2625</v>
      </c>
      <c r="B777">
        <v>2000</v>
      </c>
      <c r="C777" t="s">
        <v>179</v>
      </c>
      <c r="D777" t="b">
        <f>TRUE()</f>
        <v>1</v>
      </c>
      <c r="E777" t="b">
        <f>COUNTIF(connections!A:A, A777) &gt; 0</f>
        <v>1</v>
      </c>
      <c r="G777" t="s">
        <v>2626</v>
      </c>
      <c r="H777" t="s">
        <v>187</v>
      </c>
      <c r="I777" t="s">
        <v>2627</v>
      </c>
    </row>
    <row r="778" spans="1:10" x14ac:dyDescent="0.25">
      <c r="A778" t="s">
        <v>2628</v>
      </c>
      <c r="B778">
        <v>2025</v>
      </c>
      <c r="C778" t="s">
        <v>182</v>
      </c>
      <c r="D778" t="b">
        <f>FALSE()</f>
        <v>0</v>
      </c>
      <c r="E778" t="b">
        <f>COUNTIF(connections!A:A, A778) &gt; 0</f>
        <v>0</v>
      </c>
      <c r="F778" t="s">
        <v>1076</v>
      </c>
      <c r="G778" t="s">
        <v>2629</v>
      </c>
    </row>
    <row r="779" spans="1:10" x14ac:dyDescent="0.25">
      <c r="A779" t="s">
        <v>2630</v>
      </c>
      <c r="B779">
        <v>2016</v>
      </c>
      <c r="C779" t="s">
        <v>176</v>
      </c>
      <c r="D779" t="b">
        <f>TRUE()</f>
        <v>1</v>
      </c>
      <c r="E779" t="b">
        <f>COUNTIF(connections!A:A, A779) &gt; 0</f>
        <v>0</v>
      </c>
      <c r="G779" t="s">
        <v>2631</v>
      </c>
      <c r="H779" t="s">
        <v>187</v>
      </c>
      <c r="I779" t="s">
        <v>2632</v>
      </c>
      <c r="J779" s="1" t="s">
        <v>2633</v>
      </c>
    </row>
    <row r="780" spans="1:10" x14ac:dyDescent="0.25">
      <c r="A780" t="s">
        <v>2634</v>
      </c>
      <c r="B780">
        <v>2014</v>
      </c>
      <c r="C780" t="s">
        <v>179</v>
      </c>
      <c r="D780" t="b">
        <f>TRUE()</f>
        <v>1</v>
      </c>
      <c r="E780" t="b">
        <f>COUNTIF(connections!A:A, A780) &gt; 0</f>
        <v>1</v>
      </c>
      <c r="G780" t="s">
        <v>2635</v>
      </c>
      <c r="H780" t="s">
        <v>187</v>
      </c>
      <c r="I780" t="s">
        <v>2636</v>
      </c>
    </row>
    <row r="781" spans="1:10" x14ac:dyDescent="0.25">
      <c r="A781" t="s">
        <v>2637</v>
      </c>
      <c r="B781">
        <v>2013</v>
      </c>
      <c r="C781" t="s">
        <v>179</v>
      </c>
      <c r="D781" t="b">
        <f>TRUE()</f>
        <v>1</v>
      </c>
      <c r="E781" t="b">
        <f>COUNTIF(connections!A:A, A781) &gt; 0</f>
        <v>0</v>
      </c>
      <c r="G781" t="s">
        <v>2638</v>
      </c>
    </row>
    <row r="782" spans="1:10" x14ac:dyDescent="0.25">
      <c r="A782" t="s">
        <v>2639</v>
      </c>
      <c r="B782">
        <v>2025</v>
      </c>
      <c r="C782" t="s">
        <v>222</v>
      </c>
      <c r="D782" t="b">
        <f>FALSE()</f>
        <v>0</v>
      </c>
      <c r="E782" t="b">
        <f>COUNTIF(connections!A:A, A782) &gt; 0</f>
        <v>0</v>
      </c>
      <c r="G782" t="s">
        <v>2640</v>
      </c>
      <c r="H782" t="s">
        <v>187</v>
      </c>
      <c r="I782" t="s">
        <v>2641</v>
      </c>
      <c r="J782" s="1" t="s">
        <v>2642</v>
      </c>
    </row>
    <row r="783" spans="1:10" x14ac:dyDescent="0.25">
      <c r="A783" t="s">
        <v>2643</v>
      </c>
      <c r="B783">
        <v>2024</v>
      </c>
      <c r="C783" t="s">
        <v>222</v>
      </c>
      <c r="D783" t="b">
        <f>TRUE()</f>
        <v>1</v>
      </c>
      <c r="E783" t="b">
        <f>COUNTIF(connections!A:A, A783) &gt; 0</f>
        <v>0</v>
      </c>
      <c r="G783" t="s">
        <v>2644</v>
      </c>
    </row>
    <row r="784" spans="1:10" x14ac:dyDescent="0.25">
      <c r="A784" t="s">
        <v>2645</v>
      </c>
      <c r="B784">
        <v>2023</v>
      </c>
      <c r="C784" t="s">
        <v>176</v>
      </c>
      <c r="D784" t="b">
        <f>TRUE()</f>
        <v>1</v>
      </c>
      <c r="E784" t="b">
        <f>COUNTIF(connections!A:A, A784) &gt; 0</f>
        <v>0</v>
      </c>
      <c r="G784" t="s">
        <v>2646</v>
      </c>
      <c r="H784" t="s">
        <v>187</v>
      </c>
      <c r="I784" t="s">
        <v>8348</v>
      </c>
      <c r="J784" s="10" t="s">
        <v>2647</v>
      </c>
    </row>
    <row r="785" spans="1:10" x14ac:dyDescent="0.25">
      <c r="A785" t="s">
        <v>2648</v>
      </c>
      <c r="B785">
        <v>2021</v>
      </c>
      <c r="C785" t="s">
        <v>222</v>
      </c>
      <c r="D785" t="b">
        <f>TRUE()</f>
        <v>1</v>
      </c>
      <c r="E785" t="b">
        <f>COUNTIF(connections!A:A, A785) &gt; 0</f>
        <v>0</v>
      </c>
      <c r="G785" t="s">
        <v>2649</v>
      </c>
      <c r="H785" t="s">
        <v>187</v>
      </c>
      <c r="I785" t="s">
        <v>2650</v>
      </c>
      <c r="J785" s="1" t="s">
        <v>2651</v>
      </c>
    </row>
    <row r="786" spans="1:10" x14ac:dyDescent="0.25">
      <c r="A786" t="s">
        <v>2652</v>
      </c>
      <c r="B786">
        <v>2019</v>
      </c>
      <c r="C786" t="s">
        <v>222</v>
      </c>
      <c r="D786" t="b">
        <f>TRUE()</f>
        <v>1</v>
      </c>
      <c r="E786" t="b">
        <f>COUNTIF(connections!A:A, A786) &gt; 0</f>
        <v>1</v>
      </c>
      <c r="G786" t="s">
        <v>2653</v>
      </c>
      <c r="H786" t="s">
        <v>187</v>
      </c>
      <c r="I786" t="s">
        <v>2654</v>
      </c>
      <c r="J786" s="1" t="s">
        <v>2655</v>
      </c>
    </row>
    <row r="787" spans="1:10" x14ac:dyDescent="0.25">
      <c r="A787" t="s">
        <v>7937</v>
      </c>
      <c r="B787">
        <v>2026</v>
      </c>
      <c r="C787" t="s">
        <v>182</v>
      </c>
      <c r="D787" t="b">
        <f>TRUE()</f>
        <v>1</v>
      </c>
      <c r="E787" t="b">
        <f>COUNTIF(connections!A:A, A787) &gt; 0</f>
        <v>0</v>
      </c>
      <c r="G787" t="s">
        <v>7938</v>
      </c>
      <c r="J787" s="10" t="s">
        <v>7939</v>
      </c>
    </row>
    <row r="788" spans="1:10" x14ac:dyDescent="0.25">
      <c r="A788" t="s">
        <v>8149</v>
      </c>
      <c r="B788">
        <v>2026</v>
      </c>
      <c r="C788" t="s">
        <v>176</v>
      </c>
      <c r="D788" t="b">
        <f>TRUE()</f>
        <v>1</v>
      </c>
      <c r="E788" t="b">
        <f>COUNTIF(connections!A:A, A788) &gt; 0</f>
        <v>0</v>
      </c>
      <c r="G788" t="s">
        <v>8151</v>
      </c>
      <c r="J788" s="10" t="s">
        <v>8150</v>
      </c>
    </row>
    <row r="789" spans="1:10" x14ac:dyDescent="0.25">
      <c r="A789" t="s">
        <v>2656</v>
      </c>
      <c r="B789">
        <v>2004</v>
      </c>
      <c r="C789" t="s">
        <v>179</v>
      </c>
      <c r="D789" t="b">
        <f>TRUE()</f>
        <v>1</v>
      </c>
      <c r="E789" t="b">
        <f>COUNTIF(connections!A:A, A789) &gt; 0</f>
        <v>0</v>
      </c>
      <c r="G789" t="s">
        <v>2657</v>
      </c>
      <c r="H789" t="s">
        <v>187</v>
      </c>
      <c r="I789" t="s">
        <v>2658</v>
      </c>
    </row>
    <row r="790" spans="1:10" x14ac:dyDescent="0.25">
      <c r="A790" t="s">
        <v>2659</v>
      </c>
      <c r="B790">
        <v>2023</v>
      </c>
      <c r="C790" t="s">
        <v>222</v>
      </c>
      <c r="D790" t="b">
        <f>TRUE()</f>
        <v>1</v>
      </c>
      <c r="E790" t="b">
        <f>COUNTIF(connections!A:A, A790) &gt; 0</f>
        <v>0</v>
      </c>
      <c r="F790" t="s">
        <v>1164</v>
      </c>
      <c r="G790" t="s">
        <v>2660</v>
      </c>
      <c r="H790" t="s">
        <v>187</v>
      </c>
      <c r="I790" t="s">
        <v>2661</v>
      </c>
      <c r="J790" s="1" t="s">
        <v>2662</v>
      </c>
    </row>
    <row r="791" spans="1:10" x14ac:dyDescent="0.25">
      <c r="A791" t="s">
        <v>2663</v>
      </c>
      <c r="B791">
        <v>2024</v>
      </c>
      <c r="C791" t="s">
        <v>176</v>
      </c>
      <c r="D791" t="b">
        <f>TRUE()</f>
        <v>1</v>
      </c>
      <c r="E791" t="b">
        <f>COUNTIF(connections!A:A, A791) &gt; 0</f>
        <v>0</v>
      </c>
      <c r="G791" t="s">
        <v>2664</v>
      </c>
      <c r="H791" t="s">
        <v>187</v>
      </c>
      <c r="I791" t="s">
        <v>2665</v>
      </c>
      <c r="J791" s="1" t="s">
        <v>2666</v>
      </c>
    </row>
    <row r="792" spans="1:10" x14ac:dyDescent="0.25">
      <c r="A792" t="s">
        <v>2667</v>
      </c>
      <c r="B792">
        <v>2025</v>
      </c>
      <c r="C792" t="s">
        <v>182</v>
      </c>
      <c r="D792" t="b">
        <f>TRUE()</f>
        <v>1</v>
      </c>
      <c r="E792" t="b">
        <f>COUNTIF(connections!A:A, A792) &gt; 0</f>
        <v>0</v>
      </c>
      <c r="G792" t="s">
        <v>2668</v>
      </c>
      <c r="H792" t="s">
        <v>187</v>
      </c>
      <c r="I792" t="s">
        <v>8141</v>
      </c>
      <c r="J792" s="10" t="s">
        <v>2985</v>
      </c>
    </row>
    <row r="793" spans="1:10" x14ac:dyDescent="0.25">
      <c r="A793" t="s">
        <v>2669</v>
      </c>
      <c r="B793">
        <v>2024</v>
      </c>
      <c r="C793" t="s">
        <v>176</v>
      </c>
      <c r="D793" t="b">
        <f>TRUE()</f>
        <v>1</v>
      </c>
      <c r="E793" t="b">
        <f>COUNTIF(connections!A:A, A793) &gt; 0</f>
        <v>0</v>
      </c>
      <c r="G793" t="s">
        <v>2670</v>
      </c>
    </row>
    <row r="794" spans="1:10" x14ac:dyDescent="0.25">
      <c r="A794" t="s">
        <v>2671</v>
      </c>
      <c r="B794">
        <v>2026</v>
      </c>
      <c r="C794" t="s">
        <v>182</v>
      </c>
      <c r="D794" t="b">
        <f>TRUE()</f>
        <v>1</v>
      </c>
      <c r="E794" t="b">
        <f>COUNTIF(connections!A:A, A794) &gt; 0</f>
        <v>0</v>
      </c>
      <c r="F794" t="s">
        <v>506</v>
      </c>
      <c r="G794" t="s">
        <v>2672</v>
      </c>
      <c r="H794" t="s">
        <v>187</v>
      </c>
      <c r="I794" t="s">
        <v>2673</v>
      </c>
      <c r="J794" s="1" t="s">
        <v>2674</v>
      </c>
    </row>
    <row r="795" spans="1:10" x14ac:dyDescent="0.25">
      <c r="A795" t="s">
        <v>2675</v>
      </c>
      <c r="B795">
        <v>2022</v>
      </c>
      <c r="C795" t="s">
        <v>176</v>
      </c>
      <c r="D795" t="b">
        <f>TRUE()</f>
        <v>1</v>
      </c>
      <c r="E795" t="b">
        <f>COUNTIF(connections!A:A, A795) &gt; 0</f>
        <v>1</v>
      </c>
      <c r="G795" t="s">
        <v>2676</v>
      </c>
      <c r="H795" t="s">
        <v>187</v>
      </c>
      <c r="I795" t="s">
        <v>2677</v>
      </c>
      <c r="J795" s="1" t="s">
        <v>2678</v>
      </c>
    </row>
    <row r="796" spans="1:10" x14ac:dyDescent="0.25">
      <c r="A796" t="s">
        <v>2679</v>
      </c>
      <c r="B796">
        <v>2018</v>
      </c>
      <c r="C796" t="s">
        <v>176</v>
      </c>
      <c r="D796" t="b">
        <f>TRUE()</f>
        <v>1</v>
      </c>
      <c r="E796" t="b">
        <f>COUNTIF(connections!A:A, A796) &gt; 0</f>
        <v>0</v>
      </c>
      <c r="G796" t="s">
        <v>2680</v>
      </c>
    </row>
    <row r="797" spans="1:10" x14ac:dyDescent="0.25">
      <c r="A797" t="s">
        <v>2681</v>
      </c>
      <c r="B797">
        <v>2014</v>
      </c>
      <c r="C797" t="s">
        <v>179</v>
      </c>
      <c r="D797" t="b">
        <f>TRUE()</f>
        <v>1</v>
      </c>
      <c r="E797" t="b">
        <f>COUNTIF(connections!A:A, A797) &gt; 0</f>
        <v>0</v>
      </c>
      <c r="G797" t="s">
        <v>2682</v>
      </c>
      <c r="J797" s="10" t="s">
        <v>2683</v>
      </c>
    </row>
    <row r="798" spans="1:10" x14ac:dyDescent="0.25">
      <c r="A798" t="s">
        <v>2684</v>
      </c>
      <c r="B798">
        <v>2025</v>
      </c>
      <c r="C798" t="s">
        <v>222</v>
      </c>
      <c r="D798" t="b">
        <f>FALSE()</f>
        <v>0</v>
      </c>
      <c r="E798" t="b">
        <f>COUNTIF(connections!A:A, A798) &gt; 0</f>
        <v>0</v>
      </c>
      <c r="F798" t="s">
        <v>404</v>
      </c>
      <c r="G798" t="s">
        <v>2685</v>
      </c>
    </row>
    <row r="799" spans="1:10" x14ac:dyDescent="0.25">
      <c r="A799" t="s">
        <v>2686</v>
      </c>
      <c r="B799">
        <v>2025</v>
      </c>
      <c r="C799" t="s">
        <v>182</v>
      </c>
      <c r="D799" t="b">
        <f>TRUE()</f>
        <v>1</v>
      </c>
      <c r="E799" t="b">
        <f>COUNTIF(connections!A:A, A799) &gt; 0</f>
        <v>0</v>
      </c>
      <c r="G799" t="s">
        <v>2687</v>
      </c>
    </row>
    <row r="800" spans="1:10" x14ac:dyDescent="0.25">
      <c r="A800" t="s">
        <v>2688</v>
      </c>
      <c r="B800">
        <v>2023</v>
      </c>
      <c r="C800" t="s">
        <v>176</v>
      </c>
      <c r="D800" t="b">
        <f>TRUE()</f>
        <v>1</v>
      </c>
      <c r="E800" t="b">
        <f>COUNTIF(connections!A:A, A800) &gt; 0</f>
        <v>0</v>
      </c>
      <c r="G800" t="s">
        <v>2689</v>
      </c>
      <c r="J800" s="10" t="s">
        <v>2690</v>
      </c>
    </row>
    <row r="801" spans="1:10" x14ac:dyDescent="0.25">
      <c r="A801" t="s">
        <v>2691</v>
      </c>
      <c r="B801">
        <v>2023</v>
      </c>
      <c r="C801" t="s">
        <v>176</v>
      </c>
      <c r="D801" t="b">
        <f>TRUE()</f>
        <v>1</v>
      </c>
      <c r="E801" t="b">
        <f>COUNTIF(connections!A:A, A801) &gt; 0</f>
        <v>0</v>
      </c>
      <c r="G801" t="s">
        <v>2692</v>
      </c>
      <c r="H801" t="s">
        <v>187</v>
      </c>
      <c r="I801" t="s">
        <v>2693</v>
      </c>
      <c r="J801" s="1" t="s">
        <v>2694</v>
      </c>
    </row>
    <row r="802" spans="1:10" x14ac:dyDescent="0.25">
      <c r="A802" t="s">
        <v>7966</v>
      </c>
      <c r="B802">
        <v>2026</v>
      </c>
      <c r="C802" t="s">
        <v>182</v>
      </c>
      <c r="D802" t="b">
        <f>TRUE()</f>
        <v>1</v>
      </c>
      <c r="E802" t="b">
        <f>COUNTIF(connections!A:A, A802) &gt; 0</f>
        <v>0</v>
      </c>
      <c r="G802" t="s">
        <v>7967</v>
      </c>
      <c r="J802" s="10" t="s">
        <v>7968</v>
      </c>
    </row>
    <row r="803" spans="1:10" x14ac:dyDescent="0.25">
      <c r="A803" t="s">
        <v>2695</v>
      </c>
      <c r="B803">
        <v>2025</v>
      </c>
      <c r="C803" t="s">
        <v>182</v>
      </c>
      <c r="D803" t="b">
        <f>TRUE()</f>
        <v>1</v>
      </c>
      <c r="E803" t="b">
        <f>COUNTIF(connections!A:A, A803) &gt; 0</f>
        <v>1</v>
      </c>
      <c r="F803" t="s">
        <v>1030</v>
      </c>
      <c r="G803" t="s">
        <v>2696</v>
      </c>
      <c r="J803" s="10" t="s">
        <v>2697</v>
      </c>
    </row>
    <row r="804" spans="1:10" x14ac:dyDescent="0.25">
      <c r="A804" t="s">
        <v>2698</v>
      </c>
      <c r="B804">
        <v>2022</v>
      </c>
      <c r="C804" t="s">
        <v>176</v>
      </c>
      <c r="D804" t="b">
        <f>TRUE()</f>
        <v>1</v>
      </c>
      <c r="E804" t="b">
        <f>COUNTIF(connections!A:A, A804) &gt; 0</f>
        <v>1</v>
      </c>
      <c r="G804" t="s">
        <v>2699</v>
      </c>
      <c r="H804" t="s">
        <v>187</v>
      </c>
      <c r="I804" t="s">
        <v>2700</v>
      </c>
      <c r="J804" s="1" t="s">
        <v>2701</v>
      </c>
    </row>
    <row r="805" spans="1:10" x14ac:dyDescent="0.25">
      <c r="A805" t="s">
        <v>2702</v>
      </c>
      <c r="B805">
        <v>2022</v>
      </c>
      <c r="C805" t="s">
        <v>222</v>
      </c>
      <c r="D805" t="b">
        <f>TRUE()</f>
        <v>1</v>
      </c>
      <c r="E805" t="b">
        <f>COUNTIF(connections!A:A, A805) &gt; 0</f>
        <v>0</v>
      </c>
      <c r="G805" t="s">
        <v>2703</v>
      </c>
      <c r="H805" t="s">
        <v>187</v>
      </c>
      <c r="I805" t="s">
        <v>2704</v>
      </c>
      <c r="J805" s="1" t="s">
        <v>2705</v>
      </c>
    </row>
    <row r="806" spans="1:10" x14ac:dyDescent="0.25">
      <c r="A806" t="s">
        <v>2706</v>
      </c>
      <c r="B806">
        <v>1991</v>
      </c>
      <c r="C806" t="s">
        <v>176</v>
      </c>
      <c r="D806" t="b">
        <f>TRUE()</f>
        <v>1</v>
      </c>
      <c r="E806" t="b">
        <f>COUNTIF(connections!A:A, A806) &gt; 0</f>
        <v>1</v>
      </c>
      <c r="G806" t="s">
        <v>2707</v>
      </c>
      <c r="H806" t="s">
        <v>187</v>
      </c>
      <c r="I806" t="s">
        <v>2708</v>
      </c>
    </row>
    <row r="807" spans="1:10" x14ac:dyDescent="0.25">
      <c r="A807" t="s">
        <v>2709</v>
      </c>
      <c r="B807">
        <v>2019</v>
      </c>
      <c r="C807" t="s">
        <v>176</v>
      </c>
      <c r="D807" t="b">
        <f>TRUE()</f>
        <v>1</v>
      </c>
      <c r="E807" t="b">
        <f>COUNTIF(connections!A:A, A807) &gt; 0</f>
        <v>0</v>
      </c>
      <c r="G807" t="s">
        <v>2710</v>
      </c>
    </row>
    <row r="808" spans="1:10" x14ac:dyDescent="0.25">
      <c r="A808" t="s">
        <v>2711</v>
      </c>
      <c r="B808">
        <v>2022</v>
      </c>
      <c r="C808" t="s">
        <v>176</v>
      </c>
      <c r="D808" t="b">
        <f>TRUE()</f>
        <v>1</v>
      </c>
      <c r="E808" t="b">
        <f>COUNTIF(connections!A:A, A808) &gt; 0</f>
        <v>0</v>
      </c>
      <c r="G808" t="s">
        <v>2712</v>
      </c>
      <c r="H808" t="s">
        <v>187</v>
      </c>
      <c r="I808" t="s">
        <v>2713</v>
      </c>
      <c r="J808" s="1" t="s">
        <v>2714</v>
      </c>
    </row>
    <row r="809" spans="1:10" x14ac:dyDescent="0.25">
      <c r="A809" t="s">
        <v>2715</v>
      </c>
      <c r="B809">
        <v>1999</v>
      </c>
      <c r="C809" t="s">
        <v>179</v>
      </c>
      <c r="D809" t="b">
        <f>TRUE()</f>
        <v>1</v>
      </c>
      <c r="E809" t="b">
        <f>COUNTIF(connections!A:A, A809) &gt; 0</f>
        <v>1</v>
      </c>
      <c r="G809" t="s">
        <v>2716</v>
      </c>
      <c r="H809" t="s">
        <v>187</v>
      </c>
      <c r="I809" t="s">
        <v>2717</v>
      </c>
    </row>
    <row r="810" spans="1:10" x14ac:dyDescent="0.25">
      <c r="A810" t="s">
        <v>2718</v>
      </c>
      <c r="B810">
        <v>2002</v>
      </c>
      <c r="C810" t="s">
        <v>179</v>
      </c>
      <c r="D810" t="b">
        <f>TRUE()</f>
        <v>1</v>
      </c>
      <c r="E810" t="b">
        <f>COUNTIF(connections!A:A, A810) &gt; 0</f>
        <v>0</v>
      </c>
      <c r="G810" t="s">
        <v>2719</v>
      </c>
      <c r="H810" t="s">
        <v>187</v>
      </c>
      <c r="I810" t="s">
        <v>2720</v>
      </c>
    </row>
    <row r="811" spans="1:10" x14ac:dyDescent="0.25">
      <c r="A811" t="s">
        <v>2721</v>
      </c>
      <c r="B811">
        <v>1993</v>
      </c>
      <c r="C811" t="s">
        <v>179</v>
      </c>
      <c r="D811" t="b">
        <f>TRUE()</f>
        <v>1</v>
      </c>
      <c r="E811" t="b">
        <f>COUNTIF(connections!A:A, A811) &gt; 0</f>
        <v>1</v>
      </c>
      <c r="G811" t="s">
        <v>2722</v>
      </c>
      <c r="H811" t="s">
        <v>187</v>
      </c>
      <c r="I811" t="s">
        <v>2723</v>
      </c>
    </row>
    <row r="812" spans="1:10" x14ac:dyDescent="0.25">
      <c r="A812" t="s">
        <v>2724</v>
      </c>
      <c r="B812">
        <v>2025</v>
      </c>
      <c r="C812" t="s">
        <v>179</v>
      </c>
      <c r="D812" t="b">
        <f>TRUE()</f>
        <v>1</v>
      </c>
      <c r="E812" t="b">
        <f>COUNTIF(connections!A:A, A812) &gt; 0</f>
        <v>0</v>
      </c>
      <c r="F812" t="s">
        <v>328</v>
      </c>
      <c r="G812" t="s">
        <v>2725</v>
      </c>
      <c r="H812" t="s">
        <v>187</v>
      </c>
      <c r="I812" t="s">
        <v>2726</v>
      </c>
      <c r="J812" s="1" t="s">
        <v>2727</v>
      </c>
    </row>
    <row r="813" spans="1:10" x14ac:dyDescent="0.25">
      <c r="A813" t="s">
        <v>2728</v>
      </c>
      <c r="B813">
        <v>2024</v>
      </c>
      <c r="C813" t="s">
        <v>179</v>
      </c>
      <c r="D813" t="b">
        <f>TRUE()</f>
        <v>1</v>
      </c>
      <c r="E813" t="b">
        <f>COUNTIF(connections!A:A, A813) &gt; 0</f>
        <v>0</v>
      </c>
      <c r="F813" t="s">
        <v>328</v>
      </c>
      <c r="G813" t="s">
        <v>2729</v>
      </c>
      <c r="J813" s="10" t="s">
        <v>2730</v>
      </c>
    </row>
    <row r="814" spans="1:10" x14ac:dyDescent="0.25">
      <c r="A814" t="s">
        <v>2731</v>
      </c>
      <c r="B814">
        <v>2021</v>
      </c>
      <c r="C814" t="s">
        <v>179</v>
      </c>
      <c r="D814" t="b">
        <f>TRUE()</f>
        <v>1</v>
      </c>
      <c r="E814" t="b">
        <f>COUNTIF(connections!A:A, A814) &gt; 0</f>
        <v>0</v>
      </c>
      <c r="F814" t="s">
        <v>328</v>
      </c>
      <c r="G814" t="s">
        <v>2732</v>
      </c>
      <c r="J814" s="10" t="s">
        <v>2733</v>
      </c>
    </row>
    <row r="815" spans="1:10" x14ac:dyDescent="0.25">
      <c r="A815" t="s">
        <v>2734</v>
      </c>
      <c r="B815">
        <v>2022</v>
      </c>
      <c r="C815" t="s">
        <v>182</v>
      </c>
      <c r="D815" t="b">
        <f>TRUE()</f>
        <v>1</v>
      </c>
      <c r="E815" t="b">
        <f>COUNTIF(connections!A:A, A815) &gt; 0</f>
        <v>0</v>
      </c>
      <c r="F815" t="s">
        <v>328</v>
      </c>
      <c r="G815" t="s">
        <v>2735</v>
      </c>
    </row>
    <row r="816" spans="1:10" x14ac:dyDescent="0.25">
      <c r="A816" t="s">
        <v>2736</v>
      </c>
      <c r="B816">
        <v>2025</v>
      </c>
      <c r="C816" t="s">
        <v>222</v>
      </c>
      <c r="D816" t="b">
        <f>TRUE()</f>
        <v>1</v>
      </c>
      <c r="E816" t="b">
        <f>COUNTIF(connections!A:A, A816) &gt; 0</f>
        <v>0</v>
      </c>
      <c r="G816" t="s">
        <v>2737</v>
      </c>
    </row>
    <row r="817" spans="1:10" x14ac:dyDescent="0.25">
      <c r="A817" t="s">
        <v>2738</v>
      </c>
      <c r="B817">
        <v>2023</v>
      </c>
      <c r="C817" t="s">
        <v>182</v>
      </c>
      <c r="D817" t="b">
        <f>TRUE()</f>
        <v>1</v>
      </c>
      <c r="E817" t="b">
        <f>COUNTIF(connections!A:A, A817) &gt; 0</f>
        <v>0</v>
      </c>
      <c r="F817" t="s">
        <v>404</v>
      </c>
      <c r="G817" t="s">
        <v>2739</v>
      </c>
      <c r="H817" t="s">
        <v>187</v>
      </c>
      <c r="I817" t="s">
        <v>2740</v>
      </c>
      <c r="J817" s="1" t="s">
        <v>2741</v>
      </c>
    </row>
    <row r="818" spans="1:10" x14ac:dyDescent="0.25">
      <c r="A818" t="s">
        <v>2742</v>
      </c>
      <c r="B818">
        <v>2024</v>
      </c>
      <c r="C818" t="s">
        <v>222</v>
      </c>
      <c r="D818" t="b">
        <f>TRUE()</f>
        <v>1</v>
      </c>
      <c r="E818" t="b">
        <f>COUNTIF(connections!A:A, A818) &gt; 0</f>
        <v>0</v>
      </c>
      <c r="F818" t="s">
        <v>404</v>
      </c>
      <c r="G818" t="s">
        <v>2743</v>
      </c>
    </row>
    <row r="819" spans="1:10" x14ac:dyDescent="0.25">
      <c r="A819" t="s">
        <v>2744</v>
      </c>
      <c r="B819">
        <v>2017</v>
      </c>
      <c r="C819" t="s">
        <v>176</v>
      </c>
      <c r="D819" t="b">
        <f>TRUE()</f>
        <v>1</v>
      </c>
      <c r="E819" t="b">
        <f>COUNTIF(connections!A:A, A819) &gt; 0</f>
        <v>0</v>
      </c>
      <c r="G819" t="s">
        <v>2745</v>
      </c>
      <c r="H819" t="s">
        <v>187</v>
      </c>
      <c r="I819" t="s">
        <v>8349</v>
      </c>
      <c r="J819" s="10" t="s">
        <v>2746</v>
      </c>
    </row>
    <row r="820" spans="1:10" x14ac:dyDescent="0.25">
      <c r="A820" t="s">
        <v>2747</v>
      </c>
      <c r="B820">
        <v>2014</v>
      </c>
      <c r="C820" t="s">
        <v>176</v>
      </c>
      <c r="D820" t="b">
        <f>TRUE()</f>
        <v>1</v>
      </c>
      <c r="E820" t="b">
        <f>COUNTIF(connections!A:A, A820) &gt; 0</f>
        <v>1</v>
      </c>
      <c r="G820" t="s">
        <v>2748</v>
      </c>
      <c r="H820" t="s">
        <v>187</v>
      </c>
      <c r="I820" t="s">
        <v>2749</v>
      </c>
      <c r="J820" s="1" t="s">
        <v>2750</v>
      </c>
    </row>
    <row r="821" spans="1:10" x14ac:dyDescent="0.25">
      <c r="A821" t="s">
        <v>2751</v>
      </c>
      <c r="B821">
        <v>2021</v>
      </c>
      <c r="C821" t="s">
        <v>182</v>
      </c>
      <c r="D821" t="b">
        <f>TRUE()</f>
        <v>1</v>
      </c>
      <c r="E821" t="b">
        <f>COUNTIF(connections!A:A, A821) &gt; 0</f>
        <v>1</v>
      </c>
      <c r="F821" t="s">
        <v>404</v>
      </c>
      <c r="G821" t="s">
        <v>2752</v>
      </c>
      <c r="H821" t="s">
        <v>187</v>
      </c>
      <c r="I821" t="s">
        <v>2753</v>
      </c>
      <c r="J821" s="1" t="s">
        <v>2754</v>
      </c>
    </row>
    <row r="822" spans="1:10" x14ac:dyDescent="0.25">
      <c r="A822" t="s">
        <v>2755</v>
      </c>
      <c r="B822">
        <v>2025</v>
      </c>
      <c r="C822" t="s">
        <v>182</v>
      </c>
      <c r="D822" t="b">
        <f>TRUE()</f>
        <v>1</v>
      </c>
      <c r="E822" t="b">
        <f>COUNTIF(connections!A:A, A822) &gt; 0</f>
        <v>0</v>
      </c>
      <c r="G822" t="s">
        <v>2756</v>
      </c>
    </row>
    <row r="823" spans="1:10" x14ac:dyDescent="0.25">
      <c r="A823" t="s">
        <v>8124</v>
      </c>
      <c r="B823">
        <v>2024</v>
      </c>
      <c r="C823" t="s">
        <v>222</v>
      </c>
      <c r="D823" t="b">
        <f>TRUE()</f>
        <v>1</v>
      </c>
      <c r="E823" t="b">
        <f>COUNTIF(connections!A:A, A823) &gt; 0</f>
        <v>0</v>
      </c>
      <c r="G823" t="s">
        <v>8125</v>
      </c>
      <c r="J823" s="10" t="s">
        <v>8126</v>
      </c>
    </row>
    <row r="824" spans="1:10" x14ac:dyDescent="0.25">
      <c r="A824" t="s">
        <v>2757</v>
      </c>
      <c r="B824">
        <v>2019</v>
      </c>
      <c r="C824" t="s">
        <v>182</v>
      </c>
      <c r="D824" t="b">
        <f>TRUE()</f>
        <v>1</v>
      </c>
      <c r="E824" t="b">
        <f>COUNTIF(connections!A:A, A824) &gt; 0</f>
        <v>0</v>
      </c>
      <c r="G824" t="s">
        <v>2758</v>
      </c>
      <c r="H824" t="s">
        <v>187</v>
      </c>
      <c r="I824" t="s">
        <v>8350</v>
      </c>
      <c r="J824" s="1" t="s">
        <v>2759</v>
      </c>
    </row>
    <row r="825" spans="1:10" x14ac:dyDescent="0.25">
      <c r="A825" t="s">
        <v>2760</v>
      </c>
      <c r="B825">
        <v>2017</v>
      </c>
      <c r="C825" t="s">
        <v>176</v>
      </c>
      <c r="D825" t="b">
        <f>TRUE()</f>
        <v>1</v>
      </c>
      <c r="E825" t="b">
        <f>COUNTIF(connections!A:A, A825) &gt; 0</f>
        <v>0</v>
      </c>
      <c r="G825" t="s">
        <v>2761</v>
      </c>
      <c r="J825" s="10" t="s">
        <v>2762</v>
      </c>
    </row>
    <row r="826" spans="1:10" x14ac:dyDescent="0.25">
      <c r="A826" t="s">
        <v>2763</v>
      </c>
      <c r="B826">
        <v>2026</v>
      </c>
      <c r="C826" t="s">
        <v>182</v>
      </c>
      <c r="D826" t="b">
        <f>TRUE()</f>
        <v>1</v>
      </c>
      <c r="E826" t="b">
        <f>COUNTIF(connections!A:A, A826) &gt; 0</f>
        <v>0</v>
      </c>
      <c r="G826" t="s">
        <v>2764</v>
      </c>
      <c r="H826" t="s">
        <v>187</v>
      </c>
      <c r="I826" t="s">
        <v>8142</v>
      </c>
      <c r="J826" s="1" t="s">
        <v>2765</v>
      </c>
    </row>
    <row r="827" spans="1:10" x14ac:dyDescent="0.25">
      <c r="A827" t="s">
        <v>2766</v>
      </c>
      <c r="B827">
        <v>2025</v>
      </c>
      <c r="C827" t="s">
        <v>176</v>
      </c>
      <c r="D827" t="b">
        <f>TRUE()</f>
        <v>1</v>
      </c>
      <c r="E827" t="b">
        <f>COUNTIF(connections!A:A, A827) &gt; 0</f>
        <v>0</v>
      </c>
      <c r="G827" t="s">
        <v>2767</v>
      </c>
      <c r="H827" t="s">
        <v>187</v>
      </c>
      <c r="I827" t="s">
        <v>8136</v>
      </c>
      <c r="J827" s="1" t="s">
        <v>2768</v>
      </c>
    </row>
    <row r="828" spans="1:10" x14ac:dyDescent="0.25">
      <c r="A828" t="s">
        <v>2769</v>
      </c>
      <c r="B828">
        <v>2012</v>
      </c>
      <c r="C828" t="s">
        <v>179</v>
      </c>
      <c r="D828" t="b">
        <f>TRUE()</f>
        <v>1</v>
      </c>
      <c r="E828" t="b">
        <f>COUNTIF(connections!A:A, A828) &gt; 0</f>
        <v>0</v>
      </c>
      <c r="G828" t="s">
        <v>2770</v>
      </c>
    </row>
    <row r="829" spans="1:10" x14ac:dyDescent="0.25">
      <c r="A829" t="s">
        <v>2771</v>
      </c>
      <c r="B829">
        <v>2021</v>
      </c>
      <c r="C829" t="s">
        <v>179</v>
      </c>
      <c r="D829" t="b">
        <f>TRUE()</f>
        <v>1</v>
      </c>
      <c r="E829" t="b">
        <f>COUNTIF(connections!A:A, A829) &gt; 0</f>
        <v>0</v>
      </c>
      <c r="G829" t="s">
        <v>2772</v>
      </c>
      <c r="H829" t="s">
        <v>187</v>
      </c>
      <c r="I829" t="s">
        <v>2773</v>
      </c>
      <c r="J829" s="1" t="s">
        <v>2774</v>
      </c>
    </row>
    <row r="830" spans="1:10" x14ac:dyDescent="0.25">
      <c r="A830" t="s">
        <v>7706</v>
      </c>
      <c r="B830">
        <v>2026</v>
      </c>
      <c r="C830" t="s">
        <v>182</v>
      </c>
      <c r="D830" t="b">
        <f>TRUE()</f>
        <v>1</v>
      </c>
      <c r="E830" t="b">
        <f>COUNTIF(connections!A:A, A830) &gt; 0</f>
        <v>0</v>
      </c>
      <c r="G830" t="s">
        <v>7707</v>
      </c>
      <c r="J830" s="10" t="s">
        <v>7705</v>
      </c>
    </row>
    <row r="831" spans="1:10" x14ac:dyDescent="0.25">
      <c r="A831" t="s">
        <v>2775</v>
      </c>
      <c r="B831">
        <v>2021</v>
      </c>
      <c r="C831" t="s">
        <v>222</v>
      </c>
      <c r="D831" t="b">
        <f>FALSE()</f>
        <v>0</v>
      </c>
      <c r="E831" t="b">
        <f>COUNTIF(connections!A:A, A831) &gt; 0</f>
        <v>1</v>
      </c>
      <c r="F831" t="s">
        <v>2776</v>
      </c>
      <c r="G831" t="s">
        <v>2777</v>
      </c>
      <c r="H831" t="s">
        <v>187</v>
      </c>
      <c r="I831" t="s">
        <v>2778</v>
      </c>
      <c r="J831" s="1" t="s">
        <v>2779</v>
      </c>
    </row>
    <row r="832" spans="1:10" x14ac:dyDescent="0.25">
      <c r="A832" t="s">
        <v>2780</v>
      </c>
      <c r="B832">
        <v>2024</v>
      </c>
      <c r="C832" t="s">
        <v>176</v>
      </c>
      <c r="D832" t="b">
        <f>FALSE()</f>
        <v>0</v>
      </c>
      <c r="E832" t="b">
        <f>COUNTIF(connections!A:A, A832) &gt; 0</f>
        <v>0</v>
      </c>
      <c r="F832" t="s">
        <v>277</v>
      </c>
      <c r="G832" t="s">
        <v>2781</v>
      </c>
    </row>
    <row r="833" spans="1:10" x14ac:dyDescent="0.25">
      <c r="A833" t="s">
        <v>2782</v>
      </c>
      <c r="B833">
        <v>2019</v>
      </c>
      <c r="C833" t="s">
        <v>176</v>
      </c>
      <c r="D833" t="b">
        <f>TRUE()</f>
        <v>1</v>
      </c>
      <c r="E833" t="b">
        <f>COUNTIF(connections!A:A, A833) &gt; 0</f>
        <v>1</v>
      </c>
      <c r="F833" t="s">
        <v>617</v>
      </c>
      <c r="G833" t="s">
        <v>2783</v>
      </c>
      <c r="H833" t="s">
        <v>187</v>
      </c>
      <c r="I833" t="s">
        <v>2784</v>
      </c>
      <c r="J833" s="1" t="s">
        <v>2785</v>
      </c>
    </row>
    <row r="834" spans="1:10" x14ac:dyDescent="0.25">
      <c r="A834" t="s">
        <v>2786</v>
      </c>
      <c r="B834">
        <v>2025</v>
      </c>
      <c r="C834" t="s">
        <v>176</v>
      </c>
      <c r="D834" t="b">
        <f>TRUE()</f>
        <v>1</v>
      </c>
      <c r="E834" t="b">
        <f>COUNTIF(connections!A:A, A834) &gt; 0</f>
        <v>0</v>
      </c>
      <c r="F834" t="s">
        <v>617</v>
      </c>
      <c r="G834" t="s">
        <v>2787</v>
      </c>
    </row>
    <row r="835" spans="1:10" x14ac:dyDescent="0.25">
      <c r="A835" t="s">
        <v>2788</v>
      </c>
      <c r="B835">
        <v>2017</v>
      </c>
      <c r="C835" t="s">
        <v>176</v>
      </c>
      <c r="D835" t="b">
        <f>TRUE()</f>
        <v>1</v>
      </c>
      <c r="E835" t="b">
        <f>COUNTIF(connections!A:A, A835) &gt; 0</f>
        <v>1</v>
      </c>
      <c r="G835" t="s">
        <v>2789</v>
      </c>
    </row>
    <row r="836" spans="1:10" x14ac:dyDescent="0.25">
      <c r="A836" t="s">
        <v>2790</v>
      </c>
      <c r="B836">
        <v>2022</v>
      </c>
      <c r="C836" t="s">
        <v>176</v>
      </c>
      <c r="D836" t="b">
        <f>TRUE()</f>
        <v>1</v>
      </c>
      <c r="E836" t="b">
        <f>COUNTIF(connections!A:A, A836) &gt; 0</f>
        <v>0</v>
      </c>
      <c r="G836" t="s">
        <v>2791</v>
      </c>
    </row>
    <row r="837" spans="1:10" x14ac:dyDescent="0.25">
      <c r="A837" t="s">
        <v>2792</v>
      </c>
      <c r="B837">
        <v>1992</v>
      </c>
      <c r="C837" t="s">
        <v>179</v>
      </c>
      <c r="D837" t="b">
        <f>TRUE()</f>
        <v>1</v>
      </c>
      <c r="E837" t="b">
        <f>COUNTIF(connections!A:A, A837) &gt; 0</f>
        <v>1</v>
      </c>
      <c r="G837" t="s">
        <v>2793</v>
      </c>
      <c r="H837" t="s">
        <v>187</v>
      </c>
      <c r="I837" t="s">
        <v>2794</v>
      </c>
      <c r="J837" s="1" t="s">
        <v>2795</v>
      </c>
    </row>
    <row r="838" spans="1:10" x14ac:dyDescent="0.25">
      <c r="A838" t="s">
        <v>2796</v>
      </c>
      <c r="B838">
        <v>2018</v>
      </c>
      <c r="C838" t="s">
        <v>176</v>
      </c>
      <c r="D838" t="b">
        <f>TRUE()</f>
        <v>1</v>
      </c>
      <c r="E838" t="b">
        <f>COUNTIF(connections!A:A, A838) &gt; 0</f>
        <v>0</v>
      </c>
      <c r="G838" t="s">
        <v>2797</v>
      </c>
    </row>
    <row r="839" spans="1:10" x14ac:dyDescent="0.25">
      <c r="A839" t="s">
        <v>2798</v>
      </c>
      <c r="B839">
        <v>2026</v>
      </c>
      <c r="C839" t="s">
        <v>182</v>
      </c>
      <c r="D839" t="b">
        <f>TRUE()</f>
        <v>1</v>
      </c>
      <c r="E839" t="b">
        <f>COUNTIF(connections!A:A, A839) &gt; 0</f>
        <v>0</v>
      </c>
      <c r="F839" t="s">
        <v>1805</v>
      </c>
      <c r="G839" t="s">
        <v>2799</v>
      </c>
    </row>
    <row r="840" spans="1:10" x14ac:dyDescent="0.25">
      <c r="A840" t="s">
        <v>2800</v>
      </c>
      <c r="B840">
        <v>2023</v>
      </c>
      <c r="C840" t="s">
        <v>176</v>
      </c>
      <c r="D840" t="b">
        <f>TRUE()</f>
        <v>1</v>
      </c>
      <c r="E840" t="b">
        <f>COUNTIF(connections!A:A, A840) &gt; 0</f>
        <v>0</v>
      </c>
      <c r="F840" t="s">
        <v>1805</v>
      </c>
      <c r="G840" t="s">
        <v>2801</v>
      </c>
      <c r="H840" t="s">
        <v>187</v>
      </c>
      <c r="I840" t="s">
        <v>2802</v>
      </c>
      <c r="J840" s="1" t="s">
        <v>2803</v>
      </c>
    </row>
    <row r="841" spans="1:10" x14ac:dyDescent="0.25">
      <c r="A841" t="s">
        <v>2804</v>
      </c>
      <c r="B841">
        <v>2021</v>
      </c>
      <c r="C841" t="s">
        <v>176</v>
      </c>
      <c r="D841" t="b">
        <f>TRUE()</f>
        <v>1</v>
      </c>
      <c r="E841" t="b">
        <f>COUNTIF(connections!A:A, A841) &gt; 0</f>
        <v>1</v>
      </c>
      <c r="F841" t="s">
        <v>1805</v>
      </c>
      <c r="G841" t="s">
        <v>2805</v>
      </c>
      <c r="H841" t="s">
        <v>187</v>
      </c>
      <c r="I841" t="s">
        <v>2806</v>
      </c>
      <c r="J841" s="1" t="s">
        <v>2807</v>
      </c>
    </row>
    <row r="842" spans="1:10" x14ac:dyDescent="0.25">
      <c r="A842" t="s">
        <v>2808</v>
      </c>
      <c r="B842">
        <v>2020</v>
      </c>
      <c r="C842" t="s">
        <v>182</v>
      </c>
      <c r="D842" t="b">
        <f>TRUE()</f>
        <v>1</v>
      </c>
      <c r="E842" t="b">
        <f>COUNTIF(connections!A:A, A842) &gt; 0</f>
        <v>0</v>
      </c>
      <c r="G842" t="s">
        <v>2809</v>
      </c>
      <c r="H842" t="s">
        <v>187</v>
      </c>
      <c r="I842" t="s">
        <v>2810</v>
      </c>
      <c r="J842" s="1" t="s">
        <v>2811</v>
      </c>
    </row>
    <row r="843" spans="1:10" x14ac:dyDescent="0.25">
      <c r="A843" t="s">
        <v>2812</v>
      </c>
      <c r="B843">
        <v>2024</v>
      </c>
      <c r="C843" t="s">
        <v>176</v>
      </c>
      <c r="D843" t="b">
        <f>TRUE()</f>
        <v>1</v>
      </c>
      <c r="E843" t="b">
        <f>COUNTIF(connections!A:A, A843) &gt; 0</f>
        <v>0</v>
      </c>
      <c r="G843" t="s">
        <v>2813</v>
      </c>
    </row>
    <row r="844" spans="1:10" x14ac:dyDescent="0.25">
      <c r="A844" t="s">
        <v>2814</v>
      </c>
      <c r="B844">
        <v>2026</v>
      </c>
      <c r="C844" t="s">
        <v>176</v>
      </c>
      <c r="D844" t="b">
        <f>TRUE()</f>
        <v>1</v>
      </c>
      <c r="E844" t="b">
        <f>COUNTIF(connections!A:A, A844) &gt; 0</f>
        <v>0</v>
      </c>
      <c r="F844" t="s">
        <v>277</v>
      </c>
      <c r="G844" t="s">
        <v>2815</v>
      </c>
      <c r="H844" t="s">
        <v>187</v>
      </c>
      <c r="I844" t="s">
        <v>2816</v>
      </c>
      <c r="J844" s="1" t="s">
        <v>2817</v>
      </c>
    </row>
    <row r="845" spans="1:10" x14ac:dyDescent="0.25">
      <c r="A845" t="s">
        <v>2818</v>
      </c>
      <c r="B845">
        <v>2021</v>
      </c>
      <c r="C845" t="s">
        <v>182</v>
      </c>
      <c r="D845" t="b">
        <f>TRUE()</f>
        <v>1</v>
      </c>
      <c r="E845" t="b">
        <f>COUNTIF(connections!A:A, A845) &gt; 0</f>
        <v>1</v>
      </c>
      <c r="F845" t="s">
        <v>1030</v>
      </c>
      <c r="G845" t="s">
        <v>2819</v>
      </c>
    </row>
    <row r="846" spans="1:10" x14ac:dyDescent="0.25">
      <c r="A846" t="s">
        <v>2820</v>
      </c>
      <c r="B846">
        <v>2025</v>
      </c>
      <c r="C846" t="s">
        <v>182</v>
      </c>
      <c r="D846" t="b">
        <f>TRUE()</f>
        <v>1</v>
      </c>
      <c r="E846" t="b">
        <f>COUNTIF(connections!A:A, A846) &gt; 0</f>
        <v>0</v>
      </c>
      <c r="G846" t="s">
        <v>2821</v>
      </c>
    </row>
    <row r="847" spans="1:10" x14ac:dyDescent="0.25">
      <c r="A847" t="s">
        <v>2822</v>
      </c>
      <c r="B847">
        <v>2026</v>
      </c>
      <c r="C847" t="s">
        <v>182</v>
      </c>
      <c r="D847" t="b">
        <f>TRUE()</f>
        <v>1</v>
      </c>
      <c r="E847" t="b">
        <f>COUNTIF(connections!A:A, A847) &gt; 0</f>
        <v>0</v>
      </c>
      <c r="G847" t="s">
        <v>2823</v>
      </c>
    </row>
    <row r="848" spans="1:10" x14ac:dyDescent="0.25">
      <c r="A848" t="s">
        <v>2824</v>
      </c>
      <c r="B848">
        <v>2019</v>
      </c>
      <c r="C848" t="s">
        <v>176</v>
      </c>
      <c r="D848" t="b">
        <f>TRUE()</f>
        <v>1</v>
      </c>
      <c r="E848" t="b">
        <f>COUNTIF(connections!A:A, A848) &gt; 0</f>
        <v>1</v>
      </c>
      <c r="F848" t="s">
        <v>274</v>
      </c>
      <c r="G848" t="s">
        <v>2825</v>
      </c>
      <c r="H848" t="s">
        <v>187</v>
      </c>
      <c r="I848" t="s">
        <v>2826</v>
      </c>
      <c r="J848" s="1" t="s">
        <v>2827</v>
      </c>
    </row>
    <row r="849" spans="1:10" x14ac:dyDescent="0.25">
      <c r="A849" t="s">
        <v>2828</v>
      </c>
      <c r="B849">
        <v>2022</v>
      </c>
      <c r="C849" t="s">
        <v>176</v>
      </c>
      <c r="D849" t="b">
        <f>TRUE()</f>
        <v>1</v>
      </c>
      <c r="E849" t="b">
        <f>COUNTIF(connections!A:A, A849) &gt; 0</f>
        <v>1</v>
      </c>
      <c r="G849" t="s">
        <v>2829</v>
      </c>
      <c r="H849" t="s">
        <v>187</v>
      </c>
      <c r="I849" t="s">
        <v>2830</v>
      </c>
      <c r="J849" s="10" t="s">
        <v>2831</v>
      </c>
    </row>
    <row r="850" spans="1:10" x14ac:dyDescent="0.25">
      <c r="A850" t="s">
        <v>2832</v>
      </c>
      <c r="B850">
        <v>2024</v>
      </c>
      <c r="C850" t="s">
        <v>222</v>
      </c>
      <c r="D850" t="b">
        <f>TRUE()</f>
        <v>1</v>
      </c>
      <c r="E850" t="b">
        <f>COUNTIF(connections!A:A, A850) &gt; 0</f>
        <v>0</v>
      </c>
      <c r="F850" t="s">
        <v>274</v>
      </c>
      <c r="G850" t="s">
        <v>2833</v>
      </c>
    </row>
    <row r="851" spans="1:10" x14ac:dyDescent="0.25">
      <c r="A851" t="s">
        <v>2834</v>
      </c>
      <c r="B851">
        <v>2023</v>
      </c>
      <c r="C851" t="s">
        <v>176</v>
      </c>
      <c r="D851" t="b">
        <f>TRUE()</f>
        <v>1</v>
      </c>
      <c r="E851" t="b">
        <f>COUNTIF(connections!A:A, A851) &gt; 0</f>
        <v>0</v>
      </c>
      <c r="G851" t="s">
        <v>2835</v>
      </c>
      <c r="H851" t="s">
        <v>187</v>
      </c>
      <c r="I851" t="s">
        <v>2836</v>
      </c>
      <c r="J851" s="1" t="s">
        <v>2837</v>
      </c>
    </row>
    <row r="852" spans="1:10" x14ac:dyDescent="0.25">
      <c r="A852" t="s">
        <v>2838</v>
      </c>
      <c r="B852">
        <v>2024</v>
      </c>
      <c r="C852" t="s">
        <v>176</v>
      </c>
      <c r="D852" t="b">
        <f>TRUE()</f>
        <v>1</v>
      </c>
      <c r="E852" t="b">
        <f>COUNTIF(connections!A:A, A852) &gt; 0</f>
        <v>0</v>
      </c>
      <c r="G852" t="s">
        <v>2839</v>
      </c>
    </row>
    <row r="853" spans="1:10" x14ac:dyDescent="0.25">
      <c r="A853" t="s">
        <v>2840</v>
      </c>
      <c r="B853">
        <v>2024</v>
      </c>
      <c r="C853" t="s">
        <v>176</v>
      </c>
      <c r="D853" t="b">
        <v>1</v>
      </c>
      <c r="E853" t="b">
        <f>COUNTIF(connections!A:A, A853) &gt; 0</f>
        <v>0</v>
      </c>
      <c r="G853" t="s">
        <v>2841</v>
      </c>
      <c r="J853" s="1" t="s">
        <v>2842</v>
      </c>
    </row>
    <row r="854" spans="1:10" x14ac:dyDescent="0.25">
      <c r="A854" t="s">
        <v>2843</v>
      </c>
      <c r="B854">
        <v>1998</v>
      </c>
      <c r="C854" t="s">
        <v>179</v>
      </c>
      <c r="D854" t="b">
        <f>TRUE()</f>
        <v>1</v>
      </c>
      <c r="E854" t="b">
        <f>COUNTIF(connections!A:A, A854) &gt; 0</f>
        <v>0</v>
      </c>
      <c r="G854" t="s">
        <v>2844</v>
      </c>
      <c r="H854" t="s">
        <v>187</v>
      </c>
      <c r="I854" t="s">
        <v>2845</v>
      </c>
    </row>
    <row r="855" spans="1:10" x14ac:dyDescent="0.25">
      <c r="A855" t="s">
        <v>2846</v>
      </c>
      <c r="B855">
        <v>2023</v>
      </c>
      <c r="C855" t="s">
        <v>222</v>
      </c>
      <c r="D855" t="b">
        <f>TRUE()</f>
        <v>1</v>
      </c>
      <c r="E855" t="b">
        <f>COUNTIF(connections!A:A, A855) &gt; 0</f>
        <v>1</v>
      </c>
      <c r="F855" t="s">
        <v>617</v>
      </c>
      <c r="G855" t="s">
        <v>2847</v>
      </c>
      <c r="H855" t="s">
        <v>187</v>
      </c>
      <c r="I855" t="s">
        <v>2848</v>
      </c>
      <c r="J855" s="1" t="s">
        <v>2849</v>
      </c>
    </row>
    <row r="856" spans="1:10" x14ac:dyDescent="0.25">
      <c r="A856" t="s">
        <v>2850</v>
      </c>
      <c r="B856">
        <v>2025</v>
      </c>
      <c r="C856" t="s">
        <v>222</v>
      </c>
      <c r="D856" t="b">
        <f>TRUE()</f>
        <v>1</v>
      </c>
      <c r="E856" t="b">
        <f>COUNTIF(connections!A:A, A856) &gt; 0</f>
        <v>0</v>
      </c>
      <c r="F856" t="s">
        <v>617</v>
      </c>
      <c r="G856" t="s">
        <v>2851</v>
      </c>
    </row>
    <row r="857" spans="1:10" x14ac:dyDescent="0.25">
      <c r="A857" t="s">
        <v>7852</v>
      </c>
      <c r="B857">
        <v>2026</v>
      </c>
      <c r="C857" t="s">
        <v>176</v>
      </c>
      <c r="D857" t="b">
        <f>TRUE()</f>
        <v>1</v>
      </c>
      <c r="E857" t="b">
        <f>COUNTIF(connections!A:A, A857) &gt; 0</f>
        <v>0</v>
      </c>
      <c r="G857" t="s">
        <v>7853</v>
      </c>
      <c r="J857" s="10" t="s">
        <v>7854</v>
      </c>
    </row>
    <row r="858" spans="1:10" x14ac:dyDescent="0.25">
      <c r="A858" t="s">
        <v>2852</v>
      </c>
      <c r="B858">
        <v>2026</v>
      </c>
      <c r="C858" t="s">
        <v>176</v>
      </c>
      <c r="D858" t="b">
        <f>TRUE()</f>
        <v>1</v>
      </c>
      <c r="E858" t="b">
        <f>COUNTIF(connections!A:A, A858) &gt; 0</f>
        <v>0</v>
      </c>
      <c r="G858" t="s">
        <v>2853</v>
      </c>
    </row>
    <row r="859" spans="1:10" x14ac:dyDescent="0.25">
      <c r="A859" t="s">
        <v>2854</v>
      </c>
      <c r="B859">
        <v>2023</v>
      </c>
      <c r="C859" t="s">
        <v>179</v>
      </c>
      <c r="D859" t="b">
        <f>TRUE()</f>
        <v>1</v>
      </c>
      <c r="E859" t="b">
        <f>COUNTIF(connections!A:A, A859) &gt; 0</f>
        <v>0</v>
      </c>
      <c r="F859" t="s">
        <v>274</v>
      </c>
      <c r="G859" t="s">
        <v>2855</v>
      </c>
    </row>
    <row r="860" spans="1:10" x14ac:dyDescent="0.25">
      <c r="A860" t="s">
        <v>2856</v>
      </c>
      <c r="B860">
        <v>2025</v>
      </c>
      <c r="C860" t="s">
        <v>176</v>
      </c>
      <c r="D860" t="b">
        <f>TRUE()</f>
        <v>1</v>
      </c>
      <c r="E860" t="b">
        <f>COUNTIF(connections!A:A, A860) &gt; 0</f>
        <v>0</v>
      </c>
      <c r="G860" t="s">
        <v>2857</v>
      </c>
      <c r="H860" t="s">
        <v>187</v>
      </c>
      <c r="I860" t="s">
        <v>2858</v>
      </c>
      <c r="J860" s="1" t="s">
        <v>2859</v>
      </c>
    </row>
    <row r="861" spans="1:10" x14ac:dyDescent="0.25">
      <c r="A861" t="s">
        <v>2860</v>
      </c>
      <c r="B861">
        <v>2017</v>
      </c>
      <c r="C861" t="s">
        <v>222</v>
      </c>
      <c r="D861" t="b">
        <f>TRUE()</f>
        <v>1</v>
      </c>
      <c r="E861" t="b">
        <f>COUNTIF(connections!A:A, A861) &gt; 0</f>
        <v>0</v>
      </c>
      <c r="G861" t="s">
        <v>2861</v>
      </c>
      <c r="H861" t="s">
        <v>187</v>
      </c>
      <c r="I861" t="s">
        <v>2862</v>
      </c>
      <c r="J861" s="1" t="s">
        <v>2863</v>
      </c>
    </row>
    <row r="862" spans="1:10" x14ac:dyDescent="0.25">
      <c r="A862" t="s">
        <v>2864</v>
      </c>
      <c r="B862">
        <v>2011</v>
      </c>
      <c r="C862" t="s">
        <v>179</v>
      </c>
      <c r="D862" t="b">
        <f>TRUE()</f>
        <v>1</v>
      </c>
      <c r="E862" t="b">
        <f>COUNTIF(connections!A:A, A862) &gt; 0</f>
        <v>0</v>
      </c>
      <c r="G862" t="s">
        <v>2865</v>
      </c>
    </row>
    <row r="863" spans="1:10" x14ac:dyDescent="0.25">
      <c r="A863" t="s">
        <v>2866</v>
      </c>
      <c r="B863">
        <v>2012</v>
      </c>
      <c r="C863" t="s">
        <v>222</v>
      </c>
      <c r="D863" t="b">
        <f>TRUE()</f>
        <v>1</v>
      </c>
      <c r="E863" t="b">
        <f>COUNTIF(connections!A:A, A863) &gt; 0</f>
        <v>0</v>
      </c>
      <c r="G863" t="s">
        <v>2867</v>
      </c>
      <c r="H863" t="s">
        <v>187</v>
      </c>
      <c r="I863" t="s">
        <v>2868</v>
      </c>
      <c r="J863" s="1" t="s">
        <v>2869</v>
      </c>
    </row>
    <row r="864" spans="1:10" x14ac:dyDescent="0.25">
      <c r="A864" t="s">
        <v>2870</v>
      </c>
      <c r="B864">
        <v>2017</v>
      </c>
      <c r="C864" t="s">
        <v>176</v>
      </c>
      <c r="D864" t="b">
        <f>FALSE()</f>
        <v>0</v>
      </c>
      <c r="E864" t="b">
        <f>COUNTIF(connections!A:A, A864) &gt; 0</f>
        <v>0</v>
      </c>
      <c r="F864" t="s">
        <v>652</v>
      </c>
      <c r="G864" t="s">
        <v>2871</v>
      </c>
      <c r="H864" t="s">
        <v>187</v>
      </c>
      <c r="I864" t="s">
        <v>2872</v>
      </c>
      <c r="J864" s="1" t="s">
        <v>2873</v>
      </c>
    </row>
    <row r="865" spans="1:10" x14ac:dyDescent="0.25">
      <c r="A865" t="s">
        <v>2874</v>
      </c>
      <c r="B865">
        <v>2005</v>
      </c>
      <c r="C865" t="s">
        <v>222</v>
      </c>
      <c r="D865" t="b">
        <f>TRUE()</f>
        <v>1</v>
      </c>
      <c r="E865" t="b">
        <f>COUNTIF(connections!A:A, A865) &gt; 0</f>
        <v>1</v>
      </c>
      <c r="F865" t="s">
        <v>274</v>
      </c>
      <c r="G865" t="s">
        <v>2875</v>
      </c>
      <c r="H865" t="s">
        <v>187</v>
      </c>
      <c r="I865" t="s">
        <v>2876</v>
      </c>
      <c r="J865" s="1" t="s">
        <v>2877</v>
      </c>
    </row>
    <row r="866" spans="1:10" x14ac:dyDescent="0.25">
      <c r="A866" t="s">
        <v>2878</v>
      </c>
      <c r="B866">
        <v>2020</v>
      </c>
      <c r="C866" t="s">
        <v>176</v>
      </c>
      <c r="D866" t="b">
        <f>FALSE()</f>
        <v>0</v>
      </c>
      <c r="E866" t="b">
        <f>COUNTIF(connections!A:A, A866) &gt; 0</f>
        <v>1</v>
      </c>
      <c r="G866" t="s">
        <v>2879</v>
      </c>
      <c r="H866" t="s">
        <v>187</v>
      </c>
      <c r="I866" t="s">
        <v>2880</v>
      </c>
      <c r="J866" s="10" t="s">
        <v>2881</v>
      </c>
    </row>
    <row r="867" spans="1:10" x14ac:dyDescent="0.25">
      <c r="A867" t="s">
        <v>2882</v>
      </c>
      <c r="B867">
        <v>2025</v>
      </c>
      <c r="C867" t="s">
        <v>176</v>
      </c>
      <c r="D867" t="b">
        <f>TRUE()</f>
        <v>1</v>
      </c>
      <c r="E867" t="b">
        <f>COUNTIF(connections!A:A, A867) &gt; 0</f>
        <v>0</v>
      </c>
      <c r="G867" t="s">
        <v>2883</v>
      </c>
    </row>
    <row r="868" spans="1:10" x14ac:dyDescent="0.25">
      <c r="A868" t="s">
        <v>2884</v>
      </c>
      <c r="B868">
        <v>2025</v>
      </c>
      <c r="C868" t="s">
        <v>176</v>
      </c>
      <c r="D868" t="b">
        <f>FALSE()</f>
        <v>0</v>
      </c>
      <c r="E868" t="b">
        <f>COUNTIF(connections!A:A, A868) &gt; 0</f>
        <v>0</v>
      </c>
      <c r="G868" t="s">
        <v>2885</v>
      </c>
    </row>
    <row r="869" spans="1:10" x14ac:dyDescent="0.25">
      <c r="A869" t="s">
        <v>2886</v>
      </c>
      <c r="B869">
        <v>2024</v>
      </c>
      <c r="C869" t="s">
        <v>176</v>
      </c>
      <c r="D869" t="b">
        <f>TRUE()</f>
        <v>1</v>
      </c>
      <c r="E869" t="b">
        <f>COUNTIF(connections!A:A, A869) &gt; 0</f>
        <v>0</v>
      </c>
      <c r="G869" t="s">
        <v>2887</v>
      </c>
    </row>
    <row r="870" spans="1:10" x14ac:dyDescent="0.25">
      <c r="A870" t="s">
        <v>2888</v>
      </c>
      <c r="B870">
        <v>2019</v>
      </c>
      <c r="C870" t="s">
        <v>222</v>
      </c>
      <c r="D870" t="b">
        <f>FALSE()</f>
        <v>0</v>
      </c>
      <c r="E870" t="b">
        <f>COUNTIF(connections!A:A, A870) &gt; 0</f>
        <v>0</v>
      </c>
      <c r="G870" t="s">
        <v>2889</v>
      </c>
    </row>
    <row r="871" spans="1:10" x14ac:dyDescent="0.25">
      <c r="A871" t="s">
        <v>2890</v>
      </c>
      <c r="B871">
        <v>2023</v>
      </c>
      <c r="C871" t="s">
        <v>182</v>
      </c>
      <c r="D871" t="b">
        <f>TRUE()</f>
        <v>1</v>
      </c>
      <c r="E871" t="b">
        <f>COUNTIF(connections!A:A, A871) &gt; 0</f>
        <v>1</v>
      </c>
      <c r="G871" t="s">
        <v>2891</v>
      </c>
      <c r="H871" t="s">
        <v>187</v>
      </c>
      <c r="I871" t="s">
        <v>2892</v>
      </c>
      <c r="J871" s="1" t="s">
        <v>2893</v>
      </c>
    </row>
    <row r="872" spans="1:10" x14ac:dyDescent="0.25">
      <c r="A872" t="s">
        <v>2894</v>
      </c>
      <c r="B872">
        <v>2024</v>
      </c>
      <c r="C872" t="s">
        <v>176</v>
      </c>
      <c r="D872" t="b">
        <f>TRUE()</f>
        <v>1</v>
      </c>
      <c r="E872" t="b">
        <f>COUNTIF(connections!A:A, A872) &gt; 0</f>
        <v>0</v>
      </c>
      <c r="G872" t="s">
        <v>2895</v>
      </c>
    </row>
    <row r="873" spans="1:10" x14ac:dyDescent="0.25">
      <c r="A873" t="s">
        <v>2896</v>
      </c>
      <c r="B873">
        <v>2026</v>
      </c>
      <c r="C873" t="s">
        <v>182</v>
      </c>
      <c r="D873" t="b">
        <f>TRUE()</f>
        <v>1</v>
      </c>
      <c r="E873" t="b">
        <f>COUNTIF(connections!A:A, A873) &gt; 0</f>
        <v>0</v>
      </c>
      <c r="G873" t="s">
        <v>2897</v>
      </c>
    </row>
    <row r="874" spans="1:10" x14ac:dyDescent="0.25">
      <c r="A874" t="s">
        <v>2898</v>
      </c>
      <c r="B874">
        <v>2026</v>
      </c>
      <c r="C874" t="s">
        <v>222</v>
      </c>
      <c r="D874" t="b">
        <f>FALSE()</f>
        <v>0</v>
      </c>
      <c r="E874" t="b">
        <f>COUNTIF(connections!A:A, A874) &gt; 0</f>
        <v>0</v>
      </c>
      <c r="F874" t="s">
        <v>404</v>
      </c>
      <c r="G874" t="s">
        <v>2899</v>
      </c>
      <c r="J874" s="1" t="s">
        <v>2900</v>
      </c>
    </row>
    <row r="875" spans="1:10" x14ac:dyDescent="0.25">
      <c r="A875" t="s">
        <v>2901</v>
      </c>
      <c r="B875">
        <v>2023</v>
      </c>
      <c r="C875" t="s">
        <v>176</v>
      </c>
      <c r="D875" t="b">
        <v>1</v>
      </c>
      <c r="E875" t="b">
        <f>COUNTIF(connections!A:A, A875) &gt; 0</f>
        <v>1</v>
      </c>
      <c r="G875" t="s">
        <v>2902</v>
      </c>
      <c r="J875" s="1" t="s">
        <v>2903</v>
      </c>
    </row>
    <row r="876" spans="1:10" x14ac:dyDescent="0.25">
      <c r="A876" t="s">
        <v>2904</v>
      </c>
      <c r="B876">
        <v>2026</v>
      </c>
      <c r="C876" t="s">
        <v>182</v>
      </c>
      <c r="D876" t="b">
        <f>TRUE()</f>
        <v>1</v>
      </c>
      <c r="E876" t="b">
        <f>COUNTIF(connections!A:A, A876) &gt; 0</f>
        <v>0</v>
      </c>
      <c r="G876" t="s">
        <v>2905</v>
      </c>
    </row>
    <row r="877" spans="1:10" x14ac:dyDescent="0.25">
      <c r="A877" t="s">
        <v>2906</v>
      </c>
      <c r="B877">
        <v>2018</v>
      </c>
      <c r="C877" t="s">
        <v>176</v>
      </c>
      <c r="D877" t="b">
        <f>TRUE()</f>
        <v>1</v>
      </c>
      <c r="E877" t="b">
        <f>COUNTIF(connections!A:A, A877) &gt; 0</f>
        <v>1</v>
      </c>
      <c r="G877" t="s">
        <v>2907</v>
      </c>
      <c r="H877" t="s">
        <v>187</v>
      </c>
      <c r="I877" t="s">
        <v>2908</v>
      </c>
      <c r="J877" s="1" t="s">
        <v>2909</v>
      </c>
    </row>
    <row r="878" spans="1:10" x14ac:dyDescent="0.25">
      <c r="A878" t="s">
        <v>2910</v>
      </c>
      <c r="B878">
        <v>2024</v>
      </c>
      <c r="C878" t="s">
        <v>176</v>
      </c>
      <c r="D878" t="b">
        <f>TRUE()</f>
        <v>1</v>
      </c>
      <c r="E878" t="b">
        <f>COUNTIF(connections!A:A, A878) &gt; 0</f>
        <v>0</v>
      </c>
      <c r="G878" t="s">
        <v>2911</v>
      </c>
      <c r="H878" t="s">
        <v>187</v>
      </c>
      <c r="I878" t="s">
        <v>2912</v>
      </c>
      <c r="J878" s="1" t="s">
        <v>2913</v>
      </c>
    </row>
    <row r="879" spans="1:10" x14ac:dyDescent="0.25">
      <c r="A879" t="s">
        <v>2914</v>
      </c>
      <c r="B879">
        <v>2021</v>
      </c>
      <c r="C879" t="s">
        <v>222</v>
      </c>
      <c r="D879" t="b">
        <f>TRUE()</f>
        <v>1</v>
      </c>
      <c r="E879" t="b">
        <f>COUNTIF(connections!A:A, A879) &gt; 0</f>
        <v>0</v>
      </c>
      <c r="F879" t="s">
        <v>1164</v>
      </c>
      <c r="G879" t="s">
        <v>2915</v>
      </c>
      <c r="H879" t="s">
        <v>187</v>
      </c>
      <c r="I879" t="s">
        <v>2916</v>
      </c>
      <c r="J879" s="1" t="s">
        <v>2917</v>
      </c>
    </row>
    <row r="880" spans="1:10" x14ac:dyDescent="0.25">
      <c r="A880" t="s">
        <v>2918</v>
      </c>
      <c r="B880">
        <v>2025</v>
      </c>
      <c r="C880" t="s">
        <v>182</v>
      </c>
      <c r="D880" t="b">
        <f>TRUE()</f>
        <v>1</v>
      </c>
      <c r="E880" t="b">
        <f>COUNTIF(connections!A:A, A880) &gt; 0</f>
        <v>0</v>
      </c>
      <c r="F880" t="s">
        <v>731</v>
      </c>
      <c r="G880" t="s">
        <v>2919</v>
      </c>
    </row>
    <row r="881" spans="1:10" x14ac:dyDescent="0.25">
      <c r="A881" t="s">
        <v>2920</v>
      </c>
      <c r="B881">
        <v>2025</v>
      </c>
      <c r="C881" t="s">
        <v>182</v>
      </c>
      <c r="D881" t="b">
        <f>TRUE()</f>
        <v>1</v>
      </c>
      <c r="E881" t="b">
        <f>COUNTIF(connections!A:A, A881) &gt; 0</f>
        <v>0</v>
      </c>
      <c r="F881" t="s">
        <v>731</v>
      </c>
      <c r="G881" t="s">
        <v>2921</v>
      </c>
      <c r="H881" t="s">
        <v>187</v>
      </c>
      <c r="I881" t="s">
        <v>2922</v>
      </c>
      <c r="J881" s="1" t="s">
        <v>2923</v>
      </c>
    </row>
    <row r="882" spans="1:10" x14ac:dyDescent="0.25">
      <c r="A882" t="s">
        <v>2924</v>
      </c>
      <c r="B882">
        <v>2022</v>
      </c>
      <c r="C882" t="s">
        <v>182</v>
      </c>
      <c r="D882" t="b">
        <f>TRUE()</f>
        <v>1</v>
      </c>
      <c r="E882" t="b">
        <f>COUNTIF(connections!A:A, A882) &gt; 0</f>
        <v>0</v>
      </c>
      <c r="F882" t="s">
        <v>731</v>
      </c>
      <c r="G882" t="s">
        <v>2925</v>
      </c>
      <c r="H882" t="s">
        <v>187</v>
      </c>
      <c r="I882" t="s">
        <v>2926</v>
      </c>
      <c r="J882" s="1" t="s">
        <v>2927</v>
      </c>
    </row>
    <row r="883" spans="1:10" x14ac:dyDescent="0.25">
      <c r="A883" t="s">
        <v>2928</v>
      </c>
      <c r="B883">
        <v>2026</v>
      </c>
      <c r="C883" t="s">
        <v>182</v>
      </c>
      <c r="D883" t="b">
        <f>TRUE()</f>
        <v>1</v>
      </c>
      <c r="E883" t="b">
        <f>COUNTIF(connections!A:A, A883) &gt; 0</f>
        <v>0</v>
      </c>
      <c r="G883" t="s">
        <v>2929</v>
      </c>
      <c r="J883" s="10" t="s">
        <v>2930</v>
      </c>
    </row>
    <row r="884" spans="1:10" x14ac:dyDescent="0.25">
      <c r="A884" t="s">
        <v>2931</v>
      </c>
      <c r="B884">
        <v>2025</v>
      </c>
      <c r="C884" t="s">
        <v>176</v>
      </c>
      <c r="D884" t="b">
        <f>TRUE()</f>
        <v>1</v>
      </c>
      <c r="E884" t="b">
        <f>COUNTIF(connections!A:A, A884) &gt; 0</f>
        <v>0</v>
      </c>
      <c r="G884" t="s">
        <v>2932</v>
      </c>
    </row>
    <row r="885" spans="1:10" x14ac:dyDescent="0.25">
      <c r="A885" t="s">
        <v>2933</v>
      </c>
      <c r="B885">
        <v>2023</v>
      </c>
      <c r="C885" t="s">
        <v>176</v>
      </c>
      <c r="D885" t="b">
        <f>TRUE()</f>
        <v>1</v>
      </c>
      <c r="E885" t="b">
        <f>COUNTIF(connections!A:A, A885) &gt; 0</f>
        <v>0</v>
      </c>
      <c r="F885" t="s">
        <v>458</v>
      </c>
      <c r="G885" t="s">
        <v>2934</v>
      </c>
      <c r="H885" t="s">
        <v>187</v>
      </c>
      <c r="I885" t="s">
        <v>2935</v>
      </c>
      <c r="J885" s="1" t="s">
        <v>2936</v>
      </c>
    </row>
    <row r="886" spans="1:10" x14ac:dyDescent="0.25">
      <c r="A886" t="s">
        <v>2937</v>
      </c>
      <c r="B886">
        <v>2024</v>
      </c>
      <c r="C886" t="s">
        <v>182</v>
      </c>
      <c r="D886" t="b">
        <f>TRUE()</f>
        <v>1</v>
      </c>
      <c r="E886" t="b">
        <f>COUNTIF(connections!A:A, A886) &gt; 0</f>
        <v>0</v>
      </c>
      <c r="F886" t="s">
        <v>1076</v>
      </c>
      <c r="G886" t="s">
        <v>2938</v>
      </c>
      <c r="H886" t="s">
        <v>187</v>
      </c>
      <c r="I886" t="s">
        <v>2939</v>
      </c>
      <c r="J886" s="1" t="s">
        <v>2940</v>
      </c>
    </row>
    <row r="887" spans="1:10" x14ac:dyDescent="0.25">
      <c r="A887" t="s">
        <v>2941</v>
      </c>
      <c r="B887">
        <v>2017</v>
      </c>
      <c r="C887" t="s">
        <v>179</v>
      </c>
      <c r="D887" t="b">
        <f>TRUE()</f>
        <v>1</v>
      </c>
      <c r="E887" t="b">
        <f>COUNTIF(connections!A:A, A887) &gt; 0</f>
        <v>0</v>
      </c>
      <c r="G887" t="s">
        <v>2942</v>
      </c>
    </row>
    <row r="888" spans="1:10" x14ac:dyDescent="0.25">
      <c r="A888" t="s">
        <v>2943</v>
      </c>
      <c r="B888">
        <v>2010</v>
      </c>
      <c r="C888" t="s">
        <v>179</v>
      </c>
      <c r="D888" t="b">
        <f>TRUE()</f>
        <v>1</v>
      </c>
      <c r="E888" t="b">
        <f>COUNTIF(connections!A:A, A888) &gt; 0</f>
        <v>1</v>
      </c>
      <c r="G888" t="s">
        <v>2944</v>
      </c>
      <c r="H888" t="s">
        <v>187</v>
      </c>
      <c r="I888" t="s">
        <v>2945</v>
      </c>
      <c r="J888" s="10" t="s">
        <v>2946</v>
      </c>
    </row>
    <row r="889" spans="1:10" x14ac:dyDescent="0.25">
      <c r="A889" t="s">
        <v>2947</v>
      </c>
      <c r="B889">
        <v>1994</v>
      </c>
      <c r="C889" t="s">
        <v>179</v>
      </c>
      <c r="D889" t="b">
        <f>TRUE()</f>
        <v>1</v>
      </c>
      <c r="E889" t="b">
        <f>COUNTIF(connections!A:A, A889) &gt; 0</f>
        <v>1</v>
      </c>
      <c r="G889" t="s">
        <v>2948</v>
      </c>
      <c r="H889" t="s">
        <v>187</v>
      </c>
      <c r="I889" t="s">
        <v>2949</v>
      </c>
    </row>
    <row r="890" spans="1:10" x14ac:dyDescent="0.25">
      <c r="A890" t="s">
        <v>2950</v>
      </c>
      <c r="B890">
        <v>2024</v>
      </c>
      <c r="C890" t="s">
        <v>182</v>
      </c>
      <c r="D890" t="b">
        <f>TRUE()</f>
        <v>1</v>
      </c>
      <c r="E890" t="b">
        <f>COUNTIF(connections!A:A, A890) &gt; 0</f>
        <v>0</v>
      </c>
      <c r="F890" t="s">
        <v>274</v>
      </c>
      <c r="G890" t="s">
        <v>2951</v>
      </c>
      <c r="H890" t="s">
        <v>187</v>
      </c>
      <c r="I890" t="s">
        <v>2952</v>
      </c>
      <c r="J890" s="1" t="s">
        <v>2953</v>
      </c>
    </row>
    <row r="891" spans="1:10" x14ac:dyDescent="0.25">
      <c r="A891" t="s">
        <v>2954</v>
      </c>
      <c r="B891">
        <v>2014</v>
      </c>
      <c r="C891" t="s">
        <v>176</v>
      </c>
      <c r="D891" t="b">
        <f>TRUE()</f>
        <v>1</v>
      </c>
      <c r="E891" t="b">
        <f>COUNTIF(connections!A:A, A891) &gt; 0</f>
        <v>1</v>
      </c>
      <c r="G891" t="s">
        <v>2955</v>
      </c>
      <c r="H891" t="s">
        <v>187</v>
      </c>
      <c r="I891" t="s">
        <v>2956</v>
      </c>
      <c r="J891" s="1" t="s">
        <v>2957</v>
      </c>
    </row>
    <row r="892" spans="1:10" x14ac:dyDescent="0.25">
      <c r="A892" t="s">
        <v>2958</v>
      </c>
      <c r="B892">
        <v>2020</v>
      </c>
      <c r="C892" t="s">
        <v>176</v>
      </c>
      <c r="D892" t="b">
        <f>TRUE()</f>
        <v>1</v>
      </c>
      <c r="E892" t="b">
        <f>COUNTIF(connections!A:A, A892) &gt; 0</f>
        <v>0</v>
      </c>
      <c r="G892" t="s">
        <v>2959</v>
      </c>
      <c r="H892" t="s">
        <v>187</v>
      </c>
      <c r="I892" t="s">
        <v>2960</v>
      </c>
      <c r="J892" s="1" t="s">
        <v>2961</v>
      </c>
    </row>
    <row r="893" spans="1:10" x14ac:dyDescent="0.25">
      <c r="A893" t="s">
        <v>2962</v>
      </c>
      <c r="B893">
        <v>2025</v>
      </c>
      <c r="C893" t="s">
        <v>179</v>
      </c>
      <c r="D893" t="b">
        <f>TRUE()</f>
        <v>1</v>
      </c>
      <c r="E893" t="b">
        <f>COUNTIF(connections!A:A, A893) &gt; 0</f>
        <v>0</v>
      </c>
      <c r="G893" t="s">
        <v>2963</v>
      </c>
      <c r="H893" t="s">
        <v>187</v>
      </c>
      <c r="I893" t="s">
        <v>2964</v>
      </c>
    </row>
    <row r="894" spans="1:10" x14ac:dyDescent="0.25">
      <c r="A894" t="s">
        <v>2965</v>
      </c>
      <c r="B894">
        <v>2023</v>
      </c>
      <c r="C894" t="s">
        <v>182</v>
      </c>
      <c r="D894" t="b">
        <f>TRUE()</f>
        <v>1</v>
      </c>
      <c r="E894" t="b">
        <f>COUNTIF(connections!A:A, A894) &gt; 0</f>
        <v>1</v>
      </c>
      <c r="G894" t="s">
        <v>2966</v>
      </c>
      <c r="H894" t="s">
        <v>187</v>
      </c>
      <c r="I894" t="s">
        <v>2967</v>
      </c>
      <c r="J894" s="1" t="s">
        <v>2968</v>
      </c>
    </row>
    <row r="895" spans="1:10" x14ac:dyDescent="0.25">
      <c r="A895" t="s">
        <v>2969</v>
      </c>
      <c r="B895">
        <v>2026</v>
      </c>
      <c r="C895" t="s">
        <v>182</v>
      </c>
      <c r="D895" t="b">
        <f>TRUE()</f>
        <v>1</v>
      </c>
      <c r="E895" t="b">
        <f>COUNTIF(connections!A:A, A895) &gt; 0</f>
        <v>0</v>
      </c>
      <c r="G895" t="s">
        <v>2970</v>
      </c>
      <c r="J895" s="10" t="s">
        <v>2971</v>
      </c>
    </row>
    <row r="896" spans="1:10" x14ac:dyDescent="0.25">
      <c r="A896" t="s">
        <v>2972</v>
      </c>
      <c r="B896">
        <v>2022</v>
      </c>
      <c r="C896" t="s">
        <v>179</v>
      </c>
      <c r="D896" t="b">
        <f>TRUE()</f>
        <v>1</v>
      </c>
      <c r="E896" t="b">
        <f>COUNTIF(connections!A:A, A896) &gt; 0</f>
        <v>0</v>
      </c>
      <c r="G896" t="s">
        <v>2973</v>
      </c>
      <c r="H896" t="s">
        <v>187</v>
      </c>
      <c r="I896" t="s">
        <v>2974</v>
      </c>
      <c r="J896" s="10" t="s">
        <v>2975</v>
      </c>
    </row>
  </sheetData>
  <hyperlinks>
    <hyperlink ref="J4" r:id="rId1" xr:uid="{00000000-0004-0000-0000-000000000000}"/>
    <hyperlink ref="J5" r:id="rId2" xr:uid="{00000000-0004-0000-0000-000001000000}"/>
    <hyperlink ref="J6" r:id="rId3" xr:uid="{00000000-0004-0000-0000-000002000000}"/>
    <hyperlink ref="J7" r:id="rId4" xr:uid="{00000000-0004-0000-0000-000003000000}"/>
    <hyperlink ref="J8" r:id="rId5" xr:uid="{00000000-0004-0000-0000-000004000000}"/>
    <hyperlink ref="J9" r:id="rId6" xr:uid="{00000000-0004-0000-0000-000005000000}"/>
    <hyperlink ref="J10" r:id="rId7" xr:uid="{00000000-0004-0000-0000-000006000000}"/>
    <hyperlink ref="J11" r:id="rId8" xr:uid="{00000000-0004-0000-0000-000007000000}"/>
    <hyperlink ref="J14" r:id="rId9" xr:uid="{00000000-0004-0000-0000-000008000000}"/>
    <hyperlink ref="J15" r:id="rId10" xr:uid="{00000000-0004-0000-0000-000009000000}"/>
    <hyperlink ref="J17" r:id="rId11" xr:uid="{00000000-0004-0000-0000-00000A000000}"/>
    <hyperlink ref="J19" r:id="rId12" xr:uid="{00000000-0004-0000-0000-00000B000000}"/>
    <hyperlink ref="J20" r:id="rId13" xr:uid="{00000000-0004-0000-0000-00000C000000}"/>
    <hyperlink ref="J21" r:id="rId14" xr:uid="{00000000-0004-0000-0000-00000D000000}"/>
    <hyperlink ref="J22" r:id="rId15" xr:uid="{00000000-0004-0000-0000-00000E000000}"/>
    <hyperlink ref="J23" r:id="rId16" xr:uid="{00000000-0004-0000-0000-00000F000000}"/>
    <hyperlink ref="J24" r:id="rId17" xr:uid="{00000000-0004-0000-0000-000010000000}"/>
    <hyperlink ref="J25" r:id="rId18" xr:uid="{00000000-0004-0000-0000-000011000000}"/>
    <hyperlink ref="J28" r:id="rId19" xr:uid="{00000000-0004-0000-0000-000012000000}"/>
    <hyperlink ref="J32" r:id="rId20" xr:uid="{00000000-0004-0000-0000-000013000000}"/>
    <hyperlink ref="J34" r:id="rId21" xr:uid="{00000000-0004-0000-0000-000014000000}"/>
    <hyperlink ref="J35" r:id="rId22" xr:uid="{00000000-0004-0000-0000-000015000000}"/>
    <hyperlink ref="J36" r:id="rId23" xr:uid="{00000000-0004-0000-0000-000016000000}"/>
    <hyperlink ref="J37" r:id="rId24" xr:uid="{00000000-0004-0000-0000-000017000000}"/>
    <hyperlink ref="J41" r:id="rId25" xr:uid="{00000000-0004-0000-0000-000018000000}"/>
    <hyperlink ref="J43" r:id="rId26" xr:uid="{00000000-0004-0000-0000-000019000000}"/>
    <hyperlink ref="J44" r:id="rId27" xr:uid="{00000000-0004-0000-0000-00001A000000}"/>
    <hyperlink ref="J45" r:id="rId28" xr:uid="{00000000-0004-0000-0000-00001B000000}"/>
    <hyperlink ref="J46" r:id="rId29" xr:uid="{00000000-0004-0000-0000-00001C000000}"/>
    <hyperlink ref="J48" r:id="rId30" xr:uid="{00000000-0004-0000-0000-00001D000000}"/>
    <hyperlink ref="J49" r:id="rId31" xr:uid="{00000000-0004-0000-0000-00001E000000}"/>
    <hyperlink ref="J54" r:id="rId32" xr:uid="{00000000-0004-0000-0000-00001F000000}"/>
    <hyperlink ref="J55" r:id="rId33" xr:uid="{00000000-0004-0000-0000-000020000000}"/>
    <hyperlink ref="J56" r:id="rId34" xr:uid="{00000000-0004-0000-0000-000021000000}"/>
    <hyperlink ref="J58" r:id="rId35" xr:uid="{00000000-0004-0000-0000-000022000000}"/>
    <hyperlink ref="J59" r:id="rId36" xr:uid="{00000000-0004-0000-0000-000023000000}"/>
    <hyperlink ref="J60" r:id="rId37" xr:uid="{00000000-0004-0000-0000-000024000000}"/>
    <hyperlink ref="J61" r:id="rId38" xr:uid="{00000000-0004-0000-0000-000025000000}"/>
    <hyperlink ref="J62" r:id="rId39" xr:uid="{00000000-0004-0000-0000-000026000000}"/>
    <hyperlink ref="J66" r:id="rId40" xr:uid="{00000000-0004-0000-0000-000027000000}"/>
    <hyperlink ref="J67" r:id="rId41" xr:uid="{00000000-0004-0000-0000-000028000000}"/>
    <hyperlink ref="J69" r:id="rId42" xr:uid="{00000000-0004-0000-0000-000029000000}"/>
    <hyperlink ref="J70" r:id="rId43" xr:uid="{00000000-0004-0000-0000-00002A000000}"/>
    <hyperlink ref="J71" r:id="rId44" xr:uid="{00000000-0004-0000-0000-00002B000000}"/>
    <hyperlink ref="J73" r:id="rId45" xr:uid="{00000000-0004-0000-0000-00002C000000}"/>
    <hyperlink ref="J74" r:id="rId46" xr:uid="{00000000-0004-0000-0000-00002D000000}"/>
    <hyperlink ref="J76" r:id="rId47" xr:uid="{00000000-0004-0000-0000-00002E000000}"/>
    <hyperlink ref="J77" r:id="rId48" xr:uid="{00000000-0004-0000-0000-00002F000000}"/>
    <hyperlink ref="J78" r:id="rId49" xr:uid="{00000000-0004-0000-0000-000030000000}"/>
    <hyperlink ref="J79" r:id="rId50" xr:uid="{00000000-0004-0000-0000-000031000000}"/>
    <hyperlink ref="J80" r:id="rId51" xr:uid="{00000000-0004-0000-0000-000032000000}"/>
    <hyperlink ref="J81" r:id="rId52" xr:uid="{00000000-0004-0000-0000-000033000000}"/>
    <hyperlink ref="J82" r:id="rId53" xr:uid="{00000000-0004-0000-0000-000034000000}"/>
    <hyperlink ref="J84" r:id="rId54" xr:uid="{00000000-0004-0000-0000-000035000000}"/>
    <hyperlink ref="J87" r:id="rId55" xr:uid="{00000000-0004-0000-0000-000036000000}"/>
    <hyperlink ref="J89" r:id="rId56" xr:uid="{00000000-0004-0000-0000-000037000000}"/>
    <hyperlink ref="J90" r:id="rId57" xr:uid="{00000000-0004-0000-0000-000038000000}"/>
    <hyperlink ref="J91" r:id="rId58" xr:uid="{00000000-0004-0000-0000-000039000000}"/>
    <hyperlink ref="J92" r:id="rId59" xr:uid="{00000000-0004-0000-0000-00003A000000}"/>
    <hyperlink ref="J93" r:id="rId60" xr:uid="{00000000-0004-0000-0000-00003B000000}"/>
    <hyperlink ref="J94" r:id="rId61" xr:uid="{00000000-0004-0000-0000-00003C000000}"/>
    <hyperlink ref="J97" r:id="rId62" xr:uid="{00000000-0004-0000-0000-00003D000000}"/>
    <hyperlink ref="J98" r:id="rId63" xr:uid="{00000000-0004-0000-0000-00003E000000}"/>
    <hyperlink ref="J99" r:id="rId64" xr:uid="{00000000-0004-0000-0000-00003F000000}"/>
    <hyperlink ref="J100" r:id="rId65" xr:uid="{00000000-0004-0000-0000-000040000000}"/>
    <hyperlink ref="J103" r:id="rId66" xr:uid="{00000000-0004-0000-0000-000041000000}"/>
    <hyperlink ref="J105" r:id="rId67" xr:uid="{00000000-0004-0000-0000-000042000000}"/>
    <hyperlink ref="J113" r:id="rId68" xr:uid="{00000000-0004-0000-0000-000043000000}"/>
    <hyperlink ref="J114" r:id="rId69" xr:uid="{00000000-0004-0000-0000-000044000000}"/>
    <hyperlink ref="J116" r:id="rId70" xr:uid="{00000000-0004-0000-0000-000045000000}"/>
    <hyperlink ref="J117" r:id="rId71" xr:uid="{00000000-0004-0000-0000-000046000000}"/>
    <hyperlink ref="J118" r:id="rId72" xr:uid="{00000000-0004-0000-0000-000047000000}"/>
    <hyperlink ref="J120" r:id="rId73" xr:uid="{00000000-0004-0000-0000-000048000000}"/>
    <hyperlink ref="J122" r:id="rId74" xr:uid="{00000000-0004-0000-0000-000049000000}"/>
    <hyperlink ref="J123" r:id="rId75" xr:uid="{00000000-0004-0000-0000-00004A000000}"/>
    <hyperlink ref="J127" r:id="rId76" xr:uid="{00000000-0004-0000-0000-00004B000000}"/>
    <hyperlink ref="J128" r:id="rId77" xr:uid="{00000000-0004-0000-0000-00004C000000}"/>
    <hyperlink ref="J129" r:id="rId78" xr:uid="{00000000-0004-0000-0000-00004D000000}"/>
    <hyperlink ref="J130" r:id="rId79" xr:uid="{00000000-0004-0000-0000-00004E000000}"/>
    <hyperlink ref="J133" r:id="rId80" xr:uid="{00000000-0004-0000-0000-00004F000000}"/>
    <hyperlink ref="J134" r:id="rId81" xr:uid="{00000000-0004-0000-0000-000050000000}"/>
    <hyperlink ref="J137" r:id="rId82" xr:uid="{00000000-0004-0000-0000-000051000000}"/>
    <hyperlink ref="J139" r:id="rId83" xr:uid="{00000000-0004-0000-0000-000052000000}"/>
    <hyperlink ref="J140" r:id="rId84" xr:uid="{00000000-0004-0000-0000-000053000000}"/>
    <hyperlink ref="J143" r:id="rId85" xr:uid="{00000000-0004-0000-0000-000054000000}"/>
    <hyperlink ref="J144" r:id="rId86" xr:uid="{00000000-0004-0000-0000-000055000000}"/>
    <hyperlink ref="J145" r:id="rId87" xr:uid="{00000000-0004-0000-0000-000056000000}"/>
    <hyperlink ref="J146" r:id="rId88" xr:uid="{00000000-0004-0000-0000-000057000000}"/>
    <hyperlink ref="J147" r:id="rId89" xr:uid="{00000000-0004-0000-0000-000058000000}"/>
    <hyperlink ref="J149" r:id="rId90" xr:uid="{00000000-0004-0000-0000-000059000000}"/>
    <hyperlink ref="J150" r:id="rId91" xr:uid="{00000000-0004-0000-0000-00005A000000}"/>
    <hyperlink ref="J151" r:id="rId92" xr:uid="{00000000-0004-0000-0000-00005B000000}"/>
    <hyperlink ref="J153" r:id="rId93" xr:uid="{00000000-0004-0000-0000-00005C000000}"/>
    <hyperlink ref="J154" r:id="rId94" xr:uid="{00000000-0004-0000-0000-00005D000000}"/>
    <hyperlink ref="J155" r:id="rId95" xr:uid="{00000000-0004-0000-0000-00005E000000}"/>
    <hyperlink ref="J156" r:id="rId96" xr:uid="{00000000-0004-0000-0000-00005F000000}"/>
    <hyperlink ref="J157" r:id="rId97" xr:uid="{00000000-0004-0000-0000-000060000000}"/>
    <hyperlink ref="J158" r:id="rId98" xr:uid="{00000000-0004-0000-0000-000061000000}"/>
    <hyperlink ref="J161" r:id="rId99" xr:uid="{00000000-0004-0000-0000-000062000000}"/>
    <hyperlink ref="J162" r:id="rId100" xr:uid="{00000000-0004-0000-0000-000063000000}"/>
    <hyperlink ref="J163" r:id="rId101" xr:uid="{00000000-0004-0000-0000-000064000000}"/>
    <hyperlink ref="J164" r:id="rId102" xr:uid="{00000000-0004-0000-0000-000065000000}"/>
    <hyperlink ref="J165" r:id="rId103" xr:uid="{00000000-0004-0000-0000-000066000000}"/>
    <hyperlink ref="J166" r:id="rId104" xr:uid="{00000000-0004-0000-0000-000067000000}"/>
    <hyperlink ref="J169" r:id="rId105" xr:uid="{00000000-0004-0000-0000-000068000000}"/>
    <hyperlink ref="J171" r:id="rId106" xr:uid="{00000000-0004-0000-0000-000069000000}"/>
    <hyperlink ref="J172" r:id="rId107" xr:uid="{00000000-0004-0000-0000-00006A000000}"/>
    <hyperlink ref="J173" r:id="rId108" xr:uid="{00000000-0004-0000-0000-00006B000000}"/>
    <hyperlink ref="J175" r:id="rId109" xr:uid="{00000000-0004-0000-0000-00006C000000}"/>
    <hyperlink ref="J176" r:id="rId110" xr:uid="{00000000-0004-0000-0000-00006D000000}"/>
    <hyperlink ref="J177" r:id="rId111" xr:uid="{00000000-0004-0000-0000-00006E000000}"/>
    <hyperlink ref="J178" r:id="rId112" xr:uid="{00000000-0004-0000-0000-00006F000000}"/>
    <hyperlink ref="J179" r:id="rId113" xr:uid="{00000000-0004-0000-0000-000070000000}"/>
    <hyperlink ref="J180" r:id="rId114" xr:uid="{00000000-0004-0000-0000-000071000000}"/>
    <hyperlink ref="J181" r:id="rId115" xr:uid="{00000000-0004-0000-0000-000072000000}"/>
    <hyperlink ref="J184" r:id="rId116" xr:uid="{00000000-0004-0000-0000-000073000000}"/>
    <hyperlink ref="J185" r:id="rId117" xr:uid="{00000000-0004-0000-0000-000074000000}"/>
    <hyperlink ref="J186" r:id="rId118" xr:uid="{00000000-0004-0000-0000-000075000000}"/>
    <hyperlink ref="J187" r:id="rId119" xr:uid="{00000000-0004-0000-0000-000076000000}"/>
    <hyperlink ref="J188" r:id="rId120" xr:uid="{00000000-0004-0000-0000-000077000000}"/>
    <hyperlink ref="J189" r:id="rId121" xr:uid="{00000000-0004-0000-0000-000078000000}"/>
    <hyperlink ref="J190" r:id="rId122" xr:uid="{00000000-0004-0000-0000-000079000000}"/>
    <hyperlink ref="J191" r:id="rId123" xr:uid="{00000000-0004-0000-0000-00007A000000}"/>
    <hyperlink ref="J195" r:id="rId124" xr:uid="{00000000-0004-0000-0000-00007B000000}"/>
    <hyperlink ref="J197" r:id="rId125" xr:uid="{00000000-0004-0000-0000-00007C000000}"/>
    <hyperlink ref="J199" r:id="rId126" xr:uid="{00000000-0004-0000-0000-00007D000000}"/>
    <hyperlink ref="J200" r:id="rId127" xr:uid="{00000000-0004-0000-0000-00007E000000}"/>
    <hyperlink ref="J202" r:id="rId128" xr:uid="{00000000-0004-0000-0000-00007F000000}"/>
    <hyperlink ref="J204" r:id="rId129" xr:uid="{00000000-0004-0000-0000-000080000000}"/>
    <hyperlink ref="J207" r:id="rId130" xr:uid="{00000000-0004-0000-0000-000081000000}"/>
    <hyperlink ref="J209" r:id="rId131" xr:uid="{00000000-0004-0000-0000-000082000000}"/>
    <hyperlink ref="J210" r:id="rId132" xr:uid="{00000000-0004-0000-0000-000083000000}"/>
    <hyperlink ref="J212" r:id="rId133" xr:uid="{00000000-0004-0000-0000-000084000000}"/>
    <hyperlink ref="J213" r:id="rId134" xr:uid="{00000000-0004-0000-0000-000085000000}"/>
    <hyperlink ref="J215" r:id="rId135" xr:uid="{00000000-0004-0000-0000-000086000000}"/>
    <hyperlink ref="J217" r:id="rId136" xr:uid="{00000000-0004-0000-0000-000087000000}"/>
    <hyperlink ref="J218" r:id="rId137" xr:uid="{00000000-0004-0000-0000-000088000000}"/>
    <hyperlink ref="J220" r:id="rId138" xr:uid="{00000000-0004-0000-0000-000089000000}"/>
    <hyperlink ref="J221" r:id="rId139" xr:uid="{00000000-0004-0000-0000-00008A000000}"/>
    <hyperlink ref="J224" r:id="rId140" xr:uid="{00000000-0004-0000-0000-00008B000000}"/>
    <hyperlink ref="J225" r:id="rId141" xr:uid="{00000000-0004-0000-0000-00008C000000}"/>
    <hyperlink ref="J226" r:id="rId142" xr:uid="{00000000-0004-0000-0000-00008D000000}"/>
    <hyperlink ref="J228" r:id="rId143" xr:uid="{00000000-0004-0000-0000-00008E000000}"/>
    <hyperlink ref="J229" r:id="rId144" xr:uid="{00000000-0004-0000-0000-00008F000000}"/>
    <hyperlink ref="J232" r:id="rId145" xr:uid="{00000000-0004-0000-0000-000090000000}"/>
    <hyperlink ref="J233" r:id="rId146" xr:uid="{00000000-0004-0000-0000-000091000000}"/>
    <hyperlink ref="J238" r:id="rId147" xr:uid="{00000000-0004-0000-0000-000092000000}"/>
    <hyperlink ref="J240" r:id="rId148" xr:uid="{00000000-0004-0000-0000-000093000000}"/>
    <hyperlink ref="J243" r:id="rId149" xr:uid="{00000000-0004-0000-0000-000094000000}"/>
    <hyperlink ref="J245" r:id="rId150" xr:uid="{00000000-0004-0000-0000-000095000000}"/>
    <hyperlink ref="J247" r:id="rId151" xr:uid="{00000000-0004-0000-0000-000096000000}"/>
    <hyperlink ref="J248" r:id="rId152" xr:uid="{00000000-0004-0000-0000-000097000000}"/>
    <hyperlink ref="J251" r:id="rId153" xr:uid="{00000000-0004-0000-0000-000098000000}"/>
    <hyperlink ref="J252" r:id="rId154" xr:uid="{00000000-0004-0000-0000-000099000000}"/>
    <hyperlink ref="J253" r:id="rId155" xr:uid="{00000000-0004-0000-0000-00009A000000}"/>
    <hyperlink ref="J255" r:id="rId156" xr:uid="{00000000-0004-0000-0000-00009B000000}"/>
    <hyperlink ref="J256" r:id="rId157" xr:uid="{00000000-0004-0000-0000-00009C000000}"/>
    <hyperlink ref="J258" r:id="rId158" xr:uid="{00000000-0004-0000-0000-00009D000000}"/>
    <hyperlink ref="J260" r:id="rId159" xr:uid="{00000000-0004-0000-0000-00009E000000}"/>
    <hyperlink ref="J261" r:id="rId160" xr:uid="{00000000-0004-0000-0000-00009F000000}"/>
    <hyperlink ref="J262" r:id="rId161" xr:uid="{00000000-0004-0000-0000-0000A0000000}"/>
    <hyperlink ref="J263" r:id="rId162" xr:uid="{00000000-0004-0000-0000-0000A1000000}"/>
    <hyperlink ref="J266" r:id="rId163" xr:uid="{00000000-0004-0000-0000-0000A2000000}"/>
    <hyperlink ref="J267" r:id="rId164" xr:uid="{00000000-0004-0000-0000-0000A3000000}"/>
    <hyperlink ref="J268" r:id="rId165" xr:uid="{00000000-0004-0000-0000-0000A4000000}"/>
    <hyperlink ref="J269" r:id="rId166" xr:uid="{00000000-0004-0000-0000-0000A5000000}"/>
    <hyperlink ref="J270" r:id="rId167" xr:uid="{00000000-0004-0000-0000-0000A6000000}"/>
    <hyperlink ref="J275" r:id="rId168" xr:uid="{00000000-0004-0000-0000-0000A7000000}"/>
    <hyperlink ref="J276" r:id="rId169" xr:uid="{00000000-0004-0000-0000-0000A8000000}"/>
    <hyperlink ref="J277" r:id="rId170" xr:uid="{00000000-0004-0000-0000-0000A9000000}"/>
    <hyperlink ref="J278" r:id="rId171" xr:uid="{00000000-0004-0000-0000-0000AA000000}"/>
    <hyperlink ref="J279" r:id="rId172" xr:uid="{00000000-0004-0000-0000-0000AB000000}"/>
    <hyperlink ref="J282" r:id="rId173" xr:uid="{00000000-0004-0000-0000-0000AC000000}"/>
    <hyperlink ref="J283" r:id="rId174" xr:uid="{00000000-0004-0000-0000-0000AD000000}"/>
    <hyperlink ref="J285" r:id="rId175" xr:uid="{00000000-0004-0000-0000-0000AE000000}"/>
    <hyperlink ref="J288" r:id="rId176" xr:uid="{00000000-0004-0000-0000-0000AF000000}"/>
    <hyperlink ref="J289" r:id="rId177" xr:uid="{00000000-0004-0000-0000-0000B0000000}"/>
    <hyperlink ref="J290" r:id="rId178" xr:uid="{00000000-0004-0000-0000-0000B1000000}"/>
    <hyperlink ref="J291" r:id="rId179" xr:uid="{00000000-0004-0000-0000-0000B2000000}"/>
    <hyperlink ref="J292" r:id="rId180" xr:uid="{00000000-0004-0000-0000-0000B3000000}"/>
    <hyperlink ref="J293" r:id="rId181" xr:uid="{00000000-0004-0000-0000-0000B4000000}"/>
    <hyperlink ref="J295" r:id="rId182" xr:uid="{00000000-0004-0000-0000-0000B5000000}"/>
    <hyperlink ref="J296" r:id="rId183" xr:uid="{00000000-0004-0000-0000-0000B6000000}"/>
    <hyperlink ref="J297" r:id="rId184" xr:uid="{00000000-0004-0000-0000-0000B7000000}"/>
    <hyperlink ref="J299" r:id="rId185" xr:uid="{00000000-0004-0000-0000-0000B8000000}"/>
    <hyperlink ref="J300" r:id="rId186" xr:uid="{00000000-0004-0000-0000-0000B9000000}"/>
    <hyperlink ref="J301" r:id="rId187" xr:uid="{00000000-0004-0000-0000-0000BA000000}"/>
    <hyperlink ref="J304" r:id="rId188" xr:uid="{00000000-0004-0000-0000-0000BB000000}"/>
    <hyperlink ref="J310" r:id="rId189" xr:uid="{00000000-0004-0000-0000-0000BC000000}"/>
    <hyperlink ref="J311" r:id="rId190" xr:uid="{00000000-0004-0000-0000-0000BD000000}"/>
    <hyperlink ref="J312" r:id="rId191" xr:uid="{00000000-0004-0000-0000-0000BE000000}"/>
    <hyperlink ref="J313" r:id="rId192" xr:uid="{00000000-0004-0000-0000-0000BF000000}"/>
    <hyperlink ref="J314" r:id="rId193" xr:uid="{00000000-0004-0000-0000-0000C0000000}"/>
    <hyperlink ref="J316" r:id="rId194" xr:uid="{00000000-0004-0000-0000-0000C1000000}"/>
    <hyperlink ref="J317" r:id="rId195" xr:uid="{00000000-0004-0000-0000-0000C2000000}"/>
    <hyperlink ref="J318" r:id="rId196" xr:uid="{00000000-0004-0000-0000-0000C3000000}"/>
    <hyperlink ref="J320" r:id="rId197" xr:uid="{00000000-0004-0000-0000-0000C4000000}"/>
    <hyperlink ref="J321" r:id="rId198" xr:uid="{00000000-0004-0000-0000-0000C5000000}"/>
    <hyperlink ref="J322" r:id="rId199" xr:uid="{00000000-0004-0000-0000-0000C6000000}"/>
    <hyperlink ref="J323" r:id="rId200" xr:uid="{00000000-0004-0000-0000-0000C7000000}"/>
    <hyperlink ref="J324" r:id="rId201" xr:uid="{00000000-0004-0000-0000-0000C8000000}"/>
    <hyperlink ref="J325" r:id="rId202" xr:uid="{00000000-0004-0000-0000-0000C9000000}"/>
    <hyperlink ref="J326" r:id="rId203" xr:uid="{00000000-0004-0000-0000-0000CA000000}"/>
    <hyperlink ref="J327" r:id="rId204" xr:uid="{00000000-0004-0000-0000-0000CB000000}"/>
    <hyperlink ref="J329" r:id="rId205" xr:uid="{00000000-0004-0000-0000-0000CC000000}"/>
    <hyperlink ref="J331" r:id="rId206" xr:uid="{00000000-0004-0000-0000-0000CD000000}"/>
    <hyperlink ref="J332" r:id="rId207" xr:uid="{00000000-0004-0000-0000-0000CE000000}"/>
    <hyperlink ref="J334" r:id="rId208" xr:uid="{00000000-0004-0000-0000-0000CF000000}"/>
    <hyperlink ref="J335" r:id="rId209" xr:uid="{00000000-0004-0000-0000-0000D0000000}"/>
    <hyperlink ref="J336" r:id="rId210" xr:uid="{00000000-0004-0000-0000-0000D1000000}"/>
    <hyperlink ref="J337" r:id="rId211" xr:uid="{00000000-0004-0000-0000-0000D2000000}"/>
    <hyperlink ref="J338" r:id="rId212" xr:uid="{00000000-0004-0000-0000-0000D3000000}"/>
    <hyperlink ref="J339" r:id="rId213" xr:uid="{00000000-0004-0000-0000-0000D4000000}"/>
    <hyperlink ref="J343" r:id="rId214" xr:uid="{00000000-0004-0000-0000-0000D5000000}"/>
    <hyperlink ref="J344" r:id="rId215" xr:uid="{00000000-0004-0000-0000-0000D6000000}"/>
    <hyperlink ref="J345" r:id="rId216" xr:uid="{00000000-0004-0000-0000-0000D7000000}"/>
    <hyperlink ref="J346" r:id="rId217" xr:uid="{00000000-0004-0000-0000-0000D8000000}"/>
    <hyperlink ref="J347" r:id="rId218" xr:uid="{00000000-0004-0000-0000-0000D9000000}"/>
    <hyperlink ref="J349" r:id="rId219" xr:uid="{00000000-0004-0000-0000-0000DA000000}"/>
    <hyperlink ref="J352" r:id="rId220" xr:uid="{00000000-0004-0000-0000-0000DB000000}"/>
    <hyperlink ref="J354" r:id="rId221" xr:uid="{00000000-0004-0000-0000-0000DC000000}"/>
    <hyperlink ref="J355" r:id="rId222" xr:uid="{00000000-0004-0000-0000-0000DD000000}"/>
    <hyperlink ref="J356" r:id="rId223" xr:uid="{00000000-0004-0000-0000-0000DE000000}"/>
    <hyperlink ref="J358" r:id="rId224" xr:uid="{00000000-0004-0000-0000-0000DF000000}"/>
    <hyperlink ref="J359" r:id="rId225" xr:uid="{00000000-0004-0000-0000-0000E0000000}"/>
    <hyperlink ref="J360" r:id="rId226" xr:uid="{00000000-0004-0000-0000-0000E1000000}"/>
    <hyperlink ref="J361" r:id="rId227" xr:uid="{00000000-0004-0000-0000-0000E2000000}"/>
    <hyperlink ref="J363" r:id="rId228" xr:uid="{00000000-0004-0000-0000-0000E3000000}"/>
    <hyperlink ref="J364" r:id="rId229" xr:uid="{00000000-0004-0000-0000-0000E4000000}"/>
    <hyperlink ref="J365" r:id="rId230" xr:uid="{00000000-0004-0000-0000-0000E5000000}"/>
    <hyperlink ref="J366" r:id="rId231" xr:uid="{00000000-0004-0000-0000-0000E6000000}"/>
    <hyperlink ref="J367" r:id="rId232" xr:uid="{00000000-0004-0000-0000-0000E7000000}"/>
    <hyperlink ref="J368" r:id="rId233" xr:uid="{00000000-0004-0000-0000-0000E8000000}"/>
    <hyperlink ref="J370" r:id="rId234" xr:uid="{00000000-0004-0000-0000-0000E9000000}"/>
    <hyperlink ref="J371" r:id="rId235" xr:uid="{00000000-0004-0000-0000-0000EA000000}"/>
    <hyperlink ref="J374" r:id="rId236" xr:uid="{00000000-0004-0000-0000-0000EB000000}"/>
    <hyperlink ref="J377" r:id="rId237" xr:uid="{00000000-0004-0000-0000-0000EC000000}"/>
    <hyperlink ref="J378" r:id="rId238" xr:uid="{00000000-0004-0000-0000-0000ED000000}"/>
    <hyperlink ref="J380" r:id="rId239" xr:uid="{00000000-0004-0000-0000-0000EE000000}"/>
    <hyperlink ref="J381" r:id="rId240" xr:uid="{00000000-0004-0000-0000-0000EF000000}"/>
    <hyperlink ref="J382" r:id="rId241" xr:uid="{00000000-0004-0000-0000-0000F0000000}"/>
    <hyperlink ref="J386" r:id="rId242" xr:uid="{00000000-0004-0000-0000-0000F1000000}"/>
    <hyperlink ref="J387" r:id="rId243" xr:uid="{00000000-0004-0000-0000-0000F2000000}"/>
    <hyperlink ref="J388" r:id="rId244" xr:uid="{00000000-0004-0000-0000-0000F3000000}"/>
    <hyperlink ref="J390" r:id="rId245" xr:uid="{00000000-0004-0000-0000-0000F4000000}"/>
    <hyperlink ref="J391" r:id="rId246" xr:uid="{00000000-0004-0000-0000-0000F5000000}"/>
    <hyperlink ref="J392" r:id="rId247" xr:uid="{00000000-0004-0000-0000-0000F6000000}"/>
    <hyperlink ref="J393" r:id="rId248" xr:uid="{00000000-0004-0000-0000-0000F7000000}"/>
    <hyperlink ref="J399" r:id="rId249" xr:uid="{00000000-0004-0000-0000-0000F8000000}"/>
    <hyperlink ref="J400" r:id="rId250" xr:uid="{00000000-0004-0000-0000-0000F9000000}"/>
    <hyperlink ref="J401" r:id="rId251" xr:uid="{00000000-0004-0000-0000-0000FA000000}"/>
    <hyperlink ref="J402" r:id="rId252" xr:uid="{00000000-0004-0000-0000-0000FB000000}"/>
    <hyperlink ref="J403" r:id="rId253" xr:uid="{00000000-0004-0000-0000-0000FC000000}"/>
    <hyperlink ref="J404" r:id="rId254" xr:uid="{00000000-0004-0000-0000-0000FD000000}"/>
    <hyperlink ref="J407" r:id="rId255" xr:uid="{00000000-0004-0000-0000-0000FE000000}"/>
    <hyperlink ref="J408" r:id="rId256" xr:uid="{00000000-0004-0000-0000-0000FF000000}"/>
    <hyperlink ref="J409" r:id="rId257" xr:uid="{00000000-0004-0000-0000-000000010000}"/>
    <hyperlink ref="J410" r:id="rId258" xr:uid="{00000000-0004-0000-0000-000001010000}"/>
    <hyperlink ref="J411" r:id="rId259" xr:uid="{00000000-0004-0000-0000-000002010000}"/>
    <hyperlink ref="J414" r:id="rId260" xr:uid="{00000000-0004-0000-0000-000003010000}"/>
    <hyperlink ref="J418" r:id="rId261" xr:uid="{00000000-0004-0000-0000-000004010000}"/>
    <hyperlink ref="J422" r:id="rId262" xr:uid="{00000000-0004-0000-0000-000005010000}"/>
    <hyperlink ref="J425" r:id="rId263" xr:uid="{00000000-0004-0000-0000-000006010000}"/>
    <hyperlink ref="J426" r:id="rId264" xr:uid="{00000000-0004-0000-0000-000007010000}"/>
    <hyperlink ref="J427" r:id="rId265" xr:uid="{00000000-0004-0000-0000-000008010000}"/>
    <hyperlink ref="J429" r:id="rId266" xr:uid="{00000000-0004-0000-0000-000009010000}"/>
    <hyperlink ref="J433" r:id="rId267" xr:uid="{00000000-0004-0000-0000-00000A010000}"/>
    <hyperlink ref="J438" r:id="rId268" xr:uid="{00000000-0004-0000-0000-00000B010000}"/>
    <hyperlink ref="J439" r:id="rId269" xr:uid="{00000000-0004-0000-0000-00000C010000}"/>
    <hyperlink ref="J440" r:id="rId270" xr:uid="{00000000-0004-0000-0000-00000D010000}"/>
    <hyperlink ref="J442" r:id="rId271" xr:uid="{00000000-0004-0000-0000-00000E010000}"/>
    <hyperlink ref="J446" r:id="rId272" xr:uid="{00000000-0004-0000-0000-00000F010000}"/>
    <hyperlink ref="J447" r:id="rId273" xr:uid="{00000000-0004-0000-0000-000010010000}"/>
    <hyperlink ref="J448" r:id="rId274" xr:uid="{00000000-0004-0000-0000-000011010000}"/>
    <hyperlink ref="J449" r:id="rId275" xr:uid="{00000000-0004-0000-0000-000012010000}"/>
    <hyperlink ref="J450" r:id="rId276" xr:uid="{00000000-0004-0000-0000-000013010000}"/>
    <hyperlink ref="J451" r:id="rId277" xr:uid="{00000000-0004-0000-0000-000014010000}"/>
    <hyperlink ref="J452" r:id="rId278" xr:uid="{00000000-0004-0000-0000-000015010000}"/>
    <hyperlink ref="J454" r:id="rId279" xr:uid="{00000000-0004-0000-0000-000016010000}"/>
    <hyperlink ref="J456" r:id="rId280" xr:uid="{00000000-0004-0000-0000-000017010000}"/>
    <hyperlink ref="J457" r:id="rId281" xr:uid="{00000000-0004-0000-0000-000018010000}"/>
    <hyperlink ref="J458" r:id="rId282" xr:uid="{00000000-0004-0000-0000-000019010000}"/>
    <hyperlink ref="J459" r:id="rId283" xr:uid="{00000000-0004-0000-0000-00001A010000}"/>
    <hyperlink ref="J460" r:id="rId284" xr:uid="{00000000-0004-0000-0000-00001B010000}"/>
    <hyperlink ref="J462" r:id="rId285" xr:uid="{00000000-0004-0000-0000-00001C010000}"/>
    <hyperlink ref="J466" r:id="rId286" xr:uid="{00000000-0004-0000-0000-00001D010000}"/>
    <hyperlink ref="J468" r:id="rId287" xr:uid="{00000000-0004-0000-0000-00001E010000}"/>
    <hyperlink ref="J473" r:id="rId288" xr:uid="{00000000-0004-0000-0000-00001F010000}"/>
    <hyperlink ref="J474" r:id="rId289" xr:uid="{00000000-0004-0000-0000-000020010000}"/>
    <hyperlink ref="J476" r:id="rId290" xr:uid="{00000000-0004-0000-0000-000021010000}"/>
    <hyperlink ref="J477" r:id="rId291" xr:uid="{00000000-0004-0000-0000-000022010000}"/>
    <hyperlink ref="J478" r:id="rId292" xr:uid="{00000000-0004-0000-0000-000023010000}"/>
    <hyperlink ref="J479" r:id="rId293" xr:uid="{00000000-0004-0000-0000-000024010000}"/>
    <hyperlink ref="J481" r:id="rId294" xr:uid="{00000000-0004-0000-0000-000025010000}"/>
    <hyperlink ref="J483" r:id="rId295" xr:uid="{00000000-0004-0000-0000-000026010000}"/>
    <hyperlink ref="J486" r:id="rId296" xr:uid="{00000000-0004-0000-0000-000027010000}"/>
    <hyperlink ref="J488" r:id="rId297" xr:uid="{00000000-0004-0000-0000-000028010000}"/>
    <hyperlink ref="J489" r:id="rId298" xr:uid="{00000000-0004-0000-0000-000029010000}"/>
    <hyperlink ref="J490" r:id="rId299" xr:uid="{00000000-0004-0000-0000-00002A010000}"/>
    <hyperlink ref="J492" r:id="rId300" xr:uid="{00000000-0004-0000-0000-00002B010000}"/>
    <hyperlink ref="J493" r:id="rId301" xr:uid="{00000000-0004-0000-0000-00002C010000}"/>
    <hyperlink ref="J495" r:id="rId302" xr:uid="{00000000-0004-0000-0000-00002D010000}"/>
    <hyperlink ref="J497" r:id="rId303" xr:uid="{00000000-0004-0000-0000-00002E010000}"/>
    <hyperlink ref="J498" r:id="rId304" xr:uid="{00000000-0004-0000-0000-00002F010000}"/>
    <hyperlink ref="J499" r:id="rId305" xr:uid="{00000000-0004-0000-0000-000030010000}"/>
    <hyperlink ref="J500" r:id="rId306" xr:uid="{00000000-0004-0000-0000-000031010000}"/>
    <hyperlink ref="J501" r:id="rId307" xr:uid="{00000000-0004-0000-0000-000032010000}"/>
    <hyperlink ref="J502" r:id="rId308" xr:uid="{00000000-0004-0000-0000-000033010000}"/>
    <hyperlink ref="J503" r:id="rId309" xr:uid="{00000000-0004-0000-0000-000034010000}"/>
    <hyperlink ref="J507" r:id="rId310" xr:uid="{00000000-0004-0000-0000-000035010000}"/>
    <hyperlink ref="J508" r:id="rId311" xr:uid="{00000000-0004-0000-0000-000036010000}"/>
    <hyperlink ref="J509" r:id="rId312" xr:uid="{00000000-0004-0000-0000-000037010000}"/>
    <hyperlink ref="J512" r:id="rId313" xr:uid="{00000000-0004-0000-0000-000038010000}"/>
    <hyperlink ref="J513" r:id="rId314" xr:uid="{00000000-0004-0000-0000-000039010000}"/>
    <hyperlink ref="J514" r:id="rId315" xr:uid="{00000000-0004-0000-0000-00003A010000}"/>
    <hyperlink ref="J515" r:id="rId316" xr:uid="{00000000-0004-0000-0000-00003B010000}"/>
    <hyperlink ref="J516" r:id="rId317" xr:uid="{00000000-0004-0000-0000-00003C010000}"/>
    <hyperlink ref="J517" r:id="rId318" xr:uid="{00000000-0004-0000-0000-00003D010000}"/>
    <hyperlink ref="J518" r:id="rId319" xr:uid="{00000000-0004-0000-0000-00003E010000}"/>
    <hyperlink ref="J520" r:id="rId320" xr:uid="{00000000-0004-0000-0000-00003F010000}"/>
    <hyperlink ref="J521" r:id="rId321" xr:uid="{00000000-0004-0000-0000-000040010000}"/>
    <hyperlink ref="J522" r:id="rId322" xr:uid="{00000000-0004-0000-0000-000041010000}"/>
    <hyperlink ref="J523" r:id="rId323" xr:uid="{00000000-0004-0000-0000-000042010000}"/>
    <hyperlink ref="J524" r:id="rId324" xr:uid="{00000000-0004-0000-0000-000043010000}"/>
    <hyperlink ref="J527" r:id="rId325" xr:uid="{00000000-0004-0000-0000-000044010000}"/>
    <hyperlink ref="J528" r:id="rId326" xr:uid="{00000000-0004-0000-0000-000045010000}"/>
    <hyperlink ref="J531" r:id="rId327" xr:uid="{00000000-0004-0000-0000-000046010000}"/>
    <hyperlink ref="J534" r:id="rId328" xr:uid="{00000000-0004-0000-0000-000047010000}"/>
    <hyperlink ref="J537" r:id="rId329" xr:uid="{00000000-0004-0000-0000-000048010000}"/>
    <hyperlink ref="J538" r:id="rId330" xr:uid="{00000000-0004-0000-0000-000049010000}"/>
    <hyperlink ref="J539" r:id="rId331" xr:uid="{00000000-0004-0000-0000-00004A010000}"/>
    <hyperlink ref="J541" r:id="rId332" xr:uid="{00000000-0004-0000-0000-00004B010000}"/>
    <hyperlink ref="J542" r:id="rId333" xr:uid="{00000000-0004-0000-0000-00004C010000}"/>
    <hyperlink ref="J543" r:id="rId334" xr:uid="{00000000-0004-0000-0000-00004D010000}"/>
    <hyperlink ref="J545" r:id="rId335" xr:uid="{00000000-0004-0000-0000-00004E010000}"/>
    <hyperlink ref="J547" r:id="rId336" xr:uid="{00000000-0004-0000-0000-00004F010000}"/>
    <hyperlink ref="J550" r:id="rId337" xr:uid="{00000000-0004-0000-0000-000050010000}"/>
    <hyperlink ref="J551" r:id="rId338" xr:uid="{00000000-0004-0000-0000-000051010000}"/>
    <hyperlink ref="J552" r:id="rId339" xr:uid="{00000000-0004-0000-0000-000052010000}"/>
    <hyperlink ref="J554" r:id="rId340" xr:uid="{00000000-0004-0000-0000-000053010000}"/>
    <hyperlink ref="J556" r:id="rId341" xr:uid="{00000000-0004-0000-0000-000054010000}"/>
    <hyperlink ref="J557" r:id="rId342" xr:uid="{00000000-0004-0000-0000-000055010000}"/>
    <hyperlink ref="J559" r:id="rId343" xr:uid="{00000000-0004-0000-0000-000056010000}"/>
    <hyperlink ref="J560" r:id="rId344" xr:uid="{00000000-0004-0000-0000-000057010000}"/>
    <hyperlink ref="J561" r:id="rId345" xr:uid="{00000000-0004-0000-0000-000058010000}"/>
    <hyperlink ref="J562" r:id="rId346" xr:uid="{00000000-0004-0000-0000-000059010000}"/>
    <hyperlink ref="J563" r:id="rId347" xr:uid="{00000000-0004-0000-0000-00005A010000}"/>
    <hyperlink ref="J564" r:id="rId348" xr:uid="{00000000-0004-0000-0000-00005B010000}"/>
    <hyperlink ref="J568" r:id="rId349" xr:uid="{00000000-0004-0000-0000-00005C010000}"/>
    <hyperlink ref="J584" r:id="rId350" xr:uid="{00000000-0004-0000-0000-00005D010000}"/>
    <hyperlink ref="J585" r:id="rId351" xr:uid="{00000000-0004-0000-0000-00005E010000}"/>
    <hyperlink ref="J587" r:id="rId352" xr:uid="{00000000-0004-0000-0000-00005F010000}"/>
    <hyperlink ref="J588" r:id="rId353" xr:uid="{00000000-0004-0000-0000-000060010000}"/>
    <hyperlink ref="J590" r:id="rId354" xr:uid="{00000000-0004-0000-0000-000061010000}"/>
    <hyperlink ref="J591" r:id="rId355" xr:uid="{00000000-0004-0000-0000-000062010000}"/>
    <hyperlink ref="J594" r:id="rId356" xr:uid="{00000000-0004-0000-0000-000063010000}"/>
    <hyperlink ref="J596" r:id="rId357" xr:uid="{00000000-0004-0000-0000-000064010000}"/>
    <hyperlink ref="J597" r:id="rId358" xr:uid="{00000000-0004-0000-0000-000065010000}"/>
    <hyperlink ref="J600" r:id="rId359" xr:uid="{00000000-0004-0000-0000-000066010000}"/>
    <hyperlink ref="J603" r:id="rId360" xr:uid="{00000000-0004-0000-0000-000067010000}"/>
    <hyperlink ref="J604" r:id="rId361" xr:uid="{00000000-0004-0000-0000-000068010000}"/>
    <hyperlink ref="J605" r:id="rId362" xr:uid="{00000000-0004-0000-0000-000069010000}"/>
    <hyperlink ref="J606" r:id="rId363" xr:uid="{00000000-0004-0000-0000-00006A010000}"/>
    <hyperlink ref="J607" r:id="rId364" xr:uid="{00000000-0004-0000-0000-00006B010000}"/>
    <hyperlink ref="J608" r:id="rId365" xr:uid="{00000000-0004-0000-0000-00006C010000}"/>
    <hyperlink ref="J609" r:id="rId366" xr:uid="{00000000-0004-0000-0000-00006D010000}"/>
    <hyperlink ref="J610" r:id="rId367" xr:uid="{00000000-0004-0000-0000-00006E010000}"/>
    <hyperlink ref="J611" r:id="rId368" xr:uid="{00000000-0004-0000-0000-00006F010000}"/>
    <hyperlink ref="J612" r:id="rId369" xr:uid="{00000000-0004-0000-0000-000070010000}"/>
    <hyperlink ref="J614" r:id="rId370" xr:uid="{00000000-0004-0000-0000-000071010000}"/>
    <hyperlink ref="J615" r:id="rId371" xr:uid="{00000000-0004-0000-0000-000072010000}"/>
    <hyperlink ref="J616" r:id="rId372" xr:uid="{00000000-0004-0000-0000-000073010000}"/>
    <hyperlink ref="J618" r:id="rId373" xr:uid="{00000000-0004-0000-0000-000074010000}"/>
    <hyperlink ref="J619" r:id="rId374" xr:uid="{00000000-0004-0000-0000-000075010000}"/>
    <hyperlink ref="J620" r:id="rId375" xr:uid="{00000000-0004-0000-0000-000076010000}"/>
    <hyperlink ref="J622" r:id="rId376" xr:uid="{00000000-0004-0000-0000-000077010000}"/>
    <hyperlink ref="J623" r:id="rId377" xr:uid="{00000000-0004-0000-0000-000078010000}"/>
    <hyperlink ref="J624" r:id="rId378" xr:uid="{00000000-0004-0000-0000-000079010000}"/>
    <hyperlink ref="J630" r:id="rId379" xr:uid="{00000000-0004-0000-0000-00007A010000}"/>
    <hyperlink ref="J631" r:id="rId380" xr:uid="{00000000-0004-0000-0000-00007B010000}"/>
    <hyperlink ref="J632" r:id="rId381" xr:uid="{00000000-0004-0000-0000-00007C010000}"/>
    <hyperlink ref="J633" r:id="rId382" xr:uid="{00000000-0004-0000-0000-00007D010000}"/>
    <hyperlink ref="J635" r:id="rId383" xr:uid="{00000000-0004-0000-0000-00007E010000}"/>
    <hyperlink ref="J637" r:id="rId384" xr:uid="{00000000-0004-0000-0000-00007F010000}"/>
    <hyperlink ref="J638" r:id="rId385" xr:uid="{00000000-0004-0000-0000-000080010000}"/>
    <hyperlink ref="J641" r:id="rId386" xr:uid="{00000000-0004-0000-0000-000081010000}"/>
    <hyperlink ref="J642" r:id="rId387" xr:uid="{00000000-0004-0000-0000-000082010000}"/>
    <hyperlink ref="J643" r:id="rId388" xr:uid="{00000000-0004-0000-0000-000083010000}"/>
    <hyperlink ref="J644" r:id="rId389" xr:uid="{00000000-0004-0000-0000-000084010000}"/>
    <hyperlink ref="J645" r:id="rId390" xr:uid="{00000000-0004-0000-0000-000085010000}"/>
    <hyperlink ref="J647" r:id="rId391" xr:uid="{00000000-0004-0000-0000-000086010000}"/>
    <hyperlink ref="J648" r:id="rId392" xr:uid="{00000000-0004-0000-0000-000087010000}"/>
    <hyperlink ref="J649" r:id="rId393" xr:uid="{00000000-0004-0000-0000-000088010000}"/>
    <hyperlink ref="J650" r:id="rId394" xr:uid="{00000000-0004-0000-0000-000089010000}"/>
    <hyperlink ref="J651" r:id="rId395" xr:uid="{00000000-0004-0000-0000-00008A010000}"/>
    <hyperlink ref="J654" r:id="rId396" xr:uid="{00000000-0004-0000-0000-00008B010000}"/>
    <hyperlink ref="J655" r:id="rId397" xr:uid="{00000000-0004-0000-0000-00008C010000}"/>
    <hyperlink ref="J656" r:id="rId398" xr:uid="{00000000-0004-0000-0000-00008D010000}"/>
    <hyperlink ref="J657" r:id="rId399" xr:uid="{00000000-0004-0000-0000-00008E010000}"/>
    <hyperlink ref="J659" r:id="rId400" xr:uid="{00000000-0004-0000-0000-00008F010000}"/>
    <hyperlink ref="J660" r:id="rId401" xr:uid="{00000000-0004-0000-0000-000090010000}"/>
    <hyperlink ref="J662" r:id="rId402" xr:uid="{00000000-0004-0000-0000-000091010000}"/>
    <hyperlink ref="J663" r:id="rId403" xr:uid="{00000000-0004-0000-0000-000092010000}"/>
    <hyperlink ref="J667" r:id="rId404" xr:uid="{00000000-0004-0000-0000-000093010000}"/>
    <hyperlink ref="J670" r:id="rId405" xr:uid="{00000000-0004-0000-0000-000094010000}"/>
    <hyperlink ref="J677" r:id="rId406" xr:uid="{00000000-0004-0000-0000-000095010000}"/>
    <hyperlink ref="J678" r:id="rId407" xr:uid="{00000000-0004-0000-0000-000096010000}"/>
    <hyperlink ref="J679" r:id="rId408" xr:uid="{00000000-0004-0000-0000-000097010000}"/>
    <hyperlink ref="J681" r:id="rId409" xr:uid="{00000000-0004-0000-0000-000098010000}"/>
    <hyperlink ref="J685" r:id="rId410" xr:uid="{00000000-0004-0000-0000-000099010000}"/>
    <hyperlink ref="J686" r:id="rId411" xr:uid="{00000000-0004-0000-0000-00009A010000}"/>
    <hyperlink ref="J688" r:id="rId412" xr:uid="{00000000-0004-0000-0000-00009B010000}"/>
    <hyperlink ref="J689" r:id="rId413" xr:uid="{00000000-0004-0000-0000-00009C010000}"/>
    <hyperlink ref="J691" r:id="rId414" xr:uid="{00000000-0004-0000-0000-00009D010000}"/>
    <hyperlink ref="J692" r:id="rId415" xr:uid="{00000000-0004-0000-0000-00009E010000}"/>
    <hyperlink ref="J693" r:id="rId416" xr:uid="{00000000-0004-0000-0000-00009F010000}"/>
    <hyperlink ref="J694" r:id="rId417" xr:uid="{00000000-0004-0000-0000-0000A0010000}"/>
    <hyperlink ref="J696" r:id="rId418" xr:uid="{00000000-0004-0000-0000-0000A1010000}"/>
    <hyperlink ref="J699" r:id="rId419" xr:uid="{00000000-0004-0000-0000-0000A2010000}"/>
    <hyperlink ref="J700" r:id="rId420" xr:uid="{00000000-0004-0000-0000-0000A3010000}"/>
    <hyperlink ref="J701" r:id="rId421" xr:uid="{00000000-0004-0000-0000-0000A4010000}"/>
    <hyperlink ref="J702" r:id="rId422" xr:uid="{00000000-0004-0000-0000-0000A5010000}"/>
    <hyperlink ref="J703" r:id="rId423" xr:uid="{00000000-0004-0000-0000-0000A6010000}"/>
    <hyperlink ref="J706" r:id="rId424" xr:uid="{00000000-0004-0000-0000-0000A7010000}"/>
    <hyperlink ref="J708" r:id="rId425" xr:uid="{00000000-0004-0000-0000-0000A8010000}"/>
    <hyperlink ref="J709" r:id="rId426" xr:uid="{00000000-0004-0000-0000-0000A9010000}"/>
    <hyperlink ref="J712" r:id="rId427" xr:uid="{00000000-0004-0000-0000-0000AA010000}"/>
    <hyperlink ref="J714" r:id="rId428" xr:uid="{00000000-0004-0000-0000-0000AB010000}"/>
    <hyperlink ref="J715" r:id="rId429" xr:uid="{00000000-0004-0000-0000-0000AC010000}"/>
    <hyperlink ref="J716" r:id="rId430" xr:uid="{00000000-0004-0000-0000-0000AD010000}"/>
    <hyperlink ref="J718" r:id="rId431" xr:uid="{00000000-0004-0000-0000-0000AE010000}"/>
    <hyperlink ref="J719" r:id="rId432" xr:uid="{00000000-0004-0000-0000-0000AF010000}"/>
    <hyperlink ref="J720" r:id="rId433" xr:uid="{00000000-0004-0000-0000-0000B0010000}"/>
    <hyperlink ref="J721" r:id="rId434" xr:uid="{00000000-0004-0000-0000-0000B1010000}"/>
    <hyperlink ref="J722" r:id="rId435" xr:uid="{00000000-0004-0000-0000-0000B2010000}"/>
    <hyperlink ref="J723" r:id="rId436" xr:uid="{00000000-0004-0000-0000-0000B3010000}"/>
    <hyperlink ref="J724" r:id="rId437" xr:uid="{00000000-0004-0000-0000-0000B4010000}"/>
    <hyperlink ref="J725" r:id="rId438" xr:uid="{00000000-0004-0000-0000-0000B5010000}"/>
    <hyperlink ref="J727" r:id="rId439" xr:uid="{00000000-0004-0000-0000-0000B6010000}"/>
    <hyperlink ref="J728" r:id="rId440" xr:uid="{00000000-0004-0000-0000-0000B7010000}"/>
    <hyperlink ref="J729" r:id="rId441" xr:uid="{00000000-0004-0000-0000-0000B8010000}"/>
    <hyperlink ref="J731" r:id="rId442" xr:uid="{00000000-0004-0000-0000-0000B9010000}"/>
    <hyperlink ref="J735" r:id="rId443" xr:uid="{00000000-0004-0000-0000-0000BA010000}"/>
    <hyperlink ref="J737" r:id="rId444" xr:uid="{00000000-0004-0000-0000-0000BB010000}"/>
    <hyperlink ref="J739" r:id="rId445" xr:uid="{00000000-0004-0000-0000-0000BC010000}"/>
    <hyperlink ref="J740" r:id="rId446" xr:uid="{00000000-0004-0000-0000-0000BD010000}"/>
    <hyperlink ref="J741" r:id="rId447" xr:uid="{00000000-0004-0000-0000-0000BE010000}"/>
    <hyperlink ref="J742" r:id="rId448" xr:uid="{00000000-0004-0000-0000-0000BF010000}"/>
    <hyperlink ref="J743" r:id="rId449" xr:uid="{00000000-0004-0000-0000-0000C0010000}"/>
    <hyperlink ref="J744" r:id="rId450" xr:uid="{00000000-0004-0000-0000-0000C1010000}"/>
    <hyperlink ref="J747" r:id="rId451" xr:uid="{00000000-0004-0000-0000-0000C2010000}"/>
    <hyperlink ref="J748" r:id="rId452" xr:uid="{00000000-0004-0000-0000-0000C3010000}"/>
    <hyperlink ref="J749" r:id="rId453" xr:uid="{00000000-0004-0000-0000-0000C4010000}"/>
    <hyperlink ref="J750" r:id="rId454" xr:uid="{00000000-0004-0000-0000-0000C5010000}"/>
    <hyperlink ref="J751" r:id="rId455" xr:uid="{00000000-0004-0000-0000-0000C6010000}"/>
    <hyperlink ref="J752" r:id="rId456" xr:uid="{00000000-0004-0000-0000-0000C7010000}"/>
    <hyperlink ref="J753" r:id="rId457" xr:uid="{00000000-0004-0000-0000-0000C8010000}"/>
    <hyperlink ref="J754" r:id="rId458" xr:uid="{00000000-0004-0000-0000-0000C9010000}"/>
    <hyperlink ref="J756" r:id="rId459" xr:uid="{00000000-0004-0000-0000-0000CA010000}"/>
    <hyperlink ref="J757" r:id="rId460" xr:uid="{00000000-0004-0000-0000-0000CB010000}"/>
    <hyperlink ref="J758" r:id="rId461" xr:uid="{00000000-0004-0000-0000-0000CC010000}"/>
    <hyperlink ref="J759" r:id="rId462" xr:uid="{00000000-0004-0000-0000-0000CD010000}"/>
    <hyperlink ref="J760" r:id="rId463" xr:uid="{00000000-0004-0000-0000-0000CE010000}"/>
    <hyperlink ref="J761" r:id="rId464" xr:uid="{00000000-0004-0000-0000-0000CF010000}"/>
    <hyperlink ref="J762" r:id="rId465" xr:uid="{00000000-0004-0000-0000-0000D0010000}"/>
    <hyperlink ref="J763" r:id="rId466" xr:uid="{00000000-0004-0000-0000-0000D1010000}"/>
    <hyperlink ref="J765" r:id="rId467" xr:uid="{00000000-0004-0000-0000-0000D2010000}"/>
    <hyperlink ref="J767" r:id="rId468" xr:uid="{00000000-0004-0000-0000-0000D3010000}"/>
    <hyperlink ref="J768" r:id="rId469" xr:uid="{00000000-0004-0000-0000-0000D4010000}"/>
    <hyperlink ref="J770" r:id="rId470" xr:uid="{00000000-0004-0000-0000-0000D5010000}"/>
    <hyperlink ref="J771" r:id="rId471" xr:uid="{00000000-0004-0000-0000-0000D6010000}"/>
    <hyperlink ref="J774" r:id="rId472" xr:uid="{00000000-0004-0000-0000-0000D7010000}"/>
    <hyperlink ref="J775" r:id="rId473" xr:uid="{00000000-0004-0000-0000-0000D8010000}"/>
    <hyperlink ref="J779" r:id="rId474" xr:uid="{00000000-0004-0000-0000-0000D9010000}"/>
    <hyperlink ref="J782" r:id="rId475" xr:uid="{00000000-0004-0000-0000-0000DA010000}"/>
    <hyperlink ref="J784" r:id="rId476" xr:uid="{00000000-0004-0000-0000-0000DB010000}"/>
    <hyperlink ref="J785" r:id="rId477" xr:uid="{00000000-0004-0000-0000-0000DC010000}"/>
    <hyperlink ref="J786" r:id="rId478" xr:uid="{00000000-0004-0000-0000-0000DD010000}"/>
    <hyperlink ref="J790" r:id="rId479" xr:uid="{00000000-0004-0000-0000-0000DE010000}"/>
    <hyperlink ref="J791" r:id="rId480" xr:uid="{00000000-0004-0000-0000-0000DF010000}"/>
    <hyperlink ref="J794" r:id="rId481" xr:uid="{00000000-0004-0000-0000-0000E0010000}"/>
    <hyperlink ref="J795" r:id="rId482" xr:uid="{00000000-0004-0000-0000-0000E1010000}"/>
    <hyperlink ref="J797" r:id="rId483" xr:uid="{00000000-0004-0000-0000-0000E2010000}"/>
    <hyperlink ref="J800" r:id="rId484" xr:uid="{00000000-0004-0000-0000-0000E3010000}"/>
    <hyperlink ref="J801" r:id="rId485" xr:uid="{00000000-0004-0000-0000-0000E4010000}"/>
    <hyperlink ref="J803" r:id="rId486" xr:uid="{00000000-0004-0000-0000-0000E5010000}"/>
    <hyperlink ref="J804" r:id="rId487" xr:uid="{00000000-0004-0000-0000-0000E6010000}"/>
    <hyperlink ref="J805" r:id="rId488" xr:uid="{00000000-0004-0000-0000-0000E7010000}"/>
    <hyperlink ref="J808" r:id="rId489" xr:uid="{00000000-0004-0000-0000-0000E8010000}"/>
    <hyperlink ref="J812" r:id="rId490" xr:uid="{00000000-0004-0000-0000-0000E9010000}"/>
    <hyperlink ref="J813" r:id="rId491" xr:uid="{00000000-0004-0000-0000-0000EA010000}"/>
    <hyperlink ref="J814" r:id="rId492" xr:uid="{00000000-0004-0000-0000-0000EB010000}"/>
    <hyperlink ref="J817" r:id="rId493" xr:uid="{00000000-0004-0000-0000-0000EC010000}"/>
    <hyperlink ref="J819" r:id="rId494" xr:uid="{00000000-0004-0000-0000-0000ED010000}"/>
    <hyperlink ref="J820" r:id="rId495" xr:uid="{00000000-0004-0000-0000-0000EE010000}"/>
    <hyperlink ref="J821" r:id="rId496" xr:uid="{00000000-0004-0000-0000-0000EF010000}"/>
    <hyperlink ref="J824" r:id="rId497" xr:uid="{00000000-0004-0000-0000-0000F0010000}"/>
    <hyperlink ref="J825" r:id="rId498" xr:uid="{00000000-0004-0000-0000-0000F1010000}"/>
    <hyperlink ref="J826" r:id="rId499" xr:uid="{00000000-0004-0000-0000-0000F2010000}"/>
    <hyperlink ref="J827" r:id="rId500" xr:uid="{00000000-0004-0000-0000-0000F3010000}"/>
    <hyperlink ref="J829" r:id="rId501" xr:uid="{00000000-0004-0000-0000-0000F4010000}"/>
    <hyperlink ref="J831" r:id="rId502" xr:uid="{00000000-0004-0000-0000-0000F5010000}"/>
    <hyperlink ref="J833" r:id="rId503" xr:uid="{00000000-0004-0000-0000-0000F6010000}"/>
    <hyperlink ref="J837" r:id="rId504" xr:uid="{00000000-0004-0000-0000-0000F7010000}"/>
    <hyperlink ref="J840" r:id="rId505" xr:uid="{00000000-0004-0000-0000-0000F8010000}"/>
    <hyperlink ref="J841" r:id="rId506" xr:uid="{00000000-0004-0000-0000-0000F9010000}"/>
    <hyperlink ref="J842" r:id="rId507" xr:uid="{00000000-0004-0000-0000-0000FA010000}"/>
    <hyperlink ref="J844" r:id="rId508" xr:uid="{00000000-0004-0000-0000-0000FB010000}"/>
    <hyperlink ref="J848" r:id="rId509" xr:uid="{00000000-0004-0000-0000-0000FC010000}"/>
    <hyperlink ref="J849" r:id="rId510" xr:uid="{00000000-0004-0000-0000-0000FD010000}"/>
    <hyperlink ref="J851" r:id="rId511" xr:uid="{00000000-0004-0000-0000-0000FE010000}"/>
    <hyperlink ref="J853" r:id="rId512" xr:uid="{00000000-0004-0000-0000-0000FF010000}"/>
    <hyperlink ref="J855" r:id="rId513" xr:uid="{00000000-0004-0000-0000-000000020000}"/>
    <hyperlink ref="J860" r:id="rId514" xr:uid="{00000000-0004-0000-0000-000001020000}"/>
    <hyperlink ref="J861" r:id="rId515" xr:uid="{00000000-0004-0000-0000-000002020000}"/>
    <hyperlink ref="J863" r:id="rId516" xr:uid="{00000000-0004-0000-0000-000003020000}"/>
    <hyperlink ref="J864" r:id="rId517" xr:uid="{00000000-0004-0000-0000-000004020000}"/>
    <hyperlink ref="J865" r:id="rId518" xr:uid="{00000000-0004-0000-0000-000005020000}"/>
    <hyperlink ref="J866" r:id="rId519" xr:uid="{00000000-0004-0000-0000-000006020000}"/>
    <hyperlink ref="J871" r:id="rId520" xr:uid="{00000000-0004-0000-0000-000007020000}"/>
    <hyperlink ref="J874" r:id="rId521" xr:uid="{00000000-0004-0000-0000-000008020000}"/>
    <hyperlink ref="J875" r:id="rId522" xr:uid="{00000000-0004-0000-0000-000009020000}"/>
    <hyperlink ref="J877" r:id="rId523" xr:uid="{00000000-0004-0000-0000-00000A020000}"/>
    <hyperlink ref="J878" r:id="rId524" xr:uid="{00000000-0004-0000-0000-00000B020000}"/>
    <hyperlink ref="J879" r:id="rId525" xr:uid="{00000000-0004-0000-0000-00000C020000}"/>
    <hyperlink ref="J881" r:id="rId526" xr:uid="{00000000-0004-0000-0000-00000D020000}"/>
    <hyperlink ref="J882" r:id="rId527" xr:uid="{00000000-0004-0000-0000-00000E020000}"/>
    <hyperlink ref="J883" r:id="rId528" xr:uid="{00000000-0004-0000-0000-00000F020000}"/>
    <hyperlink ref="J885" r:id="rId529" xr:uid="{00000000-0004-0000-0000-000010020000}"/>
    <hyperlink ref="J886" r:id="rId530" xr:uid="{00000000-0004-0000-0000-000011020000}"/>
    <hyperlink ref="J888" r:id="rId531" xr:uid="{00000000-0004-0000-0000-000012020000}"/>
    <hyperlink ref="J890" r:id="rId532" xr:uid="{00000000-0004-0000-0000-000013020000}"/>
    <hyperlink ref="J891" r:id="rId533" xr:uid="{00000000-0004-0000-0000-000014020000}"/>
    <hyperlink ref="J892" r:id="rId534" xr:uid="{00000000-0004-0000-0000-000015020000}"/>
    <hyperlink ref="J894" r:id="rId535" xr:uid="{00000000-0004-0000-0000-000016020000}"/>
    <hyperlink ref="J895" r:id="rId536" xr:uid="{00000000-0004-0000-0000-000017020000}"/>
    <hyperlink ref="J896" r:id="rId537" xr:uid="{00000000-0004-0000-0000-000018020000}"/>
    <hyperlink ref="J141" r:id="rId538" xr:uid="{08E49B8B-AB87-44CE-BD88-6A72072643F3}"/>
    <hyperlink ref="J558" r:id="rId539" xr:uid="{613E919C-99D5-4936-BD6E-E1B66FD364CC}"/>
    <hyperlink ref="J830" r:id="rId540" xr:uid="{E1E31E7C-5F84-456C-A725-1102F7BDFFA9}"/>
    <hyperlink ref="J340" r:id="rId541" xr:uid="{5B8526DA-B3CA-4EDD-8B84-1FB063CB34A6}"/>
    <hyperlink ref="J540" r:id="rId542" xr:uid="{4863D5B6-519D-4E1A-9424-9DAA192EB2F3}"/>
    <hyperlink ref="J168" r:id="rId543" xr:uid="{19307F1E-725C-4350-9F21-BBD4EC653E57}"/>
    <hyperlink ref="J235" r:id="rId544" xr:uid="{A0B1F6E9-F5A5-41CA-94C6-0DB2795B6D97}"/>
    <hyperlink ref="J857" r:id="rId545" xr:uid="{D3DC6B32-2913-4474-A207-EC23EF7C13A0}"/>
    <hyperlink ref="J711" r:id="rId546" xr:uid="{E6533295-AEB0-4582-96BC-AB1C31608544}"/>
    <hyperlink ref="J350" r:id="rId547" xr:uid="{107DEEB3-057C-4FEB-BCF1-E2DAB94E6F4E}"/>
    <hyperlink ref="J713" r:id="rId548" xr:uid="{83E867E7-804D-467B-82B9-5BA5921CE73F}"/>
    <hyperlink ref="J435" r:id="rId549" xr:uid="{E2F21C55-8B73-4F19-847B-9F98DB332EAE}"/>
    <hyperlink ref="J254" r:id="rId550" xr:uid="{329075B2-60F0-4BC2-9885-87D0F6DA2532}"/>
    <hyperlink ref="J589" r:id="rId551" xr:uid="{29C1BA05-6D3C-4DB9-ACCA-BACF951FFCF2}"/>
    <hyperlink ref="J18" r:id="rId552" xr:uid="{B1E80D83-91E1-4C19-BEF8-B703E9D0175F}"/>
    <hyperlink ref="J602" r:id="rId553" xr:uid="{F303BDB3-5201-4543-9648-08791ABDB3FE}"/>
    <hyperlink ref="J548" r:id="rId554" xr:uid="{F3C83FBE-7599-4D8D-98B4-DEECC58B1D37}"/>
    <hyperlink ref="J595" r:id="rId555" xr:uid="{383C2980-826A-4E46-9851-E40F883782B5}"/>
    <hyperlink ref="J613" r:id="rId556" xr:uid="{19EED455-3B7D-449F-85DE-CBD241AA8B10}"/>
    <hyperlink ref="J787" r:id="rId557" xr:uid="{9E30504A-97C5-46EA-9ADF-AE454DEB581B}"/>
    <hyperlink ref="J668" r:id="rId558" xr:uid="{E8B34758-00B4-43F3-BA4F-CEBBE79FC242}"/>
    <hyperlink ref="J683" r:id="rId559" xr:uid="{5A04ABF3-4935-4035-823B-C911F62C0AD5}"/>
    <hyperlink ref="J65" r:id="rId560" xr:uid="{AFB88A0E-7CB4-42A0-8B90-6B191939BC9F}"/>
    <hyperlink ref="J192" r:id="rId561" xr:uid="{1576A441-276D-4899-A6CE-6A87E32139DA}"/>
    <hyperlink ref="J419" r:id="rId562" xr:uid="{05DAEC17-A7F8-4842-9CEA-39134B2BD9B8}"/>
    <hyperlink ref="J802" r:id="rId563" xr:uid="{60DC6AFA-F684-4D60-B31F-CA3BC377A4C4}"/>
    <hyperlink ref="J405" r:id="rId564" xr:uid="{83C75E3D-2420-4744-880A-C445E4900CA5}"/>
    <hyperlink ref="J242" r:id="rId565" xr:uid="{15EB7BDE-1EA2-47E7-9B46-41BED1F5E9C7}"/>
    <hyperlink ref="J389" r:id="rId566" xr:uid="{E2DCC958-C941-43FF-800D-77191DB9CDA3}"/>
    <hyperlink ref="J75" r:id="rId567" xr:uid="{CAA3CDF3-927D-48C3-9A57-154E10ADA3A9}"/>
    <hyperlink ref="J423" r:id="rId568" xr:uid="{7383201A-98AF-4897-BC53-16F52C40DD15}"/>
    <hyperlink ref="J417" r:id="rId569" xr:uid="{6BC662B8-39A2-48AE-B1FB-7E65A53B6CFA}"/>
    <hyperlink ref="J586" r:id="rId570" xr:uid="{EA1D64FF-A635-48FB-8FE3-3DAEC0661DDD}"/>
    <hyperlink ref="J710" r:id="rId571" xr:uid="{4FEAC80D-0062-42F7-A8AC-2235456304AC}"/>
    <hyperlink ref="J27" r:id="rId572" xr:uid="{87F7525E-206C-4CE2-838E-D526179D44E9}"/>
    <hyperlink ref="J823" r:id="rId573" xr:uid="{AC413CB7-944C-4B86-A1CE-939EF2BC8A8E}"/>
    <hyperlink ref="J555" r:id="rId574" xr:uid="{C8542F65-93AB-4E4A-A5D5-765CA6631289}"/>
    <hyperlink ref="J132" r:id="rId575" xr:uid="{F5C46010-8F43-4D6D-8244-ADAE109EFB61}"/>
    <hyperlink ref="J745" r:id="rId576" xr:uid="{4C630EA0-6037-4A15-9250-F2BE93B3F445}"/>
    <hyperlink ref="J792" r:id="rId577" xr:uid="{0458BECB-B19A-4DBF-8191-5957E5571B68}"/>
    <hyperlink ref="J348" r:id="rId578" xr:uid="{D851FA6F-78E8-45A7-89CD-74768FD7FE98}"/>
    <hyperlink ref="J53" r:id="rId579" xr:uid="{9563617C-E7C6-48E4-9A11-516BAD696086}"/>
    <hyperlink ref="J788" r:id="rId580" xr:uid="{FBAE9485-01DE-4708-949B-19EA67B27899}"/>
    <hyperlink ref="J214" r:id="rId581" xr:uid="{86A723EC-ECF5-4194-AC26-E60E03B562CE}"/>
    <hyperlink ref="J38" r:id="rId582" xr:uid="{DA79EC17-EBF2-4B6B-9EA8-A6A8E6F7E613}"/>
    <hyperlink ref="J287" r:id="rId583" xr:uid="{E7B35C2B-58D6-4CE5-960A-5A41E3DDF317}"/>
    <hyperlink ref="J726" r:id="rId584" xr:uid="{1C99CD87-086F-45AC-96A2-BC486C5DB756}"/>
    <hyperlink ref="J734" r:id="rId585" xr:uid="{B8B4D480-4229-4F08-993A-60EC6E1B90C9}"/>
    <hyperlink ref="J687" r:id="rId586" xr:uid="{3C7C8D86-F171-4E35-84E4-D205C8979876}"/>
    <hyperlink ref="J666" r:id="rId587" xr:uid="{4C6843DB-D27F-4A4F-8A70-54163BD5DA93}"/>
    <hyperlink ref="J652" r:id="rId588" xr:uid="{47CD558E-17EF-46B7-907E-AF7B25FB6DD7}"/>
    <hyperlink ref="J203" r:id="rId589" xr:uid="{2EF8F3BC-1380-4DF8-9FB4-A7261A89E970}"/>
  </hyperlinks>
  <pageMargins left="0.7" right="0.7" top="0.75" bottom="0.75" header="0.511811023622047" footer="0.511811023622047"/>
  <pageSetup orientation="portrait" horizontalDpi="300" verticalDpi="300"/>
  <tableParts count="1">
    <tablePart r:id="rId59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73"/>
  <sheetViews>
    <sheetView tabSelected="1" topLeftCell="A1424" zoomScaleNormal="100" workbookViewId="0">
      <selection activeCell="B1475" sqref="B1475"/>
    </sheetView>
  </sheetViews>
  <sheetFormatPr defaultColWidth="8.7109375" defaultRowHeight="15" x14ac:dyDescent="0.25"/>
  <cols>
    <col min="1" max="2" width="54.85546875" customWidth="1"/>
    <col min="3" max="3" width="17.42578125" customWidth="1"/>
    <col min="4" max="4" width="21.140625" customWidth="1"/>
    <col min="5" max="5" width="102.28515625" customWidth="1"/>
    <col min="6" max="6" width="43.7109375" customWidth="1"/>
  </cols>
  <sheetData>
    <row r="1" spans="1:6" x14ac:dyDescent="0.25">
      <c r="A1" t="s">
        <v>2976</v>
      </c>
      <c r="B1" t="s">
        <v>2977</v>
      </c>
      <c r="C1" t="s">
        <v>2978</v>
      </c>
      <c r="D1" t="s">
        <v>2979</v>
      </c>
      <c r="E1" t="s">
        <v>2980</v>
      </c>
      <c r="F1" t="s">
        <v>8440</v>
      </c>
    </row>
    <row r="2" spans="1:6" x14ac:dyDescent="0.25">
      <c r="A2" t="s">
        <v>1294</v>
      </c>
      <c r="B2" t="s">
        <v>175</v>
      </c>
      <c r="C2">
        <v>2019</v>
      </c>
      <c r="E2" t="s">
        <v>3013</v>
      </c>
    </row>
    <row r="3" spans="1:6" x14ac:dyDescent="0.25">
      <c r="A3" t="s">
        <v>1761</v>
      </c>
      <c r="B3" t="s">
        <v>178</v>
      </c>
      <c r="C3">
        <v>1995</v>
      </c>
      <c r="E3" t="s">
        <v>3272</v>
      </c>
      <c r="F3" t="s">
        <v>8935</v>
      </c>
    </row>
    <row r="4" spans="1:6" x14ac:dyDescent="0.25">
      <c r="A4" t="s">
        <v>2023</v>
      </c>
      <c r="B4" t="s">
        <v>178</v>
      </c>
      <c r="C4">
        <v>2003</v>
      </c>
      <c r="E4" t="s">
        <v>3272</v>
      </c>
      <c r="F4" t="s">
        <v>9436</v>
      </c>
    </row>
    <row r="5" spans="1:6" x14ac:dyDescent="0.25">
      <c r="A5" t="s">
        <v>1089</v>
      </c>
      <c r="B5" t="s">
        <v>181</v>
      </c>
      <c r="C5">
        <v>2021</v>
      </c>
      <c r="D5" t="s">
        <v>187</v>
      </c>
    </row>
    <row r="6" spans="1:6" x14ac:dyDescent="0.25">
      <c r="A6" t="s">
        <v>2804</v>
      </c>
      <c r="B6" t="s">
        <v>185</v>
      </c>
      <c r="C6">
        <v>2021</v>
      </c>
      <c r="E6" t="s">
        <v>3013</v>
      </c>
    </row>
    <row r="7" spans="1:6" x14ac:dyDescent="0.25">
      <c r="A7" t="s">
        <v>689</v>
      </c>
      <c r="B7" t="s">
        <v>190</v>
      </c>
      <c r="C7">
        <v>2015</v>
      </c>
      <c r="E7" t="s">
        <v>3083</v>
      </c>
      <c r="F7" t="s">
        <v>8592</v>
      </c>
    </row>
    <row r="8" spans="1:6" x14ac:dyDescent="0.25">
      <c r="A8" t="s">
        <v>160</v>
      </c>
      <c r="B8" t="s">
        <v>190</v>
      </c>
      <c r="C8">
        <v>2011</v>
      </c>
      <c r="E8" t="s">
        <v>3083</v>
      </c>
      <c r="F8" t="s">
        <v>9274</v>
      </c>
    </row>
    <row r="9" spans="1:6" x14ac:dyDescent="0.25">
      <c r="A9" t="s">
        <v>190</v>
      </c>
      <c r="B9" t="s">
        <v>194</v>
      </c>
      <c r="C9">
        <v>2017</v>
      </c>
      <c r="D9" t="s">
        <v>187</v>
      </c>
    </row>
    <row r="10" spans="1:6" x14ac:dyDescent="0.25">
      <c r="A10" t="s">
        <v>2073</v>
      </c>
      <c r="B10" t="s">
        <v>198</v>
      </c>
      <c r="C10">
        <v>2010</v>
      </c>
      <c r="E10" t="s">
        <v>2982</v>
      </c>
      <c r="F10" t="s">
        <v>9012</v>
      </c>
    </row>
    <row r="11" spans="1:6" x14ac:dyDescent="0.25">
      <c r="A11" t="s">
        <v>2498</v>
      </c>
      <c r="B11" t="s">
        <v>198</v>
      </c>
      <c r="C11">
        <v>2017</v>
      </c>
      <c r="D11" t="s">
        <v>187</v>
      </c>
    </row>
    <row r="12" spans="1:6" x14ac:dyDescent="0.25">
      <c r="A12" t="s">
        <v>205</v>
      </c>
      <c r="B12" t="s">
        <v>202</v>
      </c>
      <c r="C12">
        <v>2015</v>
      </c>
      <c r="D12" t="s">
        <v>187</v>
      </c>
    </row>
    <row r="13" spans="1:6" x14ac:dyDescent="0.25">
      <c r="A13" t="s">
        <v>2154</v>
      </c>
      <c r="B13" t="s">
        <v>205</v>
      </c>
      <c r="C13">
        <v>1980</v>
      </c>
      <c r="E13" t="s">
        <v>3320</v>
      </c>
      <c r="F13" t="s">
        <v>9042</v>
      </c>
    </row>
    <row r="14" spans="1:6" x14ac:dyDescent="0.25">
      <c r="A14" t="s">
        <v>2269</v>
      </c>
      <c r="B14" t="s">
        <v>209</v>
      </c>
      <c r="C14">
        <v>2022</v>
      </c>
      <c r="D14" t="s">
        <v>187</v>
      </c>
    </row>
    <row r="15" spans="1:6" x14ac:dyDescent="0.25">
      <c r="A15" t="s">
        <v>90</v>
      </c>
      <c r="B15" t="s">
        <v>209</v>
      </c>
      <c r="C15">
        <v>2017</v>
      </c>
      <c r="E15" t="s">
        <v>3343</v>
      </c>
    </row>
    <row r="16" spans="1:6" x14ac:dyDescent="0.25">
      <c r="A16" t="s">
        <v>2428</v>
      </c>
      <c r="B16" t="s">
        <v>213</v>
      </c>
      <c r="C16">
        <v>2008</v>
      </c>
      <c r="E16" t="s">
        <v>3391</v>
      </c>
    </row>
    <row r="17" spans="1:6" x14ac:dyDescent="0.25">
      <c r="A17" t="s">
        <v>160</v>
      </c>
      <c r="B17" t="s">
        <v>213</v>
      </c>
      <c r="C17">
        <v>2011</v>
      </c>
      <c r="E17" t="s">
        <v>3391</v>
      </c>
    </row>
    <row r="18" spans="1:6" x14ac:dyDescent="0.25">
      <c r="A18" t="s">
        <v>90</v>
      </c>
      <c r="B18" t="s">
        <v>215</v>
      </c>
      <c r="C18">
        <v>2017</v>
      </c>
      <c r="E18" t="s">
        <v>2982</v>
      </c>
      <c r="F18" t="s">
        <v>9091</v>
      </c>
    </row>
    <row r="19" spans="1:6" x14ac:dyDescent="0.25">
      <c r="A19" t="s">
        <v>160</v>
      </c>
      <c r="B19" t="s">
        <v>217</v>
      </c>
      <c r="C19">
        <v>2011</v>
      </c>
      <c r="E19" t="s">
        <v>3403</v>
      </c>
      <c r="F19" t="s">
        <v>9275</v>
      </c>
    </row>
    <row r="20" spans="1:6" x14ac:dyDescent="0.25">
      <c r="A20" t="s">
        <v>1144</v>
      </c>
      <c r="B20" t="s">
        <v>221</v>
      </c>
      <c r="C20">
        <v>2012</v>
      </c>
      <c r="E20" t="s">
        <v>3196</v>
      </c>
      <c r="F20" t="s">
        <v>8759</v>
      </c>
    </row>
    <row r="21" spans="1:6" x14ac:dyDescent="0.25">
      <c r="A21" t="s">
        <v>1046</v>
      </c>
      <c r="B21" t="s">
        <v>226</v>
      </c>
      <c r="C21">
        <v>2016</v>
      </c>
      <c r="E21" t="s">
        <v>3181</v>
      </c>
      <c r="F21" t="s">
        <v>8731</v>
      </c>
    </row>
    <row r="22" spans="1:6" x14ac:dyDescent="0.25">
      <c r="A22" t="s">
        <v>2906</v>
      </c>
      <c r="B22" t="s">
        <v>226</v>
      </c>
      <c r="C22">
        <v>2018</v>
      </c>
      <c r="E22" t="s">
        <v>3181</v>
      </c>
      <c r="F22" t="s">
        <v>9385</v>
      </c>
    </row>
    <row r="23" spans="1:6" x14ac:dyDescent="0.25">
      <c r="A23" t="s">
        <v>759</v>
      </c>
      <c r="B23" t="s">
        <v>228</v>
      </c>
      <c r="C23">
        <v>2018</v>
      </c>
      <c r="E23" t="s">
        <v>3110</v>
      </c>
      <c r="F23" t="s">
        <v>8628</v>
      </c>
    </row>
    <row r="24" spans="1:6" x14ac:dyDescent="0.25">
      <c r="A24" t="s">
        <v>1272</v>
      </c>
      <c r="B24" t="s">
        <v>7915</v>
      </c>
      <c r="C24">
        <v>2020</v>
      </c>
      <c r="E24" s="10" t="s">
        <v>7914</v>
      </c>
      <c r="F24" t="s">
        <v>8792</v>
      </c>
    </row>
    <row r="25" spans="1:6" x14ac:dyDescent="0.25">
      <c r="A25" t="s">
        <v>1855</v>
      </c>
      <c r="B25" t="s">
        <v>7915</v>
      </c>
      <c r="C25">
        <v>2015</v>
      </c>
      <c r="E25" s="10" t="s">
        <v>7914</v>
      </c>
      <c r="F25" t="s">
        <v>8976</v>
      </c>
    </row>
    <row r="26" spans="1:6" x14ac:dyDescent="0.25">
      <c r="A26" t="s">
        <v>2146</v>
      </c>
      <c r="B26" t="s">
        <v>7915</v>
      </c>
      <c r="C26">
        <v>2020</v>
      </c>
      <c r="E26" s="10" t="s">
        <v>7914</v>
      </c>
      <c r="F26" t="s">
        <v>9037</v>
      </c>
    </row>
    <row r="27" spans="1:6" x14ac:dyDescent="0.25">
      <c r="A27" t="s">
        <v>2021</v>
      </c>
      <c r="B27" t="s">
        <v>233</v>
      </c>
      <c r="C27">
        <v>2020</v>
      </c>
      <c r="E27" t="s">
        <v>3308</v>
      </c>
    </row>
    <row r="28" spans="1:6" x14ac:dyDescent="0.25">
      <c r="A28" t="s">
        <v>90</v>
      </c>
      <c r="B28" t="s">
        <v>233</v>
      </c>
      <c r="C28">
        <v>2017</v>
      </c>
      <c r="E28" t="s">
        <v>3308</v>
      </c>
    </row>
    <row r="29" spans="1:6" x14ac:dyDescent="0.25">
      <c r="A29" t="s">
        <v>746</v>
      </c>
      <c r="B29" t="s">
        <v>237</v>
      </c>
      <c r="C29">
        <v>2015</v>
      </c>
      <c r="E29" t="s">
        <v>3093</v>
      </c>
      <c r="F29" t="s">
        <v>8606</v>
      </c>
    </row>
    <row r="30" spans="1:6" x14ac:dyDescent="0.25">
      <c r="A30" t="s">
        <v>90</v>
      </c>
      <c r="B30" t="s">
        <v>237</v>
      </c>
      <c r="C30">
        <v>2017</v>
      </c>
      <c r="E30" t="s">
        <v>3344</v>
      </c>
    </row>
    <row r="31" spans="1:6" x14ac:dyDescent="0.25">
      <c r="A31" t="s">
        <v>759</v>
      </c>
      <c r="B31" t="s">
        <v>241</v>
      </c>
      <c r="C31">
        <v>2018</v>
      </c>
      <c r="E31" t="s">
        <v>2982</v>
      </c>
      <c r="F31" t="s">
        <v>8629</v>
      </c>
    </row>
    <row r="32" spans="1:6" x14ac:dyDescent="0.25">
      <c r="A32" t="s">
        <v>1046</v>
      </c>
      <c r="B32" t="s">
        <v>245</v>
      </c>
      <c r="C32">
        <v>2016</v>
      </c>
      <c r="E32" t="s">
        <v>3182</v>
      </c>
      <c r="F32" t="s">
        <v>8732</v>
      </c>
    </row>
    <row r="33" spans="1:6" x14ac:dyDescent="0.25">
      <c r="A33" t="s">
        <v>1855</v>
      </c>
      <c r="B33" t="s">
        <v>245</v>
      </c>
      <c r="C33">
        <v>2015</v>
      </c>
      <c r="E33" t="s">
        <v>3182</v>
      </c>
      <c r="F33" t="s">
        <v>8977</v>
      </c>
    </row>
    <row r="34" spans="1:6" x14ac:dyDescent="0.25">
      <c r="A34" t="s">
        <v>1443</v>
      </c>
      <c r="B34" t="s">
        <v>249</v>
      </c>
      <c r="C34">
        <v>2018</v>
      </c>
      <c r="E34" t="s">
        <v>3246</v>
      </c>
      <c r="F34" t="s">
        <v>8863</v>
      </c>
    </row>
    <row r="35" spans="1:6" x14ac:dyDescent="0.25">
      <c r="A35" t="s">
        <v>90</v>
      </c>
      <c r="B35" t="s">
        <v>249</v>
      </c>
      <c r="C35">
        <v>2017</v>
      </c>
      <c r="E35" t="s">
        <v>3246</v>
      </c>
      <c r="F35" t="s">
        <v>9092</v>
      </c>
    </row>
    <row r="36" spans="1:6" x14ac:dyDescent="0.25">
      <c r="A36" t="s">
        <v>759</v>
      </c>
      <c r="B36" t="s">
        <v>253</v>
      </c>
      <c r="C36">
        <v>2018</v>
      </c>
      <c r="E36" t="s">
        <v>3111</v>
      </c>
      <c r="F36" t="s">
        <v>8630</v>
      </c>
    </row>
    <row r="37" spans="1:6" x14ac:dyDescent="0.25">
      <c r="A37" t="s">
        <v>1294</v>
      </c>
      <c r="B37" t="s">
        <v>253</v>
      </c>
      <c r="C37">
        <v>2019</v>
      </c>
      <c r="E37" t="s">
        <v>3111</v>
      </c>
      <c r="F37" t="s">
        <v>8803</v>
      </c>
    </row>
    <row r="38" spans="1:6" x14ac:dyDescent="0.25">
      <c r="A38" t="s">
        <v>160</v>
      </c>
      <c r="B38" t="s">
        <v>253</v>
      </c>
      <c r="C38">
        <v>2011</v>
      </c>
      <c r="E38" t="s">
        <v>3111</v>
      </c>
      <c r="F38" t="s">
        <v>9276</v>
      </c>
    </row>
    <row r="39" spans="1:6" x14ac:dyDescent="0.25">
      <c r="A39" t="s">
        <v>1284</v>
      </c>
      <c r="B39" t="s">
        <v>256</v>
      </c>
      <c r="C39">
        <v>1984</v>
      </c>
      <c r="E39" t="s">
        <v>3220</v>
      </c>
      <c r="F39" t="s">
        <v>8796</v>
      </c>
    </row>
    <row r="40" spans="1:6" x14ac:dyDescent="0.25">
      <c r="A40" t="s">
        <v>1795</v>
      </c>
      <c r="B40" t="s">
        <v>256</v>
      </c>
      <c r="C40">
        <v>1987</v>
      </c>
      <c r="E40" s="10" t="s">
        <v>8414</v>
      </c>
      <c r="F40" t="s">
        <v>8941</v>
      </c>
    </row>
    <row r="41" spans="1:6" x14ac:dyDescent="0.25">
      <c r="A41" t="s">
        <v>2154</v>
      </c>
      <c r="B41" t="s">
        <v>256</v>
      </c>
      <c r="C41">
        <v>1980</v>
      </c>
      <c r="E41" s="10" t="s">
        <v>8414</v>
      </c>
      <c r="F41" t="s">
        <v>9043</v>
      </c>
    </row>
    <row r="42" spans="1:6" x14ac:dyDescent="0.25">
      <c r="A42" t="s">
        <v>1725</v>
      </c>
      <c r="B42" t="s">
        <v>260</v>
      </c>
      <c r="C42">
        <v>1983</v>
      </c>
      <c r="E42" t="s">
        <v>3270</v>
      </c>
      <c r="F42" t="s">
        <v>8931</v>
      </c>
    </row>
    <row r="43" spans="1:6" x14ac:dyDescent="0.25">
      <c r="A43" t="s">
        <v>746</v>
      </c>
      <c r="B43" t="s">
        <v>8121</v>
      </c>
      <c r="C43">
        <v>2015</v>
      </c>
      <c r="E43" s="10" t="s">
        <v>8133</v>
      </c>
      <c r="F43" t="s">
        <v>8607</v>
      </c>
    </row>
    <row r="44" spans="1:6" x14ac:dyDescent="0.25">
      <c r="A44" t="s">
        <v>1443</v>
      </c>
      <c r="B44" t="s">
        <v>8121</v>
      </c>
      <c r="C44">
        <v>2018</v>
      </c>
      <c r="E44" s="10" t="s">
        <v>8133</v>
      </c>
      <c r="F44" t="s">
        <v>8864</v>
      </c>
    </row>
    <row r="45" spans="1:6" x14ac:dyDescent="0.25">
      <c r="A45" t="s">
        <v>263</v>
      </c>
      <c r="B45" t="s">
        <v>268</v>
      </c>
      <c r="C45">
        <v>2022</v>
      </c>
      <c r="D45" t="s">
        <v>187</v>
      </c>
    </row>
    <row r="46" spans="1:6" x14ac:dyDescent="0.25">
      <c r="A46" t="s">
        <v>353</v>
      </c>
      <c r="B46" t="s">
        <v>270</v>
      </c>
      <c r="C46">
        <v>2023</v>
      </c>
      <c r="E46" s="10" t="s">
        <v>8368</v>
      </c>
      <c r="F46" t="s">
        <v>8511</v>
      </c>
    </row>
    <row r="47" spans="1:6" x14ac:dyDescent="0.25">
      <c r="A47" t="s">
        <v>1576</v>
      </c>
      <c r="B47" t="s">
        <v>270</v>
      </c>
      <c r="C47">
        <v>2021</v>
      </c>
      <c r="E47" s="10" t="s">
        <v>8368</v>
      </c>
      <c r="F47" t="s">
        <v>8892</v>
      </c>
    </row>
    <row r="48" spans="1:6" x14ac:dyDescent="0.25">
      <c r="A48" t="s">
        <v>1690</v>
      </c>
      <c r="B48" t="s">
        <v>270</v>
      </c>
      <c r="C48">
        <v>2020</v>
      </c>
      <c r="E48" s="10" t="s">
        <v>8368</v>
      </c>
      <c r="F48" t="s">
        <v>8919</v>
      </c>
    </row>
    <row r="49" spans="1:6" x14ac:dyDescent="0.25">
      <c r="A49" t="s">
        <v>90</v>
      </c>
      <c r="B49" t="s">
        <v>270</v>
      </c>
      <c r="C49">
        <v>2017</v>
      </c>
      <c r="E49" s="10" t="s">
        <v>8368</v>
      </c>
      <c r="F49" t="s">
        <v>9093</v>
      </c>
    </row>
    <row r="50" spans="1:6" x14ac:dyDescent="0.25">
      <c r="A50" t="s">
        <v>553</v>
      </c>
      <c r="B50" t="s">
        <v>273</v>
      </c>
      <c r="C50">
        <v>2010</v>
      </c>
      <c r="E50" t="s">
        <v>2982</v>
      </c>
      <c r="F50" t="s">
        <v>8585</v>
      </c>
    </row>
    <row r="51" spans="1:6" x14ac:dyDescent="0.25">
      <c r="A51" t="s">
        <v>1123</v>
      </c>
      <c r="B51" t="s">
        <v>276</v>
      </c>
      <c r="C51">
        <v>2020</v>
      </c>
      <c r="D51" t="s">
        <v>187</v>
      </c>
    </row>
    <row r="52" spans="1:6" x14ac:dyDescent="0.25">
      <c r="A52" t="s">
        <v>1443</v>
      </c>
      <c r="B52" t="s">
        <v>276</v>
      </c>
      <c r="C52">
        <v>2018</v>
      </c>
      <c r="E52" t="s">
        <v>3013</v>
      </c>
    </row>
    <row r="53" spans="1:6" x14ac:dyDescent="0.25">
      <c r="A53" t="s">
        <v>1038</v>
      </c>
      <c r="B53" t="s">
        <v>281</v>
      </c>
      <c r="C53">
        <v>2023</v>
      </c>
      <c r="D53" t="s">
        <v>187</v>
      </c>
    </row>
    <row r="54" spans="1:6" x14ac:dyDescent="0.25">
      <c r="A54" t="s">
        <v>1144</v>
      </c>
      <c r="B54" t="s">
        <v>283</v>
      </c>
      <c r="C54">
        <v>2018</v>
      </c>
      <c r="E54" t="s">
        <v>3197</v>
      </c>
      <c r="F54" t="s">
        <v>8760</v>
      </c>
    </row>
    <row r="55" spans="1:6" x14ac:dyDescent="0.25">
      <c r="A55" t="s">
        <v>90</v>
      </c>
      <c r="B55" t="s">
        <v>283</v>
      </c>
      <c r="C55">
        <v>2017</v>
      </c>
      <c r="E55" t="s">
        <v>3197</v>
      </c>
      <c r="F55" t="s">
        <v>9094</v>
      </c>
    </row>
    <row r="56" spans="1:6" x14ac:dyDescent="0.25">
      <c r="A56" t="s">
        <v>873</v>
      </c>
      <c r="B56" t="s">
        <v>287</v>
      </c>
      <c r="C56">
        <v>2019</v>
      </c>
      <c r="E56" t="s">
        <v>3140</v>
      </c>
      <c r="F56" t="s">
        <v>9437</v>
      </c>
    </row>
    <row r="57" spans="1:6" x14ac:dyDescent="0.25">
      <c r="A57" t="s">
        <v>90</v>
      </c>
      <c r="B57" t="s">
        <v>287</v>
      </c>
      <c r="C57">
        <v>2017</v>
      </c>
      <c r="E57" t="s">
        <v>3140</v>
      </c>
      <c r="F57" t="s">
        <v>9438</v>
      </c>
    </row>
    <row r="58" spans="1:6" x14ac:dyDescent="0.25">
      <c r="A58" t="s">
        <v>2804</v>
      </c>
      <c r="B58" t="s">
        <v>290</v>
      </c>
      <c r="C58">
        <v>2021</v>
      </c>
      <c r="E58" t="s">
        <v>3013</v>
      </c>
    </row>
    <row r="59" spans="1:6" x14ac:dyDescent="0.25">
      <c r="A59" t="s">
        <v>497</v>
      </c>
      <c r="B59" t="s">
        <v>294</v>
      </c>
      <c r="C59">
        <v>2022</v>
      </c>
      <c r="E59" t="s">
        <v>3065</v>
      </c>
      <c r="F59" t="s">
        <v>8564</v>
      </c>
    </row>
    <row r="60" spans="1:6" x14ac:dyDescent="0.25">
      <c r="A60" t="s">
        <v>847</v>
      </c>
      <c r="B60" t="s">
        <v>294</v>
      </c>
      <c r="C60">
        <v>1996</v>
      </c>
      <c r="E60" t="s">
        <v>3130</v>
      </c>
      <c r="F60" t="s">
        <v>8662</v>
      </c>
    </row>
    <row r="61" spans="1:6" x14ac:dyDescent="0.25">
      <c r="A61" t="s">
        <v>2804</v>
      </c>
      <c r="B61" t="s">
        <v>294</v>
      </c>
      <c r="C61">
        <v>2021</v>
      </c>
      <c r="E61" t="s">
        <v>3065</v>
      </c>
      <c r="F61" t="s">
        <v>9342</v>
      </c>
    </row>
    <row r="62" spans="1:6" x14ac:dyDescent="0.25">
      <c r="A62" t="s">
        <v>2804</v>
      </c>
      <c r="B62" t="s">
        <v>297</v>
      </c>
      <c r="C62">
        <v>2021</v>
      </c>
      <c r="E62" t="s">
        <v>2982</v>
      </c>
      <c r="F62" t="s">
        <v>9343</v>
      </c>
    </row>
    <row r="63" spans="1:6" x14ac:dyDescent="0.25">
      <c r="A63" t="s">
        <v>1951</v>
      </c>
      <c r="B63" t="s">
        <v>299</v>
      </c>
      <c r="C63">
        <v>2022</v>
      </c>
      <c r="E63" t="s">
        <v>3304</v>
      </c>
      <c r="F63" t="s">
        <v>9001</v>
      </c>
    </row>
    <row r="64" spans="1:6" x14ac:dyDescent="0.25">
      <c r="A64" t="s">
        <v>90</v>
      </c>
      <c r="B64" t="s">
        <v>299</v>
      </c>
      <c r="C64">
        <v>2017</v>
      </c>
      <c r="E64" t="s">
        <v>3304</v>
      </c>
      <c r="F64" t="s">
        <v>9095</v>
      </c>
    </row>
    <row r="65" spans="1:6" x14ac:dyDescent="0.25">
      <c r="A65" t="s">
        <v>746</v>
      </c>
      <c r="B65" t="s">
        <v>301</v>
      </c>
      <c r="C65">
        <v>2015</v>
      </c>
      <c r="D65" t="s">
        <v>3094</v>
      </c>
      <c r="E65" t="s">
        <v>3095</v>
      </c>
      <c r="F65" t="s">
        <v>8608</v>
      </c>
    </row>
    <row r="66" spans="1:6" x14ac:dyDescent="0.25">
      <c r="A66" t="s">
        <v>90</v>
      </c>
      <c r="B66" t="s">
        <v>301</v>
      </c>
      <c r="C66">
        <v>2017</v>
      </c>
      <c r="E66" t="s">
        <v>2982</v>
      </c>
      <c r="F66" t="s">
        <v>9096</v>
      </c>
    </row>
    <row r="67" spans="1:6" x14ac:dyDescent="0.25">
      <c r="A67" t="s">
        <v>1294</v>
      </c>
      <c r="B67" t="s">
        <v>303</v>
      </c>
      <c r="C67">
        <v>2019</v>
      </c>
      <c r="E67" t="s">
        <v>3225</v>
      </c>
      <c r="F67" t="s">
        <v>8804</v>
      </c>
    </row>
    <row r="68" spans="1:6" x14ac:dyDescent="0.25">
      <c r="A68" t="s">
        <v>2804</v>
      </c>
      <c r="B68" t="s">
        <v>303</v>
      </c>
      <c r="C68">
        <v>2021</v>
      </c>
      <c r="E68" t="s">
        <v>3013</v>
      </c>
    </row>
    <row r="69" spans="1:6" x14ac:dyDescent="0.25">
      <c r="A69" t="s">
        <v>1046</v>
      </c>
      <c r="B69" t="s">
        <v>308</v>
      </c>
      <c r="C69">
        <v>2016</v>
      </c>
      <c r="E69" t="s">
        <v>3183</v>
      </c>
    </row>
    <row r="70" spans="1:6" x14ac:dyDescent="0.25">
      <c r="A70" t="s">
        <v>160</v>
      </c>
      <c r="B70" t="s">
        <v>308</v>
      </c>
      <c r="C70">
        <v>2011</v>
      </c>
      <c r="E70" t="s">
        <v>3183</v>
      </c>
    </row>
    <row r="71" spans="1:6" x14ac:dyDescent="0.25">
      <c r="A71" t="s">
        <v>574</v>
      </c>
      <c r="B71" t="s">
        <v>310</v>
      </c>
      <c r="C71">
        <v>2019</v>
      </c>
      <c r="E71" t="s">
        <v>3077</v>
      </c>
      <c r="F71" t="s">
        <v>8586</v>
      </c>
    </row>
    <row r="72" spans="1:6" x14ac:dyDescent="0.25">
      <c r="A72" t="s">
        <v>737</v>
      </c>
      <c r="B72" t="s">
        <v>310</v>
      </c>
      <c r="C72">
        <v>2019</v>
      </c>
      <c r="D72" t="s">
        <v>187</v>
      </c>
      <c r="E72" t="s">
        <v>3077</v>
      </c>
      <c r="F72" t="s">
        <v>8605</v>
      </c>
    </row>
    <row r="73" spans="1:6" x14ac:dyDescent="0.25">
      <c r="A73" t="s">
        <v>759</v>
      </c>
      <c r="B73" t="s">
        <v>310</v>
      </c>
      <c r="C73">
        <v>2018</v>
      </c>
      <c r="E73" t="s">
        <v>3077</v>
      </c>
      <c r="F73" t="s">
        <v>8631</v>
      </c>
    </row>
    <row r="74" spans="1:6" x14ac:dyDescent="0.25">
      <c r="A74" t="s">
        <v>1294</v>
      </c>
      <c r="B74" t="s">
        <v>310</v>
      </c>
      <c r="C74">
        <v>2019</v>
      </c>
      <c r="E74" t="s">
        <v>3077</v>
      </c>
      <c r="F74" t="s">
        <v>8805</v>
      </c>
    </row>
    <row r="75" spans="1:6" x14ac:dyDescent="0.25">
      <c r="A75" t="s">
        <v>90</v>
      </c>
      <c r="B75" t="s">
        <v>310</v>
      </c>
      <c r="C75">
        <v>2017</v>
      </c>
      <c r="E75" t="s">
        <v>3345</v>
      </c>
    </row>
    <row r="76" spans="1:6" x14ac:dyDescent="0.25">
      <c r="A76" t="s">
        <v>2906</v>
      </c>
      <c r="B76" t="s">
        <v>310</v>
      </c>
      <c r="C76">
        <v>2018</v>
      </c>
      <c r="E76" t="s">
        <v>3077</v>
      </c>
      <c r="F76" t="s">
        <v>9386</v>
      </c>
    </row>
    <row r="77" spans="1:6" x14ac:dyDescent="0.25">
      <c r="A77" t="s">
        <v>90</v>
      </c>
      <c r="B77" t="s">
        <v>314</v>
      </c>
      <c r="C77">
        <v>2017</v>
      </c>
      <c r="E77" t="s">
        <v>3346</v>
      </c>
      <c r="F77" t="s">
        <v>9097</v>
      </c>
    </row>
    <row r="78" spans="1:6" x14ac:dyDescent="0.25">
      <c r="A78" t="s">
        <v>497</v>
      </c>
      <c r="B78" t="s">
        <v>319</v>
      </c>
      <c r="C78">
        <v>2022</v>
      </c>
      <c r="E78" t="s">
        <v>2982</v>
      </c>
      <c r="F78" t="s">
        <v>8565</v>
      </c>
    </row>
    <row r="79" spans="1:6" x14ac:dyDescent="0.25">
      <c r="A79" t="s">
        <v>1046</v>
      </c>
      <c r="B79" t="s">
        <v>319</v>
      </c>
      <c r="C79">
        <v>2016</v>
      </c>
      <c r="E79" t="s">
        <v>2982</v>
      </c>
      <c r="F79" t="s">
        <v>8733</v>
      </c>
    </row>
    <row r="80" spans="1:6" x14ac:dyDescent="0.25">
      <c r="A80" t="s">
        <v>1594</v>
      </c>
      <c r="B80" t="s">
        <v>319</v>
      </c>
      <c r="C80">
        <v>2023</v>
      </c>
      <c r="E80" t="s">
        <v>2982</v>
      </c>
      <c r="F80" t="s">
        <v>8916</v>
      </c>
    </row>
    <row r="81" spans="1:6" x14ac:dyDescent="0.25">
      <c r="A81" t="s">
        <v>1855</v>
      </c>
      <c r="B81" t="s">
        <v>319</v>
      </c>
      <c r="C81">
        <v>2015</v>
      </c>
      <c r="E81" t="s">
        <v>2982</v>
      </c>
      <c r="F81" t="s">
        <v>8978</v>
      </c>
    </row>
    <row r="82" spans="1:6" x14ac:dyDescent="0.25">
      <c r="A82" t="s">
        <v>2804</v>
      </c>
      <c r="B82" t="s">
        <v>319</v>
      </c>
      <c r="C82">
        <v>2021</v>
      </c>
      <c r="E82" t="s">
        <v>2982</v>
      </c>
      <c r="F82" t="s">
        <v>9344</v>
      </c>
    </row>
    <row r="83" spans="1:6" x14ac:dyDescent="0.25">
      <c r="A83" t="s">
        <v>1155</v>
      </c>
      <c r="B83" t="s">
        <v>327</v>
      </c>
      <c r="C83">
        <v>2010</v>
      </c>
      <c r="D83" t="s">
        <v>187</v>
      </c>
    </row>
    <row r="84" spans="1:6" x14ac:dyDescent="0.25">
      <c r="A84" t="s">
        <v>759</v>
      </c>
      <c r="B84" t="s">
        <v>330</v>
      </c>
      <c r="C84">
        <v>2018</v>
      </c>
      <c r="E84" t="s">
        <v>3112</v>
      </c>
      <c r="F84" t="s">
        <v>8632</v>
      </c>
    </row>
    <row r="85" spans="1:6" x14ac:dyDescent="0.25">
      <c r="A85" t="s">
        <v>1046</v>
      </c>
      <c r="B85" t="s">
        <v>333</v>
      </c>
      <c r="C85">
        <v>2016</v>
      </c>
      <c r="E85" t="s">
        <v>3184</v>
      </c>
      <c r="F85" t="s">
        <v>8734</v>
      </c>
    </row>
    <row r="86" spans="1:6" x14ac:dyDescent="0.25">
      <c r="A86" t="s">
        <v>1855</v>
      </c>
      <c r="B86" t="s">
        <v>333</v>
      </c>
      <c r="C86">
        <v>2015</v>
      </c>
      <c r="E86" t="s">
        <v>3184</v>
      </c>
      <c r="F86" t="s">
        <v>8979</v>
      </c>
    </row>
    <row r="87" spans="1:6" x14ac:dyDescent="0.25">
      <c r="A87" t="s">
        <v>90</v>
      </c>
      <c r="B87" t="s">
        <v>333</v>
      </c>
      <c r="C87">
        <v>2017</v>
      </c>
      <c r="E87" t="s">
        <v>3184</v>
      </c>
      <c r="F87" t="s">
        <v>9098</v>
      </c>
    </row>
    <row r="88" spans="1:6" x14ac:dyDescent="0.25">
      <c r="A88" t="s">
        <v>178</v>
      </c>
      <c r="B88" t="s">
        <v>337</v>
      </c>
      <c r="C88">
        <v>2010</v>
      </c>
      <c r="D88" t="s">
        <v>187</v>
      </c>
    </row>
    <row r="89" spans="1:6" x14ac:dyDescent="0.25">
      <c r="A89" t="s">
        <v>2721</v>
      </c>
      <c r="B89" t="s">
        <v>341</v>
      </c>
      <c r="C89">
        <v>1993</v>
      </c>
      <c r="E89" t="s">
        <v>3013</v>
      </c>
    </row>
    <row r="90" spans="1:6" x14ac:dyDescent="0.25">
      <c r="A90" t="s">
        <v>346</v>
      </c>
      <c r="B90" t="s">
        <v>344</v>
      </c>
      <c r="C90">
        <v>2022</v>
      </c>
      <c r="E90" t="s">
        <v>3015</v>
      </c>
      <c r="F90" t="s">
        <v>8503</v>
      </c>
    </row>
    <row r="91" spans="1:6" x14ac:dyDescent="0.25">
      <c r="A91" t="s">
        <v>2506</v>
      </c>
      <c r="B91" t="s">
        <v>344</v>
      </c>
      <c r="C91">
        <v>2021</v>
      </c>
      <c r="E91" t="s">
        <v>2982</v>
      </c>
      <c r="F91" t="s">
        <v>9249</v>
      </c>
    </row>
    <row r="92" spans="1:6" x14ac:dyDescent="0.25">
      <c r="A92" t="s">
        <v>873</v>
      </c>
      <c r="B92" t="s">
        <v>346</v>
      </c>
      <c r="C92">
        <v>2019</v>
      </c>
      <c r="E92" t="s">
        <v>2982</v>
      </c>
      <c r="F92" t="s">
        <v>8681</v>
      </c>
    </row>
    <row r="93" spans="1:6" x14ac:dyDescent="0.25">
      <c r="A93" t="s">
        <v>1435</v>
      </c>
      <c r="B93" t="s">
        <v>346</v>
      </c>
      <c r="C93">
        <v>2021</v>
      </c>
      <c r="E93" t="s">
        <v>2982</v>
      </c>
      <c r="F93" t="s">
        <v>8851</v>
      </c>
    </row>
    <row r="94" spans="1:6" x14ac:dyDescent="0.25">
      <c r="A94" t="s">
        <v>1443</v>
      </c>
      <c r="B94" t="s">
        <v>346</v>
      </c>
      <c r="C94">
        <v>2018</v>
      </c>
      <c r="E94" t="s">
        <v>3247</v>
      </c>
      <c r="F94" t="s">
        <v>8865</v>
      </c>
    </row>
    <row r="95" spans="1:6" x14ac:dyDescent="0.25">
      <c r="A95" t="s">
        <v>1576</v>
      </c>
      <c r="B95" t="s">
        <v>346</v>
      </c>
      <c r="C95">
        <v>2021</v>
      </c>
      <c r="E95" t="s">
        <v>2982</v>
      </c>
      <c r="F95" t="s">
        <v>8893</v>
      </c>
    </row>
    <row r="96" spans="1:6" x14ac:dyDescent="0.25">
      <c r="A96" t="s">
        <v>90</v>
      </c>
      <c r="B96" t="s">
        <v>346</v>
      </c>
      <c r="C96">
        <v>2017</v>
      </c>
      <c r="E96" t="s">
        <v>3247</v>
      </c>
      <c r="F96" t="s">
        <v>9099</v>
      </c>
    </row>
    <row r="97" spans="1:6" x14ac:dyDescent="0.25">
      <c r="A97" t="s">
        <v>1576</v>
      </c>
      <c r="B97" t="s">
        <v>353</v>
      </c>
      <c r="C97">
        <v>2021</v>
      </c>
      <c r="E97" t="s">
        <v>3261</v>
      </c>
      <c r="F97" t="s">
        <v>8894</v>
      </c>
    </row>
    <row r="98" spans="1:6" x14ac:dyDescent="0.25">
      <c r="A98" t="s">
        <v>2706</v>
      </c>
      <c r="B98" t="s">
        <v>358</v>
      </c>
      <c r="C98">
        <v>1991</v>
      </c>
      <c r="E98" s="10" t="s">
        <v>3420</v>
      </c>
      <c r="F98" t="s">
        <v>9439</v>
      </c>
    </row>
    <row r="99" spans="1:6" x14ac:dyDescent="0.25">
      <c r="A99" t="s">
        <v>811</v>
      </c>
      <c r="B99" t="s">
        <v>360</v>
      </c>
      <c r="C99">
        <v>2024</v>
      </c>
      <c r="E99" t="s">
        <v>7657</v>
      </c>
      <c r="F99" t="s">
        <v>8655</v>
      </c>
    </row>
    <row r="100" spans="1:6" x14ac:dyDescent="0.25">
      <c r="A100" t="s">
        <v>2804</v>
      </c>
      <c r="B100" t="s">
        <v>360</v>
      </c>
      <c r="C100">
        <v>2021</v>
      </c>
      <c r="E100" t="s">
        <v>7657</v>
      </c>
      <c r="F100" t="s">
        <v>9345</v>
      </c>
    </row>
    <row r="101" spans="1:6" x14ac:dyDescent="0.25">
      <c r="A101" t="s">
        <v>1576</v>
      </c>
      <c r="B101" t="s">
        <v>364</v>
      </c>
      <c r="C101">
        <v>2021</v>
      </c>
      <c r="E101" t="s">
        <v>2982</v>
      </c>
      <c r="F101" t="s">
        <v>8895</v>
      </c>
    </row>
    <row r="102" spans="1:6" x14ac:dyDescent="0.25">
      <c r="A102" t="s">
        <v>90</v>
      </c>
      <c r="B102" t="s">
        <v>368</v>
      </c>
      <c r="C102">
        <v>2017</v>
      </c>
      <c r="E102" t="s">
        <v>3013</v>
      </c>
    </row>
    <row r="103" spans="1:6" x14ac:dyDescent="0.25">
      <c r="A103" t="s">
        <v>346</v>
      </c>
      <c r="B103" t="s">
        <v>372</v>
      </c>
      <c r="C103">
        <v>2022</v>
      </c>
      <c r="E103" t="s">
        <v>3016</v>
      </c>
      <c r="F103" t="s">
        <v>8504</v>
      </c>
    </row>
    <row r="104" spans="1:6" x14ac:dyDescent="0.25">
      <c r="A104" t="s">
        <v>90</v>
      </c>
      <c r="B104" t="s">
        <v>372</v>
      </c>
      <c r="C104">
        <v>2017</v>
      </c>
      <c r="E104" t="s">
        <v>3016</v>
      </c>
      <c r="F104" t="s">
        <v>9100</v>
      </c>
    </row>
    <row r="105" spans="1:6" x14ac:dyDescent="0.25">
      <c r="A105" t="s">
        <v>1795</v>
      </c>
      <c r="B105" t="s">
        <v>375</v>
      </c>
      <c r="C105">
        <v>1987</v>
      </c>
      <c r="E105" t="s">
        <v>3276</v>
      </c>
      <c r="F105" t="s">
        <v>8942</v>
      </c>
    </row>
    <row r="106" spans="1:6" x14ac:dyDescent="0.25">
      <c r="A106" t="s">
        <v>2428</v>
      </c>
      <c r="B106" t="s">
        <v>375</v>
      </c>
      <c r="C106">
        <v>2008</v>
      </c>
      <c r="E106" t="s">
        <v>3276</v>
      </c>
      <c r="F106" t="s">
        <v>9212</v>
      </c>
    </row>
    <row r="107" spans="1:6" x14ac:dyDescent="0.25">
      <c r="A107" t="s">
        <v>2154</v>
      </c>
      <c r="B107" t="s">
        <v>379</v>
      </c>
      <c r="C107">
        <v>1980</v>
      </c>
      <c r="E107" s="10" t="s">
        <v>8442</v>
      </c>
      <c r="F107" t="s">
        <v>8443</v>
      </c>
    </row>
    <row r="108" spans="1:6" x14ac:dyDescent="0.25">
      <c r="A108" t="s">
        <v>2721</v>
      </c>
      <c r="B108" t="s">
        <v>379</v>
      </c>
      <c r="C108">
        <v>1993</v>
      </c>
      <c r="E108" s="10" t="s">
        <v>8442</v>
      </c>
      <c r="F108" t="s">
        <v>8441</v>
      </c>
    </row>
    <row r="109" spans="1:6" x14ac:dyDescent="0.25">
      <c r="A109" t="s">
        <v>379</v>
      </c>
      <c r="B109" t="s">
        <v>381</v>
      </c>
      <c r="C109">
        <v>1998</v>
      </c>
      <c r="D109" t="s">
        <v>187</v>
      </c>
    </row>
    <row r="110" spans="1:6" x14ac:dyDescent="0.25">
      <c r="A110" t="s">
        <v>1863</v>
      </c>
      <c r="B110" t="s">
        <v>7953</v>
      </c>
      <c r="C110">
        <v>2026</v>
      </c>
      <c r="E110" t="s">
        <v>2982</v>
      </c>
      <c r="F110" t="s">
        <v>8996</v>
      </c>
    </row>
    <row r="111" spans="1:6" x14ac:dyDescent="0.25">
      <c r="A111" t="s">
        <v>2594</v>
      </c>
      <c r="B111" t="s">
        <v>7953</v>
      </c>
      <c r="C111">
        <v>2019</v>
      </c>
      <c r="E111" t="s">
        <v>2982</v>
      </c>
      <c r="F111" t="s">
        <v>9266</v>
      </c>
    </row>
    <row r="112" spans="1:6" x14ac:dyDescent="0.25">
      <c r="A112" t="s">
        <v>2614</v>
      </c>
      <c r="B112" t="s">
        <v>7953</v>
      </c>
      <c r="C112">
        <v>2025</v>
      </c>
      <c r="E112" s="10" t="s">
        <v>7952</v>
      </c>
      <c r="F112" t="s">
        <v>9272</v>
      </c>
    </row>
    <row r="113" spans="1:6" x14ac:dyDescent="0.25">
      <c r="A113" t="s">
        <v>759</v>
      </c>
      <c r="B113" t="s">
        <v>387</v>
      </c>
      <c r="C113">
        <v>2018</v>
      </c>
      <c r="E113" t="s">
        <v>3113</v>
      </c>
      <c r="F113" t="s">
        <v>8633</v>
      </c>
    </row>
    <row r="114" spans="1:6" x14ac:dyDescent="0.25">
      <c r="A114" t="s">
        <v>1294</v>
      </c>
      <c r="B114" t="s">
        <v>387</v>
      </c>
      <c r="C114">
        <v>2019</v>
      </c>
      <c r="E114" t="s">
        <v>3113</v>
      </c>
      <c r="F114" t="s">
        <v>8806</v>
      </c>
    </row>
    <row r="115" spans="1:6" x14ac:dyDescent="0.25">
      <c r="A115" t="s">
        <v>353</v>
      </c>
      <c r="B115" t="s">
        <v>391</v>
      </c>
      <c r="C115">
        <v>2023</v>
      </c>
      <c r="E115" t="s">
        <v>3018</v>
      </c>
    </row>
    <row r="116" spans="1:6" x14ac:dyDescent="0.25">
      <c r="A116" t="s">
        <v>457</v>
      </c>
      <c r="B116" t="s">
        <v>394</v>
      </c>
      <c r="C116">
        <v>2022</v>
      </c>
      <c r="E116" t="s">
        <v>3056</v>
      </c>
    </row>
    <row r="117" spans="1:6" x14ac:dyDescent="0.25">
      <c r="A117" t="s">
        <v>778</v>
      </c>
      <c r="B117" t="s">
        <v>394</v>
      </c>
      <c r="C117">
        <v>2023</v>
      </c>
      <c r="E117" t="s">
        <v>3056</v>
      </c>
    </row>
    <row r="118" spans="1:6" x14ac:dyDescent="0.25">
      <c r="A118" t="s">
        <v>1302</v>
      </c>
      <c r="B118" t="s">
        <v>394</v>
      </c>
      <c r="C118">
        <v>2023</v>
      </c>
      <c r="E118" t="s">
        <v>3056</v>
      </c>
    </row>
    <row r="119" spans="1:6" x14ac:dyDescent="0.25">
      <c r="A119" t="s">
        <v>1779</v>
      </c>
      <c r="B119" t="s">
        <v>394</v>
      </c>
      <c r="C119">
        <v>2022</v>
      </c>
      <c r="E119" t="s">
        <v>3056</v>
      </c>
    </row>
    <row r="120" spans="1:6" x14ac:dyDescent="0.25">
      <c r="A120" t="s">
        <v>2675</v>
      </c>
      <c r="B120" t="s">
        <v>394</v>
      </c>
      <c r="C120">
        <v>2022</v>
      </c>
      <c r="E120" t="s">
        <v>3056</v>
      </c>
    </row>
    <row r="121" spans="1:6" x14ac:dyDescent="0.25">
      <c r="A121" t="s">
        <v>2804</v>
      </c>
      <c r="B121" t="s">
        <v>394</v>
      </c>
      <c r="C121">
        <v>2021</v>
      </c>
      <c r="E121" t="s">
        <v>3056</v>
      </c>
    </row>
    <row r="122" spans="1:6" x14ac:dyDescent="0.25">
      <c r="A122" t="s">
        <v>643</v>
      </c>
      <c r="B122" t="s">
        <v>403</v>
      </c>
      <c r="C122">
        <v>2020</v>
      </c>
      <c r="D122" t="s">
        <v>187</v>
      </c>
    </row>
    <row r="123" spans="1:6" x14ac:dyDescent="0.25">
      <c r="A123" t="s">
        <v>90</v>
      </c>
      <c r="B123" t="s">
        <v>403</v>
      </c>
      <c r="C123">
        <v>2017</v>
      </c>
      <c r="E123" t="s">
        <v>3347</v>
      </c>
      <c r="F123" t="s">
        <v>9101</v>
      </c>
    </row>
    <row r="124" spans="1:6" x14ac:dyDescent="0.25">
      <c r="A124" t="s">
        <v>90</v>
      </c>
      <c r="B124" t="s">
        <v>411</v>
      </c>
      <c r="C124">
        <v>2017</v>
      </c>
      <c r="E124" t="s">
        <v>3348</v>
      </c>
      <c r="F124" t="s">
        <v>9102</v>
      </c>
    </row>
    <row r="125" spans="1:6" x14ac:dyDescent="0.25">
      <c r="A125" t="s">
        <v>1046</v>
      </c>
      <c r="B125" t="s">
        <v>415</v>
      </c>
      <c r="C125">
        <v>2016</v>
      </c>
      <c r="E125" t="s">
        <v>3185</v>
      </c>
      <c r="F125" t="s">
        <v>9441</v>
      </c>
    </row>
    <row r="126" spans="1:6" x14ac:dyDescent="0.25">
      <c r="A126" t="s">
        <v>1144</v>
      </c>
      <c r="B126" t="s">
        <v>415</v>
      </c>
      <c r="C126">
        <v>2012</v>
      </c>
      <c r="E126" s="10" t="s">
        <v>9422</v>
      </c>
      <c r="F126" t="s">
        <v>9424</v>
      </c>
    </row>
    <row r="127" spans="1:6" x14ac:dyDescent="0.25">
      <c r="A127" t="s">
        <v>1294</v>
      </c>
      <c r="B127" t="s">
        <v>415</v>
      </c>
      <c r="C127">
        <v>2019</v>
      </c>
      <c r="E127" s="10" t="s">
        <v>9422</v>
      </c>
      <c r="F127" t="s">
        <v>9423</v>
      </c>
    </row>
    <row r="128" spans="1:6" x14ac:dyDescent="0.25">
      <c r="A128" t="s">
        <v>160</v>
      </c>
      <c r="B128" t="s">
        <v>415</v>
      </c>
      <c r="C128">
        <v>2011</v>
      </c>
      <c r="E128" t="s">
        <v>3185</v>
      </c>
      <c r="F128" t="s">
        <v>9440</v>
      </c>
    </row>
    <row r="129" spans="1:6" x14ac:dyDescent="0.25">
      <c r="A129" t="s">
        <v>353</v>
      </c>
      <c r="B129" t="s">
        <v>419</v>
      </c>
      <c r="C129">
        <v>2023</v>
      </c>
      <c r="E129" t="s">
        <v>3019</v>
      </c>
      <c r="F129" t="s">
        <v>8512</v>
      </c>
    </row>
    <row r="130" spans="1:6" x14ac:dyDescent="0.25">
      <c r="A130" t="s">
        <v>353</v>
      </c>
      <c r="B130" t="s">
        <v>421</v>
      </c>
      <c r="C130">
        <v>2023</v>
      </c>
      <c r="E130" t="s">
        <v>2982</v>
      </c>
      <c r="F130" t="s">
        <v>8513</v>
      </c>
    </row>
    <row r="131" spans="1:6" x14ac:dyDescent="0.25">
      <c r="A131" t="s">
        <v>1576</v>
      </c>
      <c r="B131" t="s">
        <v>421</v>
      </c>
      <c r="C131">
        <v>2021</v>
      </c>
      <c r="E131" t="s">
        <v>2982</v>
      </c>
      <c r="F131" t="s">
        <v>8896</v>
      </c>
    </row>
    <row r="132" spans="1:6" x14ac:dyDescent="0.25">
      <c r="A132" t="s">
        <v>2324</v>
      </c>
      <c r="B132" t="s">
        <v>421</v>
      </c>
      <c r="C132">
        <v>2022</v>
      </c>
      <c r="E132" t="s">
        <v>2982</v>
      </c>
      <c r="F132" t="s">
        <v>9087</v>
      </c>
    </row>
    <row r="133" spans="1:6" x14ac:dyDescent="0.25">
      <c r="A133" t="s">
        <v>2804</v>
      </c>
      <c r="B133" t="s">
        <v>425</v>
      </c>
      <c r="C133">
        <v>2021</v>
      </c>
      <c r="E133" t="s">
        <v>3013</v>
      </c>
    </row>
    <row r="134" spans="1:6" x14ac:dyDescent="0.25">
      <c r="A134" t="s">
        <v>353</v>
      </c>
      <c r="B134" t="s">
        <v>428</v>
      </c>
      <c r="C134">
        <v>2023</v>
      </c>
      <c r="E134" t="s">
        <v>3020</v>
      </c>
    </row>
    <row r="135" spans="1:6" x14ac:dyDescent="0.25">
      <c r="A135" t="s">
        <v>1294</v>
      </c>
      <c r="B135" t="s">
        <v>428</v>
      </c>
      <c r="C135">
        <v>2019</v>
      </c>
      <c r="E135" t="s">
        <v>3020</v>
      </c>
    </row>
    <row r="136" spans="1:6" x14ac:dyDescent="0.25">
      <c r="A136" t="s">
        <v>1435</v>
      </c>
      <c r="B136" t="s">
        <v>428</v>
      </c>
      <c r="C136">
        <v>2021</v>
      </c>
      <c r="E136" t="s">
        <v>3020</v>
      </c>
    </row>
    <row r="137" spans="1:6" x14ac:dyDescent="0.25">
      <c r="A137" t="s">
        <v>90</v>
      </c>
      <c r="B137" t="s">
        <v>428</v>
      </c>
      <c r="C137">
        <v>2017</v>
      </c>
      <c r="E137" t="s">
        <v>3020</v>
      </c>
    </row>
    <row r="138" spans="1:6" x14ac:dyDescent="0.25">
      <c r="A138" t="s">
        <v>2804</v>
      </c>
      <c r="B138" t="s">
        <v>428</v>
      </c>
      <c r="C138">
        <v>2021</v>
      </c>
      <c r="E138" t="s">
        <v>3020</v>
      </c>
    </row>
    <row r="139" spans="1:6" x14ac:dyDescent="0.25">
      <c r="A139" t="s">
        <v>1855</v>
      </c>
      <c r="B139" t="s">
        <v>431</v>
      </c>
      <c r="C139">
        <v>2015</v>
      </c>
      <c r="E139" t="s">
        <v>2982</v>
      </c>
      <c r="F139" t="s">
        <v>8980</v>
      </c>
    </row>
    <row r="140" spans="1:6" x14ac:dyDescent="0.25">
      <c r="A140" t="s">
        <v>2428</v>
      </c>
      <c r="B140" t="s">
        <v>431</v>
      </c>
      <c r="C140">
        <v>2008</v>
      </c>
      <c r="E140" t="s">
        <v>2982</v>
      </c>
      <c r="F140" t="s">
        <v>9213</v>
      </c>
    </row>
    <row r="141" spans="1:6" x14ac:dyDescent="0.25">
      <c r="A141" t="s">
        <v>160</v>
      </c>
      <c r="B141" t="s">
        <v>431</v>
      </c>
      <c r="C141">
        <v>2011</v>
      </c>
      <c r="E141" t="s">
        <v>2982</v>
      </c>
      <c r="F141" t="s">
        <v>9277</v>
      </c>
    </row>
    <row r="142" spans="1:6" x14ac:dyDescent="0.25">
      <c r="A142" t="s">
        <v>439</v>
      </c>
      <c r="B142" t="s">
        <v>443</v>
      </c>
      <c r="C142">
        <v>2023</v>
      </c>
      <c r="D142" t="s">
        <v>187</v>
      </c>
    </row>
    <row r="143" spans="1:6" x14ac:dyDescent="0.25">
      <c r="A143" t="s">
        <v>1294</v>
      </c>
      <c r="B143" t="s">
        <v>447</v>
      </c>
      <c r="C143">
        <v>2019</v>
      </c>
      <c r="E143" t="s">
        <v>2982</v>
      </c>
      <c r="F143" t="s">
        <v>8807</v>
      </c>
    </row>
    <row r="144" spans="1:6" x14ac:dyDescent="0.25">
      <c r="A144" t="s">
        <v>2804</v>
      </c>
      <c r="B144" t="s">
        <v>447</v>
      </c>
      <c r="C144">
        <v>2021</v>
      </c>
      <c r="E144" t="s">
        <v>3013</v>
      </c>
    </row>
    <row r="145" spans="1:6" x14ac:dyDescent="0.25">
      <c r="A145" t="s">
        <v>2804</v>
      </c>
      <c r="B145" t="s">
        <v>449</v>
      </c>
      <c r="C145">
        <v>2021</v>
      </c>
      <c r="E145" t="s">
        <v>3013</v>
      </c>
    </row>
    <row r="146" spans="1:6" x14ac:dyDescent="0.25">
      <c r="A146" t="s">
        <v>2443</v>
      </c>
      <c r="B146" t="s">
        <v>457</v>
      </c>
      <c r="C146">
        <v>2019</v>
      </c>
      <c r="D146" t="s">
        <v>187</v>
      </c>
    </row>
    <row r="147" spans="1:6" x14ac:dyDescent="0.25">
      <c r="A147" t="s">
        <v>2804</v>
      </c>
      <c r="B147" t="s">
        <v>457</v>
      </c>
      <c r="C147">
        <v>2021</v>
      </c>
      <c r="E147" t="s">
        <v>3013</v>
      </c>
    </row>
    <row r="148" spans="1:6" x14ac:dyDescent="0.25">
      <c r="A148" t="s">
        <v>847</v>
      </c>
      <c r="B148" t="s">
        <v>462</v>
      </c>
      <c r="C148">
        <v>1996</v>
      </c>
      <c r="E148" t="s">
        <v>3131</v>
      </c>
      <c r="F148" t="s">
        <v>8663</v>
      </c>
    </row>
    <row r="149" spans="1:6" x14ac:dyDescent="0.25">
      <c r="A149" t="s">
        <v>90</v>
      </c>
      <c r="B149" t="s">
        <v>464</v>
      </c>
      <c r="C149">
        <v>2017</v>
      </c>
      <c r="E149" t="s">
        <v>2982</v>
      </c>
      <c r="F149" t="s">
        <v>9103</v>
      </c>
    </row>
    <row r="150" spans="1:6" x14ac:dyDescent="0.25">
      <c r="A150" t="s">
        <v>2804</v>
      </c>
      <c r="B150" t="s">
        <v>464</v>
      </c>
      <c r="C150">
        <v>2021</v>
      </c>
      <c r="E150" t="s">
        <v>3013</v>
      </c>
    </row>
    <row r="151" spans="1:6" x14ac:dyDescent="0.25">
      <c r="A151" t="s">
        <v>1707</v>
      </c>
      <c r="B151" t="s">
        <v>469</v>
      </c>
      <c r="C151">
        <v>2016</v>
      </c>
      <c r="D151" t="s">
        <v>187</v>
      </c>
    </row>
    <row r="152" spans="1:6" x14ac:dyDescent="0.25">
      <c r="A152" t="s">
        <v>689</v>
      </c>
      <c r="B152" t="s">
        <v>473</v>
      </c>
      <c r="C152">
        <v>2015</v>
      </c>
      <c r="E152" t="s">
        <v>3084</v>
      </c>
      <c r="F152" t="s">
        <v>8593</v>
      </c>
    </row>
    <row r="153" spans="1:6" x14ac:dyDescent="0.25">
      <c r="A153" t="s">
        <v>90</v>
      </c>
      <c r="B153" t="s">
        <v>477</v>
      </c>
      <c r="C153">
        <v>2017</v>
      </c>
      <c r="E153" t="s">
        <v>2982</v>
      </c>
      <c r="F153" t="s">
        <v>9104</v>
      </c>
    </row>
    <row r="154" spans="1:6" x14ac:dyDescent="0.25">
      <c r="A154" t="s">
        <v>2751</v>
      </c>
      <c r="B154" t="s">
        <v>477</v>
      </c>
      <c r="C154">
        <v>2021</v>
      </c>
      <c r="D154" t="s">
        <v>187</v>
      </c>
    </row>
    <row r="155" spans="1:6" x14ac:dyDescent="0.25">
      <c r="A155" t="s">
        <v>90</v>
      </c>
      <c r="B155" t="s">
        <v>480</v>
      </c>
      <c r="C155">
        <v>2017</v>
      </c>
      <c r="E155" t="s">
        <v>3349</v>
      </c>
      <c r="F155" t="s">
        <v>9105</v>
      </c>
    </row>
    <row r="156" spans="1:6" x14ac:dyDescent="0.25">
      <c r="A156" t="s">
        <v>1144</v>
      </c>
      <c r="B156" t="s">
        <v>484</v>
      </c>
      <c r="C156">
        <v>2012</v>
      </c>
      <c r="E156" t="s">
        <v>3198</v>
      </c>
      <c r="F156" t="s">
        <v>8761</v>
      </c>
    </row>
    <row r="157" spans="1:6" x14ac:dyDescent="0.25">
      <c r="A157" t="s">
        <v>90</v>
      </c>
      <c r="B157" t="s">
        <v>484</v>
      </c>
      <c r="C157">
        <v>2017</v>
      </c>
      <c r="E157" t="s">
        <v>3198</v>
      </c>
      <c r="F157" t="s">
        <v>9106</v>
      </c>
    </row>
    <row r="158" spans="1:6" x14ac:dyDescent="0.25">
      <c r="A158" t="s">
        <v>1272</v>
      </c>
      <c r="B158" t="s">
        <v>488</v>
      </c>
      <c r="C158">
        <v>2020</v>
      </c>
      <c r="E158" t="s">
        <v>3218</v>
      </c>
      <c r="F158" t="s">
        <v>8793</v>
      </c>
    </row>
    <row r="159" spans="1:6" x14ac:dyDescent="0.25">
      <c r="A159" t="s">
        <v>1294</v>
      </c>
      <c r="B159" t="s">
        <v>488</v>
      </c>
      <c r="C159">
        <v>2019</v>
      </c>
      <c r="E159" t="s">
        <v>3218</v>
      </c>
      <c r="F159" t="s">
        <v>8808</v>
      </c>
    </row>
    <row r="160" spans="1:6" x14ac:dyDescent="0.25">
      <c r="A160" t="s">
        <v>2146</v>
      </c>
      <c r="B160" t="s">
        <v>488</v>
      </c>
      <c r="C160">
        <v>2020</v>
      </c>
      <c r="E160" t="s">
        <v>3218</v>
      </c>
      <c r="F160" t="s">
        <v>9038</v>
      </c>
    </row>
    <row r="161" spans="1:6" x14ac:dyDescent="0.25">
      <c r="A161" t="s">
        <v>2154</v>
      </c>
      <c r="B161" t="s">
        <v>490</v>
      </c>
      <c r="C161">
        <v>1980</v>
      </c>
      <c r="E161" t="s">
        <v>3321</v>
      </c>
      <c r="F161" t="s">
        <v>9044</v>
      </c>
    </row>
    <row r="162" spans="1:6" x14ac:dyDescent="0.25">
      <c r="A162" t="s">
        <v>826</v>
      </c>
      <c r="B162" t="s">
        <v>493</v>
      </c>
      <c r="C162">
        <v>2019</v>
      </c>
      <c r="E162" t="s">
        <v>2982</v>
      </c>
      <c r="F162" t="s">
        <v>8659</v>
      </c>
    </row>
    <row r="163" spans="1:6" x14ac:dyDescent="0.25">
      <c r="A163" t="s">
        <v>1144</v>
      </c>
      <c r="B163" t="s">
        <v>493</v>
      </c>
      <c r="C163">
        <v>2012</v>
      </c>
      <c r="E163" t="s">
        <v>2982</v>
      </c>
      <c r="F163" t="s">
        <v>8762</v>
      </c>
    </row>
    <row r="164" spans="1:6" x14ac:dyDescent="0.25">
      <c r="A164" t="s">
        <v>1576</v>
      </c>
      <c r="B164" t="s">
        <v>493</v>
      </c>
      <c r="C164">
        <v>2021</v>
      </c>
      <c r="E164" t="s">
        <v>2982</v>
      </c>
      <c r="F164" t="s">
        <v>8897</v>
      </c>
    </row>
    <row r="165" spans="1:6" x14ac:dyDescent="0.25">
      <c r="A165" t="s">
        <v>90</v>
      </c>
      <c r="B165" t="s">
        <v>493</v>
      </c>
      <c r="C165">
        <v>2017</v>
      </c>
      <c r="E165" t="s">
        <v>2982</v>
      </c>
      <c r="F165" t="s">
        <v>9107</v>
      </c>
    </row>
    <row r="166" spans="1:6" x14ac:dyDescent="0.25">
      <c r="A166" t="s">
        <v>2403</v>
      </c>
      <c r="B166" t="s">
        <v>497</v>
      </c>
      <c r="C166">
        <v>2019</v>
      </c>
      <c r="D166" t="s">
        <v>187</v>
      </c>
    </row>
    <row r="167" spans="1:6" x14ac:dyDescent="0.25">
      <c r="A167" t="s">
        <v>2804</v>
      </c>
      <c r="B167" t="s">
        <v>497</v>
      </c>
      <c r="C167">
        <v>2021</v>
      </c>
      <c r="E167" t="s">
        <v>3013</v>
      </c>
    </row>
    <row r="168" spans="1:6" x14ac:dyDescent="0.25">
      <c r="A168" t="s">
        <v>1046</v>
      </c>
      <c r="B168" t="s">
        <v>501</v>
      </c>
      <c r="C168">
        <v>2016</v>
      </c>
      <c r="E168" t="s">
        <v>3186</v>
      </c>
      <c r="F168" t="s">
        <v>8735</v>
      </c>
    </row>
    <row r="169" spans="1:6" x14ac:dyDescent="0.25">
      <c r="A169" t="s">
        <v>160</v>
      </c>
      <c r="B169" t="s">
        <v>501</v>
      </c>
      <c r="C169">
        <v>2011</v>
      </c>
      <c r="E169" t="s">
        <v>3186</v>
      </c>
      <c r="F169" t="s">
        <v>9278</v>
      </c>
    </row>
    <row r="170" spans="1:6" x14ac:dyDescent="0.25">
      <c r="A170" t="s">
        <v>2652</v>
      </c>
      <c r="B170" t="s">
        <v>501</v>
      </c>
      <c r="C170">
        <v>2019</v>
      </c>
      <c r="E170" t="s">
        <v>3186</v>
      </c>
      <c r="F170" t="s">
        <v>9331</v>
      </c>
    </row>
    <row r="171" spans="1:6" x14ac:dyDescent="0.25">
      <c r="A171" t="s">
        <v>1435</v>
      </c>
      <c r="B171" t="s">
        <v>505</v>
      </c>
      <c r="C171">
        <v>2021</v>
      </c>
      <c r="E171" s="10" t="s">
        <v>8365</v>
      </c>
      <c r="F171" t="s">
        <v>8852</v>
      </c>
    </row>
    <row r="172" spans="1:6" x14ac:dyDescent="0.25">
      <c r="A172" t="s">
        <v>689</v>
      </c>
      <c r="B172" t="s">
        <v>7831</v>
      </c>
      <c r="C172">
        <v>2015</v>
      </c>
      <c r="D172" t="s">
        <v>187</v>
      </c>
    </row>
    <row r="173" spans="1:6" x14ac:dyDescent="0.25">
      <c r="A173" t="s">
        <v>260</v>
      </c>
      <c r="B173" t="s">
        <v>517</v>
      </c>
      <c r="C173">
        <v>1990</v>
      </c>
      <c r="E173" t="s">
        <v>3000</v>
      </c>
      <c r="F173" t="s">
        <v>8484</v>
      </c>
    </row>
    <row r="174" spans="1:6" x14ac:dyDescent="0.25">
      <c r="A174" t="s">
        <v>490</v>
      </c>
      <c r="B174" t="s">
        <v>517</v>
      </c>
      <c r="C174">
        <v>2009</v>
      </c>
      <c r="E174" s="10" t="s">
        <v>8445</v>
      </c>
      <c r="F174" t="s">
        <v>8447</v>
      </c>
    </row>
    <row r="175" spans="1:6" x14ac:dyDescent="0.25">
      <c r="A175" t="s">
        <v>836</v>
      </c>
      <c r="B175" t="s">
        <v>517</v>
      </c>
      <c r="C175">
        <v>2010</v>
      </c>
      <c r="E175" s="10" t="s">
        <v>8445</v>
      </c>
      <c r="F175" t="s">
        <v>8446</v>
      </c>
    </row>
    <row r="176" spans="1:6" x14ac:dyDescent="0.25">
      <c r="A176" t="s">
        <v>847</v>
      </c>
      <c r="B176" t="s">
        <v>517</v>
      </c>
      <c r="C176">
        <v>1996</v>
      </c>
      <c r="E176" t="s">
        <v>3000</v>
      </c>
      <c r="F176" t="s">
        <v>8664</v>
      </c>
    </row>
    <row r="177" spans="1:6" x14ac:dyDescent="0.25">
      <c r="A177" t="s">
        <v>922</v>
      </c>
      <c r="B177" t="s">
        <v>517</v>
      </c>
      <c r="C177">
        <v>2002</v>
      </c>
      <c r="E177" t="s">
        <v>3149</v>
      </c>
    </row>
    <row r="178" spans="1:6" x14ac:dyDescent="0.25">
      <c r="A178" t="s">
        <v>2428</v>
      </c>
      <c r="B178" t="s">
        <v>517</v>
      </c>
      <c r="C178">
        <v>2008</v>
      </c>
      <c r="E178" s="10" t="s">
        <v>8445</v>
      </c>
      <c r="F178" t="s">
        <v>8444</v>
      </c>
    </row>
    <row r="179" spans="1:6" x14ac:dyDescent="0.25">
      <c r="A179" t="s">
        <v>2571</v>
      </c>
      <c r="B179" t="s">
        <v>517</v>
      </c>
      <c r="C179">
        <v>1998</v>
      </c>
      <c r="E179" t="s">
        <v>3149</v>
      </c>
    </row>
    <row r="180" spans="1:6" x14ac:dyDescent="0.25">
      <c r="A180" t="s">
        <v>517</v>
      </c>
      <c r="B180" t="s">
        <v>519</v>
      </c>
      <c r="C180">
        <v>2010</v>
      </c>
      <c r="D180" t="s">
        <v>187</v>
      </c>
    </row>
    <row r="181" spans="1:6" x14ac:dyDescent="0.25">
      <c r="A181" t="s">
        <v>1523</v>
      </c>
      <c r="B181" t="s">
        <v>522</v>
      </c>
      <c r="C181">
        <v>1986</v>
      </c>
      <c r="E181" s="10" t="s">
        <v>8424</v>
      </c>
      <c r="F181" t="s">
        <v>8885</v>
      </c>
    </row>
    <row r="182" spans="1:6" x14ac:dyDescent="0.25">
      <c r="A182" t="s">
        <v>1795</v>
      </c>
      <c r="B182" t="s">
        <v>522</v>
      </c>
      <c r="C182">
        <v>1987</v>
      </c>
      <c r="E182" s="10" t="s">
        <v>8424</v>
      </c>
      <c r="F182" t="s">
        <v>8943</v>
      </c>
    </row>
    <row r="183" spans="1:6" x14ac:dyDescent="0.25">
      <c r="A183" t="s">
        <v>1882</v>
      </c>
      <c r="B183" t="s">
        <v>522</v>
      </c>
      <c r="C183">
        <v>1987</v>
      </c>
      <c r="E183" s="10" t="s">
        <v>8424</v>
      </c>
      <c r="F183" t="s">
        <v>8997</v>
      </c>
    </row>
    <row r="184" spans="1:6" x14ac:dyDescent="0.25">
      <c r="A184" t="s">
        <v>2154</v>
      </c>
      <c r="B184" t="s">
        <v>522</v>
      </c>
      <c r="C184">
        <v>1980</v>
      </c>
    </row>
    <row r="185" spans="1:6" x14ac:dyDescent="0.25">
      <c r="A185" t="s">
        <v>1576</v>
      </c>
      <c r="B185" t="s">
        <v>528</v>
      </c>
      <c r="C185">
        <v>2021</v>
      </c>
      <c r="E185" t="s">
        <v>3262</v>
      </c>
    </row>
    <row r="186" spans="1:6" x14ac:dyDescent="0.25">
      <c r="A186" t="s">
        <v>922</v>
      </c>
      <c r="B186" t="s">
        <v>531</v>
      </c>
      <c r="C186">
        <v>2002</v>
      </c>
      <c r="E186" t="s">
        <v>3150</v>
      </c>
      <c r="F186" t="s">
        <v>8696</v>
      </c>
    </row>
    <row r="187" spans="1:6" x14ac:dyDescent="0.25">
      <c r="A187" t="s">
        <v>964</v>
      </c>
      <c r="B187" t="s">
        <v>531</v>
      </c>
      <c r="C187">
        <v>2006</v>
      </c>
      <c r="E187" t="s">
        <v>3150</v>
      </c>
      <c r="F187" t="s">
        <v>9442</v>
      </c>
    </row>
    <row r="188" spans="1:6" x14ac:dyDescent="0.25">
      <c r="A188" t="s">
        <v>536</v>
      </c>
      <c r="B188" t="s">
        <v>534</v>
      </c>
      <c r="C188">
        <v>2010</v>
      </c>
      <c r="E188" t="s">
        <v>3073</v>
      </c>
      <c r="F188" t="s">
        <v>8582</v>
      </c>
    </row>
    <row r="189" spans="1:6" x14ac:dyDescent="0.25">
      <c r="A189" t="s">
        <v>531</v>
      </c>
      <c r="B189" t="s">
        <v>536</v>
      </c>
      <c r="C189">
        <v>2010</v>
      </c>
      <c r="E189" t="s">
        <v>3074</v>
      </c>
      <c r="F189" t="s">
        <v>8583</v>
      </c>
    </row>
    <row r="190" spans="1:6" x14ac:dyDescent="0.25">
      <c r="A190" t="s">
        <v>536</v>
      </c>
      <c r="B190" t="s">
        <v>538</v>
      </c>
      <c r="C190">
        <v>2013</v>
      </c>
      <c r="D190" t="s">
        <v>187</v>
      </c>
    </row>
    <row r="191" spans="1:6" x14ac:dyDescent="0.25">
      <c r="A191" t="s">
        <v>1454</v>
      </c>
      <c r="B191" t="s">
        <v>540</v>
      </c>
      <c r="C191">
        <v>2001</v>
      </c>
      <c r="E191" t="s">
        <v>3255</v>
      </c>
      <c r="F191" t="s">
        <v>8882</v>
      </c>
    </row>
    <row r="192" spans="1:6" x14ac:dyDescent="0.25">
      <c r="A192" t="s">
        <v>2023</v>
      </c>
      <c r="B192" t="s">
        <v>540</v>
      </c>
      <c r="C192">
        <v>2003</v>
      </c>
      <c r="E192" t="s">
        <v>3255</v>
      </c>
    </row>
    <row r="193" spans="1:6" x14ac:dyDescent="0.25">
      <c r="A193" t="s">
        <v>2428</v>
      </c>
      <c r="B193" t="s">
        <v>540</v>
      </c>
      <c r="C193">
        <v>2008</v>
      </c>
      <c r="E193" t="s">
        <v>3255</v>
      </c>
      <c r="F193" t="s">
        <v>9214</v>
      </c>
    </row>
    <row r="194" spans="1:6" x14ac:dyDescent="0.25">
      <c r="A194" t="s">
        <v>353</v>
      </c>
      <c r="B194" t="s">
        <v>543</v>
      </c>
      <c r="C194">
        <v>2023</v>
      </c>
      <c r="E194" t="s">
        <v>3021</v>
      </c>
      <c r="F194" t="s">
        <v>8514</v>
      </c>
    </row>
    <row r="195" spans="1:6" x14ac:dyDescent="0.25">
      <c r="A195" t="s">
        <v>2361</v>
      </c>
      <c r="B195" t="s">
        <v>543</v>
      </c>
      <c r="C195">
        <v>2018</v>
      </c>
      <c r="E195" t="s">
        <v>3021</v>
      </c>
      <c r="F195" t="s">
        <v>9200</v>
      </c>
    </row>
    <row r="196" spans="1:6" x14ac:dyDescent="0.25">
      <c r="A196" t="s">
        <v>2154</v>
      </c>
      <c r="B196" t="s">
        <v>546</v>
      </c>
      <c r="C196">
        <v>1980</v>
      </c>
      <c r="E196" t="s">
        <v>3322</v>
      </c>
      <c r="F196" t="s">
        <v>9045</v>
      </c>
    </row>
    <row r="197" spans="1:6" x14ac:dyDescent="0.25">
      <c r="A197" t="s">
        <v>2428</v>
      </c>
      <c r="B197" t="s">
        <v>549</v>
      </c>
      <c r="C197">
        <v>2008</v>
      </c>
      <c r="E197" t="s">
        <v>3392</v>
      </c>
      <c r="F197" t="s">
        <v>9215</v>
      </c>
    </row>
    <row r="198" spans="1:6" x14ac:dyDescent="0.25">
      <c r="A198" t="s">
        <v>256</v>
      </c>
      <c r="B198" t="s">
        <v>553</v>
      </c>
      <c r="C198">
        <v>1994</v>
      </c>
    </row>
    <row r="199" spans="1:6" x14ac:dyDescent="0.25">
      <c r="A199" t="s">
        <v>1004</v>
      </c>
      <c r="B199" t="s">
        <v>553</v>
      </c>
      <c r="C199">
        <v>2006</v>
      </c>
      <c r="E199" s="10" t="s">
        <v>8410</v>
      </c>
      <c r="F199" t="s">
        <v>8723</v>
      </c>
    </row>
    <row r="200" spans="1:6" x14ac:dyDescent="0.25">
      <c r="A200" t="s">
        <v>1882</v>
      </c>
      <c r="B200" t="s">
        <v>553</v>
      </c>
      <c r="C200">
        <v>1987</v>
      </c>
      <c r="E200" s="10" t="s">
        <v>8422</v>
      </c>
      <c r="F200" t="s">
        <v>8998</v>
      </c>
    </row>
    <row r="201" spans="1:6" x14ac:dyDescent="0.25">
      <c r="A201" t="s">
        <v>1046</v>
      </c>
      <c r="B201" t="s">
        <v>557</v>
      </c>
      <c r="C201">
        <v>2016</v>
      </c>
      <c r="E201" s="10" t="s">
        <v>8421</v>
      </c>
      <c r="F201" t="s">
        <v>8736</v>
      </c>
    </row>
    <row r="202" spans="1:6" x14ac:dyDescent="0.25">
      <c r="A202" t="s">
        <v>160</v>
      </c>
      <c r="B202" t="s">
        <v>557</v>
      </c>
      <c r="C202">
        <v>2011</v>
      </c>
      <c r="E202" t="s">
        <v>3404</v>
      </c>
      <c r="F202" t="s">
        <v>9279</v>
      </c>
    </row>
    <row r="203" spans="1:6" x14ac:dyDescent="0.25">
      <c r="A203" t="s">
        <v>1180</v>
      </c>
      <c r="B203" t="s">
        <v>561</v>
      </c>
      <c r="C203">
        <v>2024</v>
      </c>
      <c r="D203" t="s">
        <v>187</v>
      </c>
    </row>
    <row r="204" spans="1:6" x14ac:dyDescent="0.25">
      <c r="A204" t="s">
        <v>1443</v>
      </c>
      <c r="B204" t="s">
        <v>561</v>
      </c>
      <c r="C204">
        <v>2018</v>
      </c>
      <c r="E204" t="s">
        <v>2982</v>
      </c>
      <c r="F204" t="s">
        <v>8866</v>
      </c>
    </row>
    <row r="205" spans="1:6" x14ac:dyDescent="0.25">
      <c r="A205" t="s">
        <v>1100</v>
      </c>
      <c r="B205" t="s">
        <v>563</v>
      </c>
      <c r="C205">
        <v>2022</v>
      </c>
      <c r="E205" t="s">
        <v>566</v>
      </c>
      <c r="F205" t="s">
        <v>8756</v>
      </c>
    </row>
    <row r="206" spans="1:6" x14ac:dyDescent="0.25">
      <c r="A206" t="s">
        <v>2377</v>
      </c>
      <c r="B206" t="s">
        <v>563</v>
      </c>
      <c r="C206">
        <v>2021</v>
      </c>
      <c r="E206" t="s">
        <v>566</v>
      </c>
      <c r="F206" t="s">
        <v>9204</v>
      </c>
    </row>
    <row r="207" spans="1:6" x14ac:dyDescent="0.25">
      <c r="A207" t="s">
        <v>90</v>
      </c>
      <c r="B207" t="s">
        <v>567</v>
      </c>
      <c r="C207">
        <v>2017</v>
      </c>
      <c r="E207" t="s">
        <v>3350</v>
      </c>
      <c r="F207" t="s">
        <v>9108</v>
      </c>
    </row>
    <row r="208" spans="1:6" x14ac:dyDescent="0.25">
      <c r="A208" t="s">
        <v>689</v>
      </c>
      <c r="B208" t="s">
        <v>571</v>
      </c>
      <c r="C208">
        <v>2015</v>
      </c>
      <c r="E208" t="s">
        <v>3085</v>
      </c>
    </row>
    <row r="209" spans="1:6" x14ac:dyDescent="0.25">
      <c r="A209" t="s">
        <v>2324</v>
      </c>
      <c r="B209" t="s">
        <v>571</v>
      </c>
      <c r="C209">
        <v>2022</v>
      </c>
      <c r="E209" t="s">
        <v>3085</v>
      </c>
    </row>
    <row r="210" spans="1:6" x14ac:dyDescent="0.25">
      <c r="A210" t="s">
        <v>90</v>
      </c>
      <c r="B210" t="s">
        <v>571</v>
      </c>
      <c r="C210">
        <v>2017</v>
      </c>
      <c r="E210" t="s">
        <v>3351</v>
      </c>
    </row>
    <row r="211" spans="1:6" x14ac:dyDescent="0.25">
      <c r="A211" t="s">
        <v>2804</v>
      </c>
      <c r="B211" t="s">
        <v>571</v>
      </c>
      <c r="C211">
        <v>2021</v>
      </c>
      <c r="E211" t="s">
        <v>3085</v>
      </c>
    </row>
    <row r="212" spans="1:6" x14ac:dyDescent="0.25">
      <c r="A212" t="s">
        <v>1855</v>
      </c>
      <c r="B212" t="s">
        <v>574</v>
      </c>
      <c r="C212">
        <v>2015</v>
      </c>
      <c r="E212" s="10" t="s">
        <v>8366</v>
      </c>
      <c r="F212" t="s">
        <v>8981</v>
      </c>
    </row>
    <row r="213" spans="1:6" x14ac:dyDescent="0.25">
      <c r="A213" t="s">
        <v>2173</v>
      </c>
      <c r="B213" t="s">
        <v>574</v>
      </c>
      <c r="C213">
        <v>2013</v>
      </c>
      <c r="E213" s="10" t="s">
        <v>8366</v>
      </c>
      <c r="F213" t="s">
        <v>9064</v>
      </c>
    </row>
    <row r="214" spans="1:6" x14ac:dyDescent="0.25">
      <c r="A214" t="s">
        <v>160</v>
      </c>
      <c r="B214" t="s">
        <v>574</v>
      </c>
      <c r="C214">
        <v>2011</v>
      </c>
      <c r="E214" s="10" t="s">
        <v>8366</v>
      </c>
      <c r="F214" t="s">
        <v>9280</v>
      </c>
    </row>
    <row r="215" spans="1:6" x14ac:dyDescent="0.25">
      <c r="A215" t="s">
        <v>581</v>
      </c>
      <c r="B215" t="s">
        <v>578</v>
      </c>
      <c r="C215">
        <v>1997</v>
      </c>
      <c r="D215" t="s">
        <v>187</v>
      </c>
    </row>
    <row r="216" spans="1:6" x14ac:dyDescent="0.25">
      <c r="A216" t="s">
        <v>2721</v>
      </c>
      <c r="B216" t="s">
        <v>581</v>
      </c>
      <c r="C216">
        <v>1993</v>
      </c>
      <c r="D216" t="s">
        <v>187</v>
      </c>
      <c r="E216" t="s">
        <v>3032</v>
      </c>
    </row>
    <row r="217" spans="1:6" x14ac:dyDescent="0.25">
      <c r="A217" t="s">
        <v>1093</v>
      </c>
      <c r="B217" t="s">
        <v>584</v>
      </c>
      <c r="C217">
        <v>2007</v>
      </c>
      <c r="D217" t="s">
        <v>187</v>
      </c>
    </row>
    <row r="218" spans="1:6" x14ac:dyDescent="0.25">
      <c r="A218" t="s">
        <v>904</v>
      </c>
      <c r="B218" t="s">
        <v>586</v>
      </c>
      <c r="C218">
        <v>2022</v>
      </c>
      <c r="E218" s="10" t="s">
        <v>594</v>
      </c>
      <c r="F218" t="s">
        <v>8688</v>
      </c>
    </row>
    <row r="219" spans="1:6" x14ac:dyDescent="0.25">
      <c r="A219" t="s">
        <v>2804</v>
      </c>
      <c r="B219" t="s">
        <v>586</v>
      </c>
      <c r="C219">
        <v>2021</v>
      </c>
      <c r="E219" t="s">
        <v>3013</v>
      </c>
    </row>
    <row r="220" spans="1:6" x14ac:dyDescent="0.25">
      <c r="A220" t="s">
        <v>586</v>
      </c>
      <c r="B220" t="s">
        <v>591</v>
      </c>
      <c r="C220">
        <v>2023</v>
      </c>
      <c r="D220" t="s">
        <v>187</v>
      </c>
    </row>
    <row r="221" spans="1:6" x14ac:dyDescent="0.25">
      <c r="A221" t="s">
        <v>353</v>
      </c>
      <c r="B221" t="s">
        <v>595</v>
      </c>
      <c r="C221">
        <v>2023</v>
      </c>
      <c r="E221" t="s">
        <v>3022</v>
      </c>
      <c r="F221" t="s">
        <v>8515</v>
      </c>
    </row>
    <row r="222" spans="1:6" x14ac:dyDescent="0.25">
      <c r="A222" t="s">
        <v>1576</v>
      </c>
      <c r="B222" t="s">
        <v>595</v>
      </c>
      <c r="C222">
        <v>2021</v>
      </c>
      <c r="E222" s="10" t="s">
        <v>8369</v>
      </c>
      <c r="F222" t="s">
        <v>8898</v>
      </c>
    </row>
    <row r="223" spans="1:6" x14ac:dyDescent="0.25">
      <c r="A223" t="s">
        <v>746</v>
      </c>
      <c r="B223" t="s">
        <v>598</v>
      </c>
      <c r="C223">
        <v>2015</v>
      </c>
      <c r="E223" t="s">
        <v>2982</v>
      </c>
      <c r="F223" t="s">
        <v>8609</v>
      </c>
    </row>
    <row r="224" spans="1:6" x14ac:dyDescent="0.25">
      <c r="A224" t="s">
        <v>90</v>
      </c>
      <c r="B224" t="s">
        <v>598</v>
      </c>
      <c r="C224">
        <v>2017</v>
      </c>
      <c r="E224" t="s">
        <v>2982</v>
      </c>
      <c r="F224" t="s">
        <v>9109</v>
      </c>
    </row>
    <row r="225" spans="1:6" x14ac:dyDescent="0.25">
      <c r="A225" t="s">
        <v>709</v>
      </c>
      <c r="B225" t="s">
        <v>602</v>
      </c>
      <c r="C225">
        <v>2022</v>
      </c>
      <c r="E225" t="s">
        <v>2982</v>
      </c>
      <c r="F225" t="s">
        <v>8599</v>
      </c>
    </row>
    <row r="226" spans="1:6" x14ac:dyDescent="0.25">
      <c r="A226" t="s">
        <v>1294</v>
      </c>
      <c r="B226" t="s">
        <v>602</v>
      </c>
      <c r="C226">
        <v>2019</v>
      </c>
      <c r="E226" t="s">
        <v>2982</v>
      </c>
      <c r="F226" t="s">
        <v>8809</v>
      </c>
    </row>
    <row r="227" spans="1:6" x14ac:dyDescent="0.25">
      <c r="A227" t="s">
        <v>904</v>
      </c>
      <c r="B227" t="s">
        <v>604</v>
      </c>
      <c r="C227">
        <v>2022</v>
      </c>
      <c r="E227" t="s">
        <v>3144</v>
      </c>
      <c r="F227" t="s">
        <v>8689</v>
      </c>
    </row>
    <row r="228" spans="1:6" x14ac:dyDescent="0.25">
      <c r="A228" t="s">
        <v>1817</v>
      </c>
      <c r="B228" t="s">
        <v>604</v>
      </c>
      <c r="C228">
        <v>2019</v>
      </c>
      <c r="E228" t="s">
        <v>3293</v>
      </c>
    </row>
    <row r="229" spans="1:6" x14ac:dyDescent="0.25">
      <c r="A229" t="s">
        <v>2428</v>
      </c>
      <c r="B229" t="s">
        <v>604</v>
      </c>
      <c r="C229">
        <v>2008</v>
      </c>
      <c r="E229" t="s">
        <v>3144</v>
      </c>
      <c r="F229" t="s">
        <v>9216</v>
      </c>
    </row>
    <row r="230" spans="1:6" x14ac:dyDescent="0.25">
      <c r="A230" t="s">
        <v>353</v>
      </c>
      <c r="B230" t="s">
        <v>606</v>
      </c>
      <c r="C230">
        <v>2023</v>
      </c>
      <c r="E230" t="s">
        <v>609</v>
      </c>
      <c r="F230" t="s">
        <v>8516</v>
      </c>
    </row>
    <row r="231" spans="1:6" x14ac:dyDescent="0.25">
      <c r="A231" t="s">
        <v>505</v>
      </c>
      <c r="B231" t="s">
        <v>606</v>
      </c>
      <c r="C231">
        <v>2024</v>
      </c>
      <c r="E231" t="s">
        <v>609</v>
      </c>
      <c r="F231" t="s">
        <v>8579</v>
      </c>
    </row>
    <row r="232" spans="1:6" x14ac:dyDescent="0.25">
      <c r="A232" t="s">
        <v>497</v>
      </c>
      <c r="B232" t="s">
        <v>610</v>
      </c>
      <c r="C232">
        <v>2022</v>
      </c>
      <c r="E232" t="s">
        <v>3066</v>
      </c>
      <c r="F232" t="s">
        <v>8566</v>
      </c>
    </row>
    <row r="233" spans="1:6" x14ac:dyDescent="0.25">
      <c r="A233" t="s">
        <v>90</v>
      </c>
      <c r="B233" t="s">
        <v>610</v>
      </c>
      <c r="C233">
        <v>2017</v>
      </c>
      <c r="E233" t="s">
        <v>3066</v>
      </c>
    </row>
    <row r="234" spans="1:6" x14ac:dyDescent="0.25">
      <c r="A234" t="s">
        <v>160</v>
      </c>
      <c r="B234" t="s">
        <v>610</v>
      </c>
      <c r="C234">
        <v>2011</v>
      </c>
      <c r="E234" t="s">
        <v>3066</v>
      </c>
    </row>
    <row r="235" spans="1:6" x14ac:dyDescent="0.25">
      <c r="A235" t="s">
        <v>353</v>
      </c>
      <c r="B235" t="s">
        <v>613</v>
      </c>
      <c r="C235">
        <v>2023</v>
      </c>
      <c r="E235" t="s">
        <v>3023</v>
      </c>
      <c r="F235" t="s">
        <v>8517</v>
      </c>
    </row>
    <row r="236" spans="1:6" x14ac:dyDescent="0.25">
      <c r="A236" t="s">
        <v>1294</v>
      </c>
      <c r="B236" t="s">
        <v>619</v>
      </c>
      <c r="C236">
        <v>2019</v>
      </c>
      <c r="E236" s="10" t="s">
        <v>8450</v>
      </c>
      <c r="F236" t="s">
        <v>8449</v>
      </c>
    </row>
    <row r="237" spans="1:6" x14ac:dyDescent="0.25">
      <c r="A237" t="s">
        <v>1435</v>
      </c>
      <c r="B237" t="s">
        <v>619</v>
      </c>
      <c r="C237">
        <v>2021</v>
      </c>
      <c r="E237" s="10" t="s">
        <v>8450</v>
      </c>
      <c r="F237" t="s">
        <v>8853</v>
      </c>
    </row>
    <row r="238" spans="1:6" x14ac:dyDescent="0.25">
      <c r="A238" t="s">
        <v>1443</v>
      </c>
      <c r="B238" t="s">
        <v>619</v>
      </c>
      <c r="C238">
        <v>2018</v>
      </c>
      <c r="E238" s="10" t="s">
        <v>8450</v>
      </c>
      <c r="F238" t="s">
        <v>8448</v>
      </c>
    </row>
    <row r="239" spans="1:6" x14ac:dyDescent="0.25">
      <c r="A239" t="s">
        <v>90</v>
      </c>
      <c r="B239" t="s">
        <v>619</v>
      </c>
      <c r="C239">
        <v>2017</v>
      </c>
      <c r="E239" s="10" t="s">
        <v>8450</v>
      </c>
      <c r="F239" t="s">
        <v>9110</v>
      </c>
    </row>
    <row r="240" spans="1:6" x14ac:dyDescent="0.25">
      <c r="A240" t="s">
        <v>964</v>
      </c>
      <c r="B240" t="s">
        <v>623</v>
      </c>
      <c r="C240">
        <v>2006</v>
      </c>
      <c r="E240" t="s">
        <v>3166</v>
      </c>
    </row>
    <row r="241" spans="1:6" x14ac:dyDescent="0.25">
      <c r="A241" t="s">
        <v>2428</v>
      </c>
      <c r="B241" t="s">
        <v>625</v>
      </c>
      <c r="C241">
        <v>2008</v>
      </c>
      <c r="E241" t="s">
        <v>3393</v>
      </c>
      <c r="F241" t="s">
        <v>9217</v>
      </c>
    </row>
    <row r="242" spans="1:6" x14ac:dyDescent="0.25">
      <c r="A242" t="s">
        <v>1855</v>
      </c>
      <c r="B242" t="s">
        <v>629</v>
      </c>
      <c r="C242">
        <v>2015</v>
      </c>
      <c r="E242" t="s">
        <v>3298</v>
      </c>
    </row>
    <row r="243" spans="1:6" x14ac:dyDescent="0.25">
      <c r="A243" t="s">
        <v>353</v>
      </c>
      <c r="B243" t="s">
        <v>7652</v>
      </c>
      <c r="C243">
        <v>2023</v>
      </c>
      <c r="E243" t="s">
        <v>7648</v>
      </c>
      <c r="F243" t="s">
        <v>8518</v>
      </c>
    </row>
    <row r="244" spans="1:6" x14ac:dyDescent="0.25">
      <c r="A244" t="s">
        <v>7649</v>
      </c>
      <c r="B244" t="s">
        <v>7652</v>
      </c>
      <c r="C244">
        <v>2021</v>
      </c>
      <c r="E244" t="s">
        <v>7648</v>
      </c>
      <c r="F244" t="s">
        <v>8899</v>
      </c>
    </row>
    <row r="245" spans="1:6" x14ac:dyDescent="0.25">
      <c r="A245" t="s">
        <v>90</v>
      </c>
      <c r="B245" t="s">
        <v>633</v>
      </c>
      <c r="C245">
        <v>2017</v>
      </c>
      <c r="E245" t="s">
        <v>3352</v>
      </c>
      <c r="F245" t="s">
        <v>9111</v>
      </c>
    </row>
    <row r="246" spans="1:6" x14ac:dyDescent="0.25">
      <c r="A246" t="s">
        <v>160</v>
      </c>
      <c r="B246" t="s">
        <v>635</v>
      </c>
      <c r="C246">
        <v>2011</v>
      </c>
      <c r="E246" s="10" t="s">
        <v>3405</v>
      </c>
      <c r="F246" t="s">
        <v>9435</v>
      </c>
    </row>
    <row r="247" spans="1:6" x14ac:dyDescent="0.25">
      <c r="A247" t="s">
        <v>1144</v>
      </c>
      <c r="B247" t="s">
        <v>639</v>
      </c>
      <c r="C247">
        <v>2012</v>
      </c>
      <c r="E247" t="s">
        <v>642</v>
      </c>
      <c r="F247" t="s">
        <v>8763</v>
      </c>
    </row>
    <row r="248" spans="1:6" x14ac:dyDescent="0.25">
      <c r="A248" t="s">
        <v>90</v>
      </c>
      <c r="B248" t="s">
        <v>643</v>
      </c>
      <c r="C248">
        <v>2017</v>
      </c>
      <c r="E248" t="s">
        <v>3353</v>
      </c>
      <c r="F248" t="s">
        <v>9112</v>
      </c>
    </row>
    <row r="249" spans="1:6" x14ac:dyDescent="0.25">
      <c r="A249" t="s">
        <v>746</v>
      </c>
      <c r="B249" t="s">
        <v>647</v>
      </c>
      <c r="C249">
        <v>2015</v>
      </c>
      <c r="E249" s="10" t="s">
        <v>3096</v>
      </c>
      <c r="F249" t="s">
        <v>9434</v>
      </c>
    </row>
    <row r="250" spans="1:6" x14ac:dyDescent="0.25">
      <c r="A250" t="s">
        <v>1272</v>
      </c>
      <c r="B250" t="s">
        <v>651</v>
      </c>
      <c r="C250">
        <v>2020</v>
      </c>
      <c r="E250" s="10" t="s">
        <v>8329</v>
      </c>
    </row>
    <row r="251" spans="1:6" x14ac:dyDescent="0.25">
      <c r="A251" t="s">
        <v>1294</v>
      </c>
      <c r="B251" t="s">
        <v>651</v>
      </c>
      <c r="C251">
        <v>2019</v>
      </c>
      <c r="E251" s="10" t="s">
        <v>8329</v>
      </c>
    </row>
    <row r="252" spans="1:6" x14ac:dyDescent="0.25">
      <c r="A252" t="s">
        <v>1817</v>
      </c>
      <c r="B252" t="s">
        <v>651</v>
      </c>
      <c r="C252">
        <v>2019</v>
      </c>
      <c r="E252" s="10" t="s">
        <v>8329</v>
      </c>
    </row>
    <row r="253" spans="1:6" x14ac:dyDescent="0.25">
      <c r="A253" t="s">
        <v>2136</v>
      </c>
      <c r="B253" t="s">
        <v>651</v>
      </c>
      <c r="C253">
        <v>2020</v>
      </c>
      <c r="E253" s="10" t="s">
        <v>8329</v>
      </c>
    </row>
    <row r="254" spans="1:6" x14ac:dyDescent="0.25">
      <c r="A254" t="s">
        <v>90</v>
      </c>
      <c r="B254" t="s">
        <v>651</v>
      </c>
      <c r="C254">
        <v>2017</v>
      </c>
      <c r="E254" s="10" t="s">
        <v>8329</v>
      </c>
    </row>
    <row r="255" spans="1:6" x14ac:dyDescent="0.25">
      <c r="A255" t="s">
        <v>2428</v>
      </c>
      <c r="B255" t="s">
        <v>651</v>
      </c>
      <c r="C255">
        <v>2008</v>
      </c>
      <c r="E255" s="10" t="s">
        <v>8329</v>
      </c>
    </row>
    <row r="256" spans="1:6" x14ac:dyDescent="0.25">
      <c r="A256" t="s">
        <v>160</v>
      </c>
      <c r="B256" t="s">
        <v>651</v>
      </c>
      <c r="C256">
        <v>2011</v>
      </c>
      <c r="E256" s="10" t="s">
        <v>8329</v>
      </c>
    </row>
    <row r="257" spans="1:6" x14ac:dyDescent="0.25">
      <c r="A257" t="s">
        <v>256</v>
      </c>
      <c r="B257" t="s">
        <v>656</v>
      </c>
      <c r="C257">
        <v>1994</v>
      </c>
      <c r="E257" s="10" t="s">
        <v>2987</v>
      </c>
      <c r="F257" t="s">
        <v>9432</v>
      </c>
    </row>
    <row r="258" spans="1:6" x14ac:dyDescent="0.25">
      <c r="A258" t="s">
        <v>260</v>
      </c>
      <c r="B258" t="s">
        <v>656</v>
      </c>
      <c r="C258">
        <v>1990</v>
      </c>
      <c r="E258" s="10" t="s">
        <v>3001</v>
      </c>
      <c r="F258" t="s">
        <v>8485</v>
      </c>
    </row>
    <row r="259" spans="1:6" x14ac:dyDescent="0.25">
      <c r="A259" t="s">
        <v>2804</v>
      </c>
      <c r="B259" t="s">
        <v>659</v>
      </c>
      <c r="C259">
        <v>2021</v>
      </c>
      <c r="E259" t="s">
        <v>3013</v>
      </c>
    </row>
    <row r="260" spans="1:6" x14ac:dyDescent="0.25">
      <c r="A260" t="s">
        <v>847</v>
      </c>
      <c r="B260" t="s">
        <v>663</v>
      </c>
      <c r="C260">
        <v>1996</v>
      </c>
      <c r="E260" s="10" t="s">
        <v>8361</v>
      </c>
      <c r="F260" t="s">
        <v>8665</v>
      </c>
    </row>
    <row r="261" spans="1:6" x14ac:dyDescent="0.25">
      <c r="A261" t="s">
        <v>160</v>
      </c>
      <c r="B261" t="s">
        <v>663</v>
      </c>
      <c r="C261">
        <v>2011</v>
      </c>
      <c r="E261" s="10" t="s">
        <v>8361</v>
      </c>
      <c r="F261" t="s">
        <v>9281</v>
      </c>
    </row>
    <row r="262" spans="1:6" x14ac:dyDescent="0.25">
      <c r="A262" t="s">
        <v>1576</v>
      </c>
      <c r="B262" t="s">
        <v>667</v>
      </c>
      <c r="C262">
        <v>2021</v>
      </c>
      <c r="E262" t="s">
        <v>2982</v>
      </c>
      <c r="F262" t="s">
        <v>8900</v>
      </c>
    </row>
    <row r="263" spans="1:6" x14ac:dyDescent="0.25">
      <c r="A263" t="s">
        <v>353</v>
      </c>
      <c r="B263" t="s">
        <v>671</v>
      </c>
      <c r="C263">
        <v>2023</v>
      </c>
      <c r="E263" t="s">
        <v>2982</v>
      </c>
      <c r="F263" t="s">
        <v>8519</v>
      </c>
    </row>
    <row r="264" spans="1:6" x14ac:dyDescent="0.25">
      <c r="A264" t="s">
        <v>1443</v>
      </c>
      <c r="B264" t="s">
        <v>671</v>
      </c>
      <c r="C264">
        <v>2018</v>
      </c>
      <c r="E264" t="s">
        <v>2982</v>
      </c>
      <c r="F264" t="s">
        <v>8867</v>
      </c>
    </row>
    <row r="265" spans="1:6" x14ac:dyDescent="0.25">
      <c r="A265" t="s">
        <v>90</v>
      </c>
      <c r="B265" t="s">
        <v>671</v>
      </c>
      <c r="C265">
        <v>2017</v>
      </c>
      <c r="E265" t="s">
        <v>2982</v>
      </c>
      <c r="F265" t="s">
        <v>9113</v>
      </c>
    </row>
    <row r="266" spans="1:6" x14ac:dyDescent="0.25">
      <c r="A266" t="s">
        <v>510</v>
      </c>
      <c r="B266" t="s">
        <v>673</v>
      </c>
      <c r="C266">
        <v>2018</v>
      </c>
      <c r="D266" t="s">
        <v>187</v>
      </c>
    </row>
    <row r="267" spans="1:6" x14ac:dyDescent="0.25">
      <c r="A267" t="s">
        <v>1690</v>
      </c>
      <c r="B267" t="s">
        <v>673</v>
      </c>
      <c r="C267">
        <v>2020</v>
      </c>
      <c r="E267" t="s">
        <v>2982</v>
      </c>
      <c r="F267" t="s">
        <v>8920</v>
      </c>
    </row>
    <row r="268" spans="1:6" x14ac:dyDescent="0.25">
      <c r="A268" t="s">
        <v>90</v>
      </c>
      <c r="B268" t="s">
        <v>673</v>
      </c>
      <c r="C268">
        <v>2017</v>
      </c>
      <c r="E268" s="10" t="s">
        <v>8370</v>
      </c>
      <c r="F268" t="s">
        <v>9114</v>
      </c>
    </row>
    <row r="269" spans="1:6" x14ac:dyDescent="0.25">
      <c r="A269" t="s">
        <v>1761</v>
      </c>
      <c r="B269" t="s">
        <v>677</v>
      </c>
      <c r="C269">
        <v>1995</v>
      </c>
      <c r="E269" s="10" t="s">
        <v>8363</v>
      </c>
      <c r="F269" t="s">
        <v>8936</v>
      </c>
    </row>
    <row r="270" spans="1:6" x14ac:dyDescent="0.25">
      <c r="A270" t="s">
        <v>90</v>
      </c>
      <c r="B270" t="s">
        <v>681</v>
      </c>
      <c r="C270">
        <v>2017</v>
      </c>
      <c r="E270" t="s">
        <v>3354</v>
      </c>
      <c r="F270" t="s">
        <v>9115</v>
      </c>
    </row>
    <row r="271" spans="1:6" x14ac:dyDescent="0.25">
      <c r="A271" t="s">
        <v>1144</v>
      </c>
      <c r="B271" t="s">
        <v>685</v>
      </c>
      <c r="C271">
        <v>2012</v>
      </c>
      <c r="E271" t="s">
        <v>3199</v>
      </c>
      <c r="F271" t="s">
        <v>9433</v>
      </c>
    </row>
    <row r="272" spans="1:6" x14ac:dyDescent="0.25">
      <c r="A272" t="s">
        <v>2154</v>
      </c>
      <c r="B272" t="s">
        <v>689</v>
      </c>
      <c r="C272">
        <v>1980</v>
      </c>
      <c r="E272" t="s">
        <v>3323</v>
      </c>
      <c r="F272" t="s">
        <v>9046</v>
      </c>
    </row>
    <row r="273" spans="1:6" x14ac:dyDescent="0.25">
      <c r="A273" t="s">
        <v>2173</v>
      </c>
      <c r="B273" t="s">
        <v>689</v>
      </c>
      <c r="C273">
        <v>2013</v>
      </c>
      <c r="E273" t="s">
        <v>3323</v>
      </c>
      <c r="F273" t="s">
        <v>9065</v>
      </c>
    </row>
    <row r="274" spans="1:6" x14ac:dyDescent="0.25">
      <c r="A274" t="s">
        <v>2428</v>
      </c>
      <c r="B274" t="s">
        <v>689</v>
      </c>
      <c r="C274">
        <v>2008</v>
      </c>
      <c r="E274" t="s">
        <v>3323</v>
      </c>
      <c r="F274" t="s">
        <v>9218</v>
      </c>
    </row>
    <row r="275" spans="1:6" x14ac:dyDescent="0.25">
      <c r="A275" t="s">
        <v>160</v>
      </c>
      <c r="B275" t="s">
        <v>689</v>
      </c>
      <c r="C275">
        <v>2011</v>
      </c>
      <c r="E275" t="s">
        <v>3323</v>
      </c>
      <c r="F275" t="s">
        <v>9282</v>
      </c>
    </row>
    <row r="276" spans="1:6" x14ac:dyDescent="0.25">
      <c r="A276" t="s">
        <v>2947</v>
      </c>
      <c r="B276" t="s">
        <v>698</v>
      </c>
      <c r="C276">
        <v>1994</v>
      </c>
      <c r="E276" t="s">
        <v>3439</v>
      </c>
      <c r="F276" t="s">
        <v>9389</v>
      </c>
    </row>
    <row r="277" spans="1:6" x14ac:dyDescent="0.25">
      <c r="A277" t="s">
        <v>353</v>
      </c>
      <c r="B277" t="s">
        <v>706</v>
      </c>
      <c r="C277">
        <v>2023</v>
      </c>
      <c r="E277" t="s">
        <v>3024</v>
      </c>
      <c r="F277" t="s">
        <v>9415</v>
      </c>
    </row>
    <row r="278" spans="1:6" x14ac:dyDescent="0.25">
      <c r="A278" t="s">
        <v>1951</v>
      </c>
      <c r="B278" t="s">
        <v>706</v>
      </c>
      <c r="C278">
        <v>2022</v>
      </c>
      <c r="E278" t="s">
        <v>3024</v>
      </c>
      <c r="F278" t="s">
        <v>9414</v>
      </c>
    </row>
    <row r="279" spans="1:6" x14ac:dyDescent="0.25">
      <c r="A279" t="s">
        <v>759</v>
      </c>
      <c r="B279" t="s">
        <v>709</v>
      </c>
      <c r="C279">
        <v>2018</v>
      </c>
      <c r="E279" t="s">
        <v>3114</v>
      </c>
    </row>
    <row r="280" spans="1:6" x14ac:dyDescent="0.25">
      <c r="A280" t="s">
        <v>914</v>
      </c>
      <c r="B280" t="s">
        <v>709</v>
      </c>
      <c r="C280">
        <v>2013</v>
      </c>
      <c r="E280" t="s">
        <v>3114</v>
      </c>
    </row>
    <row r="281" spans="1:6" x14ac:dyDescent="0.25">
      <c r="A281" t="s">
        <v>1046</v>
      </c>
      <c r="B281" t="s">
        <v>709</v>
      </c>
      <c r="C281">
        <v>2016</v>
      </c>
      <c r="E281" t="s">
        <v>3114</v>
      </c>
    </row>
    <row r="282" spans="1:6" x14ac:dyDescent="0.25">
      <c r="A282" t="s">
        <v>1294</v>
      </c>
      <c r="B282" t="s">
        <v>709</v>
      </c>
      <c r="C282">
        <v>2019</v>
      </c>
      <c r="E282" t="s">
        <v>3114</v>
      </c>
    </row>
    <row r="283" spans="1:6" x14ac:dyDescent="0.25">
      <c r="A283" t="s">
        <v>160</v>
      </c>
      <c r="B283" t="s">
        <v>709</v>
      </c>
      <c r="C283">
        <v>2011</v>
      </c>
      <c r="E283" t="s">
        <v>3114</v>
      </c>
    </row>
    <row r="284" spans="1:6" x14ac:dyDescent="0.25">
      <c r="A284" t="s">
        <v>1144</v>
      </c>
      <c r="B284" t="s">
        <v>713</v>
      </c>
      <c r="C284">
        <v>2012</v>
      </c>
      <c r="E284" t="s">
        <v>3200</v>
      </c>
      <c r="F284" t="s">
        <v>9443</v>
      </c>
    </row>
    <row r="285" spans="1:6" x14ac:dyDescent="0.25">
      <c r="A285" t="s">
        <v>2502</v>
      </c>
      <c r="B285" t="s">
        <v>713</v>
      </c>
      <c r="C285">
        <v>2015</v>
      </c>
      <c r="D285" t="s">
        <v>187</v>
      </c>
    </row>
    <row r="286" spans="1:6" x14ac:dyDescent="0.25">
      <c r="A286" t="s">
        <v>1576</v>
      </c>
      <c r="B286" t="s">
        <v>717</v>
      </c>
      <c r="C286">
        <v>2021</v>
      </c>
      <c r="E286" t="s">
        <v>3263</v>
      </c>
      <c r="F286" t="s">
        <v>8901</v>
      </c>
    </row>
    <row r="287" spans="1:6" x14ac:dyDescent="0.25">
      <c r="A287" t="s">
        <v>720</v>
      </c>
      <c r="B287" t="s">
        <v>724</v>
      </c>
      <c r="C287">
        <v>2016</v>
      </c>
      <c r="D287" t="s">
        <v>187</v>
      </c>
    </row>
    <row r="288" spans="1:6" x14ac:dyDescent="0.25">
      <c r="A288" t="s">
        <v>1294</v>
      </c>
      <c r="B288" t="s">
        <v>7835</v>
      </c>
      <c r="C288">
        <v>2019</v>
      </c>
      <c r="E288" t="s">
        <v>7837</v>
      </c>
      <c r="F288" t="s">
        <v>8810</v>
      </c>
    </row>
    <row r="289" spans="1:6" x14ac:dyDescent="0.25">
      <c r="A289" t="s">
        <v>2804</v>
      </c>
      <c r="B289" t="s">
        <v>7835</v>
      </c>
      <c r="C289">
        <v>2021</v>
      </c>
      <c r="E289" t="s">
        <v>7837</v>
      </c>
      <c r="F289" t="s">
        <v>9346</v>
      </c>
    </row>
    <row r="290" spans="1:6" x14ac:dyDescent="0.25">
      <c r="A290" t="s">
        <v>746</v>
      </c>
      <c r="B290" t="s">
        <v>726</v>
      </c>
      <c r="C290">
        <v>2015</v>
      </c>
      <c r="E290" s="10" t="s">
        <v>8372</v>
      </c>
      <c r="F290" t="s">
        <v>8610</v>
      </c>
    </row>
    <row r="291" spans="1:6" x14ac:dyDescent="0.25">
      <c r="A291" t="s">
        <v>847</v>
      </c>
      <c r="B291" t="s">
        <v>726</v>
      </c>
      <c r="C291">
        <v>1996</v>
      </c>
      <c r="E291" s="10" t="s">
        <v>8371</v>
      </c>
      <c r="F291" t="s">
        <v>8666</v>
      </c>
    </row>
    <row r="292" spans="1:6" x14ac:dyDescent="0.25">
      <c r="A292" t="s">
        <v>1294</v>
      </c>
      <c r="B292" t="s">
        <v>726</v>
      </c>
      <c r="C292">
        <v>2019</v>
      </c>
      <c r="E292" s="10" t="s">
        <v>8371</v>
      </c>
      <c r="F292" t="s">
        <v>8811</v>
      </c>
    </row>
    <row r="293" spans="1:6" x14ac:dyDescent="0.25">
      <c r="A293" t="s">
        <v>353</v>
      </c>
      <c r="B293" t="s">
        <v>730</v>
      </c>
      <c r="C293">
        <v>2023</v>
      </c>
      <c r="E293" t="s">
        <v>3025</v>
      </c>
    </row>
    <row r="294" spans="1:6" x14ac:dyDescent="0.25">
      <c r="A294" t="s">
        <v>1435</v>
      </c>
      <c r="B294" t="s">
        <v>730</v>
      </c>
      <c r="C294">
        <v>2021</v>
      </c>
      <c r="E294" t="s">
        <v>3025</v>
      </c>
    </row>
    <row r="295" spans="1:6" x14ac:dyDescent="0.25">
      <c r="A295" t="s">
        <v>1851</v>
      </c>
      <c r="B295" t="s">
        <v>730</v>
      </c>
      <c r="C295">
        <v>2024</v>
      </c>
      <c r="E295" t="s">
        <v>3025</v>
      </c>
    </row>
    <row r="296" spans="1:6" x14ac:dyDescent="0.25">
      <c r="A296" t="s">
        <v>90</v>
      </c>
      <c r="B296" t="s">
        <v>730</v>
      </c>
      <c r="C296">
        <v>2017</v>
      </c>
      <c r="E296" t="s">
        <v>3025</v>
      </c>
    </row>
    <row r="297" spans="1:6" x14ac:dyDescent="0.25">
      <c r="A297" t="s">
        <v>2506</v>
      </c>
      <c r="B297" t="s">
        <v>730</v>
      </c>
      <c r="C297">
        <v>2021</v>
      </c>
      <c r="E297" t="s">
        <v>3025</v>
      </c>
    </row>
    <row r="298" spans="1:6" x14ac:dyDescent="0.25">
      <c r="A298" t="s">
        <v>746</v>
      </c>
      <c r="B298" t="s">
        <v>737</v>
      </c>
      <c r="C298">
        <v>2015</v>
      </c>
      <c r="E298" t="s">
        <v>3097</v>
      </c>
    </row>
    <row r="299" spans="1:6" x14ac:dyDescent="0.25">
      <c r="A299" t="s">
        <v>847</v>
      </c>
      <c r="B299" t="s">
        <v>741</v>
      </c>
      <c r="C299">
        <v>1996</v>
      </c>
      <c r="E299" t="s">
        <v>3132</v>
      </c>
      <c r="F299" t="s">
        <v>8667</v>
      </c>
    </row>
    <row r="300" spans="1:6" x14ac:dyDescent="0.25">
      <c r="A300" t="s">
        <v>2095</v>
      </c>
      <c r="B300" t="s">
        <v>741</v>
      </c>
      <c r="C300">
        <v>2023</v>
      </c>
      <c r="E300" t="s">
        <v>3311</v>
      </c>
    </row>
    <row r="301" spans="1:6" x14ac:dyDescent="0.25">
      <c r="A301" t="s">
        <v>2136</v>
      </c>
      <c r="B301" t="s">
        <v>741</v>
      </c>
      <c r="C301">
        <v>2020</v>
      </c>
      <c r="E301" t="s">
        <v>3132</v>
      </c>
      <c r="F301" t="s">
        <v>9026</v>
      </c>
    </row>
    <row r="302" spans="1:6" x14ac:dyDescent="0.25">
      <c r="A302" t="s">
        <v>2804</v>
      </c>
      <c r="B302" t="s">
        <v>741</v>
      </c>
      <c r="C302">
        <v>2021</v>
      </c>
      <c r="E302" t="s">
        <v>3427</v>
      </c>
      <c r="F302" t="s">
        <v>9347</v>
      </c>
    </row>
    <row r="303" spans="1:6" x14ac:dyDescent="0.25">
      <c r="A303" t="s">
        <v>1272</v>
      </c>
      <c r="B303" t="s">
        <v>744</v>
      </c>
      <c r="C303">
        <v>2020</v>
      </c>
      <c r="E303" t="s">
        <v>3219</v>
      </c>
      <c r="F303" t="s">
        <v>9444</v>
      </c>
    </row>
    <row r="304" spans="1:6" x14ac:dyDescent="0.25">
      <c r="A304" t="s">
        <v>1294</v>
      </c>
      <c r="B304" t="s">
        <v>744</v>
      </c>
      <c r="C304">
        <v>2019</v>
      </c>
      <c r="E304" t="s">
        <v>3219</v>
      </c>
      <c r="F304" t="s">
        <v>9445</v>
      </c>
    </row>
    <row r="305" spans="1:6" x14ac:dyDescent="0.25">
      <c r="A305" t="s">
        <v>746</v>
      </c>
      <c r="B305" t="s">
        <v>750</v>
      </c>
      <c r="C305">
        <v>2015</v>
      </c>
      <c r="D305" t="s">
        <v>187</v>
      </c>
    </row>
    <row r="306" spans="1:6" x14ac:dyDescent="0.25">
      <c r="A306" t="s">
        <v>2721</v>
      </c>
      <c r="B306" t="s">
        <v>754</v>
      </c>
      <c r="C306">
        <v>1993</v>
      </c>
      <c r="E306" t="s">
        <v>3422</v>
      </c>
      <c r="F306" t="s">
        <v>9335</v>
      </c>
    </row>
    <row r="307" spans="1:6" x14ac:dyDescent="0.25">
      <c r="A307" t="s">
        <v>2132</v>
      </c>
      <c r="B307" t="s">
        <v>759</v>
      </c>
      <c r="C307">
        <v>2013</v>
      </c>
      <c r="E307" t="s">
        <v>3313</v>
      </c>
      <c r="F307" t="s">
        <v>9020</v>
      </c>
    </row>
    <row r="308" spans="1:6" x14ac:dyDescent="0.25">
      <c r="A308" t="s">
        <v>2173</v>
      </c>
      <c r="B308" t="s">
        <v>759</v>
      </c>
      <c r="C308">
        <v>2013</v>
      </c>
      <c r="E308" t="s">
        <v>3333</v>
      </c>
    </row>
    <row r="309" spans="1:6" x14ac:dyDescent="0.25">
      <c r="A309" t="s">
        <v>160</v>
      </c>
      <c r="B309" t="s">
        <v>759</v>
      </c>
      <c r="C309">
        <v>2011</v>
      </c>
      <c r="E309" t="s">
        <v>3313</v>
      </c>
      <c r="F309" t="s">
        <v>9283</v>
      </c>
    </row>
    <row r="310" spans="1:6" x14ac:dyDescent="0.25">
      <c r="A310" t="s">
        <v>1855</v>
      </c>
      <c r="B310" t="s">
        <v>763</v>
      </c>
      <c r="C310">
        <v>2015</v>
      </c>
      <c r="E310" t="s">
        <v>3299</v>
      </c>
      <c r="F310" t="s">
        <v>8982</v>
      </c>
    </row>
    <row r="311" spans="1:6" x14ac:dyDescent="0.25">
      <c r="A311" t="s">
        <v>160</v>
      </c>
      <c r="B311" t="s">
        <v>763</v>
      </c>
      <c r="C311">
        <v>2011</v>
      </c>
      <c r="E311" t="s">
        <v>3406</v>
      </c>
      <c r="F311" t="s">
        <v>9284</v>
      </c>
    </row>
    <row r="312" spans="1:6" x14ac:dyDescent="0.25">
      <c r="A312" t="s">
        <v>353</v>
      </c>
      <c r="B312" t="s">
        <v>767</v>
      </c>
      <c r="C312">
        <v>2023</v>
      </c>
      <c r="E312" t="s">
        <v>3026</v>
      </c>
      <c r="F312" t="s">
        <v>8520</v>
      </c>
    </row>
    <row r="313" spans="1:6" x14ac:dyDescent="0.25">
      <c r="A313" t="s">
        <v>1443</v>
      </c>
      <c r="B313" t="s">
        <v>771</v>
      </c>
      <c r="C313">
        <v>2018</v>
      </c>
      <c r="E313" t="s">
        <v>3248</v>
      </c>
      <c r="F313" t="s">
        <v>8868</v>
      </c>
    </row>
    <row r="314" spans="1:6" x14ac:dyDescent="0.25">
      <c r="A314" t="s">
        <v>2146</v>
      </c>
      <c r="B314" t="s">
        <v>774</v>
      </c>
      <c r="C314">
        <v>2020</v>
      </c>
      <c r="E314" s="10" t="s">
        <v>8395</v>
      </c>
      <c r="F314" t="s">
        <v>9039</v>
      </c>
    </row>
    <row r="315" spans="1:6" x14ac:dyDescent="0.25">
      <c r="A315" t="s">
        <v>847</v>
      </c>
      <c r="B315" t="s">
        <v>778</v>
      </c>
      <c r="C315">
        <v>1996</v>
      </c>
      <c r="E315" t="s">
        <v>3133</v>
      </c>
    </row>
    <row r="316" spans="1:6" x14ac:dyDescent="0.25">
      <c r="A316" t="s">
        <v>1294</v>
      </c>
      <c r="B316" t="s">
        <v>778</v>
      </c>
      <c r="C316">
        <v>2019</v>
      </c>
      <c r="E316" t="s">
        <v>3226</v>
      </c>
      <c r="F316" t="s">
        <v>8812</v>
      </c>
    </row>
    <row r="317" spans="1:6" x14ac:dyDescent="0.25">
      <c r="A317" t="s">
        <v>2804</v>
      </c>
      <c r="B317" t="s">
        <v>778</v>
      </c>
      <c r="C317">
        <v>2021</v>
      </c>
      <c r="E317" t="s">
        <v>3133</v>
      </c>
    </row>
    <row r="318" spans="1:6" x14ac:dyDescent="0.25">
      <c r="A318" t="s">
        <v>1855</v>
      </c>
      <c r="B318" t="s">
        <v>782</v>
      </c>
      <c r="C318">
        <v>2015</v>
      </c>
      <c r="E318" s="10" t="s">
        <v>8360</v>
      </c>
    </row>
    <row r="319" spans="1:6" x14ac:dyDescent="0.25">
      <c r="A319" t="s">
        <v>813</v>
      </c>
      <c r="B319" t="s">
        <v>786</v>
      </c>
      <c r="C319">
        <v>2018</v>
      </c>
      <c r="E319" t="s">
        <v>2982</v>
      </c>
      <c r="F319" t="s">
        <v>8658</v>
      </c>
    </row>
    <row r="320" spans="1:6" x14ac:dyDescent="0.25">
      <c r="A320" t="s">
        <v>1144</v>
      </c>
      <c r="B320" t="s">
        <v>786</v>
      </c>
      <c r="C320">
        <v>2012</v>
      </c>
      <c r="E320" t="s">
        <v>2982</v>
      </c>
      <c r="F320" t="s">
        <v>8764</v>
      </c>
    </row>
    <row r="321" spans="1:6" x14ac:dyDescent="0.25">
      <c r="A321" t="s">
        <v>1443</v>
      </c>
      <c r="B321" t="s">
        <v>786</v>
      </c>
      <c r="C321">
        <v>2018</v>
      </c>
      <c r="E321" t="s">
        <v>2982</v>
      </c>
      <c r="F321" t="s">
        <v>8869</v>
      </c>
    </row>
    <row r="322" spans="1:6" x14ac:dyDescent="0.25">
      <c r="A322" t="s">
        <v>1144</v>
      </c>
      <c r="B322" t="s">
        <v>791</v>
      </c>
      <c r="C322">
        <v>2012</v>
      </c>
      <c r="E322" t="s">
        <v>3201</v>
      </c>
      <c r="F322" t="s">
        <v>8765</v>
      </c>
    </row>
    <row r="323" spans="1:6" x14ac:dyDescent="0.25">
      <c r="A323" t="s">
        <v>746</v>
      </c>
      <c r="B323" t="s">
        <v>795</v>
      </c>
      <c r="C323">
        <v>2015</v>
      </c>
      <c r="E323" t="s">
        <v>3098</v>
      </c>
      <c r="F323" t="s">
        <v>8611</v>
      </c>
    </row>
    <row r="324" spans="1:6" x14ac:dyDescent="0.25">
      <c r="A324" t="s">
        <v>1265</v>
      </c>
      <c r="B324" t="s">
        <v>795</v>
      </c>
      <c r="C324">
        <v>2015</v>
      </c>
      <c r="E324" t="s">
        <v>3098</v>
      </c>
      <c r="F324" t="s">
        <v>8791</v>
      </c>
    </row>
    <row r="325" spans="1:6" x14ac:dyDescent="0.25">
      <c r="A325" t="s">
        <v>1686</v>
      </c>
      <c r="B325" t="s">
        <v>795</v>
      </c>
      <c r="C325">
        <v>2017</v>
      </c>
      <c r="E325" t="s">
        <v>3098</v>
      </c>
      <c r="F325" t="s">
        <v>8918</v>
      </c>
    </row>
    <row r="326" spans="1:6" x14ac:dyDescent="0.25">
      <c r="A326" t="s">
        <v>90</v>
      </c>
      <c r="B326" t="s">
        <v>795</v>
      </c>
      <c r="C326">
        <v>2017</v>
      </c>
      <c r="E326" t="s">
        <v>3098</v>
      </c>
      <c r="F326" t="s">
        <v>9116</v>
      </c>
    </row>
    <row r="327" spans="1:6" x14ac:dyDescent="0.25">
      <c r="A327" t="s">
        <v>90</v>
      </c>
      <c r="B327" t="s">
        <v>799</v>
      </c>
      <c r="C327">
        <v>2017</v>
      </c>
      <c r="E327" t="s">
        <v>3355</v>
      </c>
    </row>
    <row r="328" spans="1:6" x14ac:dyDescent="0.25">
      <c r="A328" t="s">
        <v>90</v>
      </c>
      <c r="B328" t="s">
        <v>803</v>
      </c>
      <c r="C328">
        <v>2017</v>
      </c>
      <c r="E328" t="s">
        <v>2982</v>
      </c>
      <c r="F328" t="s">
        <v>9117</v>
      </c>
    </row>
    <row r="329" spans="1:6" x14ac:dyDescent="0.25">
      <c r="A329" t="s">
        <v>2890</v>
      </c>
      <c r="B329" t="s">
        <v>803</v>
      </c>
      <c r="C329">
        <v>2023</v>
      </c>
      <c r="E329" t="s">
        <v>2982</v>
      </c>
      <c r="F329" t="s">
        <v>9382</v>
      </c>
    </row>
    <row r="330" spans="1:6" x14ac:dyDescent="0.25">
      <c r="A330" t="s">
        <v>1795</v>
      </c>
      <c r="B330" t="s">
        <v>807</v>
      </c>
      <c r="C330">
        <v>1987</v>
      </c>
      <c r="E330" t="s">
        <v>3277</v>
      </c>
      <c r="F330" t="s">
        <v>9446</v>
      </c>
    </row>
    <row r="331" spans="1:6" x14ac:dyDescent="0.25">
      <c r="A331" t="s">
        <v>1272</v>
      </c>
      <c r="B331" t="s">
        <v>7956</v>
      </c>
      <c r="C331">
        <v>2020</v>
      </c>
      <c r="E331" s="10" t="s">
        <v>7959</v>
      </c>
      <c r="F331" t="s">
        <v>8794</v>
      </c>
    </row>
    <row r="332" spans="1:6" x14ac:dyDescent="0.25">
      <c r="A332" t="s">
        <v>2136</v>
      </c>
      <c r="B332" t="s">
        <v>7956</v>
      </c>
      <c r="C332">
        <v>2020</v>
      </c>
      <c r="E332" s="10" t="s">
        <v>7959</v>
      </c>
      <c r="F332" t="s">
        <v>9027</v>
      </c>
    </row>
    <row r="333" spans="1:6" x14ac:dyDescent="0.25">
      <c r="A333" t="s">
        <v>2146</v>
      </c>
      <c r="B333" t="s">
        <v>7956</v>
      </c>
      <c r="C333">
        <v>2020</v>
      </c>
      <c r="E333" s="10" t="s">
        <v>7959</v>
      </c>
      <c r="F333" t="s">
        <v>9040</v>
      </c>
    </row>
    <row r="334" spans="1:6" x14ac:dyDescent="0.25">
      <c r="A334" t="s">
        <v>2901</v>
      </c>
      <c r="B334" t="s">
        <v>7956</v>
      </c>
      <c r="C334">
        <v>2023</v>
      </c>
      <c r="E334" s="10" t="s">
        <v>7959</v>
      </c>
      <c r="F334" t="s">
        <v>9383</v>
      </c>
    </row>
    <row r="335" spans="1:6" x14ac:dyDescent="0.25">
      <c r="A335" t="s">
        <v>2804</v>
      </c>
      <c r="B335" t="s">
        <v>811</v>
      </c>
      <c r="C335">
        <v>2021</v>
      </c>
      <c r="E335" t="s">
        <v>3013</v>
      </c>
    </row>
    <row r="336" spans="1:6" x14ac:dyDescent="0.25">
      <c r="A336" t="s">
        <v>746</v>
      </c>
      <c r="B336" t="s">
        <v>813</v>
      </c>
      <c r="C336">
        <v>2015</v>
      </c>
      <c r="E336" t="s">
        <v>3099</v>
      </c>
      <c r="F336" t="s">
        <v>8612</v>
      </c>
    </row>
    <row r="337" spans="1:6" x14ac:dyDescent="0.25">
      <c r="A337" t="s">
        <v>1144</v>
      </c>
      <c r="B337" t="s">
        <v>813</v>
      </c>
      <c r="C337">
        <v>2012</v>
      </c>
      <c r="E337" t="s">
        <v>3099</v>
      </c>
      <c r="F337" t="s">
        <v>8766</v>
      </c>
    </row>
    <row r="338" spans="1:6" x14ac:dyDescent="0.25">
      <c r="A338" t="s">
        <v>90</v>
      </c>
      <c r="B338" t="s">
        <v>815</v>
      </c>
      <c r="C338">
        <v>2017</v>
      </c>
      <c r="E338" t="s">
        <v>3356</v>
      </c>
      <c r="F338" t="s">
        <v>9118</v>
      </c>
    </row>
    <row r="339" spans="1:6" x14ac:dyDescent="0.25">
      <c r="A339" t="s">
        <v>847</v>
      </c>
      <c r="B339" t="s">
        <v>819</v>
      </c>
      <c r="C339">
        <v>1996</v>
      </c>
      <c r="E339" s="10" t="s">
        <v>7928</v>
      </c>
    </row>
    <row r="340" spans="1:6" x14ac:dyDescent="0.25">
      <c r="A340" t="s">
        <v>1795</v>
      </c>
      <c r="B340" t="s">
        <v>819</v>
      </c>
      <c r="C340">
        <v>1987</v>
      </c>
      <c r="E340" s="10" t="s">
        <v>7928</v>
      </c>
    </row>
    <row r="341" spans="1:6" x14ac:dyDescent="0.25">
      <c r="A341" t="s">
        <v>2154</v>
      </c>
      <c r="B341" t="s">
        <v>819</v>
      </c>
      <c r="C341">
        <v>1980</v>
      </c>
      <c r="E341" s="10" t="s">
        <v>7928</v>
      </c>
    </row>
    <row r="342" spans="1:6" x14ac:dyDescent="0.25">
      <c r="A342" t="s">
        <v>689</v>
      </c>
      <c r="B342" t="s">
        <v>821</v>
      </c>
      <c r="C342">
        <v>2015</v>
      </c>
      <c r="E342" t="s">
        <v>3086</v>
      </c>
      <c r="F342" t="s">
        <v>8594</v>
      </c>
    </row>
    <row r="343" spans="1:6" x14ac:dyDescent="0.25">
      <c r="A343" t="s">
        <v>1294</v>
      </c>
      <c r="B343" t="s">
        <v>821</v>
      </c>
      <c r="C343">
        <v>2019</v>
      </c>
      <c r="E343" t="s">
        <v>3086</v>
      </c>
      <c r="F343" t="s">
        <v>8813</v>
      </c>
    </row>
    <row r="344" spans="1:6" x14ac:dyDescent="0.25">
      <c r="A344" t="s">
        <v>90</v>
      </c>
      <c r="B344" t="s">
        <v>828</v>
      </c>
      <c r="C344">
        <v>2017</v>
      </c>
      <c r="E344" t="s">
        <v>2982</v>
      </c>
      <c r="F344" t="s">
        <v>9119</v>
      </c>
    </row>
    <row r="345" spans="1:6" x14ac:dyDescent="0.25">
      <c r="A345" t="s">
        <v>847</v>
      </c>
      <c r="B345" t="s">
        <v>832</v>
      </c>
      <c r="C345">
        <v>1996</v>
      </c>
      <c r="E345" s="10" t="s">
        <v>8457</v>
      </c>
      <c r="F345" t="s">
        <v>8458</v>
      </c>
    </row>
    <row r="346" spans="1:6" x14ac:dyDescent="0.25">
      <c r="A346" t="s">
        <v>964</v>
      </c>
      <c r="B346" t="s">
        <v>836</v>
      </c>
      <c r="C346">
        <v>2006</v>
      </c>
      <c r="E346" t="s">
        <v>3167</v>
      </c>
      <c r="F346" t="s">
        <v>8713</v>
      </c>
    </row>
    <row r="347" spans="1:6" x14ac:dyDescent="0.25">
      <c r="A347" t="s">
        <v>2804</v>
      </c>
      <c r="B347" t="s">
        <v>838</v>
      </c>
      <c r="C347">
        <v>2021</v>
      </c>
      <c r="E347" t="s">
        <v>3428</v>
      </c>
    </row>
    <row r="348" spans="1:6" x14ac:dyDescent="0.25">
      <c r="A348" t="s">
        <v>8403</v>
      </c>
      <c r="B348" t="s">
        <v>8402</v>
      </c>
      <c r="C348">
        <v>2018</v>
      </c>
      <c r="D348" t="s">
        <v>187</v>
      </c>
    </row>
    <row r="349" spans="1:6" x14ac:dyDescent="0.25">
      <c r="A349" t="s">
        <v>924</v>
      </c>
      <c r="B349" t="s">
        <v>8402</v>
      </c>
      <c r="C349">
        <v>2019</v>
      </c>
      <c r="E349" s="10" t="s">
        <v>8401</v>
      </c>
    </row>
    <row r="350" spans="1:6" x14ac:dyDescent="0.25">
      <c r="A350" t="s">
        <v>759</v>
      </c>
      <c r="B350" t="s">
        <v>845</v>
      </c>
      <c r="C350">
        <v>2018</v>
      </c>
      <c r="E350" t="s">
        <v>3115</v>
      </c>
      <c r="F350" t="s">
        <v>8634</v>
      </c>
    </row>
    <row r="351" spans="1:6" x14ac:dyDescent="0.25">
      <c r="A351" t="s">
        <v>160</v>
      </c>
      <c r="B351" t="s">
        <v>845</v>
      </c>
      <c r="C351">
        <v>2011</v>
      </c>
      <c r="E351" t="s">
        <v>3115</v>
      </c>
      <c r="F351" t="s">
        <v>9285</v>
      </c>
    </row>
    <row r="352" spans="1:6" x14ac:dyDescent="0.25">
      <c r="A352" t="s">
        <v>260</v>
      </c>
      <c r="B352" t="s">
        <v>847</v>
      </c>
      <c r="C352">
        <v>1990</v>
      </c>
      <c r="E352" t="s">
        <v>3002</v>
      </c>
      <c r="F352" t="s">
        <v>8486</v>
      </c>
    </row>
    <row r="353" spans="1:6" x14ac:dyDescent="0.25">
      <c r="A353" t="s">
        <v>1725</v>
      </c>
      <c r="B353" t="s">
        <v>847</v>
      </c>
      <c r="C353">
        <v>1983</v>
      </c>
      <c r="E353" t="s">
        <v>3002</v>
      </c>
      <c r="F353" t="s">
        <v>8932</v>
      </c>
    </row>
    <row r="354" spans="1:6" x14ac:dyDescent="0.25">
      <c r="A354" t="s">
        <v>1795</v>
      </c>
      <c r="B354" t="s">
        <v>847</v>
      </c>
      <c r="C354">
        <v>1987</v>
      </c>
      <c r="E354" t="s">
        <v>3002</v>
      </c>
      <c r="F354" t="s">
        <v>8944</v>
      </c>
    </row>
    <row r="355" spans="1:6" x14ac:dyDescent="0.25">
      <c r="A355" t="s">
        <v>873</v>
      </c>
      <c r="B355" t="s">
        <v>850</v>
      </c>
      <c r="C355">
        <v>2019</v>
      </c>
      <c r="E355" t="s">
        <v>3141</v>
      </c>
      <c r="F355" t="s">
        <v>8682</v>
      </c>
    </row>
    <row r="356" spans="1:6" x14ac:dyDescent="0.25">
      <c r="A356" t="s">
        <v>1129</v>
      </c>
      <c r="B356" t="s">
        <v>850</v>
      </c>
      <c r="C356">
        <v>2022</v>
      </c>
      <c r="E356" t="s">
        <v>2982</v>
      </c>
      <c r="F356" t="s">
        <v>8758</v>
      </c>
    </row>
    <row r="357" spans="1:6" x14ac:dyDescent="0.25">
      <c r="A357" t="s">
        <v>90</v>
      </c>
      <c r="B357" t="s">
        <v>850</v>
      </c>
      <c r="C357">
        <v>2017</v>
      </c>
      <c r="E357" t="s">
        <v>3357</v>
      </c>
      <c r="F357" t="s">
        <v>9120</v>
      </c>
    </row>
    <row r="358" spans="1:6" x14ac:dyDescent="0.25">
      <c r="A358" t="s">
        <v>353</v>
      </c>
      <c r="B358" t="s">
        <v>854</v>
      </c>
      <c r="C358">
        <v>2023</v>
      </c>
      <c r="E358" t="s">
        <v>3013</v>
      </c>
    </row>
    <row r="359" spans="1:6" x14ac:dyDescent="0.25">
      <c r="A359" t="s">
        <v>160</v>
      </c>
      <c r="B359" t="s">
        <v>854</v>
      </c>
      <c r="C359">
        <v>2011</v>
      </c>
      <c r="E359" t="s">
        <v>3407</v>
      </c>
      <c r="F359" t="s">
        <v>9286</v>
      </c>
    </row>
    <row r="360" spans="1:6" x14ac:dyDescent="0.25">
      <c r="A360" t="s">
        <v>90</v>
      </c>
      <c r="B360" t="s">
        <v>856</v>
      </c>
      <c r="C360">
        <v>2017</v>
      </c>
      <c r="E360" t="s">
        <v>3358</v>
      </c>
      <c r="F360" t="s">
        <v>9121</v>
      </c>
    </row>
    <row r="361" spans="1:6" x14ac:dyDescent="0.25">
      <c r="A361" t="s">
        <v>353</v>
      </c>
      <c r="B361" t="s">
        <v>863</v>
      </c>
      <c r="C361">
        <v>2023</v>
      </c>
      <c r="E361" t="s">
        <v>3027</v>
      </c>
      <c r="F361" t="s">
        <v>8521</v>
      </c>
    </row>
    <row r="362" spans="1:6" x14ac:dyDescent="0.25">
      <c r="A362" t="s">
        <v>873</v>
      </c>
      <c r="B362" t="s">
        <v>863</v>
      </c>
      <c r="C362">
        <v>2019</v>
      </c>
      <c r="E362" t="s">
        <v>3027</v>
      </c>
      <c r="F362" t="s">
        <v>8683</v>
      </c>
    </row>
    <row r="363" spans="1:6" x14ac:dyDescent="0.25">
      <c r="A363" t="s">
        <v>1435</v>
      </c>
      <c r="B363" t="s">
        <v>863</v>
      </c>
      <c r="C363">
        <v>2021</v>
      </c>
      <c r="E363" t="s">
        <v>3027</v>
      </c>
      <c r="F363" t="s">
        <v>8854</v>
      </c>
    </row>
    <row r="364" spans="1:6" x14ac:dyDescent="0.25">
      <c r="A364" t="s">
        <v>1690</v>
      </c>
      <c r="B364" t="s">
        <v>863</v>
      </c>
      <c r="C364">
        <v>2020</v>
      </c>
      <c r="E364" t="s">
        <v>3027</v>
      </c>
      <c r="F364" t="s">
        <v>8921</v>
      </c>
    </row>
    <row r="365" spans="1:6" x14ac:dyDescent="0.25">
      <c r="A365" t="s">
        <v>90</v>
      </c>
      <c r="B365" t="s">
        <v>863</v>
      </c>
      <c r="C365">
        <v>2017</v>
      </c>
      <c r="E365" t="s">
        <v>3027</v>
      </c>
      <c r="F365" t="s">
        <v>9122</v>
      </c>
    </row>
    <row r="366" spans="1:6" x14ac:dyDescent="0.25">
      <c r="A366" t="s">
        <v>1144</v>
      </c>
      <c r="B366" t="s">
        <v>865</v>
      </c>
      <c r="C366">
        <v>2012</v>
      </c>
      <c r="E366" t="s">
        <v>3202</v>
      </c>
      <c r="F366" t="s">
        <v>8767</v>
      </c>
    </row>
    <row r="367" spans="1:6" x14ac:dyDescent="0.25">
      <c r="A367" t="s">
        <v>1443</v>
      </c>
      <c r="B367" t="s">
        <v>865</v>
      </c>
      <c r="C367">
        <v>2018</v>
      </c>
      <c r="E367" t="s">
        <v>3202</v>
      </c>
      <c r="F367" t="s">
        <v>8870</v>
      </c>
    </row>
    <row r="368" spans="1:6" x14ac:dyDescent="0.25">
      <c r="A368" t="s">
        <v>1690</v>
      </c>
      <c r="B368" t="s">
        <v>865</v>
      </c>
      <c r="C368">
        <v>2020</v>
      </c>
      <c r="E368" t="s">
        <v>3202</v>
      </c>
      <c r="F368" t="s">
        <v>8922</v>
      </c>
    </row>
    <row r="369" spans="1:6" x14ac:dyDescent="0.25">
      <c r="A369" t="s">
        <v>2196</v>
      </c>
      <c r="B369" t="s">
        <v>865</v>
      </c>
      <c r="C369">
        <v>2021</v>
      </c>
      <c r="E369" t="s">
        <v>3202</v>
      </c>
      <c r="F369" t="s">
        <v>9080</v>
      </c>
    </row>
    <row r="370" spans="1:6" x14ac:dyDescent="0.25">
      <c r="A370" t="s">
        <v>90</v>
      </c>
      <c r="B370" t="s">
        <v>865</v>
      </c>
      <c r="C370">
        <v>2017</v>
      </c>
      <c r="E370" t="s">
        <v>3202</v>
      </c>
      <c r="F370" t="s">
        <v>9123</v>
      </c>
    </row>
    <row r="371" spans="1:6" x14ac:dyDescent="0.25">
      <c r="A371" t="s">
        <v>2428</v>
      </c>
      <c r="B371" t="s">
        <v>865</v>
      </c>
      <c r="C371">
        <v>2008</v>
      </c>
      <c r="E371" t="s">
        <v>3202</v>
      </c>
      <c r="F371" t="s">
        <v>9219</v>
      </c>
    </row>
    <row r="372" spans="1:6" x14ac:dyDescent="0.25">
      <c r="A372" t="s">
        <v>90</v>
      </c>
      <c r="B372" t="s">
        <v>869</v>
      </c>
      <c r="C372">
        <v>2017</v>
      </c>
      <c r="E372" t="s">
        <v>2982</v>
      </c>
      <c r="F372" t="s">
        <v>9124</v>
      </c>
    </row>
    <row r="373" spans="1:6" x14ac:dyDescent="0.25">
      <c r="A373" t="s">
        <v>364</v>
      </c>
      <c r="B373" t="s">
        <v>8321</v>
      </c>
      <c r="C373">
        <v>2024</v>
      </c>
      <c r="E373" t="s">
        <v>2982</v>
      </c>
      <c r="F373" t="s">
        <v>8551</v>
      </c>
    </row>
    <row r="374" spans="1:6" x14ac:dyDescent="0.25">
      <c r="A374" t="s">
        <v>1576</v>
      </c>
      <c r="B374" t="s">
        <v>8321</v>
      </c>
      <c r="C374">
        <v>2021</v>
      </c>
      <c r="E374" t="s">
        <v>2982</v>
      </c>
      <c r="F374" t="s">
        <v>8902</v>
      </c>
    </row>
    <row r="375" spans="1:6" x14ac:dyDescent="0.25">
      <c r="A375" t="s">
        <v>1851</v>
      </c>
      <c r="B375" t="s">
        <v>8321</v>
      </c>
      <c r="C375">
        <v>2024</v>
      </c>
      <c r="E375" t="s">
        <v>2982</v>
      </c>
      <c r="F375" t="s">
        <v>8974</v>
      </c>
    </row>
    <row r="376" spans="1:6" x14ac:dyDescent="0.25">
      <c r="A376" t="s">
        <v>2471</v>
      </c>
      <c r="B376" t="s">
        <v>8321</v>
      </c>
      <c r="C376">
        <v>2025</v>
      </c>
      <c r="D376" t="s">
        <v>187</v>
      </c>
    </row>
    <row r="377" spans="1:6" x14ac:dyDescent="0.25">
      <c r="A377" t="s">
        <v>946</v>
      </c>
      <c r="B377" t="s">
        <v>873</v>
      </c>
      <c r="C377">
        <v>2014</v>
      </c>
      <c r="E377" t="s">
        <v>3163</v>
      </c>
      <c r="F377" t="s">
        <v>8710</v>
      </c>
    </row>
    <row r="378" spans="1:6" x14ac:dyDescent="0.25">
      <c r="A378" t="s">
        <v>746</v>
      </c>
      <c r="B378" t="s">
        <v>877</v>
      </c>
      <c r="C378">
        <v>2015</v>
      </c>
      <c r="E378" t="s">
        <v>3100</v>
      </c>
      <c r="F378" t="s">
        <v>8613</v>
      </c>
    </row>
    <row r="379" spans="1:6" x14ac:dyDescent="0.25">
      <c r="A379" t="s">
        <v>873</v>
      </c>
      <c r="B379" t="s">
        <v>877</v>
      </c>
      <c r="C379">
        <v>2019</v>
      </c>
      <c r="E379" t="s">
        <v>3100</v>
      </c>
      <c r="F379" t="s">
        <v>8684</v>
      </c>
    </row>
    <row r="380" spans="1:6" x14ac:dyDescent="0.25">
      <c r="A380" t="s">
        <v>90</v>
      </c>
      <c r="B380" t="s">
        <v>877</v>
      </c>
      <c r="C380">
        <v>2017</v>
      </c>
      <c r="E380" t="s">
        <v>3100</v>
      </c>
      <c r="F380" t="s">
        <v>9125</v>
      </c>
    </row>
    <row r="381" spans="1:6" x14ac:dyDescent="0.25">
      <c r="A381" t="s">
        <v>90</v>
      </c>
      <c r="B381" t="s">
        <v>879</v>
      </c>
      <c r="C381">
        <v>2017</v>
      </c>
      <c r="E381" t="s">
        <v>3359</v>
      </c>
      <c r="F381" t="s">
        <v>9126</v>
      </c>
    </row>
    <row r="382" spans="1:6" x14ac:dyDescent="0.25">
      <c r="A382" t="s">
        <v>90</v>
      </c>
      <c r="B382" t="s">
        <v>887</v>
      </c>
      <c r="C382">
        <v>2017</v>
      </c>
      <c r="E382" t="s">
        <v>2982</v>
      </c>
      <c r="F382" t="s">
        <v>9127</v>
      </c>
    </row>
    <row r="383" spans="1:6" x14ac:dyDescent="0.25">
      <c r="A383" t="s">
        <v>185</v>
      </c>
      <c r="B383" t="s">
        <v>889</v>
      </c>
      <c r="C383">
        <v>2022</v>
      </c>
      <c r="E383" t="s">
        <v>2982</v>
      </c>
      <c r="F383" t="s">
        <v>8467</v>
      </c>
    </row>
    <row r="384" spans="1:6" x14ac:dyDescent="0.25">
      <c r="A384" t="s">
        <v>2804</v>
      </c>
      <c r="B384" t="s">
        <v>889</v>
      </c>
      <c r="C384">
        <v>2021</v>
      </c>
      <c r="E384" t="s">
        <v>2982</v>
      </c>
      <c r="F384" t="s">
        <v>9348</v>
      </c>
    </row>
    <row r="385" spans="1:6" x14ac:dyDescent="0.25">
      <c r="A385" t="s">
        <v>754</v>
      </c>
      <c r="B385" t="s">
        <v>893</v>
      </c>
      <c r="C385">
        <v>2022</v>
      </c>
      <c r="E385" t="s">
        <v>3109</v>
      </c>
      <c r="F385" t="s">
        <v>8627</v>
      </c>
    </row>
    <row r="386" spans="1:6" x14ac:dyDescent="0.25">
      <c r="A386" t="s">
        <v>1576</v>
      </c>
      <c r="B386" t="s">
        <v>896</v>
      </c>
      <c r="C386">
        <v>2021</v>
      </c>
      <c r="E386" t="s">
        <v>3264</v>
      </c>
      <c r="F386" t="s">
        <v>8903</v>
      </c>
    </row>
    <row r="387" spans="1:6" x14ac:dyDescent="0.25">
      <c r="A387" t="s">
        <v>873</v>
      </c>
      <c r="B387" t="s">
        <v>898</v>
      </c>
      <c r="C387">
        <v>2019</v>
      </c>
      <c r="E387" t="s">
        <v>3142</v>
      </c>
      <c r="F387" t="s">
        <v>8685</v>
      </c>
    </row>
    <row r="388" spans="1:6" x14ac:dyDescent="0.25">
      <c r="A388" t="s">
        <v>90</v>
      </c>
      <c r="B388" t="s">
        <v>898</v>
      </c>
      <c r="C388">
        <v>2017</v>
      </c>
      <c r="E388" t="s">
        <v>3142</v>
      </c>
      <c r="F388" t="s">
        <v>9128</v>
      </c>
    </row>
    <row r="389" spans="1:6" x14ac:dyDescent="0.25">
      <c r="A389" t="s">
        <v>353</v>
      </c>
      <c r="B389" t="s">
        <v>900</v>
      </c>
      <c r="C389">
        <v>2023</v>
      </c>
      <c r="E389" t="s">
        <v>3028</v>
      </c>
      <c r="F389" t="s">
        <v>9447</v>
      </c>
    </row>
    <row r="390" spans="1:6" x14ac:dyDescent="0.25">
      <c r="A390" t="s">
        <v>1443</v>
      </c>
      <c r="B390" t="s">
        <v>904</v>
      </c>
      <c r="C390">
        <v>2018</v>
      </c>
      <c r="E390" s="10" t="s">
        <v>8373</v>
      </c>
      <c r="F390" t="s">
        <v>8871</v>
      </c>
    </row>
    <row r="391" spans="1:6" x14ac:dyDescent="0.25">
      <c r="A391" t="s">
        <v>1496</v>
      </c>
      <c r="B391" t="s">
        <v>904</v>
      </c>
      <c r="C391">
        <v>2016</v>
      </c>
      <c r="E391" t="s">
        <v>2982</v>
      </c>
      <c r="F391" t="s">
        <v>8883</v>
      </c>
    </row>
    <row r="392" spans="1:6" x14ac:dyDescent="0.25">
      <c r="A392" t="s">
        <v>606</v>
      </c>
      <c r="B392" t="s">
        <v>909</v>
      </c>
      <c r="C392">
        <v>2025</v>
      </c>
      <c r="E392" t="s">
        <v>2982</v>
      </c>
      <c r="F392" t="s">
        <v>8588</v>
      </c>
    </row>
    <row r="393" spans="1:6" x14ac:dyDescent="0.25">
      <c r="A393" t="s">
        <v>914</v>
      </c>
      <c r="B393" t="s">
        <v>918</v>
      </c>
      <c r="C393">
        <v>2013</v>
      </c>
      <c r="D393" t="s">
        <v>187</v>
      </c>
    </row>
    <row r="394" spans="1:6" x14ac:dyDescent="0.25">
      <c r="A394" t="s">
        <v>2428</v>
      </c>
      <c r="B394" t="s">
        <v>930</v>
      </c>
      <c r="C394">
        <v>2008</v>
      </c>
      <c r="E394" t="s">
        <v>3394</v>
      </c>
      <c r="F394" t="s">
        <v>9220</v>
      </c>
    </row>
    <row r="395" spans="1:6" x14ac:dyDescent="0.25">
      <c r="A395" t="s">
        <v>1080</v>
      </c>
      <c r="B395" t="s">
        <v>934</v>
      </c>
      <c r="C395">
        <v>1990</v>
      </c>
      <c r="D395" t="s">
        <v>187</v>
      </c>
      <c r="E395" t="s">
        <v>3195</v>
      </c>
      <c r="F395" t="s">
        <v>8754</v>
      </c>
    </row>
    <row r="396" spans="1:6" x14ac:dyDescent="0.25">
      <c r="A396" t="s">
        <v>2721</v>
      </c>
      <c r="B396" t="s">
        <v>7850</v>
      </c>
      <c r="C396">
        <v>1993</v>
      </c>
      <c r="D396" t="s">
        <v>187</v>
      </c>
    </row>
    <row r="397" spans="1:6" x14ac:dyDescent="0.25">
      <c r="A397" t="s">
        <v>2721</v>
      </c>
      <c r="B397" t="s">
        <v>937</v>
      </c>
      <c r="C397">
        <v>1993</v>
      </c>
      <c r="D397" t="s">
        <v>187</v>
      </c>
    </row>
    <row r="398" spans="1:6" x14ac:dyDescent="0.25">
      <c r="A398" t="s">
        <v>1795</v>
      </c>
      <c r="B398" t="s">
        <v>940</v>
      </c>
      <c r="C398">
        <v>1987</v>
      </c>
      <c r="E398" t="s">
        <v>3278</v>
      </c>
      <c r="F398" t="s">
        <v>8945</v>
      </c>
    </row>
    <row r="399" spans="1:6" x14ac:dyDescent="0.25">
      <c r="A399" t="s">
        <v>2775</v>
      </c>
      <c r="B399" t="s">
        <v>942</v>
      </c>
      <c r="C399">
        <v>2021</v>
      </c>
      <c r="E399" s="10" t="s">
        <v>8396</v>
      </c>
      <c r="F399" t="s">
        <v>9448</v>
      </c>
    </row>
    <row r="400" spans="1:6" x14ac:dyDescent="0.25">
      <c r="A400" t="s">
        <v>759</v>
      </c>
      <c r="B400" t="s">
        <v>948</v>
      </c>
      <c r="C400">
        <v>2018</v>
      </c>
      <c r="E400" t="s">
        <v>3116</v>
      </c>
      <c r="F400" t="s">
        <v>8635</v>
      </c>
    </row>
    <row r="401" spans="1:6" x14ac:dyDescent="0.25">
      <c r="A401" t="s">
        <v>1294</v>
      </c>
      <c r="B401" t="s">
        <v>948</v>
      </c>
      <c r="C401">
        <v>2019</v>
      </c>
      <c r="E401" t="s">
        <v>3116</v>
      </c>
      <c r="F401" t="s">
        <v>8814</v>
      </c>
    </row>
    <row r="402" spans="1:6" x14ac:dyDescent="0.25">
      <c r="A402" t="s">
        <v>160</v>
      </c>
      <c r="B402" t="s">
        <v>948</v>
      </c>
      <c r="C402">
        <v>2011</v>
      </c>
      <c r="E402" t="s">
        <v>3116</v>
      </c>
      <c r="F402" t="s">
        <v>9287</v>
      </c>
    </row>
    <row r="403" spans="1:6" x14ac:dyDescent="0.25">
      <c r="A403" t="s">
        <v>1496</v>
      </c>
      <c r="B403" t="s">
        <v>952</v>
      </c>
      <c r="C403">
        <v>2016</v>
      </c>
      <c r="E403" t="s">
        <v>3256</v>
      </c>
      <c r="F403" t="s">
        <v>8884</v>
      </c>
    </row>
    <row r="404" spans="1:6" x14ac:dyDescent="0.25">
      <c r="A404" t="s">
        <v>353</v>
      </c>
      <c r="B404" t="s">
        <v>7992</v>
      </c>
      <c r="C404">
        <v>2023</v>
      </c>
      <c r="E404" s="10" t="s">
        <v>7991</v>
      </c>
      <c r="F404" t="s">
        <v>8522</v>
      </c>
    </row>
    <row r="405" spans="1:6" x14ac:dyDescent="0.25">
      <c r="A405" t="s">
        <v>353</v>
      </c>
      <c r="B405" t="s">
        <v>7992</v>
      </c>
      <c r="C405">
        <v>2023</v>
      </c>
      <c r="E405" s="10" t="s">
        <v>7991</v>
      </c>
      <c r="F405" t="s">
        <v>8522</v>
      </c>
    </row>
    <row r="406" spans="1:6" x14ac:dyDescent="0.25">
      <c r="A406" t="s">
        <v>353</v>
      </c>
      <c r="B406" t="s">
        <v>954</v>
      </c>
      <c r="C406">
        <v>2023</v>
      </c>
      <c r="E406" t="s">
        <v>2982</v>
      </c>
      <c r="F406" t="s">
        <v>8523</v>
      </c>
    </row>
    <row r="407" spans="1:6" x14ac:dyDescent="0.25">
      <c r="A407" t="s">
        <v>353</v>
      </c>
      <c r="B407" t="s">
        <v>958</v>
      </c>
      <c r="C407">
        <v>2023</v>
      </c>
      <c r="E407" t="s">
        <v>3029</v>
      </c>
      <c r="F407" t="s">
        <v>8524</v>
      </c>
    </row>
    <row r="408" spans="1:6" x14ac:dyDescent="0.25">
      <c r="A408" t="s">
        <v>873</v>
      </c>
      <c r="B408" t="s">
        <v>960</v>
      </c>
      <c r="C408">
        <v>2019</v>
      </c>
      <c r="E408" t="s">
        <v>3143</v>
      </c>
      <c r="F408" t="s">
        <v>8686</v>
      </c>
    </row>
    <row r="409" spans="1:6" x14ac:dyDescent="0.25">
      <c r="A409" t="s">
        <v>1951</v>
      </c>
      <c r="B409" t="s">
        <v>960</v>
      </c>
      <c r="C409">
        <v>2022</v>
      </c>
      <c r="E409" t="s">
        <v>3143</v>
      </c>
      <c r="F409" t="s">
        <v>9002</v>
      </c>
    </row>
    <row r="410" spans="1:6" x14ac:dyDescent="0.25">
      <c r="A410" t="s">
        <v>90</v>
      </c>
      <c r="B410" t="s">
        <v>960</v>
      </c>
      <c r="C410">
        <v>2017</v>
      </c>
      <c r="E410" t="s">
        <v>3143</v>
      </c>
      <c r="F410" t="s">
        <v>9129</v>
      </c>
    </row>
    <row r="411" spans="1:6" x14ac:dyDescent="0.25">
      <c r="A411" t="s">
        <v>1538</v>
      </c>
      <c r="B411" t="s">
        <v>964</v>
      </c>
      <c r="C411">
        <v>1995</v>
      </c>
      <c r="E411" t="s">
        <v>3257</v>
      </c>
      <c r="F411" t="s">
        <v>8886</v>
      </c>
    </row>
    <row r="412" spans="1:6" x14ac:dyDescent="0.25">
      <c r="A412" t="s">
        <v>1443</v>
      </c>
      <c r="B412" t="s">
        <v>971</v>
      </c>
      <c r="C412">
        <v>2018</v>
      </c>
      <c r="E412" t="s">
        <v>2982</v>
      </c>
      <c r="F412" t="s">
        <v>8872</v>
      </c>
    </row>
    <row r="413" spans="1:6" x14ac:dyDescent="0.25">
      <c r="A413" t="s">
        <v>1676</v>
      </c>
      <c r="B413" t="s">
        <v>971</v>
      </c>
      <c r="C413">
        <v>2002</v>
      </c>
      <c r="E413" t="s">
        <v>2982</v>
      </c>
      <c r="F413" t="s">
        <v>8917</v>
      </c>
    </row>
    <row r="414" spans="1:6" x14ac:dyDescent="0.25">
      <c r="A414" t="s">
        <v>1761</v>
      </c>
      <c r="B414" t="s">
        <v>971</v>
      </c>
      <c r="C414">
        <v>1995</v>
      </c>
      <c r="E414" t="s">
        <v>2982</v>
      </c>
      <c r="F414" t="s">
        <v>8937</v>
      </c>
    </row>
    <row r="415" spans="1:6" x14ac:dyDescent="0.25">
      <c r="A415" t="s">
        <v>2721</v>
      </c>
      <c r="B415" t="s">
        <v>971</v>
      </c>
      <c r="C415">
        <v>1993</v>
      </c>
      <c r="E415" t="s">
        <v>2982</v>
      </c>
    </row>
    <row r="416" spans="1:6" x14ac:dyDescent="0.25">
      <c r="A416" t="s">
        <v>2721</v>
      </c>
      <c r="B416" t="s">
        <v>977</v>
      </c>
      <c r="C416">
        <v>1993</v>
      </c>
      <c r="E416" t="s">
        <v>3013</v>
      </c>
    </row>
    <row r="417" spans="1:6" x14ac:dyDescent="0.25">
      <c r="A417" t="s">
        <v>746</v>
      </c>
      <c r="B417" t="s">
        <v>980</v>
      </c>
      <c r="C417">
        <v>2015</v>
      </c>
      <c r="E417" t="s">
        <v>3101</v>
      </c>
      <c r="F417" t="s">
        <v>8614</v>
      </c>
    </row>
    <row r="418" spans="1:6" x14ac:dyDescent="0.25">
      <c r="A418" t="s">
        <v>256</v>
      </c>
      <c r="B418" t="s">
        <v>984</v>
      </c>
      <c r="C418">
        <v>1994</v>
      </c>
      <c r="E418" t="s">
        <v>2988</v>
      </c>
    </row>
    <row r="419" spans="1:6" x14ac:dyDescent="0.25">
      <c r="A419" t="s">
        <v>260</v>
      </c>
      <c r="B419" t="s">
        <v>984</v>
      </c>
      <c r="C419">
        <v>1990</v>
      </c>
      <c r="E419" t="s">
        <v>2988</v>
      </c>
    </row>
    <row r="420" spans="1:6" x14ac:dyDescent="0.25">
      <c r="A420" t="s">
        <v>522</v>
      </c>
      <c r="B420" t="s">
        <v>984</v>
      </c>
      <c r="C420">
        <v>1989</v>
      </c>
      <c r="E420" t="s">
        <v>3072</v>
      </c>
      <c r="F420" t="s">
        <v>8580</v>
      </c>
    </row>
    <row r="421" spans="1:6" x14ac:dyDescent="0.25">
      <c r="A421" t="s">
        <v>847</v>
      </c>
      <c r="B421" t="s">
        <v>984</v>
      </c>
      <c r="C421">
        <v>1996</v>
      </c>
      <c r="E421" t="s">
        <v>3072</v>
      </c>
      <c r="F421" t="s">
        <v>8668</v>
      </c>
    </row>
    <row r="422" spans="1:6" x14ac:dyDescent="0.25">
      <c r="A422" t="s">
        <v>922</v>
      </c>
      <c r="B422" t="s">
        <v>984</v>
      </c>
      <c r="C422">
        <v>2002</v>
      </c>
      <c r="E422" t="s">
        <v>2988</v>
      </c>
    </row>
    <row r="423" spans="1:6" x14ac:dyDescent="0.25">
      <c r="A423" t="s">
        <v>964</v>
      </c>
      <c r="B423" t="s">
        <v>984</v>
      </c>
      <c r="C423">
        <v>2006</v>
      </c>
      <c r="E423" t="s">
        <v>3072</v>
      </c>
      <c r="F423" t="s">
        <v>8714</v>
      </c>
    </row>
    <row r="424" spans="1:6" x14ac:dyDescent="0.25">
      <c r="A424" t="s">
        <v>1004</v>
      </c>
      <c r="B424" t="s">
        <v>984</v>
      </c>
      <c r="C424">
        <v>2006</v>
      </c>
      <c r="E424" t="s">
        <v>2988</v>
      </c>
    </row>
    <row r="425" spans="1:6" x14ac:dyDescent="0.25">
      <c r="A425" t="s">
        <v>1027</v>
      </c>
      <c r="B425" t="s">
        <v>984</v>
      </c>
      <c r="C425">
        <v>2008</v>
      </c>
      <c r="E425" t="s">
        <v>2988</v>
      </c>
    </row>
    <row r="426" spans="1:6" x14ac:dyDescent="0.25">
      <c r="A426" t="s">
        <v>2571</v>
      </c>
      <c r="B426" t="s">
        <v>984</v>
      </c>
      <c r="C426">
        <v>1998</v>
      </c>
      <c r="E426" t="s">
        <v>2988</v>
      </c>
    </row>
    <row r="427" spans="1:6" x14ac:dyDescent="0.25">
      <c r="A427" t="s">
        <v>1576</v>
      </c>
      <c r="B427" t="s">
        <v>988</v>
      </c>
      <c r="C427">
        <v>2021</v>
      </c>
      <c r="E427" t="s">
        <v>2982</v>
      </c>
      <c r="F427" t="s">
        <v>8904</v>
      </c>
    </row>
    <row r="428" spans="1:6" x14ac:dyDescent="0.25">
      <c r="A428" t="s">
        <v>160</v>
      </c>
      <c r="B428" t="s">
        <v>992</v>
      </c>
      <c r="C428">
        <v>2011</v>
      </c>
      <c r="E428" t="s">
        <v>2982</v>
      </c>
      <c r="F428" t="s">
        <v>9288</v>
      </c>
    </row>
    <row r="429" spans="1:6" x14ac:dyDescent="0.25">
      <c r="A429" t="s">
        <v>1795</v>
      </c>
      <c r="B429" t="s">
        <v>994</v>
      </c>
      <c r="C429">
        <v>1987</v>
      </c>
      <c r="E429" t="s">
        <v>3279</v>
      </c>
      <c r="F429" t="s">
        <v>8946</v>
      </c>
    </row>
    <row r="430" spans="1:6" x14ac:dyDescent="0.25">
      <c r="A430" t="s">
        <v>2173</v>
      </c>
      <c r="B430" t="s">
        <v>998</v>
      </c>
      <c r="C430">
        <v>2013</v>
      </c>
      <c r="E430" s="10" t="s">
        <v>8358</v>
      </c>
    </row>
    <row r="431" spans="1:6" x14ac:dyDescent="0.25">
      <c r="A431" t="s">
        <v>759</v>
      </c>
      <c r="B431" t="s">
        <v>1002</v>
      </c>
      <c r="C431">
        <v>2018</v>
      </c>
      <c r="E431" t="s">
        <v>3117</v>
      </c>
      <c r="F431" t="s">
        <v>8636</v>
      </c>
    </row>
    <row r="432" spans="1:6" x14ac:dyDescent="0.25">
      <c r="A432" t="s">
        <v>1294</v>
      </c>
      <c r="B432" t="s">
        <v>1002</v>
      </c>
      <c r="C432">
        <v>2019</v>
      </c>
      <c r="E432" t="s">
        <v>3117</v>
      </c>
      <c r="F432" t="s">
        <v>8815</v>
      </c>
    </row>
    <row r="433" spans="1:6" x14ac:dyDescent="0.25">
      <c r="A433" t="s">
        <v>2173</v>
      </c>
      <c r="B433" t="s">
        <v>1002</v>
      </c>
      <c r="C433">
        <v>2013</v>
      </c>
      <c r="E433" t="s">
        <v>3117</v>
      </c>
      <c r="F433" t="s">
        <v>9066</v>
      </c>
    </row>
    <row r="434" spans="1:6" x14ac:dyDescent="0.25">
      <c r="A434" t="s">
        <v>2428</v>
      </c>
      <c r="B434" t="s">
        <v>1002</v>
      </c>
      <c r="C434">
        <v>2008</v>
      </c>
      <c r="E434" t="s">
        <v>3117</v>
      </c>
      <c r="F434" t="s">
        <v>9221</v>
      </c>
    </row>
    <row r="435" spans="1:6" x14ac:dyDescent="0.25">
      <c r="A435" t="s">
        <v>1284</v>
      </c>
      <c r="B435" t="s">
        <v>1004</v>
      </c>
      <c r="C435">
        <v>1984</v>
      </c>
      <c r="E435" t="s">
        <v>3221</v>
      </c>
      <c r="F435" t="s">
        <v>8797</v>
      </c>
    </row>
    <row r="436" spans="1:6" x14ac:dyDescent="0.25">
      <c r="A436" t="s">
        <v>2594</v>
      </c>
      <c r="B436" t="s">
        <v>1008</v>
      </c>
      <c r="C436">
        <v>2019</v>
      </c>
      <c r="E436" t="s">
        <v>2982</v>
      </c>
      <c r="F436" t="s">
        <v>9267</v>
      </c>
    </row>
    <row r="437" spans="1:6" x14ac:dyDescent="0.25">
      <c r="A437" t="s">
        <v>2428</v>
      </c>
      <c r="B437" t="s">
        <v>1014</v>
      </c>
      <c r="C437">
        <v>2008</v>
      </c>
      <c r="E437" t="s">
        <v>3395</v>
      </c>
      <c r="F437" t="s">
        <v>9222</v>
      </c>
    </row>
    <row r="438" spans="1:6" x14ac:dyDescent="0.25">
      <c r="A438" t="s">
        <v>2804</v>
      </c>
      <c r="B438" t="s">
        <v>1017</v>
      </c>
      <c r="C438">
        <v>2021</v>
      </c>
      <c r="E438" t="s">
        <v>3013</v>
      </c>
    </row>
    <row r="439" spans="1:6" x14ac:dyDescent="0.25">
      <c r="A439" t="s">
        <v>2804</v>
      </c>
      <c r="B439" t="s">
        <v>1021</v>
      </c>
      <c r="C439">
        <v>2021</v>
      </c>
      <c r="E439" t="s">
        <v>3013</v>
      </c>
    </row>
    <row r="440" spans="1:6" x14ac:dyDescent="0.25">
      <c r="A440" t="s">
        <v>1027</v>
      </c>
      <c r="B440" t="s">
        <v>1025</v>
      </c>
      <c r="C440">
        <v>2008</v>
      </c>
      <c r="D440" t="s">
        <v>187</v>
      </c>
    </row>
    <row r="441" spans="1:6" x14ac:dyDescent="0.25">
      <c r="A441" t="s">
        <v>256</v>
      </c>
      <c r="B441" t="s">
        <v>1027</v>
      </c>
      <c r="C441">
        <v>1994</v>
      </c>
    </row>
    <row r="442" spans="1:6" x14ac:dyDescent="0.25">
      <c r="A442" t="s">
        <v>260</v>
      </c>
      <c r="B442" t="s">
        <v>1027</v>
      </c>
      <c r="C442">
        <v>1990</v>
      </c>
    </row>
    <row r="443" spans="1:6" x14ac:dyDescent="0.25">
      <c r="A443" t="s">
        <v>1795</v>
      </c>
      <c r="B443" t="s">
        <v>1027</v>
      </c>
      <c r="C443">
        <v>1987</v>
      </c>
    </row>
    <row r="444" spans="1:6" x14ac:dyDescent="0.25">
      <c r="A444" t="s">
        <v>759</v>
      </c>
      <c r="B444" t="s">
        <v>1029</v>
      </c>
      <c r="C444">
        <v>2018</v>
      </c>
      <c r="E444" t="s">
        <v>2982</v>
      </c>
    </row>
    <row r="445" spans="1:6" x14ac:dyDescent="0.25">
      <c r="A445" t="s">
        <v>1294</v>
      </c>
      <c r="B445" t="s">
        <v>1029</v>
      </c>
      <c r="C445">
        <v>2019</v>
      </c>
      <c r="E445" t="s">
        <v>2982</v>
      </c>
    </row>
    <row r="446" spans="1:6" x14ac:dyDescent="0.25">
      <c r="A446" t="s">
        <v>90</v>
      </c>
      <c r="B446" t="s">
        <v>1029</v>
      </c>
      <c r="C446">
        <v>2017</v>
      </c>
      <c r="E446" t="s">
        <v>2982</v>
      </c>
    </row>
    <row r="447" spans="1:6" x14ac:dyDescent="0.25">
      <c r="A447" t="s">
        <v>160</v>
      </c>
      <c r="B447" t="s">
        <v>1029</v>
      </c>
      <c r="C447">
        <v>2011</v>
      </c>
      <c r="E447" t="s">
        <v>2982</v>
      </c>
    </row>
    <row r="448" spans="1:6" x14ac:dyDescent="0.25">
      <c r="A448" t="s">
        <v>90</v>
      </c>
      <c r="B448" t="s">
        <v>1034</v>
      </c>
      <c r="C448">
        <v>2017</v>
      </c>
      <c r="E448" t="s">
        <v>3360</v>
      </c>
      <c r="F448" t="s">
        <v>9130</v>
      </c>
    </row>
    <row r="449" spans="1:6" x14ac:dyDescent="0.25">
      <c r="A449" t="s">
        <v>1576</v>
      </c>
      <c r="B449" t="s">
        <v>1038</v>
      </c>
      <c r="C449">
        <v>2021</v>
      </c>
      <c r="E449" t="s">
        <v>3013</v>
      </c>
    </row>
    <row r="450" spans="1:6" x14ac:dyDescent="0.25">
      <c r="A450" t="s">
        <v>2136</v>
      </c>
      <c r="B450" t="s">
        <v>1042</v>
      </c>
      <c r="C450">
        <v>2020</v>
      </c>
      <c r="E450" t="s">
        <v>3316</v>
      </c>
    </row>
    <row r="451" spans="1:6" x14ac:dyDescent="0.25">
      <c r="A451" t="s">
        <v>1855</v>
      </c>
      <c r="B451" t="s">
        <v>1046</v>
      </c>
      <c r="C451">
        <v>2015</v>
      </c>
      <c r="E451" t="s">
        <v>3300</v>
      </c>
      <c r="F451" t="s">
        <v>8983</v>
      </c>
    </row>
    <row r="452" spans="1:6" x14ac:dyDescent="0.25">
      <c r="A452" t="s">
        <v>2428</v>
      </c>
      <c r="B452" t="s">
        <v>1046</v>
      </c>
      <c r="C452">
        <v>2008</v>
      </c>
      <c r="E452" t="s">
        <v>3300</v>
      </c>
      <c r="F452" t="s">
        <v>9223</v>
      </c>
    </row>
    <row r="453" spans="1:6" x14ac:dyDescent="0.25">
      <c r="A453" t="s">
        <v>160</v>
      </c>
      <c r="B453" t="s">
        <v>1046</v>
      </c>
      <c r="C453">
        <v>2011</v>
      </c>
      <c r="E453" t="s">
        <v>3300</v>
      </c>
      <c r="F453" t="s">
        <v>9289</v>
      </c>
    </row>
    <row r="454" spans="1:6" x14ac:dyDescent="0.25">
      <c r="A454" t="s">
        <v>490</v>
      </c>
      <c r="B454" t="s">
        <v>1050</v>
      </c>
      <c r="C454">
        <v>2009</v>
      </c>
      <c r="E454" t="s">
        <v>3058</v>
      </c>
      <c r="F454" t="s">
        <v>8556</v>
      </c>
    </row>
    <row r="455" spans="1:6" x14ac:dyDescent="0.25">
      <c r="A455" t="s">
        <v>746</v>
      </c>
      <c r="B455" t="s">
        <v>1050</v>
      </c>
      <c r="C455">
        <v>2015</v>
      </c>
      <c r="E455" t="s">
        <v>3102</v>
      </c>
      <c r="F455" t="s">
        <v>8615</v>
      </c>
    </row>
    <row r="456" spans="1:6" x14ac:dyDescent="0.25">
      <c r="A456" t="s">
        <v>847</v>
      </c>
      <c r="B456" t="s">
        <v>1050</v>
      </c>
      <c r="C456">
        <v>1996</v>
      </c>
      <c r="E456" t="s">
        <v>3058</v>
      </c>
      <c r="F456" t="s">
        <v>8669</v>
      </c>
    </row>
    <row r="457" spans="1:6" x14ac:dyDescent="0.25">
      <c r="A457" t="s">
        <v>1046</v>
      </c>
      <c r="B457" t="s">
        <v>1050</v>
      </c>
      <c r="C457">
        <v>2016</v>
      </c>
      <c r="E457" t="s">
        <v>3102</v>
      </c>
      <c r="F457" t="s">
        <v>8737</v>
      </c>
    </row>
    <row r="458" spans="1:6" x14ac:dyDescent="0.25">
      <c r="A458" t="s">
        <v>1365</v>
      </c>
      <c r="B458" t="s">
        <v>1050</v>
      </c>
      <c r="C458">
        <v>2018</v>
      </c>
      <c r="E458" t="s">
        <v>3102</v>
      </c>
      <c r="F458" t="s">
        <v>8846</v>
      </c>
    </row>
    <row r="459" spans="1:6" x14ac:dyDescent="0.25">
      <c r="A459" t="s">
        <v>2481</v>
      </c>
      <c r="B459" t="s">
        <v>1050</v>
      </c>
      <c r="C459">
        <v>2020</v>
      </c>
      <c r="E459" t="s">
        <v>3058</v>
      </c>
      <c r="F459" t="s">
        <v>9247</v>
      </c>
    </row>
    <row r="460" spans="1:6" x14ac:dyDescent="0.25">
      <c r="A460" t="s">
        <v>2625</v>
      </c>
      <c r="B460" t="s">
        <v>1052</v>
      </c>
      <c r="C460">
        <v>2000</v>
      </c>
      <c r="D460" t="s">
        <v>187</v>
      </c>
      <c r="E460" t="s">
        <v>3329</v>
      </c>
      <c r="F460" t="s">
        <v>9329</v>
      </c>
    </row>
    <row r="461" spans="1:6" x14ac:dyDescent="0.25">
      <c r="A461" t="s">
        <v>2721</v>
      </c>
      <c r="B461" t="s">
        <v>1055</v>
      </c>
      <c r="C461">
        <v>1993</v>
      </c>
      <c r="D461" t="s">
        <v>187</v>
      </c>
    </row>
    <row r="462" spans="1:6" x14ac:dyDescent="0.25">
      <c r="A462" t="s">
        <v>1055</v>
      </c>
      <c r="B462" t="s">
        <v>1057</v>
      </c>
      <c r="C462">
        <v>2015</v>
      </c>
      <c r="D462" t="s">
        <v>187</v>
      </c>
    </row>
    <row r="463" spans="1:6" x14ac:dyDescent="0.25">
      <c r="A463" t="s">
        <v>778</v>
      </c>
      <c r="B463" t="s">
        <v>1059</v>
      </c>
      <c r="C463">
        <v>2023</v>
      </c>
      <c r="E463" t="s">
        <v>2982</v>
      </c>
      <c r="F463" t="s">
        <v>8650</v>
      </c>
    </row>
    <row r="464" spans="1:6" x14ac:dyDescent="0.25">
      <c r="A464" t="s">
        <v>2136</v>
      </c>
      <c r="B464" t="s">
        <v>1059</v>
      </c>
      <c r="C464">
        <v>2020</v>
      </c>
      <c r="E464" t="s">
        <v>2982</v>
      </c>
      <c r="F464" t="s">
        <v>9028</v>
      </c>
    </row>
    <row r="465" spans="1:6" x14ac:dyDescent="0.25">
      <c r="A465" t="s">
        <v>90</v>
      </c>
      <c r="B465" t="s">
        <v>1059</v>
      </c>
      <c r="C465">
        <v>2017</v>
      </c>
      <c r="E465" t="s">
        <v>2982</v>
      </c>
      <c r="F465" t="s">
        <v>9131</v>
      </c>
    </row>
    <row r="466" spans="1:6" x14ac:dyDescent="0.25">
      <c r="A466" t="s">
        <v>930</v>
      </c>
      <c r="B466" t="s">
        <v>1067</v>
      </c>
      <c r="C466">
        <v>2015</v>
      </c>
      <c r="E466" s="10" t="s">
        <v>8429</v>
      </c>
      <c r="F466" t="s">
        <v>8703</v>
      </c>
    </row>
    <row r="467" spans="1:6" x14ac:dyDescent="0.25">
      <c r="A467" t="s">
        <v>1046</v>
      </c>
      <c r="B467" t="s">
        <v>1067</v>
      </c>
      <c r="C467">
        <v>2016</v>
      </c>
      <c r="D467" t="s">
        <v>187</v>
      </c>
    </row>
    <row r="468" spans="1:6" x14ac:dyDescent="0.25">
      <c r="A468" t="s">
        <v>2506</v>
      </c>
      <c r="B468" t="s">
        <v>1071</v>
      </c>
      <c r="C468">
        <v>2021</v>
      </c>
      <c r="E468" t="s">
        <v>3013</v>
      </c>
    </row>
    <row r="469" spans="1:6" x14ac:dyDescent="0.25">
      <c r="A469" t="s">
        <v>2154</v>
      </c>
      <c r="B469" t="s">
        <v>1080</v>
      </c>
      <c r="C469">
        <v>1980</v>
      </c>
      <c r="E469" t="s">
        <v>3324</v>
      </c>
      <c r="F469" t="s">
        <v>9047</v>
      </c>
    </row>
    <row r="470" spans="1:6" x14ac:dyDescent="0.25">
      <c r="A470" t="s">
        <v>1795</v>
      </c>
      <c r="B470" t="s">
        <v>1083</v>
      </c>
      <c r="C470">
        <v>1987</v>
      </c>
      <c r="E470" t="s">
        <v>3280</v>
      </c>
      <c r="F470" t="s">
        <v>8947</v>
      </c>
    </row>
    <row r="471" spans="1:6" x14ac:dyDescent="0.25">
      <c r="A471" t="s">
        <v>904</v>
      </c>
      <c r="B471" t="s">
        <v>1085</v>
      </c>
      <c r="C471">
        <v>2022</v>
      </c>
      <c r="E471" t="s">
        <v>1088</v>
      </c>
      <c r="F471" t="s">
        <v>8690</v>
      </c>
    </row>
    <row r="472" spans="1:6" x14ac:dyDescent="0.25">
      <c r="A472" t="s">
        <v>2428</v>
      </c>
      <c r="B472" t="s">
        <v>1085</v>
      </c>
      <c r="C472">
        <v>2008</v>
      </c>
      <c r="E472" t="s">
        <v>1088</v>
      </c>
      <c r="F472" t="s">
        <v>9224</v>
      </c>
    </row>
    <row r="473" spans="1:6" x14ac:dyDescent="0.25">
      <c r="A473" t="s">
        <v>1443</v>
      </c>
      <c r="B473" t="s">
        <v>1089</v>
      </c>
      <c r="C473">
        <v>2018</v>
      </c>
      <c r="E473" t="s">
        <v>3249</v>
      </c>
    </row>
    <row r="474" spans="1:6" x14ac:dyDescent="0.25">
      <c r="A474" t="s">
        <v>90</v>
      </c>
      <c r="B474" t="s">
        <v>1089</v>
      </c>
      <c r="C474">
        <v>2017</v>
      </c>
      <c r="E474" t="s">
        <v>3249</v>
      </c>
    </row>
    <row r="475" spans="1:6" x14ac:dyDescent="0.25">
      <c r="A475" t="s">
        <v>578</v>
      </c>
      <c r="B475" t="s">
        <v>1093</v>
      </c>
      <c r="C475">
        <v>1998</v>
      </c>
      <c r="D475" t="s">
        <v>187</v>
      </c>
    </row>
    <row r="476" spans="1:6" x14ac:dyDescent="0.25">
      <c r="A476" t="s">
        <v>2804</v>
      </c>
      <c r="B476" t="s">
        <v>1096</v>
      </c>
      <c r="C476">
        <v>2021</v>
      </c>
      <c r="E476" t="s">
        <v>1099</v>
      </c>
      <c r="F476" t="s">
        <v>9349</v>
      </c>
    </row>
    <row r="477" spans="1:6" x14ac:dyDescent="0.25">
      <c r="A477" t="s">
        <v>2377</v>
      </c>
      <c r="B477" t="s">
        <v>1100</v>
      </c>
      <c r="C477">
        <v>2021</v>
      </c>
      <c r="E477" t="s">
        <v>3013</v>
      </c>
    </row>
    <row r="478" spans="1:6" x14ac:dyDescent="0.25">
      <c r="A478" t="s">
        <v>2173</v>
      </c>
      <c r="B478" t="s">
        <v>1104</v>
      </c>
      <c r="C478">
        <v>2013</v>
      </c>
      <c r="E478" t="s">
        <v>3334</v>
      </c>
      <c r="F478" t="s">
        <v>9067</v>
      </c>
    </row>
    <row r="479" spans="1:6" x14ac:dyDescent="0.25">
      <c r="A479" t="s">
        <v>2428</v>
      </c>
      <c r="B479" t="s">
        <v>1104</v>
      </c>
      <c r="C479">
        <v>2008</v>
      </c>
      <c r="E479" t="s">
        <v>3334</v>
      </c>
      <c r="F479" t="s">
        <v>9225</v>
      </c>
    </row>
    <row r="480" spans="1:6" x14ac:dyDescent="0.25">
      <c r="A480" t="s">
        <v>786</v>
      </c>
      <c r="B480" t="s">
        <v>1108</v>
      </c>
      <c r="C480">
        <v>2023</v>
      </c>
      <c r="E480" t="s">
        <v>2982</v>
      </c>
      <c r="F480" t="s">
        <v>8654</v>
      </c>
    </row>
    <row r="481" spans="1:6" x14ac:dyDescent="0.25">
      <c r="A481" t="s">
        <v>1089</v>
      </c>
      <c r="B481" t="s">
        <v>1108</v>
      </c>
      <c r="C481">
        <v>2021</v>
      </c>
      <c r="E481" t="s">
        <v>2982</v>
      </c>
      <c r="F481" t="s">
        <v>8755</v>
      </c>
    </row>
    <row r="482" spans="1:6" x14ac:dyDescent="0.25">
      <c r="A482" t="s">
        <v>1443</v>
      </c>
      <c r="B482" t="s">
        <v>1108</v>
      </c>
      <c r="C482">
        <v>2018</v>
      </c>
      <c r="E482" t="s">
        <v>3250</v>
      </c>
      <c r="F482" t="s">
        <v>8873</v>
      </c>
    </row>
    <row r="483" spans="1:6" x14ac:dyDescent="0.25">
      <c r="A483" t="s">
        <v>90</v>
      </c>
      <c r="B483" t="s">
        <v>1108</v>
      </c>
      <c r="C483">
        <v>2017</v>
      </c>
      <c r="E483" t="s">
        <v>3250</v>
      </c>
      <c r="F483" t="s">
        <v>9132</v>
      </c>
    </row>
    <row r="484" spans="1:6" x14ac:dyDescent="0.25">
      <c r="A484" t="s">
        <v>346</v>
      </c>
      <c r="B484" t="s">
        <v>1111</v>
      </c>
      <c r="C484">
        <v>2022</v>
      </c>
      <c r="E484" s="10" t="s">
        <v>8359</v>
      </c>
      <c r="F484" t="s">
        <v>8505</v>
      </c>
    </row>
    <row r="485" spans="1:6" x14ac:dyDescent="0.25">
      <c r="A485" t="s">
        <v>497</v>
      </c>
      <c r="B485" t="s">
        <v>1111</v>
      </c>
      <c r="C485">
        <v>2022</v>
      </c>
      <c r="E485" s="10" t="s">
        <v>8359</v>
      </c>
      <c r="F485" t="s">
        <v>8567</v>
      </c>
    </row>
    <row r="486" spans="1:6" x14ac:dyDescent="0.25">
      <c r="A486" t="s">
        <v>1951</v>
      </c>
      <c r="B486" t="s">
        <v>1111</v>
      </c>
      <c r="C486">
        <v>2022</v>
      </c>
      <c r="E486" s="10" t="s">
        <v>8359</v>
      </c>
      <c r="F486" t="s">
        <v>9003</v>
      </c>
    </row>
    <row r="487" spans="1:6" x14ac:dyDescent="0.25">
      <c r="A487" t="s">
        <v>1115</v>
      </c>
      <c r="B487" t="s">
        <v>1119</v>
      </c>
      <c r="C487">
        <v>2018</v>
      </c>
      <c r="D487" t="s">
        <v>187</v>
      </c>
    </row>
    <row r="488" spans="1:6" x14ac:dyDescent="0.25">
      <c r="A488" t="s">
        <v>1144</v>
      </c>
      <c r="B488" t="s">
        <v>1123</v>
      </c>
      <c r="C488">
        <v>2012</v>
      </c>
      <c r="E488" t="s">
        <v>3203</v>
      </c>
      <c r="F488" t="s">
        <v>8768</v>
      </c>
    </row>
    <row r="489" spans="1:6" x14ac:dyDescent="0.25">
      <c r="A489" t="s">
        <v>90</v>
      </c>
      <c r="B489" t="s">
        <v>1123</v>
      </c>
      <c r="C489">
        <v>2017</v>
      </c>
      <c r="E489" t="s">
        <v>3203</v>
      </c>
      <c r="F489" t="s">
        <v>9133</v>
      </c>
    </row>
    <row r="490" spans="1:6" x14ac:dyDescent="0.25">
      <c r="A490" t="s">
        <v>1294</v>
      </c>
      <c r="B490" t="s">
        <v>1129</v>
      </c>
      <c r="C490">
        <v>2019</v>
      </c>
      <c r="E490" t="s">
        <v>3227</v>
      </c>
      <c r="F490" t="s">
        <v>8816</v>
      </c>
    </row>
    <row r="491" spans="1:6" x14ac:dyDescent="0.25">
      <c r="A491" t="s">
        <v>90</v>
      </c>
      <c r="B491" t="s">
        <v>1129</v>
      </c>
      <c r="C491">
        <v>2017</v>
      </c>
      <c r="E491" t="s">
        <v>3227</v>
      </c>
      <c r="F491" t="s">
        <v>9134</v>
      </c>
    </row>
    <row r="492" spans="1:6" x14ac:dyDescent="0.25">
      <c r="A492" t="s">
        <v>160</v>
      </c>
      <c r="B492" t="s">
        <v>1133</v>
      </c>
      <c r="C492">
        <v>2011</v>
      </c>
      <c r="E492" t="s">
        <v>3013</v>
      </c>
    </row>
    <row r="493" spans="1:6" x14ac:dyDescent="0.25">
      <c r="A493" t="s">
        <v>1435</v>
      </c>
      <c r="B493" t="s">
        <v>1137</v>
      </c>
      <c r="C493">
        <v>2021</v>
      </c>
      <c r="E493" t="s">
        <v>3242</v>
      </c>
      <c r="F493" t="s">
        <v>8855</v>
      </c>
    </row>
    <row r="494" spans="1:6" x14ac:dyDescent="0.25">
      <c r="A494" t="s">
        <v>256</v>
      </c>
      <c r="B494" t="s">
        <v>1141</v>
      </c>
      <c r="C494">
        <v>1994</v>
      </c>
      <c r="E494" t="s">
        <v>2989</v>
      </c>
      <c r="F494" t="s">
        <v>8474</v>
      </c>
    </row>
    <row r="495" spans="1:6" x14ac:dyDescent="0.25">
      <c r="A495" t="s">
        <v>922</v>
      </c>
      <c r="B495" t="s">
        <v>1141</v>
      </c>
      <c r="C495">
        <v>2002</v>
      </c>
      <c r="E495" t="s">
        <v>2989</v>
      </c>
      <c r="F495" t="s">
        <v>8697</v>
      </c>
    </row>
    <row r="496" spans="1:6" x14ac:dyDescent="0.25">
      <c r="A496" t="s">
        <v>1538</v>
      </c>
      <c r="B496" t="s">
        <v>1141</v>
      </c>
      <c r="C496">
        <v>1995</v>
      </c>
      <c r="E496" t="s">
        <v>2989</v>
      </c>
      <c r="F496" t="s">
        <v>9449</v>
      </c>
    </row>
    <row r="497" spans="1:6" x14ac:dyDescent="0.25">
      <c r="A497" t="s">
        <v>1795</v>
      </c>
      <c r="B497" t="s">
        <v>1141</v>
      </c>
      <c r="C497">
        <v>1987</v>
      </c>
      <c r="E497" t="s">
        <v>2989</v>
      </c>
      <c r="F497" t="s">
        <v>8948</v>
      </c>
    </row>
    <row r="498" spans="1:6" x14ac:dyDescent="0.25">
      <c r="A498" t="s">
        <v>2428</v>
      </c>
      <c r="B498" t="s">
        <v>1144</v>
      </c>
      <c r="C498">
        <v>2008</v>
      </c>
      <c r="E498" t="s">
        <v>3396</v>
      </c>
    </row>
    <row r="499" spans="1:6" x14ac:dyDescent="0.25">
      <c r="A499" t="s">
        <v>2874</v>
      </c>
      <c r="B499" t="s">
        <v>1144</v>
      </c>
      <c r="C499">
        <v>2005</v>
      </c>
      <c r="E499" s="10" t="s">
        <v>8409</v>
      </c>
      <c r="F499" t="s">
        <v>9381</v>
      </c>
    </row>
    <row r="500" spans="1:6" x14ac:dyDescent="0.25">
      <c r="A500" t="s">
        <v>160</v>
      </c>
      <c r="B500" t="s">
        <v>1148</v>
      </c>
      <c r="C500">
        <v>2011</v>
      </c>
      <c r="E500" t="s">
        <v>3408</v>
      </c>
      <c r="F500" t="s">
        <v>9290</v>
      </c>
    </row>
    <row r="501" spans="1:6" x14ac:dyDescent="0.25">
      <c r="A501" t="s">
        <v>759</v>
      </c>
      <c r="B501" t="s">
        <v>1151</v>
      </c>
      <c r="C501">
        <v>2018</v>
      </c>
      <c r="E501" t="s">
        <v>3118</v>
      </c>
      <c r="F501" t="s">
        <v>8637</v>
      </c>
    </row>
    <row r="502" spans="1:6" x14ac:dyDescent="0.25">
      <c r="A502" t="s">
        <v>2173</v>
      </c>
      <c r="B502" t="s">
        <v>1151</v>
      </c>
      <c r="C502">
        <v>2013</v>
      </c>
      <c r="E502" t="s">
        <v>3118</v>
      </c>
      <c r="F502" t="s">
        <v>9068</v>
      </c>
    </row>
    <row r="503" spans="1:6" x14ac:dyDescent="0.25">
      <c r="A503" t="s">
        <v>2715</v>
      </c>
      <c r="B503" t="s">
        <v>1155</v>
      </c>
      <c r="C503">
        <v>1999</v>
      </c>
      <c r="E503" t="s">
        <v>3421</v>
      </c>
      <c r="F503" t="s">
        <v>9334</v>
      </c>
    </row>
    <row r="504" spans="1:6" x14ac:dyDescent="0.25">
      <c r="A504" t="s">
        <v>1661</v>
      </c>
      <c r="B504" t="s">
        <v>1157</v>
      </c>
      <c r="C504">
        <v>2011</v>
      </c>
      <c r="D504" t="s">
        <v>187</v>
      </c>
    </row>
    <row r="505" spans="1:6" x14ac:dyDescent="0.25">
      <c r="A505" t="s">
        <v>1746</v>
      </c>
      <c r="B505" t="s">
        <v>1157</v>
      </c>
      <c r="C505">
        <v>2011</v>
      </c>
      <c r="D505" t="s">
        <v>187</v>
      </c>
    </row>
    <row r="506" spans="1:6" x14ac:dyDescent="0.25">
      <c r="A506" t="s">
        <v>759</v>
      </c>
      <c r="B506" t="s">
        <v>1159</v>
      </c>
      <c r="C506">
        <v>2018</v>
      </c>
      <c r="E506" t="s">
        <v>3119</v>
      </c>
      <c r="F506" t="s">
        <v>8638</v>
      </c>
    </row>
    <row r="507" spans="1:6" x14ac:dyDescent="0.25">
      <c r="A507" t="s">
        <v>1046</v>
      </c>
      <c r="B507" t="s">
        <v>1159</v>
      </c>
      <c r="C507">
        <v>2016</v>
      </c>
      <c r="E507" t="s">
        <v>3119</v>
      </c>
      <c r="F507" t="s">
        <v>8738</v>
      </c>
    </row>
    <row r="508" spans="1:6" x14ac:dyDescent="0.25">
      <c r="A508" t="s">
        <v>2254</v>
      </c>
      <c r="B508" t="s">
        <v>1159</v>
      </c>
      <c r="C508">
        <v>2020</v>
      </c>
      <c r="E508" t="s">
        <v>2982</v>
      </c>
      <c r="F508" t="s">
        <v>9083</v>
      </c>
    </row>
    <row r="509" spans="1:6" x14ac:dyDescent="0.25">
      <c r="A509" t="s">
        <v>353</v>
      </c>
      <c r="B509" t="s">
        <v>1163</v>
      </c>
      <c r="C509">
        <v>2023</v>
      </c>
      <c r="E509" t="s">
        <v>3030</v>
      </c>
      <c r="F509" t="s">
        <v>8525</v>
      </c>
    </row>
    <row r="510" spans="1:6" x14ac:dyDescent="0.25">
      <c r="A510" t="s">
        <v>709</v>
      </c>
      <c r="B510" t="s">
        <v>1166</v>
      </c>
      <c r="C510">
        <v>2022</v>
      </c>
      <c r="E510" t="s">
        <v>3089</v>
      </c>
      <c r="F510" t="s">
        <v>8600</v>
      </c>
    </row>
    <row r="511" spans="1:6" x14ac:dyDescent="0.25">
      <c r="A511" t="s">
        <v>1294</v>
      </c>
      <c r="B511" t="s">
        <v>1166</v>
      </c>
      <c r="C511">
        <v>2019</v>
      </c>
      <c r="E511" t="s">
        <v>3089</v>
      </c>
      <c r="F511" t="s">
        <v>8817</v>
      </c>
    </row>
    <row r="512" spans="1:6" x14ac:dyDescent="0.25">
      <c r="A512" t="s">
        <v>2136</v>
      </c>
      <c r="B512" t="s">
        <v>1168</v>
      </c>
      <c r="C512">
        <v>2020</v>
      </c>
      <c r="E512" t="s">
        <v>3013</v>
      </c>
    </row>
    <row r="513" spans="1:6" x14ac:dyDescent="0.25">
      <c r="A513" t="s">
        <v>256</v>
      </c>
      <c r="B513" t="s">
        <v>1171</v>
      </c>
      <c r="C513">
        <v>1994</v>
      </c>
      <c r="E513" s="10" t="s">
        <v>8451</v>
      </c>
      <c r="F513" t="s">
        <v>8452</v>
      </c>
    </row>
    <row r="514" spans="1:6" x14ac:dyDescent="0.25">
      <c r="A514" t="s">
        <v>1284</v>
      </c>
      <c r="B514" t="s">
        <v>1171</v>
      </c>
      <c r="C514">
        <v>1984</v>
      </c>
      <c r="E514" t="s">
        <v>3222</v>
      </c>
      <c r="F514" t="s">
        <v>8798</v>
      </c>
    </row>
    <row r="515" spans="1:6" x14ac:dyDescent="0.25">
      <c r="A515" t="s">
        <v>1171</v>
      </c>
      <c r="B515" t="s">
        <v>1174</v>
      </c>
      <c r="C515">
        <v>2002</v>
      </c>
      <c r="D515" t="s">
        <v>187</v>
      </c>
    </row>
    <row r="516" spans="1:6" x14ac:dyDescent="0.25">
      <c r="A516" t="s">
        <v>256</v>
      </c>
      <c r="B516" t="s">
        <v>1177</v>
      </c>
      <c r="C516">
        <v>1994</v>
      </c>
      <c r="E516" t="s">
        <v>2990</v>
      </c>
      <c r="F516" t="s">
        <v>8475</v>
      </c>
    </row>
    <row r="517" spans="1:6" x14ac:dyDescent="0.25">
      <c r="A517" t="s">
        <v>1174</v>
      </c>
      <c r="B517" t="s">
        <v>1177</v>
      </c>
      <c r="C517">
        <v>2007</v>
      </c>
      <c r="D517" t="s">
        <v>187</v>
      </c>
    </row>
    <row r="518" spans="1:6" x14ac:dyDescent="0.25">
      <c r="A518" t="s">
        <v>1284</v>
      </c>
      <c r="B518" t="s">
        <v>1177</v>
      </c>
      <c r="C518">
        <v>1984</v>
      </c>
      <c r="E518" t="s">
        <v>2990</v>
      </c>
      <c r="F518" t="s">
        <v>8799</v>
      </c>
    </row>
    <row r="519" spans="1:6" x14ac:dyDescent="0.25">
      <c r="A519" t="s">
        <v>2804</v>
      </c>
      <c r="B519" t="s">
        <v>1180</v>
      </c>
      <c r="C519">
        <v>2021</v>
      </c>
      <c r="E519" t="s">
        <v>2982</v>
      </c>
      <c r="F519" t="s">
        <v>9350</v>
      </c>
    </row>
    <row r="520" spans="1:6" x14ac:dyDescent="0.25">
      <c r="A520" t="s">
        <v>1180</v>
      </c>
      <c r="B520" t="s">
        <v>1184</v>
      </c>
      <c r="C520">
        <v>2024</v>
      </c>
      <c r="D520" t="s">
        <v>187</v>
      </c>
    </row>
    <row r="521" spans="1:6" x14ac:dyDescent="0.25">
      <c r="A521" t="s">
        <v>1187</v>
      </c>
      <c r="B521" t="s">
        <v>1191</v>
      </c>
      <c r="C521">
        <v>2020</v>
      </c>
      <c r="D521" t="s">
        <v>187</v>
      </c>
    </row>
    <row r="522" spans="1:6" x14ac:dyDescent="0.25">
      <c r="A522" t="s">
        <v>353</v>
      </c>
      <c r="B522" t="s">
        <v>1195</v>
      </c>
      <c r="C522">
        <v>2023</v>
      </c>
      <c r="E522" s="10" t="s">
        <v>8439</v>
      </c>
      <c r="F522" t="s">
        <v>8526</v>
      </c>
    </row>
    <row r="523" spans="1:6" x14ac:dyDescent="0.25">
      <c r="A523" t="s">
        <v>2804</v>
      </c>
      <c r="B523" t="s">
        <v>1195</v>
      </c>
      <c r="C523">
        <v>2021</v>
      </c>
      <c r="E523" t="s">
        <v>3429</v>
      </c>
      <c r="F523" t="s">
        <v>9351</v>
      </c>
    </row>
    <row r="524" spans="1:6" x14ac:dyDescent="0.25">
      <c r="A524" t="s">
        <v>1795</v>
      </c>
      <c r="B524" t="s">
        <v>1197</v>
      </c>
      <c r="C524">
        <v>1987</v>
      </c>
      <c r="E524" t="s">
        <v>3281</v>
      </c>
    </row>
    <row r="525" spans="1:6" x14ac:dyDescent="0.25">
      <c r="A525" t="s">
        <v>497</v>
      </c>
      <c r="B525" t="s">
        <v>1201</v>
      </c>
      <c r="C525">
        <v>2022</v>
      </c>
      <c r="E525" s="10" t="s">
        <v>8430</v>
      </c>
      <c r="F525" t="s">
        <v>9429</v>
      </c>
    </row>
    <row r="526" spans="1:6" x14ac:dyDescent="0.25">
      <c r="A526" t="s">
        <v>1549</v>
      </c>
      <c r="B526" t="s">
        <v>1201</v>
      </c>
      <c r="C526">
        <v>2021</v>
      </c>
      <c r="E526" s="10" t="s">
        <v>8430</v>
      </c>
      <c r="F526" t="s">
        <v>9430</v>
      </c>
    </row>
    <row r="527" spans="1:6" x14ac:dyDescent="0.25">
      <c r="A527" t="s">
        <v>2698</v>
      </c>
      <c r="B527" t="s">
        <v>1201</v>
      </c>
      <c r="C527">
        <v>2022</v>
      </c>
      <c r="E527" s="10" t="s">
        <v>8430</v>
      </c>
      <c r="F527" t="s">
        <v>9431</v>
      </c>
    </row>
    <row r="528" spans="1:6" x14ac:dyDescent="0.25">
      <c r="A528" t="s">
        <v>346</v>
      </c>
      <c r="B528" t="s">
        <v>1211</v>
      </c>
      <c r="C528">
        <v>2022</v>
      </c>
      <c r="E528" s="10" t="s">
        <v>8374</v>
      </c>
      <c r="F528" t="s">
        <v>8506</v>
      </c>
    </row>
    <row r="529" spans="1:6" x14ac:dyDescent="0.25">
      <c r="A529" t="s">
        <v>847</v>
      </c>
      <c r="B529" t="s">
        <v>1211</v>
      </c>
      <c r="C529">
        <v>1996</v>
      </c>
      <c r="E529" s="10" t="s">
        <v>8375</v>
      </c>
      <c r="F529" t="s">
        <v>8670</v>
      </c>
    </row>
    <row r="530" spans="1:6" x14ac:dyDescent="0.25">
      <c r="A530" t="s">
        <v>2804</v>
      </c>
      <c r="B530" t="s">
        <v>1211</v>
      </c>
      <c r="C530">
        <v>2021</v>
      </c>
      <c r="E530" t="s">
        <v>3013</v>
      </c>
    </row>
    <row r="531" spans="1:6" x14ac:dyDescent="0.25">
      <c r="A531" t="s">
        <v>1046</v>
      </c>
      <c r="B531" t="s">
        <v>1219</v>
      </c>
      <c r="C531">
        <v>2016</v>
      </c>
      <c r="E531" t="s">
        <v>2982</v>
      </c>
      <c r="F531" t="s">
        <v>8739</v>
      </c>
    </row>
    <row r="532" spans="1:6" x14ac:dyDescent="0.25">
      <c r="A532" t="s">
        <v>1294</v>
      </c>
      <c r="B532" t="s">
        <v>1219</v>
      </c>
      <c r="C532">
        <v>2019</v>
      </c>
      <c r="E532" t="s">
        <v>2982</v>
      </c>
      <c r="F532" t="s">
        <v>8818</v>
      </c>
    </row>
    <row r="533" spans="1:6" x14ac:dyDescent="0.25">
      <c r="A533" t="s">
        <v>2428</v>
      </c>
      <c r="B533" t="s">
        <v>1219</v>
      </c>
      <c r="C533">
        <v>2008</v>
      </c>
      <c r="E533" t="s">
        <v>2982</v>
      </c>
      <c r="F533" t="s">
        <v>9226</v>
      </c>
    </row>
    <row r="534" spans="1:6" x14ac:dyDescent="0.25">
      <c r="A534" t="s">
        <v>160</v>
      </c>
      <c r="B534" t="s">
        <v>1219</v>
      </c>
      <c r="C534">
        <v>2011</v>
      </c>
      <c r="E534" t="s">
        <v>2982</v>
      </c>
      <c r="F534" t="s">
        <v>9291</v>
      </c>
    </row>
    <row r="535" spans="1:6" x14ac:dyDescent="0.25">
      <c r="A535" t="s">
        <v>964</v>
      </c>
      <c r="B535" t="s">
        <v>1223</v>
      </c>
      <c r="C535">
        <v>2006</v>
      </c>
      <c r="E535" t="s">
        <v>2982</v>
      </c>
      <c r="F535" t="s">
        <v>8715</v>
      </c>
    </row>
    <row r="536" spans="1:6" x14ac:dyDescent="0.25">
      <c r="A536" t="s">
        <v>2154</v>
      </c>
      <c r="B536" t="s">
        <v>1227</v>
      </c>
      <c r="C536">
        <v>1980</v>
      </c>
      <c r="E536" t="s">
        <v>3325</v>
      </c>
      <c r="F536" t="s">
        <v>9048</v>
      </c>
    </row>
    <row r="537" spans="1:6" x14ac:dyDescent="0.25">
      <c r="A537" t="s">
        <v>160</v>
      </c>
      <c r="B537" t="s">
        <v>1227</v>
      </c>
      <c r="C537">
        <v>2011</v>
      </c>
      <c r="E537" t="s">
        <v>3325</v>
      </c>
      <c r="F537" t="s">
        <v>9292</v>
      </c>
    </row>
    <row r="538" spans="1:6" x14ac:dyDescent="0.25">
      <c r="A538" t="s">
        <v>90</v>
      </c>
      <c r="B538" t="s">
        <v>1231</v>
      </c>
      <c r="C538">
        <v>2022</v>
      </c>
      <c r="E538" t="s">
        <v>3361</v>
      </c>
    </row>
    <row r="539" spans="1:6" x14ac:dyDescent="0.25">
      <c r="A539" t="s">
        <v>930</v>
      </c>
      <c r="B539" t="s">
        <v>1235</v>
      </c>
      <c r="C539">
        <v>2015</v>
      </c>
      <c r="E539" t="s">
        <v>3156</v>
      </c>
      <c r="F539" t="s">
        <v>8704</v>
      </c>
    </row>
    <row r="540" spans="1:6" x14ac:dyDescent="0.25">
      <c r="A540" t="s">
        <v>1855</v>
      </c>
      <c r="B540" t="s">
        <v>1235</v>
      </c>
      <c r="C540">
        <v>2015</v>
      </c>
      <c r="E540" t="s">
        <v>3301</v>
      </c>
      <c r="F540" t="s">
        <v>8984</v>
      </c>
    </row>
    <row r="541" spans="1:6" x14ac:dyDescent="0.25">
      <c r="A541" t="s">
        <v>2428</v>
      </c>
      <c r="B541" t="s">
        <v>1235</v>
      </c>
      <c r="C541">
        <v>2008</v>
      </c>
      <c r="E541" t="s">
        <v>3301</v>
      </c>
      <c r="F541" t="s">
        <v>9227</v>
      </c>
    </row>
    <row r="542" spans="1:6" x14ac:dyDescent="0.25">
      <c r="A542" t="s">
        <v>2518</v>
      </c>
      <c r="B542" t="s">
        <v>1235</v>
      </c>
      <c r="C542">
        <v>2013</v>
      </c>
      <c r="E542" t="s">
        <v>3301</v>
      </c>
      <c r="F542" t="s">
        <v>9260</v>
      </c>
    </row>
    <row r="543" spans="1:6" x14ac:dyDescent="0.25">
      <c r="A543" t="s">
        <v>1235</v>
      </c>
      <c r="B543" t="s">
        <v>1239</v>
      </c>
      <c r="C543">
        <v>2026</v>
      </c>
      <c r="D543" t="s">
        <v>187</v>
      </c>
    </row>
    <row r="544" spans="1:6" x14ac:dyDescent="0.25">
      <c r="A544" t="s">
        <v>2804</v>
      </c>
      <c r="B544" t="s">
        <v>1243</v>
      </c>
      <c r="C544">
        <v>2021</v>
      </c>
      <c r="E544" t="s">
        <v>3013</v>
      </c>
    </row>
    <row r="545" spans="1:6" x14ac:dyDescent="0.25">
      <c r="A545" t="s">
        <v>746</v>
      </c>
      <c r="B545" t="s">
        <v>1245</v>
      </c>
      <c r="C545">
        <v>2015</v>
      </c>
      <c r="E545" s="10" t="s">
        <v>8431</v>
      </c>
      <c r="F545" t="s">
        <v>8616</v>
      </c>
    </row>
    <row r="546" spans="1:6" x14ac:dyDescent="0.25">
      <c r="A546" t="s">
        <v>847</v>
      </c>
      <c r="B546" t="s">
        <v>1245</v>
      </c>
      <c r="C546">
        <v>1996</v>
      </c>
      <c r="E546" s="10" t="s">
        <v>8431</v>
      </c>
      <c r="F546" t="s">
        <v>8671</v>
      </c>
    </row>
    <row r="547" spans="1:6" x14ac:dyDescent="0.25">
      <c r="A547" t="s">
        <v>90</v>
      </c>
      <c r="B547" t="s">
        <v>1245</v>
      </c>
      <c r="C547">
        <v>2017</v>
      </c>
      <c r="E547" t="s">
        <v>3362</v>
      </c>
      <c r="F547" t="s">
        <v>9135</v>
      </c>
    </row>
    <row r="548" spans="1:6" x14ac:dyDescent="0.25">
      <c r="A548" t="s">
        <v>2804</v>
      </c>
      <c r="B548" t="s">
        <v>1251</v>
      </c>
      <c r="C548">
        <v>2021</v>
      </c>
      <c r="E548" t="s">
        <v>1254</v>
      </c>
      <c r="F548" t="s">
        <v>9352</v>
      </c>
    </row>
    <row r="549" spans="1:6" x14ac:dyDescent="0.25">
      <c r="A549" t="s">
        <v>90</v>
      </c>
      <c r="B549" t="s">
        <v>1255</v>
      </c>
      <c r="C549">
        <v>2017</v>
      </c>
      <c r="E549" t="s">
        <v>3363</v>
      </c>
    </row>
    <row r="550" spans="1:6" x14ac:dyDescent="0.25">
      <c r="A550" t="s">
        <v>689</v>
      </c>
      <c r="B550" t="s">
        <v>1259</v>
      </c>
      <c r="C550">
        <v>2015</v>
      </c>
      <c r="E550" t="s">
        <v>2982</v>
      </c>
      <c r="F550" t="s">
        <v>8595</v>
      </c>
    </row>
    <row r="551" spans="1:6" x14ac:dyDescent="0.25">
      <c r="A551" t="s">
        <v>1259</v>
      </c>
      <c r="B551" t="s">
        <v>1262</v>
      </c>
      <c r="C551">
        <v>2021</v>
      </c>
      <c r="D551" t="s">
        <v>187</v>
      </c>
    </row>
    <row r="552" spans="1:6" x14ac:dyDescent="0.25">
      <c r="A552" t="s">
        <v>1144</v>
      </c>
      <c r="B552" t="s">
        <v>1265</v>
      </c>
      <c r="C552">
        <v>2012</v>
      </c>
      <c r="E552" s="10" t="s">
        <v>8407</v>
      </c>
      <c r="F552" t="s">
        <v>8769</v>
      </c>
    </row>
    <row r="553" spans="1:6" x14ac:dyDescent="0.25">
      <c r="A553" t="s">
        <v>2428</v>
      </c>
      <c r="B553" t="s">
        <v>1265</v>
      </c>
      <c r="C553">
        <v>2008</v>
      </c>
      <c r="E553" s="10" t="s">
        <v>8407</v>
      </c>
      <c r="F553" t="s">
        <v>9228</v>
      </c>
    </row>
    <row r="554" spans="1:6" x14ac:dyDescent="0.25">
      <c r="A554" t="s">
        <v>1046</v>
      </c>
      <c r="B554" t="s">
        <v>1272</v>
      </c>
      <c r="C554">
        <v>2016</v>
      </c>
      <c r="E554" t="s">
        <v>3187</v>
      </c>
      <c r="F554" t="s">
        <v>8740</v>
      </c>
    </row>
    <row r="555" spans="1:6" x14ac:dyDescent="0.25">
      <c r="A555" t="s">
        <v>2804</v>
      </c>
      <c r="B555" t="s">
        <v>1276</v>
      </c>
      <c r="C555">
        <v>2021</v>
      </c>
      <c r="E555" t="s">
        <v>2982</v>
      </c>
      <c r="F555" t="s">
        <v>9353</v>
      </c>
    </row>
    <row r="556" spans="1:6" x14ac:dyDescent="0.25">
      <c r="A556" t="s">
        <v>1276</v>
      </c>
      <c r="B556" t="s">
        <v>1280</v>
      </c>
      <c r="C556">
        <v>2022</v>
      </c>
      <c r="D556" t="s">
        <v>187</v>
      </c>
    </row>
    <row r="557" spans="1:6" x14ac:dyDescent="0.25">
      <c r="A557" t="s">
        <v>1855</v>
      </c>
      <c r="B557" t="s">
        <v>7708</v>
      </c>
      <c r="C557">
        <v>2015</v>
      </c>
      <c r="E557" t="s">
        <v>7711</v>
      </c>
      <c r="F557" t="s">
        <v>8985</v>
      </c>
    </row>
    <row r="558" spans="1:6" x14ac:dyDescent="0.25">
      <c r="A558" t="s">
        <v>2154</v>
      </c>
      <c r="B558" t="s">
        <v>1284</v>
      </c>
      <c r="C558">
        <v>1980</v>
      </c>
    </row>
    <row r="559" spans="1:6" x14ac:dyDescent="0.25">
      <c r="A559" t="s">
        <v>2348</v>
      </c>
      <c r="B559" t="s">
        <v>1287</v>
      </c>
      <c r="C559">
        <v>2006</v>
      </c>
      <c r="E559" t="s">
        <v>3342</v>
      </c>
      <c r="F559" t="s">
        <v>9090</v>
      </c>
    </row>
    <row r="560" spans="1:6" x14ac:dyDescent="0.25">
      <c r="A560" t="s">
        <v>90</v>
      </c>
      <c r="B560" t="s">
        <v>1290</v>
      </c>
      <c r="C560">
        <v>2017</v>
      </c>
    </row>
    <row r="561" spans="1:6" x14ac:dyDescent="0.25">
      <c r="A561" t="s">
        <v>746</v>
      </c>
      <c r="B561" t="s">
        <v>1294</v>
      </c>
      <c r="C561">
        <v>2015</v>
      </c>
      <c r="E561" s="10" t="s">
        <v>8367</v>
      </c>
      <c r="F561" t="s">
        <v>8617</v>
      </c>
    </row>
    <row r="562" spans="1:6" x14ac:dyDescent="0.25">
      <c r="A562" t="s">
        <v>759</v>
      </c>
      <c r="B562" t="s">
        <v>1294</v>
      </c>
      <c r="C562">
        <v>2018</v>
      </c>
      <c r="E562" s="10" t="s">
        <v>8367</v>
      </c>
      <c r="F562" t="s">
        <v>8639</v>
      </c>
    </row>
    <row r="563" spans="1:6" x14ac:dyDescent="0.25">
      <c r="A563" t="s">
        <v>1046</v>
      </c>
      <c r="B563" t="s">
        <v>1294</v>
      </c>
      <c r="C563">
        <v>2016</v>
      </c>
      <c r="E563" s="10" t="s">
        <v>8367</v>
      </c>
      <c r="F563" t="s">
        <v>8741</v>
      </c>
    </row>
    <row r="564" spans="1:6" x14ac:dyDescent="0.25">
      <c r="A564" t="s">
        <v>2173</v>
      </c>
      <c r="B564" t="s">
        <v>1294</v>
      </c>
      <c r="C564">
        <v>2013</v>
      </c>
      <c r="E564" s="10" t="s">
        <v>8367</v>
      </c>
      <c r="F564" t="s">
        <v>9069</v>
      </c>
    </row>
    <row r="565" spans="1:6" x14ac:dyDescent="0.25">
      <c r="A565" t="s">
        <v>90</v>
      </c>
      <c r="B565" t="s">
        <v>1294</v>
      </c>
      <c r="C565">
        <v>2017</v>
      </c>
      <c r="E565" s="10" t="s">
        <v>8367</v>
      </c>
      <c r="F565" t="s">
        <v>9136</v>
      </c>
    </row>
    <row r="566" spans="1:6" x14ac:dyDescent="0.25">
      <c r="A566" t="s">
        <v>2428</v>
      </c>
      <c r="B566" t="s">
        <v>1294</v>
      </c>
      <c r="C566">
        <v>2008</v>
      </c>
      <c r="E566" s="10" t="s">
        <v>8367</v>
      </c>
      <c r="F566" t="s">
        <v>9229</v>
      </c>
    </row>
    <row r="567" spans="1:6" x14ac:dyDescent="0.25">
      <c r="A567" t="s">
        <v>160</v>
      </c>
      <c r="B567" t="s">
        <v>1294</v>
      </c>
      <c r="C567">
        <v>2011</v>
      </c>
      <c r="E567" s="10" t="s">
        <v>8367</v>
      </c>
      <c r="F567" t="s">
        <v>9293</v>
      </c>
    </row>
    <row r="568" spans="1:6" x14ac:dyDescent="0.25">
      <c r="A568" t="s">
        <v>2906</v>
      </c>
      <c r="B568" t="s">
        <v>1294</v>
      </c>
      <c r="C568">
        <v>2018</v>
      </c>
      <c r="E568" s="10" t="s">
        <v>8367</v>
      </c>
      <c r="F568" t="s">
        <v>9387</v>
      </c>
    </row>
    <row r="569" spans="1:6" x14ac:dyDescent="0.25">
      <c r="A569" t="s">
        <v>1294</v>
      </c>
      <c r="B569" t="s">
        <v>1298</v>
      </c>
      <c r="C569">
        <v>2019</v>
      </c>
      <c r="D569" t="s">
        <v>187</v>
      </c>
    </row>
    <row r="570" spans="1:6" x14ac:dyDescent="0.25">
      <c r="A570" t="s">
        <v>847</v>
      </c>
      <c r="B570" t="s">
        <v>1302</v>
      </c>
      <c r="C570">
        <v>1996</v>
      </c>
      <c r="E570" t="s">
        <v>3134</v>
      </c>
    </row>
    <row r="571" spans="1:6" x14ac:dyDescent="0.25">
      <c r="A571" t="s">
        <v>2804</v>
      </c>
      <c r="B571" t="s">
        <v>1302</v>
      </c>
      <c r="C571">
        <v>2021</v>
      </c>
      <c r="E571" t="s">
        <v>3013</v>
      </c>
    </row>
    <row r="572" spans="1:6" x14ac:dyDescent="0.25">
      <c r="A572" t="s">
        <v>1144</v>
      </c>
      <c r="B572" t="s">
        <v>1306</v>
      </c>
      <c r="C572">
        <v>2012</v>
      </c>
      <c r="E572" t="s">
        <v>3204</v>
      </c>
      <c r="F572" t="s">
        <v>9450</v>
      </c>
    </row>
    <row r="573" spans="1:6" x14ac:dyDescent="0.25">
      <c r="A573" t="s">
        <v>1306</v>
      </c>
      <c r="B573" t="s">
        <v>1310</v>
      </c>
      <c r="C573">
        <v>2014</v>
      </c>
      <c r="D573" t="s">
        <v>187</v>
      </c>
    </row>
    <row r="574" spans="1:6" x14ac:dyDescent="0.25">
      <c r="A574" t="s">
        <v>811</v>
      </c>
      <c r="B574" t="s">
        <v>1312</v>
      </c>
      <c r="C574">
        <v>2024</v>
      </c>
      <c r="E574" t="s">
        <v>2982</v>
      </c>
      <c r="F574" t="s">
        <v>8656</v>
      </c>
    </row>
    <row r="575" spans="1:6" x14ac:dyDescent="0.25">
      <c r="A575" t="s">
        <v>1306</v>
      </c>
      <c r="B575" t="s">
        <v>1312</v>
      </c>
      <c r="C575">
        <v>2014</v>
      </c>
      <c r="D575" t="s">
        <v>187</v>
      </c>
    </row>
    <row r="576" spans="1:6" x14ac:dyDescent="0.25">
      <c r="A576" t="s">
        <v>90</v>
      </c>
      <c r="B576" t="s">
        <v>7861</v>
      </c>
      <c r="C576">
        <v>2017</v>
      </c>
      <c r="E576" t="s">
        <v>7860</v>
      </c>
      <c r="F576" t="s">
        <v>9137</v>
      </c>
    </row>
    <row r="577" spans="1:6" x14ac:dyDescent="0.25">
      <c r="A577" t="s">
        <v>341</v>
      </c>
      <c r="B577" t="s">
        <v>1317</v>
      </c>
      <c r="C577">
        <v>1997</v>
      </c>
      <c r="E577" t="s">
        <v>3009</v>
      </c>
      <c r="F577" t="s">
        <v>9452</v>
      </c>
    </row>
    <row r="578" spans="1:6" x14ac:dyDescent="0.25">
      <c r="A578" t="s">
        <v>1795</v>
      </c>
      <c r="B578" t="s">
        <v>1317</v>
      </c>
      <c r="C578">
        <v>1987</v>
      </c>
      <c r="E578" t="s">
        <v>3282</v>
      </c>
      <c r="F578" t="s">
        <v>8949</v>
      </c>
    </row>
    <row r="579" spans="1:6" x14ac:dyDescent="0.25">
      <c r="A579" t="s">
        <v>1855</v>
      </c>
      <c r="B579" t="s">
        <v>1317</v>
      </c>
      <c r="C579">
        <v>2015</v>
      </c>
      <c r="E579" t="s">
        <v>3009</v>
      </c>
    </row>
    <row r="580" spans="1:6" x14ac:dyDescent="0.25">
      <c r="A580" t="s">
        <v>2023</v>
      </c>
      <c r="B580" t="s">
        <v>1317</v>
      </c>
      <c r="C580">
        <v>2003</v>
      </c>
      <c r="E580" t="s">
        <v>3309</v>
      </c>
      <c r="F580" t="s">
        <v>9451</v>
      </c>
    </row>
    <row r="581" spans="1:6" x14ac:dyDescent="0.25">
      <c r="A581" t="s">
        <v>1144</v>
      </c>
      <c r="B581" t="s">
        <v>1320</v>
      </c>
      <c r="C581">
        <v>2012</v>
      </c>
      <c r="E581" t="s">
        <v>3205</v>
      </c>
      <c r="F581" t="s">
        <v>8770</v>
      </c>
    </row>
    <row r="582" spans="1:6" x14ac:dyDescent="0.25">
      <c r="A582" t="s">
        <v>160</v>
      </c>
      <c r="B582" t="s">
        <v>1320</v>
      </c>
      <c r="C582">
        <v>2011</v>
      </c>
      <c r="E582" t="s">
        <v>3205</v>
      </c>
      <c r="F582" t="s">
        <v>9294</v>
      </c>
    </row>
    <row r="583" spans="1:6" x14ac:dyDescent="0.25">
      <c r="A583" t="s">
        <v>1294</v>
      </c>
      <c r="B583" t="s">
        <v>1326</v>
      </c>
      <c r="C583">
        <v>2019</v>
      </c>
      <c r="E583" t="s">
        <v>3228</v>
      </c>
    </row>
    <row r="584" spans="1:6" x14ac:dyDescent="0.25">
      <c r="A584" t="s">
        <v>344</v>
      </c>
      <c r="B584" t="s">
        <v>1330</v>
      </c>
      <c r="C584">
        <v>2023</v>
      </c>
      <c r="E584" t="s">
        <v>2982</v>
      </c>
      <c r="F584" t="s">
        <v>8497</v>
      </c>
    </row>
    <row r="585" spans="1:6" x14ac:dyDescent="0.25">
      <c r="A585" t="s">
        <v>1144</v>
      </c>
      <c r="B585" t="s">
        <v>1334</v>
      </c>
      <c r="C585">
        <v>2012</v>
      </c>
      <c r="E585" s="10" t="s">
        <v>8460</v>
      </c>
      <c r="F585" t="s">
        <v>8459</v>
      </c>
    </row>
    <row r="586" spans="1:6" x14ac:dyDescent="0.25">
      <c r="A586" t="s">
        <v>1144</v>
      </c>
      <c r="B586" t="s">
        <v>1336</v>
      </c>
      <c r="C586">
        <v>2012</v>
      </c>
      <c r="E586" s="10" t="s">
        <v>8362</v>
      </c>
      <c r="F586" t="s">
        <v>8771</v>
      </c>
    </row>
    <row r="587" spans="1:6" x14ac:dyDescent="0.25">
      <c r="A587" t="s">
        <v>2428</v>
      </c>
      <c r="B587" t="s">
        <v>1340</v>
      </c>
      <c r="C587">
        <v>2008</v>
      </c>
      <c r="E587" s="10" t="s">
        <v>8432</v>
      </c>
      <c r="F587" t="s">
        <v>9230</v>
      </c>
    </row>
    <row r="588" spans="1:6" x14ac:dyDescent="0.25">
      <c r="A588" t="s">
        <v>746</v>
      </c>
      <c r="B588" t="s">
        <v>1344</v>
      </c>
      <c r="C588">
        <v>2015</v>
      </c>
      <c r="E588" t="s">
        <v>3103</v>
      </c>
    </row>
    <row r="589" spans="1:6" x14ac:dyDescent="0.25">
      <c r="A589" t="s">
        <v>847</v>
      </c>
      <c r="B589" t="s">
        <v>1344</v>
      </c>
      <c r="C589">
        <v>1996</v>
      </c>
      <c r="E589" t="s">
        <v>3135</v>
      </c>
      <c r="F589" t="s">
        <v>8672</v>
      </c>
    </row>
    <row r="590" spans="1:6" x14ac:dyDescent="0.25">
      <c r="A590" t="s">
        <v>1294</v>
      </c>
      <c r="B590" t="s">
        <v>1344</v>
      </c>
      <c r="C590">
        <v>2019</v>
      </c>
      <c r="E590" t="s">
        <v>3103</v>
      </c>
    </row>
    <row r="591" spans="1:6" x14ac:dyDescent="0.25">
      <c r="A591" t="s">
        <v>1294</v>
      </c>
      <c r="B591" t="s">
        <v>1348</v>
      </c>
      <c r="C591">
        <v>2019</v>
      </c>
      <c r="E591" t="s">
        <v>3229</v>
      </c>
      <c r="F591" t="s">
        <v>8819</v>
      </c>
    </row>
    <row r="592" spans="1:6" x14ac:dyDescent="0.25">
      <c r="A592" t="s">
        <v>1302</v>
      </c>
      <c r="B592" t="s">
        <v>1348</v>
      </c>
      <c r="C592">
        <v>2023</v>
      </c>
      <c r="E592" t="s">
        <v>3240</v>
      </c>
      <c r="F592" t="s">
        <v>8841</v>
      </c>
    </row>
    <row r="593" spans="1:6" x14ac:dyDescent="0.25">
      <c r="A593" t="s">
        <v>90</v>
      </c>
      <c r="B593" t="s">
        <v>1348</v>
      </c>
      <c r="C593">
        <v>2017</v>
      </c>
      <c r="E593" t="s">
        <v>3364</v>
      </c>
      <c r="F593" t="s">
        <v>9138</v>
      </c>
    </row>
    <row r="594" spans="1:6" x14ac:dyDescent="0.25">
      <c r="A594" t="s">
        <v>2804</v>
      </c>
      <c r="B594" t="s">
        <v>1348</v>
      </c>
      <c r="C594">
        <v>2021</v>
      </c>
      <c r="E594" t="s">
        <v>3240</v>
      </c>
      <c r="F594" t="s">
        <v>9354</v>
      </c>
    </row>
    <row r="595" spans="1:6" x14ac:dyDescent="0.25">
      <c r="A595" t="s">
        <v>2878</v>
      </c>
      <c r="B595" t="s">
        <v>1351</v>
      </c>
      <c r="C595">
        <v>2020</v>
      </c>
      <c r="D595" t="s">
        <v>187</v>
      </c>
    </row>
    <row r="596" spans="1:6" x14ac:dyDescent="0.25">
      <c r="A596" t="s">
        <v>462</v>
      </c>
      <c r="B596" t="s">
        <v>1353</v>
      </c>
      <c r="C596">
        <v>2018</v>
      </c>
      <c r="D596" t="s">
        <v>187</v>
      </c>
      <c r="E596" t="s">
        <v>3057</v>
      </c>
      <c r="F596" t="s">
        <v>8555</v>
      </c>
    </row>
    <row r="597" spans="1:6" x14ac:dyDescent="0.25">
      <c r="A597" t="s">
        <v>90</v>
      </c>
      <c r="B597" t="s">
        <v>1353</v>
      </c>
      <c r="C597">
        <v>2017</v>
      </c>
      <c r="E597" t="s">
        <v>3057</v>
      </c>
      <c r="F597" t="s">
        <v>9139</v>
      </c>
    </row>
    <row r="598" spans="1:6" x14ac:dyDescent="0.25">
      <c r="A598" t="s">
        <v>1294</v>
      </c>
      <c r="B598" t="s">
        <v>1357</v>
      </c>
      <c r="C598">
        <v>2019</v>
      </c>
      <c r="E598" t="s">
        <v>3230</v>
      </c>
    </row>
    <row r="599" spans="1:6" x14ac:dyDescent="0.25">
      <c r="A599" t="s">
        <v>497</v>
      </c>
      <c r="B599" t="s">
        <v>1361</v>
      </c>
      <c r="C599">
        <v>2022</v>
      </c>
      <c r="E599" t="s">
        <v>3067</v>
      </c>
      <c r="F599" t="s">
        <v>8568</v>
      </c>
    </row>
    <row r="600" spans="1:6" x14ac:dyDescent="0.25">
      <c r="A600" t="s">
        <v>2804</v>
      </c>
      <c r="B600" t="s">
        <v>1361</v>
      </c>
      <c r="C600">
        <v>2021</v>
      </c>
      <c r="E600" t="s">
        <v>3013</v>
      </c>
    </row>
    <row r="601" spans="1:6" x14ac:dyDescent="0.25">
      <c r="A601" t="s">
        <v>1365</v>
      </c>
      <c r="B601" t="s">
        <v>1369</v>
      </c>
      <c r="C601">
        <v>2018</v>
      </c>
      <c r="D601" t="s">
        <v>187</v>
      </c>
    </row>
    <row r="602" spans="1:6" x14ac:dyDescent="0.25">
      <c r="A602" t="s">
        <v>571</v>
      </c>
      <c r="B602" t="s">
        <v>1373</v>
      </c>
      <c r="C602">
        <v>2022</v>
      </c>
      <c r="D602" t="s">
        <v>187</v>
      </c>
    </row>
    <row r="603" spans="1:6" x14ac:dyDescent="0.25">
      <c r="A603" t="s">
        <v>464</v>
      </c>
      <c r="B603" t="s">
        <v>1376</v>
      </c>
      <c r="C603">
        <v>2022</v>
      </c>
      <c r="D603" t="s">
        <v>187</v>
      </c>
    </row>
    <row r="604" spans="1:6" x14ac:dyDescent="0.25">
      <c r="A604" t="s">
        <v>90</v>
      </c>
      <c r="B604" t="s">
        <v>1376</v>
      </c>
      <c r="C604">
        <v>2017</v>
      </c>
      <c r="E604" t="s">
        <v>2982</v>
      </c>
    </row>
    <row r="605" spans="1:6" x14ac:dyDescent="0.25">
      <c r="A605" t="s">
        <v>1592</v>
      </c>
      <c r="B605" t="s">
        <v>1378</v>
      </c>
      <c r="C605">
        <v>2019</v>
      </c>
      <c r="E605" s="10" t="s">
        <v>1381</v>
      </c>
      <c r="F605" t="s">
        <v>8913</v>
      </c>
    </row>
    <row r="606" spans="1:6" x14ac:dyDescent="0.25">
      <c r="A606" t="s">
        <v>2804</v>
      </c>
      <c r="B606" t="s">
        <v>1378</v>
      </c>
      <c r="C606">
        <v>2021</v>
      </c>
      <c r="E606" s="10" t="s">
        <v>1381</v>
      </c>
      <c r="F606" t="s">
        <v>9355</v>
      </c>
    </row>
    <row r="607" spans="1:6" x14ac:dyDescent="0.25">
      <c r="A607" t="s">
        <v>2721</v>
      </c>
      <c r="B607" t="s">
        <v>1382</v>
      </c>
      <c r="C607">
        <v>1993</v>
      </c>
      <c r="E607" t="s">
        <v>3013</v>
      </c>
    </row>
    <row r="608" spans="1:6" x14ac:dyDescent="0.25">
      <c r="A608" t="s">
        <v>1761</v>
      </c>
      <c r="B608" t="s">
        <v>1388</v>
      </c>
      <c r="C608">
        <v>1995</v>
      </c>
      <c r="E608" t="s">
        <v>3273</v>
      </c>
      <c r="F608" t="s">
        <v>8938</v>
      </c>
    </row>
    <row r="609" spans="1:6" x14ac:dyDescent="0.25">
      <c r="A609" t="s">
        <v>2721</v>
      </c>
      <c r="B609" t="s">
        <v>1388</v>
      </c>
      <c r="C609">
        <v>1993</v>
      </c>
      <c r="E609" t="s">
        <v>3273</v>
      </c>
      <c r="F609" t="s">
        <v>9336</v>
      </c>
    </row>
    <row r="610" spans="1:6" x14ac:dyDescent="0.25">
      <c r="A610" t="s">
        <v>353</v>
      </c>
      <c r="B610" t="s">
        <v>1391</v>
      </c>
      <c r="C610">
        <v>2023</v>
      </c>
      <c r="E610" t="s">
        <v>3031</v>
      </c>
      <c r="F610" t="s">
        <v>8527</v>
      </c>
    </row>
    <row r="611" spans="1:6" x14ac:dyDescent="0.25">
      <c r="A611" t="s">
        <v>497</v>
      </c>
      <c r="B611" t="s">
        <v>1391</v>
      </c>
      <c r="C611">
        <v>2022</v>
      </c>
      <c r="E611" t="s">
        <v>2982</v>
      </c>
      <c r="F611" t="s">
        <v>8569</v>
      </c>
    </row>
    <row r="612" spans="1:6" x14ac:dyDescent="0.25">
      <c r="A612" t="s">
        <v>353</v>
      </c>
      <c r="B612" t="s">
        <v>1394</v>
      </c>
      <c r="C612">
        <v>2023</v>
      </c>
      <c r="E612" t="s">
        <v>3032</v>
      </c>
      <c r="F612" t="s">
        <v>9396</v>
      </c>
    </row>
    <row r="613" spans="1:6" x14ac:dyDescent="0.25">
      <c r="A613" t="s">
        <v>918</v>
      </c>
      <c r="B613" t="s">
        <v>1394</v>
      </c>
      <c r="C613">
        <v>2014</v>
      </c>
      <c r="E613" t="s">
        <v>3032</v>
      </c>
      <c r="F613" t="s">
        <v>9416</v>
      </c>
    </row>
    <row r="614" spans="1:6" x14ac:dyDescent="0.25">
      <c r="A614" t="s">
        <v>90</v>
      </c>
      <c r="B614" t="s">
        <v>1394</v>
      </c>
      <c r="C614">
        <v>2017</v>
      </c>
      <c r="E614" t="s">
        <v>3032</v>
      </c>
      <c r="F614" t="s">
        <v>9397</v>
      </c>
    </row>
    <row r="615" spans="1:6" x14ac:dyDescent="0.25">
      <c r="A615" t="s">
        <v>2890</v>
      </c>
      <c r="B615" t="s">
        <v>1394</v>
      </c>
      <c r="C615">
        <v>2023</v>
      </c>
      <c r="E615" s="10" t="s">
        <v>3032</v>
      </c>
      <c r="F615" t="s">
        <v>9395</v>
      </c>
    </row>
    <row r="616" spans="1:6" x14ac:dyDescent="0.25">
      <c r="A616" t="s">
        <v>2804</v>
      </c>
      <c r="B616" t="s">
        <v>1396</v>
      </c>
      <c r="C616">
        <v>2021</v>
      </c>
      <c r="E616" t="s">
        <v>3013</v>
      </c>
    </row>
    <row r="617" spans="1:6" x14ac:dyDescent="0.25">
      <c r="A617" t="s">
        <v>256</v>
      </c>
      <c r="B617" t="s">
        <v>1400</v>
      </c>
      <c r="C617">
        <v>1994</v>
      </c>
      <c r="E617" t="s">
        <v>2991</v>
      </c>
      <c r="F617" t="s">
        <v>8476</v>
      </c>
    </row>
    <row r="618" spans="1:6" x14ac:dyDescent="0.25">
      <c r="A618" t="s">
        <v>689</v>
      </c>
      <c r="B618" t="s">
        <v>1400</v>
      </c>
      <c r="C618">
        <v>2015</v>
      </c>
      <c r="E618" t="s">
        <v>2991</v>
      </c>
      <c r="F618" t="s">
        <v>8596</v>
      </c>
    </row>
    <row r="619" spans="1:6" x14ac:dyDescent="0.25">
      <c r="A619" t="s">
        <v>1385</v>
      </c>
      <c r="B619" t="s">
        <v>1400</v>
      </c>
      <c r="C619">
        <v>2013</v>
      </c>
      <c r="E619" t="s">
        <v>2991</v>
      </c>
      <c r="F619" t="s">
        <v>8848</v>
      </c>
    </row>
    <row r="620" spans="1:6" x14ac:dyDescent="0.25">
      <c r="A620" t="s">
        <v>1795</v>
      </c>
      <c r="B620" t="s">
        <v>1400</v>
      </c>
      <c r="C620">
        <v>1987</v>
      </c>
      <c r="E620" t="s">
        <v>2991</v>
      </c>
      <c r="F620" t="s">
        <v>8950</v>
      </c>
    </row>
    <row r="621" spans="1:6" x14ac:dyDescent="0.25">
      <c r="A621" t="s">
        <v>2053</v>
      </c>
      <c r="B621" t="s">
        <v>1400</v>
      </c>
      <c r="C621">
        <v>1992</v>
      </c>
      <c r="E621" t="s">
        <v>2991</v>
      </c>
      <c r="F621" t="s">
        <v>9010</v>
      </c>
    </row>
    <row r="622" spans="1:6" x14ac:dyDescent="0.25">
      <c r="A622" t="s">
        <v>2154</v>
      </c>
      <c r="B622" t="s">
        <v>1400</v>
      </c>
      <c r="C622">
        <v>1980</v>
      </c>
      <c r="E622" t="s">
        <v>2991</v>
      </c>
      <c r="F622" t="s">
        <v>9049</v>
      </c>
    </row>
    <row r="623" spans="1:6" x14ac:dyDescent="0.25">
      <c r="A623" t="s">
        <v>2804</v>
      </c>
      <c r="B623" t="s">
        <v>1403</v>
      </c>
      <c r="C623">
        <v>2021</v>
      </c>
      <c r="E623" t="s">
        <v>3013</v>
      </c>
    </row>
    <row r="624" spans="1:6" x14ac:dyDescent="0.25">
      <c r="A624" t="s">
        <v>836</v>
      </c>
      <c r="B624" t="s">
        <v>1407</v>
      </c>
      <c r="C624">
        <v>2010</v>
      </c>
      <c r="E624" s="10" t="s">
        <v>9426</v>
      </c>
      <c r="F624" t="s">
        <v>9425</v>
      </c>
    </row>
    <row r="625" spans="1:6" x14ac:dyDescent="0.25">
      <c r="A625" t="s">
        <v>994</v>
      </c>
      <c r="B625" t="s">
        <v>1407</v>
      </c>
      <c r="C625">
        <v>2011</v>
      </c>
      <c r="E625" t="s">
        <v>3170</v>
      </c>
      <c r="F625" t="s">
        <v>8720</v>
      </c>
    </row>
    <row r="626" spans="1:6" x14ac:dyDescent="0.25">
      <c r="A626" t="s">
        <v>1572</v>
      </c>
      <c r="B626" t="s">
        <v>1407</v>
      </c>
      <c r="C626">
        <v>2001</v>
      </c>
      <c r="E626" t="s">
        <v>3170</v>
      </c>
      <c r="F626" t="s">
        <v>8891</v>
      </c>
    </row>
    <row r="627" spans="1:6" x14ac:dyDescent="0.25">
      <c r="A627" t="s">
        <v>2804</v>
      </c>
      <c r="B627" t="s">
        <v>1409</v>
      </c>
      <c r="C627">
        <v>2021</v>
      </c>
      <c r="E627" t="s">
        <v>3430</v>
      </c>
    </row>
    <row r="628" spans="1:6" x14ac:dyDescent="0.25">
      <c r="A628" t="s">
        <v>1046</v>
      </c>
      <c r="B628" t="s">
        <v>1413</v>
      </c>
      <c r="C628">
        <v>2016</v>
      </c>
      <c r="E628" s="10" t="s">
        <v>8416</v>
      </c>
      <c r="F628" t="s">
        <v>8742</v>
      </c>
    </row>
    <row r="629" spans="1:6" x14ac:dyDescent="0.25">
      <c r="A629" t="s">
        <v>2173</v>
      </c>
      <c r="B629" t="s">
        <v>1413</v>
      </c>
      <c r="C629">
        <v>2013</v>
      </c>
      <c r="E629" t="s">
        <v>3335</v>
      </c>
      <c r="F629" t="s">
        <v>9070</v>
      </c>
    </row>
    <row r="630" spans="1:6" x14ac:dyDescent="0.25">
      <c r="A630" t="s">
        <v>2428</v>
      </c>
      <c r="B630" t="s">
        <v>1413</v>
      </c>
      <c r="C630">
        <v>2008</v>
      </c>
      <c r="E630" s="10" t="s">
        <v>8416</v>
      </c>
      <c r="F630" t="s">
        <v>9231</v>
      </c>
    </row>
    <row r="631" spans="1:6" x14ac:dyDescent="0.25">
      <c r="A631" t="s">
        <v>2954</v>
      </c>
      <c r="B631" t="s">
        <v>1413</v>
      </c>
      <c r="C631">
        <v>2014</v>
      </c>
      <c r="E631" s="10" t="s">
        <v>8415</v>
      </c>
      <c r="F631" t="s">
        <v>9392</v>
      </c>
    </row>
    <row r="632" spans="1:6" x14ac:dyDescent="0.25">
      <c r="A632" t="s">
        <v>2132</v>
      </c>
      <c r="B632" t="s">
        <v>1417</v>
      </c>
      <c r="C632">
        <v>2013</v>
      </c>
      <c r="E632" t="s">
        <v>3314</v>
      </c>
      <c r="F632" t="s">
        <v>9021</v>
      </c>
    </row>
    <row r="633" spans="1:6" x14ac:dyDescent="0.25">
      <c r="A633" t="s">
        <v>256</v>
      </c>
      <c r="B633" t="s">
        <v>1420</v>
      </c>
      <c r="C633">
        <v>1994</v>
      </c>
      <c r="E633" t="s">
        <v>2992</v>
      </c>
    </row>
    <row r="634" spans="1:6" x14ac:dyDescent="0.25">
      <c r="A634" t="s">
        <v>260</v>
      </c>
      <c r="B634" t="s">
        <v>1420</v>
      </c>
      <c r="C634">
        <v>1990</v>
      </c>
      <c r="E634" t="s">
        <v>2992</v>
      </c>
    </row>
    <row r="635" spans="1:6" x14ac:dyDescent="0.25">
      <c r="A635" t="s">
        <v>1795</v>
      </c>
      <c r="B635" t="s">
        <v>1420</v>
      </c>
      <c r="C635">
        <v>1987</v>
      </c>
      <c r="E635" t="s">
        <v>2992</v>
      </c>
    </row>
    <row r="636" spans="1:6" x14ac:dyDescent="0.25">
      <c r="A636" t="s">
        <v>1882</v>
      </c>
      <c r="B636" t="s">
        <v>1420</v>
      </c>
      <c r="C636">
        <v>1987</v>
      </c>
      <c r="E636" t="s">
        <v>2992</v>
      </c>
    </row>
    <row r="637" spans="1:6" x14ac:dyDescent="0.25">
      <c r="A637" t="s">
        <v>2571</v>
      </c>
      <c r="B637" t="s">
        <v>1420</v>
      </c>
      <c r="C637">
        <v>1998</v>
      </c>
      <c r="E637" t="s">
        <v>2992</v>
      </c>
    </row>
    <row r="638" spans="1:6" x14ac:dyDescent="0.25">
      <c r="A638" t="s">
        <v>2874</v>
      </c>
      <c r="B638" t="s">
        <v>1423</v>
      </c>
      <c r="C638">
        <v>2005</v>
      </c>
      <c r="D638" t="s">
        <v>187</v>
      </c>
    </row>
    <row r="639" spans="1:6" x14ac:dyDescent="0.25">
      <c r="A639" t="s">
        <v>260</v>
      </c>
      <c r="B639" t="s">
        <v>1425</v>
      </c>
      <c r="C639">
        <v>1990</v>
      </c>
      <c r="E639" t="s">
        <v>2982</v>
      </c>
      <c r="F639" t="s">
        <v>9453</v>
      </c>
    </row>
    <row r="640" spans="1:6" x14ac:dyDescent="0.25">
      <c r="A640" t="s">
        <v>922</v>
      </c>
      <c r="B640" t="s">
        <v>1425</v>
      </c>
      <c r="C640">
        <v>2002</v>
      </c>
      <c r="E640" t="s">
        <v>2982</v>
      </c>
      <c r="F640" t="s">
        <v>8698</v>
      </c>
    </row>
    <row r="641" spans="1:6" x14ac:dyDescent="0.25">
      <c r="A641" t="s">
        <v>2154</v>
      </c>
      <c r="B641" t="s">
        <v>1425</v>
      </c>
      <c r="C641">
        <v>1980</v>
      </c>
      <c r="E641" t="s">
        <v>2982</v>
      </c>
      <c r="F641" t="s">
        <v>9050</v>
      </c>
    </row>
    <row r="642" spans="1:6" x14ac:dyDescent="0.25">
      <c r="A642" t="s">
        <v>1690</v>
      </c>
      <c r="B642" t="s">
        <v>1428</v>
      </c>
      <c r="C642">
        <v>2020</v>
      </c>
      <c r="D642" t="s">
        <v>187</v>
      </c>
    </row>
    <row r="643" spans="1:6" x14ac:dyDescent="0.25">
      <c r="A643" t="s">
        <v>1306</v>
      </c>
      <c r="B643" t="s">
        <v>1432</v>
      </c>
      <c r="C643">
        <v>2014</v>
      </c>
      <c r="E643" t="s">
        <v>2982</v>
      </c>
      <c r="F643" t="s">
        <v>8845</v>
      </c>
    </row>
    <row r="644" spans="1:6" x14ac:dyDescent="0.25">
      <c r="A644" t="s">
        <v>1435</v>
      </c>
      <c r="B644" t="s">
        <v>1432</v>
      </c>
      <c r="C644">
        <v>2021</v>
      </c>
      <c r="E644" t="s">
        <v>2982</v>
      </c>
      <c r="F644" t="s">
        <v>8856</v>
      </c>
    </row>
    <row r="645" spans="1:6" x14ac:dyDescent="0.25">
      <c r="A645" t="s">
        <v>1690</v>
      </c>
      <c r="B645" t="s">
        <v>1435</v>
      </c>
      <c r="C645">
        <v>2020</v>
      </c>
      <c r="E645" t="s">
        <v>3269</v>
      </c>
      <c r="F645" t="s">
        <v>8923</v>
      </c>
    </row>
    <row r="646" spans="1:6" x14ac:dyDescent="0.25">
      <c r="A646" t="s">
        <v>90</v>
      </c>
      <c r="B646" t="s">
        <v>1435</v>
      </c>
      <c r="C646">
        <v>2017</v>
      </c>
      <c r="E646" t="s">
        <v>3269</v>
      </c>
      <c r="F646" t="s">
        <v>9140</v>
      </c>
    </row>
    <row r="647" spans="1:6" x14ac:dyDescent="0.25">
      <c r="A647" t="s">
        <v>353</v>
      </c>
      <c r="B647" t="s">
        <v>7996</v>
      </c>
      <c r="C647">
        <v>2023</v>
      </c>
      <c r="E647" s="10" t="s">
        <v>7995</v>
      </c>
      <c r="F647" t="s">
        <v>8528</v>
      </c>
    </row>
    <row r="648" spans="1:6" x14ac:dyDescent="0.25">
      <c r="A648" t="s">
        <v>353</v>
      </c>
      <c r="B648" t="s">
        <v>7996</v>
      </c>
      <c r="C648">
        <v>2023</v>
      </c>
      <c r="E648" s="10" t="s">
        <v>7995</v>
      </c>
      <c r="F648" t="s">
        <v>8528</v>
      </c>
    </row>
    <row r="649" spans="1:6" x14ac:dyDescent="0.25">
      <c r="A649" t="s">
        <v>720</v>
      </c>
      <c r="B649" t="s">
        <v>1439</v>
      </c>
      <c r="C649">
        <v>2016</v>
      </c>
      <c r="E649" t="s">
        <v>3090</v>
      </c>
      <c r="F649" t="s">
        <v>8602</v>
      </c>
    </row>
    <row r="650" spans="1:6" x14ac:dyDescent="0.25">
      <c r="A650" t="s">
        <v>1144</v>
      </c>
      <c r="B650" t="s">
        <v>1439</v>
      </c>
      <c r="C650">
        <v>2012</v>
      </c>
      <c r="E650" t="s">
        <v>3090</v>
      </c>
      <c r="F650" t="s">
        <v>8772</v>
      </c>
    </row>
    <row r="651" spans="1:6" x14ac:dyDescent="0.25">
      <c r="A651" t="s">
        <v>1144</v>
      </c>
      <c r="B651" t="s">
        <v>1443</v>
      </c>
      <c r="C651">
        <v>2012</v>
      </c>
      <c r="D651" t="s">
        <v>187</v>
      </c>
      <c r="E651" t="s">
        <v>3206</v>
      </c>
      <c r="F651" t="s">
        <v>8773</v>
      </c>
    </row>
    <row r="652" spans="1:6" x14ac:dyDescent="0.25">
      <c r="A652" t="s">
        <v>1385</v>
      </c>
      <c r="B652" t="s">
        <v>1443</v>
      </c>
      <c r="C652">
        <v>2013</v>
      </c>
      <c r="E652" t="s">
        <v>3241</v>
      </c>
    </row>
    <row r="653" spans="1:6" x14ac:dyDescent="0.25">
      <c r="A653" t="s">
        <v>90</v>
      </c>
      <c r="B653" t="s">
        <v>1447</v>
      </c>
      <c r="C653">
        <v>2017</v>
      </c>
      <c r="E653" t="s">
        <v>2982</v>
      </c>
      <c r="F653" t="s">
        <v>9141</v>
      </c>
    </row>
    <row r="654" spans="1:6" x14ac:dyDescent="0.25">
      <c r="A654" t="s">
        <v>746</v>
      </c>
      <c r="B654" t="s">
        <v>1450</v>
      </c>
      <c r="C654">
        <v>2015</v>
      </c>
      <c r="E654" t="s">
        <v>3104</v>
      </c>
      <c r="F654" t="s">
        <v>8618</v>
      </c>
    </row>
    <row r="655" spans="1:6" x14ac:dyDescent="0.25">
      <c r="A655" t="s">
        <v>90</v>
      </c>
      <c r="B655" t="s">
        <v>1450</v>
      </c>
      <c r="C655">
        <v>2017</v>
      </c>
      <c r="E655" t="s">
        <v>3104</v>
      </c>
      <c r="F655" t="s">
        <v>9142</v>
      </c>
    </row>
    <row r="656" spans="1:6" x14ac:dyDescent="0.25">
      <c r="A656" t="s">
        <v>1795</v>
      </c>
      <c r="B656" t="s">
        <v>1454</v>
      </c>
      <c r="C656">
        <v>1987</v>
      </c>
      <c r="E656" t="s">
        <v>3283</v>
      </c>
      <c r="F656" t="s">
        <v>8951</v>
      </c>
    </row>
    <row r="657" spans="1:6" x14ac:dyDescent="0.25">
      <c r="A657" t="s">
        <v>1460</v>
      </c>
      <c r="B657" t="s">
        <v>1457</v>
      </c>
      <c r="C657">
        <v>2006</v>
      </c>
      <c r="D657" t="s">
        <v>187</v>
      </c>
    </row>
    <row r="658" spans="1:6" x14ac:dyDescent="0.25">
      <c r="A658" t="s">
        <v>2721</v>
      </c>
      <c r="B658" t="s">
        <v>1460</v>
      </c>
      <c r="C658">
        <v>1993</v>
      </c>
      <c r="E658" t="s">
        <v>3013</v>
      </c>
    </row>
    <row r="659" spans="1:6" x14ac:dyDescent="0.25">
      <c r="A659" t="s">
        <v>778</v>
      </c>
      <c r="B659" t="s">
        <v>1463</v>
      </c>
      <c r="C659">
        <v>2023</v>
      </c>
      <c r="E659" t="s">
        <v>3126</v>
      </c>
      <c r="F659" t="s">
        <v>8651</v>
      </c>
    </row>
    <row r="660" spans="1:6" x14ac:dyDescent="0.25">
      <c r="A660" t="s">
        <v>847</v>
      </c>
      <c r="B660" t="s">
        <v>1463</v>
      </c>
      <c r="C660">
        <v>1996</v>
      </c>
      <c r="E660" t="s">
        <v>3126</v>
      </c>
      <c r="F660" t="s">
        <v>9454</v>
      </c>
    </row>
    <row r="661" spans="1:6" x14ac:dyDescent="0.25">
      <c r="A661" t="s">
        <v>1302</v>
      </c>
      <c r="B661" t="s">
        <v>1463</v>
      </c>
      <c r="C661">
        <v>2023</v>
      </c>
      <c r="E661" t="s">
        <v>3126</v>
      </c>
      <c r="F661" t="s">
        <v>8842</v>
      </c>
    </row>
    <row r="662" spans="1:6" x14ac:dyDescent="0.25">
      <c r="A662" t="s">
        <v>2804</v>
      </c>
      <c r="B662" t="s">
        <v>1463</v>
      </c>
      <c r="C662">
        <v>2021</v>
      </c>
      <c r="E662" t="s">
        <v>3126</v>
      </c>
      <c r="F662" t="s">
        <v>9356</v>
      </c>
    </row>
    <row r="663" spans="1:6" x14ac:dyDescent="0.25">
      <c r="A663" t="s">
        <v>922</v>
      </c>
      <c r="B663" t="s">
        <v>1467</v>
      </c>
      <c r="C663">
        <v>2002</v>
      </c>
      <c r="D663" t="s">
        <v>187</v>
      </c>
    </row>
    <row r="664" spans="1:6" x14ac:dyDescent="0.25">
      <c r="A664" t="s">
        <v>2377</v>
      </c>
      <c r="B664" t="s">
        <v>1471</v>
      </c>
      <c r="C664">
        <v>2021</v>
      </c>
      <c r="E664" t="s">
        <v>3013</v>
      </c>
    </row>
    <row r="665" spans="1:6" x14ac:dyDescent="0.25">
      <c r="A665" t="s">
        <v>1933</v>
      </c>
      <c r="B665" t="s">
        <v>1475</v>
      </c>
      <c r="C665">
        <v>2021</v>
      </c>
      <c r="E665" t="s">
        <v>2982</v>
      </c>
      <c r="F665" t="s">
        <v>9000</v>
      </c>
    </row>
    <row r="666" spans="1:6" x14ac:dyDescent="0.25">
      <c r="A666" t="s">
        <v>90</v>
      </c>
      <c r="B666" t="s">
        <v>1475</v>
      </c>
      <c r="C666">
        <v>2017</v>
      </c>
      <c r="E666" t="s">
        <v>3365</v>
      </c>
      <c r="F666" t="s">
        <v>9143</v>
      </c>
    </row>
    <row r="667" spans="1:6" x14ac:dyDescent="0.25">
      <c r="A667" t="s">
        <v>2506</v>
      </c>
      <c r="B667" t="s">
        <v>1475</v>
      </c>
      <c r="C667">
        <v>2021</v>
      </c>
      <c r="E667" t="s">
        <v>2982</v>
      </c>
      <c r="F667" t="s">
        <v>9250</v>
      </c>
    </row>
    <row r="668" spans="1:6" x14ac:dyDescent="0.25">
      <c r="A668" t="s">
        <v>759</v>
      </c>
      <c r="B668" t="s">
        <v>1479</v>
      </c>
      <c r="C668">
        <v>2018</v>
      </c>
      <c r="E668" t="s">
        <v>3120</v>
      </c>
      <c r="F668" t="s">
        <v>8640</v>
      </c>
    </row>
    <row r="669" spans="1:6" x14ac:dyDescent="0.25">
      <c r="A669" t="s">
        <v>256</v>
      </c>
      <c r="B669" t="s">
        <v>1482</v>
      </c>
      <c r="C669">
        <v>1994</v>
      </c>
      <c r="E669" t="s">
        <v>2982</v>
      </c>
      <c r="F669" t="s">
        <v>8477</v>
      </c>
    </row>
    <row r="670" spans="1:6" x14ac:dyDescent="0.25">
      <c r="A670" t="s">
        <v>1004</v>
      </c>
      <c r="B670" t="s">
        <v>1482</v>
      </c>
      <c r="C670">
        <v>2006</v>
      </c>
      <c r="E670" t="s">
        <v>3172</v>
      </c>
      <c r="F670" t="s">
        <v>8724</v>
      </c>
    </row>
    <row r="671" spans="1:6" x14ac:dyDescent="0.25">
      <c r="A671" t="s">
        <v>1795</v>
      </c>
      <c r="B671" t="s">
        <v>1482</v>
      </c>
      <c r="C671">
        <v>1987</v>
      </c>
      <c r="E671" t="s">
        <v>2982</v>
      </c>
      <c r="F671" t="s">
        <v>8952</v>
      </c>
    </row>
    <row r="672" spans="1:6" x14ac:dyDescent="0.25">
      <c r="A672" t="s">
        <v>2804</v>
      </c>
      <c r="B672" t="s">
        <v>1486</v>
      </c>
      <c r="C672">
        <v>2021</v>
      </c>
      <c r="E672" t="s">
        <v>3013</v>
      </c>
    </row>
    <row r="673" spans="1:6" x14ac:dyDescent="0.25">
      <c r="A673" t="s">
        <v>379</v>
      </c>
      <c r="B673" t="s">
        <v>7987</v>
      </c>
      <c r="C673">
        <v>1998</v>
      </c>
      <c r="E673" s="10" t="s">
        <v>7990</v>
      </c>
    </row>
    <row r="674" spans="1:6" x14ac:dyDescent="0.25">
      <c r="A674" t="s">
        <v>379</v>
      </c>
      <c r="B674" t="s">
        <v>7987</v>
      </c>
      <c r="C674">
        <v>1998</v>
      </c>
      <c r="E674" s="10" t="s">
        <v>7990</v>
      </c>
    </row>
    <row r="675" spans="1:6" x14ac:dyDescent="0.25">
      <c r="A675" t="s">
        <v>1951</v>
      </c>
      <c r="B675" t="s">
        <v>1490</v>
      </c>
      <c r="C675">
        <v>2022</v>
      </c>
      <c r="E675" s="10" t="s">
        <v>8364</v>
      </c>
      <c r="F675" t="s">
        <v>9004</v>
      </c>
    </row>
    <row r="676" spans="1:6" x14ac:dyDescent="0.25">
      <c r="A676" t="s">
        <v>497</v>
      </c>
      <c r="B676" t="s">
        <v>1492</v>
      </c>
      <c r="C676">
        <v>2022</v>
      </c>
      <c r="E676" t="s">
        <v>3068</v>
      </c>
      <c r="F676" t="s">
        <v>8570</v>
      </c>
    </row>
    <row r="677" spans="1:6" x14ac:dyDescent="0.25">
      <c r="A677" t="s">
        <v>689</v>
      </c>
      <c r="B677" t="s">
        <v>1492</v>
      </c>
      <c r="C677">
        <v>2015</v>
      </c>
      <c r="E677" t="s">
        <v>3087</v>
      </c>
      <c r="F677" t="s">
        <v>8597</v>
      </c>
    </row>
    <row r="678" spans="1:6" x14ac:dyDescent="0.25">
      <c r="A678" t="s">
        <v>1294</v>
      </c>
      <c r="B678" t="s">
        <v>1492</v>
      </c>
      <c r="C678">
        <v>2019</v>
      </c>
      <c r="E678" t="s">
        <v>3087</v>
      </c>
      <c r="F678" t="s">
        <v>8820</v>
      </c>
    </row>
    <row r="679" spans="1:6" x14ac:dyDescent="0.25">
      <c r="A679" t="s">
        <v>2804</v>
      </c>
      <c r="B679" t="s">
        <v>1492</v>
      </c>
      <c r="C679">
        <v>2021</v>
      </c>
      <c r="E679" t="s">
        <v>3087</v>
      </c>
      <c r="F679" t="s">
        <v>9357</v>
      </c>
    </row>
    <row r="680" spans="1:6" x14ac:dyDescent="0.25">
      <c r="A680" t="s">
        <v>2804</v>
      </c>
      <c r="B680" t="s">
        <v>1500</v>
      </c>
      <c r="C680">
        <v>2021</v>
      </c>
      <c r="E680" t="s">
        <v>3013</v>
      </c>
    </row>
    <row r="681" spans="1:6" x14ac:dyDescent="0.25">
      <c r="A681" t="s">
        <v>344</v>
      </c>
      <c r="B681" t="s">
        <v>1503</v>
      </c>
      <c r="C681">
        <v>2023</v>
      </c>
      <c r="E681" t="s">
        <v>3011</v>
      </c>
      <c r="F681" t="s">
        <v>8498</v>
      </c>
    </row>
    <row r="682" spans="1:6" x14ac:dyDescent="0.25">
      <c r="A682" t="s">
        <v>2506</v>
      </c>
      <c r="B682" t="s">
        <v>1503</v>
      </c>
      <c r="C682">
        <v>2021</v>
      </c>
      <c r="E682" t="s">
        <v>3011</v>
      </c>
      <c r="F682" t="s">
        <v>9251</v>
      </c>
    </row>
    <row r="683" spans="1:6" x14ac:dyDescent="0.25">
      <c r="A683" t="s">
        <v>2594</v>
      </c>
      <c r="B683" t="s">
        <v>1503</v>
      </c>
      <c r="C683">
        <v>2019</v>
      </c>
      <c r="E683" t="s">
        <v>3011</v>
      </c>
      <c r="F683" t="s">
        <v>9268</v>
      </c>
    </row>
    <row r="684" spans="1:6" x14ac:dyDescent="0.25">
      <c r="A684" t="s">
        <v>1089</v>
      </c>
      <c r="B684" t="s">
        <v>1507</v>
      </c>
      <c r="C684">
        <v>2021</v>
      </c>
      <c r="D684" t="s">
        <v>187</v>
      </c>
    </row>
    <row r="685" spans="1:6" x14ac:dyDescent="0.25">
      <c r="A685" t="s">
        <v>90</v>
      </c>
      <c r="B685" t="s">
        <v>1511</v>
      </c>
      <c r="C685">
        <v>2017</v>
      </c>
      <c r="E685" t="s">
        <v>2982</v>
      </c>
      <c r="F685" t="s">
        <v>9144</v>
      </c>
    </row>
    <row r="686" spans="1:6" x14ac:dyDescent="0.25">
      <c r="A686" t="s">
        <v>490</v>
      </c>
      <c r="B686" t="s">
        <v>1513</v>
      </c>
      <c r="C686">
        <v>2009</v>
      </c>
      <c r="E686" t="s">
        <v>3059</v>
      </c>
      <c r="F686" t="s">
        <v>8557</v>
      </c>
    </row>
    <row r="687" spans="1:6" x14ac:dyDescent="0.25">
      <c r="A687" t="s">
        <v>2571</v>
      </c>
      <c r="B687" t="s">
        <v>1513</v>
      </c>
      <c r="C687">
        <v>1998</v>
      </c>
      <c r="E687" t="s">
        <v>3059</v>
      </c>
      <c r="F687" t="s">
        <v>9263</v>
      </c>
    </row>
    <row r="688" spans="1:6" x14ac:dyDescent="0.25">
      <c r="A688" t="s">
        <v>2578</v>
      </c>
      <c r="B688" t="s">
        <v>1513</v>
      </c>
      <c r="C688">
        <v>2017</v>
      </c>
      <c r="E688" t="s">
        <v>3059</v>
      </c>
      <c r="F688" t="s">
        <v>9265</v>
      </c>
    </row>
    <row r="689" spans="1:6" x14ac:dyDescent="0.25">
      <c r="A689" t="s">
        <v>1046</v>
      </c>
      <c r="B689" t="s">
        <v>1516</v>
      </c>
      <c r="C689">
        <v>2016</v>
      </c>
      <c r="E689" t="s">
        <v>2982</v>
      </c>
      <c r="F689" t="s">
        <v>8743</v>
      </c>
    </row>
    <row r="690" spans="1:6" x14ac:dyDescent="0.25">
      <c r="A690" t="s">
        <v>160</v>
      </c>
      <c r="B690" t="s">
        <v>1516</v>
      </c>
      <c r="C690">
        <v>2011</v>
      </c>
      <c r="E690" t="s">
        <v>2982</v>
      </c>
      <c r="F690" t="s">
        <v>9295</v>
      </c>
    </row>
    <row r="691" spans="1:6" x14ac:dyDescent="0.25">
      <c r="A691" t="s">
        <v>256</v>
      </c>
      <c r="B691" t="s">
        <v>1520</v>
      </c>
      <c r="C691">
        <v>1994</v>
      </c>
      <c r="E691" t="s">
        <v>2993</v>
      </c>
      <c r="F691" t="s">
        <v>8478</v>
      </c>
    </row>
    <row r="692" spans="1:6" x14ac:dyDescent="0.25">
      <c r="A692" t="s">
        <v>260</v>
      </c>
      <c r="B692" t="s">
        <v>1520</v>
      </c>
      <c r="C692">
        <v>1990</v>
      </c>
      <c r="E692" t="s">
        <v>2993</v>
      </c>
      <c r="F692" t="s">
        <v>8487</v>
      </c>
    </row>
    <row r="693" spans="1:6" x14ac:dyDescent="0.25">
      <c r="A693" t="s">
        <v>847</v>
      </c>
      <c r="B693" t="s">
        <v>1520</v>
      </c>
      <c r="C693">
        <v>1996</v>
      </c>
      <c r="E693" t="s">
        <v>3136</v>
      </c>
      <c r="F693" t="s">
        <v>8673</v>
      </c>
    </row>
    <row r="694" spans="1:6" x14ac:dyDescent="0.25">
      <c r="A694" t="s">
        <v>1795</v>
      </c>
      <c r="B694" t="s">
        <v>1520</v>
      </c>
      <c r="C694">
        <v>1987</v>
      </c>
      <c r="E694" t="s">
        <v>2993</v>
      </c>
      <c r="F694" t="s">
        <v>8953</v>
      </c>
    </row>
    <row r="695" spans="1:6" x14ac:dyDescent="0.25">
      <c r="A695" t="s">
        <v>2154</v>
      </c>
      <c r="B695" t="s">
        <v>1523</v>
      </c>
      <c r="C695">
        <v>1980</v>
      </c>
      <c r="E695" t="s">
        <v>3326</v>
      </c>
      <c r="F695" t="s">
        <v>9051</v>
      </c>
    </row>
    <row r="696" spans="1:6" x14ac:dyDescent="0.25">
      <c r="A696" t="s">
        <v>2154</v>
      </c>
      <c r="B696" t="s">
        <v>8109</v>
      </c>
      <c r="C696">
        <v>1980</v>
      </c>
      <c r="E696" s="10" t="s">
        <v>8130</v>
      </c>
      <c r="F696" t="s">
        <v>9052</v>
      </c>
    </row>
    <row r="697" spans="1:6" x14ac:dyDescent="0.25">
      <c r="A697" t="s">
        <v>383</v>
      </c>
      <c r="B697" t="s">
        <v>1526</v>
      </c>
      <c r="C697">
        <v>2017</v>
      </c>
      <c r="E697" s="10" t="s">
        <v>3054</v>
      </c>
      <c r="F697" t="s">
        <v>9477</v>
      </c>
    </row>
    <row r="698" spans="1:6" x14ac:dyDescent="0.25">
      <c r="A698" t="s">
        <v>746</v>
      </c>
      <c r="B698" t="s">
        <v>1526</v>
      </c>
      <c r="C698">
        <v>2015</v>
      </c>
      <c r="E698" s="10" t="s">
        <v>3054</v>
      </c>
      <c r="F698" t="s">
        <v>9478</v>
      </c>
    </row>
    <row r="699" spans="1:6" x14ac:dyDescent="0.25">
      <c r="A699" t="s">
        <v>1115</v>
      </c>
      <c r="B699" t="s">
        <v>1526</v>
      </c>
      <c r="C699">
        <v>2018</v>
      </c>
      <c r="E699" s="10" t="s">
        <v>3054</v>
      </c>
      <c r="F699" t="s">
        <v>9479</v>
      </c>
    </row>
    <row r="700" spans="1:6" x14ac:dyDescent="0.25">
      <c r="A700" t="s">
        <v>90</v>
      </c>
      <c r="B700" t="s">
        <v>1526</v>
      </c>
      <c r="C700">
        <v>2017</v>
      </c>
      <c r="E700" s="10" t="s">
        <v>3054</v>
      </c>
      <c r="F700" t="s">
        <v>9480</v>
      </c>
    </row>
    <row r="701" spans="1:6" x14ac:dyDescent="0.25">
      <c r="A701" t="s">
        <v>2804</v>
      </c>
      <c r="B701" t="s">
        <v>7962</v>
      </c>
      <c r="C701">
        <v>2021</v>
      </c>
      <c r="E701" s="10" t="s">
        <v>7961</v>
      </c>
      <c r="F701" t="s">
        <v>9358</v>
      </c>
    </row>
    <row r="702" spans="1:6" x14ac:dyDescent="0.25">
      <c r="A702" t="s">
        <v>2804</v>
      </c>
      <c r="B702" t="s">
        <v>1530</v>
      </c>
      <c r="C702">
        <v>2021</v>
      </c>
      <c r="E702" t="s">
        <v>3013</v>
      </c>
    </row>
    <row r="703" spans="1:6" x14ac:dyDescent="0.25">
      <c r="A703" t="s">
        <v>1435</v>
      </c>
      <c r="B703" t="s">
        <v>1532</v>
      </c>
      <c r="C703">
        <v>2021</v>
      </c>
      <c r="E703" s="10" t="s">
        <v>8406</v>
      </c>
      <c r="F703" t="s">
        <v>8857</v>
      </c>
    </row>
    <row r="704" spans="1:6" x14ac:dyDescent="0.25">
      <c r="A704" t="s">
        <v>1655</v>
      </c>
      <c r="B704" t="s">
        <v>1532</v>
      </c>
      <c r="C704">
        <v>2024</v>
      </c>
      <c r="D704" t="s">
        <v>187</v>
      </c>
    </row>
    <row r="705" spans="1:6" x14ac:dyDescent="0.25">
      <c r="A705" t="s">
        <v>1385</v>
      </c>
      <c r="B705" t="s">
        <v>1534</v>
      </c>
      <c r="C705">
        <v>2013</v>
      </c>
      <c r="E705" s="10" t="s">
        <v>8433</v>
      </c>
      <c r="F705" t="s">
        <v>8849</v>
      </c>
    </row>
    <row r="706" spans="1:6" x14ac:dyDescent="0.25">
      <c r="A706" t="s">
        <v>1443</v>
      </c>
      <c r="B706" t="s">
        <v>1534</v>
      </c>
      <c r="C706">
        <v>2018</v>
      </c>
      <c r="E706" s="10" t="s">
        <v>8433</v>
      </c>
      <c r="F706" t="s">
        <v>9455</v>
      </c>
    </row>
    <row r="707" spans="1:6" x14ac:dyDescent="0.25">
      <c r="A707" t="s">
        <v>353</v>
      </c>
      <c r="B707" t="s">
        <v>8000</v>
      </c>
      <c r="C707">
        <v>2023</v>
      </c>
      <c r="E707" s="10" t="s">
        <v>7999</v>
      </c>
    </row>
    <row r="708" spans="1:6" x14ac:dyDescent="0.25">
      <c r="A708" t="s">
        <v>353</v>
      </c>
      <c r="B708" t="s">
        <v>8000</v>
      </c>
      <c r="C708">
        <v>2023</v>
      </c>
      <c r="E708" s="10" t="s">
        <v>7999</v>
      </c>
    </row>
    <row r="709" spans="1:6" x14ac:dyDescent="0.25">
      <c r="A709" t="s">
        <v>1795</v>
      </c>
      <c r="B709" t="s">
        <v>1538</v>
      </c>
      <c r="C709">
        <v>1987</v>
      </c>
      <c r="E709" t="s">
        <v>3284</v>
      </c>
      <c r="F709" t="s">
        <v>8954</v>
      </c>
    </row>
    <row r="710" spans="1:6" x14ac:dyDescent="0.25">
      <c r="A710" t="s">
        <v>930</v>
      </c>
      <c r="B710" t="s">
        <v>1541</v>
      </c>
      <c r="C710">
        <v>2015</v>
      </c>
      <c r="E710" t="s">
        <v>3157</v>
      </c>
      <c r="F710" t="s">
        <v>8705</v>
      </c>
    </row>
    <row r="711" spans="1:6" x14ac:dyDescent="0.25">
      <c r="A711" t="s">
        <v>1855</v>
      </c>
      <c r="B711" t="s">
        <v>1541</v>
      </c>
      <c r="C711">
        <v>2015</v>
      </c>
      <c r="E711" t="s">
        <v>3157</v>
      </c>
      <c r="F711" t="s">
        <v>8986</v>
      </c>
    </row>
    <row r="712" spans="1:6" x14ac:dyDescent="0.25">
      <c r="A712" t="s">
        <v>2377</v>
      </c>
      <c r="B712" t="s">
        <v>1541</v>
      </c>
      <c r="C712">
        <v>2021</v>
      </c>
      <c r="E712" t="s">
        <v>3157</v>
      </c>
      <c r="F712" t="s">
        <v>9205</v>
      </c>
    </row>
    <row r="713" spans="1:6" x14ac:dyDescent="0.25">
      <c r="A713" t="s">
        <v>1144</v>
      </c>
      <c r="B713" t="s">
        <v>1545</v>
      </c>
      <c r="C713">
        <v>2012</v>
      </c>
      <c r="E713" t="s">
        <v>3013</v>
      </c>
    </row>
    <row r="714" spans="1:6" x14ac:dyDescent="0.25">
      <c r="A714" t="s">
        <v>930</v>
      </c>
      <c r="B714" t="s">
        <v>1553</v>
      </c>
      <c r="C714">
        <v>2015</v>
      </c>
      <c r="E714" t="s">
        <v>3158</v>
      </c>
    </row>
    <row r="715" spans="1:6" x14ac:dyDescent="0.25">
      <c r="A715" t="s">
        <v>2428</v>
      </c>
      <c r="B715" t="s">
        <v>1553</v>
      </c>
      <c r="C715">
        <v>2008</v>
      </c>
      <c r="E715" t="s">
        <v>3158</v>
      </c>
    </row>
    <row r="716" spans="1:6" x14ac:dyDescent="0.25">
      <c r="A716" t="s">
        <v>344</v>
      </c>
      <c r="B716" t="s">
        <v>1559</v>
      </c>
      <c r="C716">
        <v>2023</v>
      </c>
      <c r="E716" t="s">
        <v>3012</v>
      </c>
      <c r="F716" t="s">
        <v>8499</v>
      </c>
    </row>
    <row r="717" spans="1:6" x14ac:dyDescent="0.25">
      <c r="A717" t="s">
        <v>353</v>
      </c>
      <c r="B717" t="s">
        <v>1559</v>
      </c>
      <c r="C717">
        <v>2023</v>
      </c>
      <c r="E717" t="s">
        <v>3012</v>
      </c>
      <c r="F717" t="s">
        <v>8529</v>
      </c>
    </row>
    <row r="718" spans="1:6" x14ac:dyDescent="0.25">
      <c r="A718" t="s">
        <v>1752</v>
      </c>
      <c r="B718" t="s">
        <v>1561</v>
      </c>
      <c r="C718">
        <v>2021</v>
      </c>
      <c r="E718" t="s">
        <v>3271</v>
      </c>
      <c r="F718" t="s">
        <v>8934</v>
      </c>
    </row>
    <row r="719" spans="1:6" x14ac:dyDescent="0.25">
      <c r="A719" t="s">
        <v>2136</v>
      </c>
      <c r="B719" t="s">
        <v>1561</v>
      </c>
      <c r="C719">
        <v>2020</v>
      </c>
      <c r="E719" t="s">
        <v>3271</v>
      </c>
      <c r="F719" t="s">
        <v>9029</v>
      </c>
    </row>
    <row r="720" spans="1:6" x14ac:dyDescent="0.25">
      <c r="A720" t="s">
        <v>1795</v>
      </c>
      <c r="B720" t="s">
        <v>1563</v>
      </c>
      <c r="C720">
        <v>1987</v>
      </c>
      <c r="E720" t="s">
        <v>2982</v>
      </c>
      <c r="F720" t="s">
        <v>8955</v>
      </c>
    </row>
    <row r="721" spans="1:6" x14ac:dyDescent="0.25">
      <c r="A721" t="s">
        <v>160</v>
      </c>
      <c r="B721" t="s">
        <v>1563</v>
      </c>
      <c r="C721">
        <v>2011</v>
      </c>
      <c r="E721" t="s">
        <v>2982</v>
      </c>
      <c r="F721" t="s">
        <v>9296</v>
      </c>
    </row>
    <row r="722" spans="1:6" x14ac:dyDescent="0.25">
      <c r="A722" t="s">
        <v>836</v>
      </c>
      <c r="B722" t="s">
        <v>1565</v>
      </c>
      <c r="C722">
        <v>2010</v>
      </c>
      <c r="E722" t="s">
        <v>3128</v>
      </c>
      <c r="F722" t="s">
        <v>8660</v>
      </c>
    </row>
    <row r="723" spans="1:6" x14ac:dyDescent="0.25">
      <c r="A723" t="s">
        <v>2286</v>
      </c>
      <c r="B723" t="s">
        <v>1565</v>
      </c>
      <c r="C723">
        <v>2014</v>
      </c>
      <c r="E723" t="s">
        <v>3128</v>
      </c>
      <c r="F723" t="s">
        <v>9084</v>
      </c>
    </row>
    <row r="724" spans="1:6" x14ac:dyDescent="0.25">
      <c r="A724" t="s">
        <v>90</v>
      </c>
      <c r="B724" t="s">
        <v>1565</v>
      </c>
      <c r="C724">
        <v>2017</v>
      </c>
      <c r="E724" t="s">
        <v>3128</v>
      </c>
      <c r="F724" t="s">
        <v>9145</v>
      </c>
    </row>
    <row r="725" spans="1:6" x14ac:dyDescent="0.25">
      <c r="A725" t="s">
        <v>90</v>
      </c>
      <c r="B725" t="s">
        <v>1568</v>
      </c>
      <c r="C725">
        <v>2017</v>
      </c>
      <c r="E725" s="10" t="s">
        <v>3366</v>
      </c>
      <c r="F725" t="s">
        <v>9146</v>
      </c>
    </row>
    <row r="726" spans="1:6" x14ac:dyDescent="0.25">
      <c r="A726" t="s">
        <v>1294</v>
      </c>
      <c r="B726" t="s">
        <v>1570</v>
      </c>
      <c r="C726">
        <v>2019</v>
      </c>
      <c r="E726" t="s">
        <v>3231</v>
      </c>
      <c r="F726" t="s">
        <v>8821</v>
      </c>
    </row>
    <row r="727" spans="1:6" x14ac:dyDescent="0.25">
      <c r="A727" t="s">
        <v>1284</v>
      </c>
      <c r="B727" t="s">
        <v>1572</v>
      </c>
      <c r="C727">
        <v>1984</v>
      </c>
      <c r="E727" t="s">
        <v>3223</v>
      </c>
      <c r="F727" t="s">
        <v>8800</v>
      </c>
    </row>
    <row r="728" spans="1:6" x14ac:dyDescent="0.25">
      <c r="A728" t="s">
        <v>746</v>
      </c>
      <c r="B728" t="s">
        <v>1574</v>
      </c>
      <c r="C728">
        <v>2015</v>
      </c>
      <c r="E728" t="s">
        <v>2982</v>
      </c>
      <c r="F728" t="s">
        <v>8619</v>
      </c>
    </row>
    <row r="729" spans="1:6" x14ac:dyDescent="0.25">
      <c r="A729" t="s">
        <v>90</v>
      </c>
      <c r="B729" t="s">
        <v>1574</v>
      </c>
      <c r="C729">
        <v>2017</v>
      </c>
      <c r="E729" t="s">
        <v>2982</v>
      </c>
      <c r="F729" t="s">
        <v>9147</v>
      </c>
    </row>
    <row r="730" spans="1:6" x14ac:dyDescent="0.25">
      <c r="A730" t="s">
        <v>2361</v>
      </c>
      <c r="B730" t="s">
        <v>1574</v>
      </c>
      <c r="C730">
        <v>2018</v>
      </c>
      <c r="E730" t="s">
        <v>2982</v>
      </c>
      <c r="F730" t="s">
        <v>9201</v>
      </c>
    </row>
    <row r="731" spans="1:6" x14ac:dyDescent="0.25">
      <c r="A731" t="s">
        <v>90</v>
      </c>
      <c r="B731" t="s">
        <v>1576</v>
      </c>
      <c r="C731">
        <v>2017</v>
      </c>
      <c r="E731" t="s">
        <v>3367</v>
      </c>
      <c r="F731" t="s">
        <v>9148</v>
      </c>
    </row>
    <row r="732" spans="1:6" x14ac:dyDescent="0.25">
      <c r="A732" t="s">
        <v>1576</v>
      </c>
      <c r="B732" t="s">
        <v>1580</v>
      </c>
      <c r="C732">
        <v>2021</v>
      </c>
      <c r="E732" t="s">
        <v>3013</v>
      </c>
    </row>
    <row r="733" spans="1:6" x14ac:dyDescent="0.25">
      <c r="A733" t="s">
        <v>353</v>
      </c>
      <c r="B733" t="s">
        <v>1584</v>
      </c>
      <c r="C733">
        <v>2023</v>
      </c>
      <c r="E733" t="s">
        <v>3033</v>
      </c>
      <c r="F733" t="s">
        <v>8530</v>
      </c>
    </row>
    <row r="734" spans="1:6" x14ac:dyDescent="0.25">
      <c r="A734" t="s">
        <v>2506</v>
      </c>
      <c r="B734" t="s">
        <v>1587</v>
      </c>
      <c r="C734">
        <v>2021</v>
      </c>
      <c r="E734" t="s">
        <v>2982</v>
      </c>
      <c r="F734" t="s">
        <v>9252</v>
      </c>
    </row>
    <row r="735" spans="1:6" x14ac:dyDescent="0.25">
      <c r="A735" t="s">
        <v>1817</v>
      </c>
      <c r="B735" t="s">
        <v>1594</v>
      </c>
      <c r="C735">
        <v>2019</v>
      </c>
      <c r="E735" t="s">
        <v>3294</v>
      </c>
      <c r="F735" t="s">
        <v>8969</v>
      </c>
    </row>
    <row r="736" spans="1:6" x14ac:dyDescent="0.25">
      <c r="A736" t="s">
        <v>90</v>
      </c>
      <c r="B736" t="s">
        <v>1594</v>
      </c>
      <c r="C736">
        <v>2017</v>
      </c>
      <c r="E736" t="s">
        <v>3294</v>
      </c>
      <c r="F736" t="s">
        <v>9456</v>
      </c>
    </row>
    <row r="737" spans="1:6" x14ac:dyDescent="0.25">
      <c r="A737" t="s">
        <v>160</v>
      </c>
      <c r="B737" t="s">
        <v>1594</v>
      </c>
      <c r="C737">
        <v>2011</v>
      </c>
      <c r="E737" t="s">
        <v>3294</v>
      </c>
      <c r="F737" t="s">
        <v>9457</v>
      </c>
    </row>
    <row r="738" spans="1:6" x14ac:dyDescent="0.25">
      <c r="A738" t="s">
        <v>497</v>
      </c>
      <c r="B738" t="s">
        <v>1596</v>
      </c>
      <c r="C738">
        <v>2022</v>
      </c>
      <c r="E738" t="s">
        <v>3069</v>
      </c>
      <c r="F738" t="s">
        <v>8571</v>
      </c>
    </row>
    <row r="739" spans="1:6" x14ac:dyDescent="0.25">
      <c r="A739" t="s">
        <v>623</v>
      </c>
      <c r="B739" t="s">
        <v>1598</v>
      </c>
      <c r="C739">
        <v>2017</v>
      </c>
      <c r="E739" t="s">
        <v>3079</v>
      </c>
      <c r="F739" t="s">
        <v>8589</v>
      </c>
    </row>
    <row r="740" spans="1:6" x14ac:dyDescent="0.25">
      <c r="A740" t="s">
        <v>2428</v>
      </c>
      <c r="B740" t="s">
        <v>1602</v>
      </c>
      <c r="C740">
        <v>2008</v>
      </c>
      <c r="E740" t="s">
        <v>3397</v>
      </c>
      <c r="F740" t="s">
        <v>9232</v>
      </c>
    </row>
    <row r="741" spans="1:6" x14ac:dyDescent="0.25">
      <c r="A741" t="s">
        <v>160</v>
      </c>
      <c r="B741" t="s">
        <v>1602</v>
      </c>
      <c r="C741">
        <v>2011</v>
      </c>
      <c r="E741" t="s">
        <v>3397</v>
      </c>
      <c r="F741" t="s">
        <v>9297</v>
      </c>
    </row>
    <row r="742" spans="1:6" x14ac:dyDescent="0.25">
      <c r="A742" t="s">
        <v>1294</v>
      </c>
      <c r="B742" t="s">
        <v>1606</v>
      </c>
      <c r="C742">
        <v>2019</v>
      </c>
      <c r="E742" t="s">
        <v>3232</v>
      </c>
      <c r="F742" t="s">
        <v>8822</v>
      </c>
    </row>
    <row r="743" spans="1:6" x14ac:dyDescent="0.25">
      <c r="A743" t="s">
        <v>1713</v>
      </c>
      <c r="B743" t="s">
        <v>1606</v>
      </c>
      <c r="C743">
        <v>2018</v>
      </c>
      <c r="E743" t="s">
        <v>3232</v>
      </c>
      <c r="F743" t="s">
        <v>8930</v>
      </c>
    </row>
    <row r="744" spans="1:6" x14ac:dyDescent="0.25">
      <c r="A744" t="s">
        <v>160</v>
      </c>
      <c r="B744" t="s">
        <v>1606</v>
      </c>
      <c r="C744">
        <v>2011</v>
      </c>
      <c r="E744" t="s">
        <v>3232</v>
      </c>
      <c r="F744" t="s">
        <v>9298</v>
      </c>
    </row>
    <row r="745" spans="1:6" x14ac:dyDescent="0.25">
      <c r="A745" t="s">
        <v>1435</v>
      </c>
      <c r="B745" t="s">
        <v>1610</v>
      </c>
      <c r="C745">
        <v>2021</v>
      </c>
      <c r="E745" t="s">
        <v>3243</v>
      </c>
      <c r="F745" t="s">
        <v>8858</v>
      </c>
    </row>
    <row r="746" spans="1:6" x14ac:dyDescent="0.25">
      <c r="A746" t="s">
        <v>1443</v>
      </c>
      <c r="B746" t="s">
        <v>1610</v>
      </c>
      <c r="C746">
        <v>2018</v>
      </c>
      <c r="E746" t="s">
        <v>3243</v>
      </c>
      <c r="F746" t="s">
        <v>8874</v>
      </c>
    </row>
    <row r="747" spans="1:6" x14ac:dyDescent="0.25">
      <c r="A747" t="s">
        <v>1690</v>
      </c>
      <c r="B747" t="s">
        <v>1610</v>
      </c>
      <c r="C747">
        <v>2020</v>
      </c>
      <c r="E747" t="s">
        <v>3243</v>
      </c>
      <c r="F747" t="s">
        <v>8924</v>
      </c>
    </row>
    <row r="748" spans="1:6" x14ac:dyDescent="0.25">
      <c r="A748" t="s">
        <v>90</v>
      </c>
      <c r="B748" t="s">
        <v>1610</v>
      </c>
      <c r="C748">
        <v>2017</v>
      </c>
      <c r="E748" t="s">
        <v>3243</v>
      </c>
      <c r="F748" t="s">
        <v>9149</v>
      </c>
    </row>
    <row r="749" spans="1:6" x14ac:dyDescent="0.25">
      <c r="A749" t="s">
        <v>1576</v>
      </c>
      <c r="B749" t="s">
        <v>1613</v>
      </c>
      <c r="C749">
        <v>2021</v>
      </c>
      <c r="D749" t="s">
        <v>187</v>
      </c>
    </row>
    <row r="750" spans="1:6" x14ac:dyDescent="0.25">
      <c r="A750" t="s">
        <v>2804</v>
      </c>
      <c r="B750" t="s">
        <v>1613</v>
      </c>
      <c r="C750">
        <v>2021</v>
      </c>
      <c r="E750" t="s">
        <v>3431</v>
      </c>
    </row>
    <row r="751" spans="1:6" x14ac:dyDescent="0.25">
      <c r="A751" t="s">
        <v>1752</v>
      </c>
      <c r="B751" t="s">
        <v>1621</v>
      </c>
      <c r="C751">
        <v>2021</v>
      </c>
      <c r="D751" t="s">
        <v>187</v>
      </c>
    </row>
    <row r="752" spans="1:6" x14ac:dyDescent="0.25">
      <c r="A752" t="s">
        <v>2136</v>
      </c>
      <c r="B752" t="s">
        <v>1621</v>
      </c>
      <c r="C752">
        <v>2020</v>
      </c>
      <c r="E752" t="s">
        <v>2982</v>
      </c>
      <c r="F752" t="s">
        <v>9030</v>
      </c>
    </row>
    <row r="753" spans="1:6" x14ac:dyDescent="0.25">
      <c r="A753" t="s">
        <v>2804</v>
      </c>
      <c r="B753" t="s">
        <v>1621</v>
      </c>
      <c r="C753">
        <v>2021</v>
      </c>
      <c r="E753" t="s">
        <v>2982</v>
      </c>
      <c r="F753" t="s">
        <v>9359</v>
      </c>
    </row>
    <row r="754" spans="1:6" x14ac:dyDescent="0.25">
      <c r="A754" t="s">
        <v>90</v>
      </c>
      <c r="B754" t="s">
        <v>1625</v>
      </c>
      <c r="C754">
        <v>2017</v>
      </c>
      <c r="E754" t="s">
        <v>3368</v>
      </c>
    </row>
    <row r="755" spans="1:6" x14ac:dyDescent="0.25">
      <c r="A755" t="s">
        <v>90</v>
      </c>
      <c r="B755" t="s">
        <v>1627</v>
      </c>
      <c r="C755">
        <v>2017</v>
      </c>
      <c r="E755" t="s">
        <v>3369</v>
      </c>
    </row>
    <row r="756" spans="1:6" x14ac:dyDescent="0.25">
      <c r="A756" t="s">
        <v>353</v>
      </c>
      <c r="B756" t="s">
        <v>1631</v>
      </c>
      <c r="C756">
        <v>2023</v>
      </c>
      <c r="E756" t="s">
        <v>3034</v>
      </c>
    </row>
    <row r="757" spans="1:6" x14ac:dyDescent="0.25">
      <c r="A757" t="s">
        <v>364</v>
      </c>
      <c r="B757" t="s">
        <v>1631</v>
      </c>
      <c r="C757">
        <v>2024</v>
      </c>
      <c r="E757" t="s">
        <v>3034</v>
      </c>
    </row>
    <row r="758" spans="1:6" x14ac:dyDescent="0.25">
      <c r="A758" t="s">
        <v>2506</v>
      </c>
      <c r="B758" t="s">
        <v>1633</v>
      </c>
      <c r="C758">
        <v>2021</v>
      </c>
      <c r="E758" t="s">
        <v>2982</v>
      </c>
      <c r="F758" t="s">
        <v>9253</v>
      </c>
    </row>
    <row r="759" spans="1:6" x14ac:dyDescent="0.25">
      <c r="A759" t="s">
        <v>1443</v>
      </c>
      <c r="B759" t="s">
        <v>1637</v>
      </c>
      <c r="C759">
        <v>2018</v>
      </c>
      <c r="E759" t="s">
        <v>3251</v>
      </c>
      <c r="F759" t="s">
        <v>8875</v>
      </c>
    </row>
    <row r="760" spans="1:6" x14ac:dyDescent="0.25">
      <c r="A760" t="s">
        <v>759</v>
      </c>
      <c r="B760" t="s">
        <v>1641</v>
      </c>
      <c r="C760">
        <v>2018</v>
      </c>
      <c r="E760" t="s">
        <v>3121</v>
      </c>
      <c r="F760" t="s">
        <v>9466</v>
      </c>
    </row>
    <row r="761" spans="1:6" x14ac:dyDescent="0.25">
      <c r="A761" t="s">
        <v>1294</v>
      </c>
      <c r="B761" t="s">
        <v>1645</v>
      </c>
      <c r="C761">
        <v>2019</v>
      </c>
      <c r="E761" s="10" t="s">
        <v>8400</v>
      </c>
      <c r="F761" t="s">
        <v>9465</v>
      </c>
    </row>
    <row r="762" spans="1:6" x14ac:dyDescent="0.25">
      <c r="A762" t="s">
        <v>847</v>
      </c>
      <c r="B762" t="s">
        <v>1649</v>
      </c>
      <c r="C762">
        <v>1996</v>
      </c>
      <c r="E762" t="s">
        <v>3137</v>
      </c>
      <c r="F762" t="s">
        <v>8674</v>
      </c>
    </row>
    <row r="763" spans="1:6" x14ac:dyDescent="0.25">
      <c r="A763" t="s">
        <v>160</v>
      </c>
      <c r="B763" t="s">
        <v>1649</v>
      </c>
      <c r="C763">
        <v>2011</v>
      </c>
      <c r="D763" t="s">
        <v>187</v>
      </c>
    </row>
    <row r="764" spans="1:6" x14ac:dyDescent="0.25">
      <c r="A764" t="s">
        <v>1761</v>
      </c>
      <c r="B764" t="s">
        <v>1653</v>
      </c>
      <c r="C764">
        <v>1995</v>
      </c>
      <c r="E764" s="10" t="s">
        <v>8399</v>
      </c>
    </row>
    <row r="765" spans="1:6" x14ac:dyDescent="0.25">
      <c r="A765" t="s">
        <v>1661</v>
      </c>
      <c r="B765" t="s">
        <v>1659</v>
      </c>
      <c r="C765">
        <v>2011</v>
      </c>
      <c r="D765" t="s">
        <v>187</v>
      </c>
    </row>
    <row r="766" spans="1:6" x14ac:dyDescent="0.25">
      <c r="A766" t="s">
        <v>1155</v>
      </c>
      <c r="B766" t="s">
        <v>1661</v>
      </c>
      <c r="C766">
        <v>2010</v>
      </c>
      <c r="D766" t="s">
        <v>187</v>
      </c>
    </row>
    <row r="767" spans="1:6" x14ac:dyDescent="0.25">
      <c r="A767" t="s">
        <v>2154</v>
      </c>
      <c r="B767" t="s">
        <v>1663</v>
      </c>
      <c r="C767">
        <v>1980</v>
      </c>
      <c r="E767" t="s">
        <v>3013</v>
      </c>
    </row>
    <row r="768" spans="1:6" x14ac:dyDescent="0.25">
      <c r="A768" t="s">
        <v>2721</v>
      </c>
      <c r="B768" t="s">
        <v>1666</v>
      </c>
      <c r="C768">
        <v>1993</v>
      </c>
      <c r="E768" t="s">
        <v>1669</v>
      </c>
      <c r="F768" t="s">
        <v>9337</v>
      </c>
    </row>
    <row r="769" spans="1:6" x14ac:dyDescent="0.25">
      <c r="A769" t="s">
        <v>2804</v>
      </c>
      <c r="B769" t="s">
        <v>1670</v>
      </c>
      <c r="C769">
        <v>2021</v>
      </c>
      <c r="E769" t="s">
        <v>3013</v>
      </c>
    </row>
    <row r="770" spans="1:6" x14ac:dyDescent="0.25">
      <c r="A770" t="s">
        <v>90</v>
      </c>
      <c r="B770" t="s">
        <v>1672</v>
      </c>
      <c r="C770">
        <v>2017</v>
      </c>
      <c r="E770" t="s">
        <v>3370</v>
      </c>
      <c r="F770" t="s">
        <v>9150</v>
      </c>
    </row>
    <row r="771" spans="1:6" x14ac:dyDescent="0.25">
      <c r="A771" t="s">
        <v>2721</v>
      </c>
      <c r="B771" t="s">
        <v>1676</v>
      </c>
      <c r="C771">
        <v>1993</v>
      </c>
      <c r="E771" t="s">
        <v>3013</v>
      </c>
    </row>
    <row r="772" spans="1:6" x14ac:dyDescent="0.25">
      <c r="A772" t="s">
        <v>1676</v>
      </c>
      <c r="B772" t="s">
        <v>1679</v>
      </c>
      <c r="C772">
        <v>2002</v>
      </c>
      <c r="D772" t="s">
        <v>187</v>
      </c>
    </row>
    <row r="773" spans="1:6" x14ac:dyDescent="0.25">
      <c r="A773" t="s">
        <v>2721</v>
      </c>
      <c r="B773" t="s">
        <v>1682</v>
      </c>
      <c r="C773">
        <v>1993</v>
      </c>
      <c r="E773" t="s">
        <v>3423</v>
      </c>
      <c r="F773" t="s">
        <v>9338</v>
      </c>
    </row>
    <row r="774" spans="1:6" x14ac:dyDescent="0.25">
      <c r="A774" t="s">
        <v>1682</v>
      </c>
      <c r="B774" t="s">
        <v>1684</v>
      </c>
      <c r="C774">
        <v>2022</v>
      </c>
      <c r="D774" t="s">
        <v>187</v>
      </c>
    </row>
    <row r="775" spans="1:6" x14ac:dyDescent="0.25">
      <c r="A775" t="s">
        <v>946</v>
      </c>
      <c r="B775" t="s">
        <v>1686</v>
      </c>
      <c r="C775">
        <v>2014</v>
      </c>
      <c r="E775" t="s">
        <v>1689</v>
      </c>
      <c r="F775" t="s">
        <v>8711</v>
      </c>
    </row>
    <row r="776" spans="1:6" x14ac:dyDescent="0.25">
      <c r="A776" t="s">
        <v>90</v>
      </c>
      <c r="B776" t="s">
        <v>1690</v>
      </c>
      <c r="C776">
        <v>2017</v>
      </c>
      <c r="E776" t="s">
        <v>3013</v>
      </c>
    </row>
    <row r="777" spans="1:6" x14ac:dyDescent="0.25">
      <c r="A777" t="s">
        <v>1428</v>
      </c>
      <c r="B777" t="s">
        <v>1694</v>
      </c>
      <c r="C777">
        <v>2023</v>
      </c>
      <c r="D777" t="s">
        <v>187</v>
      </c>
      <c r="E777" s="10" t="s">
        <v>9472</v>
      </c>
      <c r="F777" t="s">
        <v>9471</v>
      </c>
    </row>
    <row r="778" spans="1:6" x14ac:dyDescent="0.25">
      <c r="A778" t="s">
        <v>1690</v>
      </c>
      <c r="B778" t="s">
        <v>1694</v>
      </c>
      <c r="C778">
        <v>2020</v>
      </c>
      <c r="D778" t="s">
        <v>187</v>
      </c>
    </row>
    <row r="779" spans="1:6" x14ac:dyDescent="0.25">
      <c r="A779" t="s">
        <v>904</v>
      </c>
      <c r="B779" t="s">
        <v>1696</v>
      </c>
      <c r="C779">
        <v>2022</v>
      </c>
      <c r="E779" t="s">
        <v>3145</v>
      </c>
      <c r="F779" t="s">
        <v>8691</v>
      </c>
    </row>
    <row r="780" spans="1:6" x14ac:dyDescent="0.25">
      <c r="A780" t="s">
        <v>2804</v>
      </c>
      <c r="B780" t="s">
        <v>1696</v>
      </c>
      <c r="C780">
        <v>2021</v>
      </c>
      <c r="E780" t="s">
        <v>3145</v>
      </c>
      <c r="F780" t="s">
        <v>9360</v>
      </c>
    </row>
    <row r="781" spans="1:6" x14ac:dyDescent="0.25">
      <c r="A781" t="s">
        <v>1144</v>
      </c>
      <c r="B781" t="s">
        <v>1700</v>
      </c>
      <c r="C781">
        <v>2012</v>
      </c>
      <c r="E781" t="s">
        <v>3207</v>
      </c>
      <c r="F781" t="s">
        <v>9458</v>
      </c>
    </row>
    <row r="782" spans="1:6" x14ac:dyDescent="0.25">
      <c r="A782" t="s">
        <v>2428</v>
      </c>
      <c r="B782" t="s">
        <v>1700</v>
      </c>
      <c r="C782">
        <v>2008</v>
      </c>
      <c r="E782" t="s">
        <v>3207</v>
      </c>
      <c r="F782" t="s">
        <v>9459</v>
      </c>
    </row>
    <row r="783" spans="1:6" x14ac:dyDescent="0.25">
      <c r="A783" t="s">
        <v>160</v>
      </c>
      <c r="B783" t="s">
        <v>1700</v>
      </c>
      <c r="C783">
        <v>2011</v>
      </c>
      <c r="E783" t="s">
        <v>3207</v>
      </c>
      <c r="F783" t="s">
        <v>9460</v>
      </c>
    </row>
    <row r="784" spans="1:6" x14ac:dyDescent="0.25">
      <c r="A784" t="s">
        <v>241</v>
      </c>
      <c r="B784" t="s">
        <v>1704</v>
      </c>
      <c r="C784">
        <v>2025</v>
      </c>
      <c r="E784" t="s">
        <v>2986</v>
      </c>
      <c r="F784" t="s">
        <v>9407</v>
      </c>
    </row>
    <row r="785" spans="1:6" x14ac:dyDescent="0.25">
      <c r="A785" t="s">
        <v>2016</v>
      </c>
      <c r="B785" t="s">
        <v>1704</v>
      </c>
      <c r="C785">
        <v>2024</v>
      </c>
      <c r="E785" t="s">
        <v>2986</v>
      </c>
      <c r="F785" t="s">
        <v>9417</v>
      </c>
    </row>
    <row r="786" spans="1:6" x14ac:dyDescent="0.25">
      <c r="A786" t="s">
        <v>90</v>
      </c>
      <c r="B786" t="s">
        <v>1704</v>
      </c>
      <c r="C786">
        <v>2017</v>
      </c>
      <c r="E786" t="s">
        <v>3371</v>
      </c>
      <c r="F786" t="s">
        <v>9151</v>
      </c>
    </row>
    <row r="787" spans="1:6" x14ac:dyDescent="0.25">
      <c r="A787" t="s">
        <v>346</v>
      </c>
      <c r="B787" t="s">
        <v>1711</v>
      </c>
      <c r="C787">
        <v>2022</v>
      </c>
      <c r="D787" t="s">
        <v>187</v>
      </c>
    </row>
    <row r="788" spans="1:6" x14ac:dyDescent="0.25">
      <c r="A788" t="s">
        <v>2173</v>
      </c>
      <c r="B788" t="s">
        <v>1713</v>
      </c>
      <c r="C788">
        <v>2013</v>
      </c>
      <c r="E788" t="s">
        <v>3336</v>
      </c>
      <c r="F788" t="s">
        <v>9071</v>
      </c>
    </row>
    <row r="789" spans="1:6" x14ac:dyDescent="0.25">
      <c r="A789" t="s">
        <v>160</v>
      </c>
      <c r="B789" t="s">
        <v>1713</v>
      </c>
      <c r="C789">
        <v>2011</v>
      </c>
      <c r="E789" t="s">
        <v>3336</v>
      </c>
      <c r="F789" t="s">
        <v>9299</v>
      </c>
    </row>
    <row r="790" spans="1:6" x14ac:dyDescent="0.25">
      <c r="A790" t="s">
        <v>1713</v>
      </c>
      <c r="B790" t="s">
        <v>1717</v>
      </c>
      <c r="C790">
        <v>2018</v>
      </c>
      <c r="D790" t="s">
        <v>187</v>
      </c>
    </row>
    <row r="791" spans="1:6" x14ac:dyDescent="0.25">
      <c r="A791" t="s">
        <v>1294</v>
      </c>
      <c r="B791" t="s">
        <v>8435</v>
      </c>
      <c r="C791">
        <v>2019</v>
      </c>
      <c r="E791" s="10" t="s">
        <v>8434</v>
      </c>
      <c r="F791" t="s">
        <v>8823</v>
      </c>
    </row>
    <row r="792" spans="1:6" x14ac:dyDescent="0.25">
      <c r="A792" t="s">
        <v>256</v>
      </c>
      <c r="B792" t="s">
        <v>1719</v>
      </c>
      <c r="C792">
        <v>1994</v>
      </c>
      <c r="E792" t="s">
        <v>2982</v>
      </c>
      <c r="F792" t="s">
        <v>8479</v>
      </c>
    </row>
    <row r="793" spans="1:6" x14ac:dyDescent="0.25">
      <c r="A793" t="s">
        <v>490</v>
      </c>
      <c r="B793" t="s">
        <v>1719</v>
      </c>
      <c r="C793">
        <v>2009</v>
      </c>
      <c r="E793" t="s">
        <v>2982</v>
      </c>
      <c r="F793" t="s">
        <v>8558</v>
      </c>
    </row>
    <row r="794" spans="1:6" x14ac:dyDescent="0.25">
      <c r="A794" t="s">
        <v>1795</v>
      </c>
      <c r="B794" t="s">
        <v>1719</v>
      </c>
      <c r="C794">
        <v>1987</v>
      </c>
      <c r="E794" t="s">
        <v>2982</v>
      </c>
      <c r="F794" t="s">
        <v>8956</v>
      </c>
    </row>
    <row r="795" spans="1:6" x14ac:dyDescent="0.25">
      <c r="A795" t="s">
        <v>2788</v>
      </c>
      <c r="B795" t="s">
        <v>1719</v>
      </c>
      <c r="C795">
        <v>2017</v>
      </c>
      <c r="E795" t="s">
        <v>2982</v>
      </c>
      <c r="F795" t="s">
        <v>9340</v>
      </c>
    </row>
    <row r="796" spans="1:6" x14ac:dyDescent="0.25">
      <c r="A796" t="s">
        <v>2095</v>
      </c>
      <c r="B796" t="s">
        <v>1723</v>
      </c>
      <c r="C796">
        <v>2023</v>
      </c>
      <c r="E796" s="10" t="s">
        <v>8436</v>
      </c>
      <c r="F796" t="s">
        <v>9015</v>
      </c>
    </row>
    <row r="797" spans="1:6" x14ac:dyDescent="0.25">
      <c r="A797" t="s">
        <v>2136</v>
      </c>
      <c r="B797" t="s">
        <v>1723</v>
      </c>
      <c r="C797">
        <v>2020</v>
      </c>
      <c r="E797" t="s">
        <v>2982</v>
      </c>
      <c r="F797" t="s">
        <v>9031</v>
      </c>
    </row>
    <row r="798" spans="1:6" x14ac:dyDescent="0.25">
      <c r="A798" t="s">
        <v>2154</v>
      </c>
      <c r="B798" t="s">
        <v>1725</v>
      </c>
      <c r="C798">
        <v>1980</v>
      </c>
      <c r="E798" t="s">
        <v>3327</v>
      </c>
      <c r="F798" t="s">
        <v>9053</v>
      </c>
    </row>
    <row r="799" spans="1:6" x14ac:dyDescent="0.25">
      <c r="A799" t="s">
        <v>90</v>
      </c>
      <c r="B799" t="s">
        <v>1728</v>
      </c>
      <c r="C799">
        <v>2017</v>
      </c>
      <c r="E799" t="s">
        <v>3372</v>
      </c>
    </row>
    <row r="800" spans="1:6" x14ac:dyDescent="0.25">
      <c r="A800" t="s">
        <v>90</v>
      </c>
      <c r="B800" t="s">
        <v>1734</v>
      </c>
      <c r="C800">
        <v>2017</v>
      </c>
      <c r="E800" t="s">
        <v>2982</v>
      </c>
      <c r="F800" t="s">
        <v>9152</v>
      </c>
    </row>
    <row r="801" spans="1:6" x14ac:dyDescent="0.25">
      <c r="A801" t="s">
        <v>2804</v>
      </c>
      <c r="B801" t="s">
        <v>1734</v>
      </c>
      <c r="C801">
        <v>2021</v>
      </c>
      <c r="E801" t="s">
        <v>2982</v>
      </c>
      <c r="F801" t="s">
        <v>9361</v>
      </c>
    </row>
    <row r="802" spans="1:6" x14ac:dyDescent="0.25">
      <c r="A802" t="s">
        <v>2747</v>
      </c>
      <c r="B802" t="s">
        <v>1738</v>
      </c>
      <c r="C802">
        <v>2014</v>
      </c>
      <c r="D802" t="s">
        <v>187</v>
      </c>
    </row>
    <row r="803" spans="1:6" x14ac:dyDescent="0.25">
      <c r="A803" t="s">
        <v>1738</v>
      </c>
      <c r="B803" t="s">
        <v>1742</v>
      </c>
      <c r="C803">
        <v>2018</v>
      </c>
      <c r="D803" t="s">
        <v>187</v>
      </c>
    </row>
    <row r="804" spans="1:6" x14ac:dyDescent="0.25">
      <c r="A804" t="s">
        <v>1155</v>
      </c>
      <c r="B804" t="s">
        <v>1746</v>
      </c>
      <c r="C804">
        <v>2010</v>
      </c>
      <c r="D804" t="s">
        <v>187</v>
      </c>
    </row>
    <row r="805" spans="1:6" x14ac:dyDescent="0.25">
      <c r="A805" t="s">
        <v>2428</v>
      </c>
      <c r="B805" t="s">
        <v>1748</v>
      </c>
      <c r="C805">
        <v>2008</v>
      </c>
      <c r="E805" t="s">
        <v>3398</v>
      </c>
      <c r="F805" t="s">
        <v>9233</v>
      </c>
    </row>
    <row r="806" spans="1:6" x14ac:dyDescent="0.25">
      <c r="A806" t="s">
        <v>2136</v>
      </c>
      <c r="B806" t="s">
        <v>1752</v>
      </c>
      <c r="C806">
        <v>2020</v>
      </c>
      <c r="E806" t="s">
        <v>3317</v>
      </c>
    </row>
    <row r="807" spans="1:6" x14ac:dyDescent="0.25">
      <c r="A807" t="s">
        <v>1435</v>
      </c>
      <c r="B807" t="s">
        <v>1756</v>
      </c>
      <c r="C807">
        <v>2021</v>
      </c>
      <c r="E807" t="s">
        <v>2982</v>
      </c>
      <c r="F807" t="s">
        <v>8859</v>
      </c>
    </row>
    <row r="808" spans="1:6" x14ac:dyDescent="0.25">
      <c r="A808" t="s">
        <v>1899</v>
      </c>
      <c r="B808" t="s">
        <v>1758</v>
      </c>
      <c r="C808">
        <v>2014</v>
      </c>
      <c r="D808" t="s">
        <v>187</v>
      </c>
    </row>
    <row r="809" spans="1:6" x14ac:dyDescent="0.25">
      <c r="A809" t="s">
        <v>1795</v>
      </c>
      <c r="B809" t="s">
        <v>1761</v>
      </c>
      <c r="C809">
        <v>1987</v>
      </c>
      <c r="E809" s="10" t="s">
        <v>8453</v>
      </c>
      <c r="F809" t="s">
        <v>8454</v>
      </c>
    </row>
    <row r="810" spans="1:6" x14ac:dyDescent="0.25">
      <c r="A810" t="s">
        <v>2721</v>
      </c>
      <c r="B810" t="s">
        <v>1761</v>
      </c>
      <c r="C810">
        <v>1993</v>
      </c>
      <c r="D810" t="s">
        <v>187</v>
      </c>
      <c r="E810" t="s">
        <v>3032</v>
      </c>
    </row>
    <row r="811" spans="1:6" x14ac:dyDescent="0.25">
      <c r="A811" t="s">
        <v>2804</v>
      </c>
      <c r="B811" t="s">
        <v>1764</v>
      </c>
      <c r="C811">
        <v>2021</v>
      </c>
      <c r="E811" t="s">
        <v>3013</v>
      </c>
    </row>
    <row r="812" spans="1:6" x14ac:dyDescent="0.25">
      <c r="A812" t="s">
        <v>746</v>
      </c>
      <c r="B812" t="s">
        <v>1768</v>
      </c>
      <c r="C812">
        <v>2015</v>
      </c>
      <c r="E812" t="s">
        <v>3105</v>
      </c>
      <c r="F812" t="s">
        <v>8620</v>
      </c>
    </row>
    <row r="813" spans="1:6" x14ac:dyDescent="0.25">
      <c r="A813" t="s">
        <v>90</v>
      </c>
      <c r="B813" t="s">
        <v>1768</v>
      </c>
      <c r="C813">
        <v>2017</v>
      </c>
      <c r="E813" t="s">
        <v>3105</v>
      </c>
      <c r="F813" t="s">
        <v>9153</v>
      </c>
    </row>
    <row r="814" spans="1:6" x14ac:dyDescent="0.25">
      <c r="A814" t="s">
        <v>1046</v>
      </c>
      <c r="B814" t="s">
        <v>1771</v>
      </c>
      <c r="C814">
        <v>2016</v>
      </c>
      <c r="E814" t="s">
        <v>3188</v>
      </c>
      <c r="F814" t="s">
        <v>8744</v>
      </c>
    </row>
    <row r="815" spans="1:6" x14ac:dyDescent="0.25">
      <c r="A815" t="s">
        <v>1855</v>
      </c>
      <c r="B815" t="s">
        <v>1771</v>
      </c>
      <c r="C815">
        <v>2015</v>
      </c>
      <c r="E815" t="s">
        <v>3188</v>
      </c>
      <c r="F815" t="s">
        <v>8987</v>
      </c>
    </row>
    <row r="816" spans="1:6" x14ac:dyDescent="0.25">
      <c r="A816" t="s">
        <v>1779</v>
      </c>
      <c r="B816" t="s">
        <v>1783</v>
      </c>
      <c r="C816">
        <v>2022</v>
      </c>
      <c r="D816" t="s">
        <v>187</v>
      </c>
    </row>
    <row r="817" spans="1:6" x14ac:dyDescent="0.25">
      <c r="A817" t="s">
        <v>759</v>
      </c>
      <c r="B817" t="s">
        <v>1787</v>
      </c>
      <c r="C817">
        <v>2018</v>
      </c>
      <c r="E817" s="10" t="s">
        <v>8412</v>
      </c>
      <c r="F817" t="s">
        <v>8641</v>
      </c>
    </row>
    <row r="818" spans="1:6" x14ac:dyDescent="0.25">
      <c r="A818" t="s">
        <v>1046</v>
      </c>
      <c r="B818" t="s">
        <v>1787</v>
      </c>
      <c r="C818">
        <v>2016</v>
      </c>
      <c r="E818" s="10" t="s">
        <v>8412</v>
      </c>
      <c r="F818" t="s">
        <v>8745</v>
      </c>
    </row>
    <row r="819" spans="1:6" x14ac:dyDescent="0.25">
      <c r="A819" t="s">
        <v>160</v>
      </c>
      <c r="B819" t="s">
        <v>1787</v>
      </c>
      <c r="C819">
        <v>2011</v>
      </c>
      <c r="E819" t="s">
        <v>2982</v>
      </c>
      <c r="F819" t="s">
        <v>9300</v>
      </c>
    </row>
    <row r="820" spans="1:6" x14ac:dyDescent="0.25">
      <c r="A820" t="s">
        <v>1787</v>
      </c>
      <c r="B820" t="s">
        <v>1791</v>
      </c>
      <c r="C820">
        <v>2019</v>
      </c>
      <c r="D820" t="s">
        <v>187</v>
      </c>
    </row>
    <row r="821" spans="1:6" x14ac:dyDescent="0.25">
      <c r="A821" t="s">
        <v>2804</v>
      </c>
      <c r="B821" t="s">
        <v>1793</v>
      </c>
      <c r="C821">
        <v>2021</v>
      </c>
      <c r="E821" t="s">
        <v>3013</v>
      </c>
    </row>
    <row r="822" spans="1:6" x14ac:dyDescent="0.25">
      <c r="A822" t="s">
        <v>1284</v>
      </c>
      <c r="B822" t="s">
        <v>1795</v>
      </c>
      <c r="C822">
        <v>1984</v>
      </c>
      <c r="E822" t="s">
        <v>3224</v>
      </c>
      <c r="F822" t="s">
        <v>8801</v>
      </c>
    </row>
    <row r="823" spans="1:6" x14ac:dyDescent="0.25">
      <c r="A823" t="s">
        <v>726</v>
      </c>
      <c r="B823" t="s">
        <v>1798</v>
      </c>
      <c r="C823">
        <v>2020</v>
      </c>
      <c r="E823" t="s">
        <v>3092</v>
      </c>
      <c r="F823" t="s">
        <v>8604</v>
      </c>
    </row>
    <row r="824" spans="1:6" x14ac:dyDescent="0.25">
      <c r="A824" t="s">
        <v>1294</v>
      </c>
      <c r="B824" t="s">
        <v>1798</v>
      </c>
      <c r="C824">
        <v>2019</v>
      </c>
      <c r="E824" t="s">
        <v>3092</v>
      </c>
      <c r="F824" t="s">
        <v>8824</v>
      </c>
    </row>
    <row r="825" spans="1:6" x14ac:dyDescent="0.25">
      <c r="A825" t="s">
        <v>1294</v>
      </c>
      <c r="B825" t="s">
        <v>1801</v>
      </c>
      <c r="C825">
        <v>2019</v>
      </c>
      <c r="E825" t="s">
        <v>3013</v>
      </c>
    </row>
    <row r="826" spans="1:6" x14ac:dyDescent="0.25">
      <c r="A826" t="s">
        <v>2804</v>
      </c>
      <c r="B826" t="s">
        <v>1804</v>
      </c>
      <c r="C826">
        <v>2021</v>
      </c>
      <c r="E826" t="s">
        <v>3013</v>
      </c>
    </row>
    <row r="827" spans="1:6" x14ac:dyDescent="0.25">
      <c r="A827" t="s">
        <v>2804</v>
      </c>
      <c r="B827" t="s">
        <v>1809</v>
      </c>
      <c r="C827">
        <v>2021</v>
      </c>
      <c r="E827" t="s">
        <v>2982</v>
      </c>
      <c r="F827" t="s">
        <v>9362</v>
      </c>
    </row>
    <row r="828" spans="1:6" x14ac:dyDescent="0.25">
      <c r="A828" t="s">
        <v>1576</v>
      </c>
      <c r="B828" t="s">
        <v>1811</v>
      </c>
      <c r="C828">
        <v>2021</v>
      </c>
      <c r="E828" t="s">
        <v>2982</v>
      </c>
      <c r="F828" t="s">
        <v>8905</v>
      </c>
    </row>
    <row r="829" spans="1:6" x14ac:dyDescent="0.25">
      <c r="A829" t="s">
        <v>1813</v>
      </c>
      <c r="B829" t="s">
        <v>1811</v>
      </c>
      <c r="C829">
        <v>2024</v>
      </c>
      <c r="D829" t="s">
        <v>187</v>
      </c>
      <c r="F829" t="s">
        <v>8968</v>
      </c>
    </row>
    <row r="830" spans="1:6" x14ac:dyDescent="0.25">
      <c r="A830" t="s">
        <v>90</v>
      </c>
      <c r="B830" t="s">
        <v>1811</v>
      </c>
      <c r="C830">
        <v>2017</v>
      </c>
      <c r="E830" t="s">
        <v>2982</v>
      </c>
      <c r="F830" t="s">
        <v>9154</v>
      </c>
    </row>
    <row r="831" spans="1:6" x14ac:dyDescent="0.25">
      <c r="A831" t="s">
        <v>2377</v>
      </c>
      <c r="B831" t="s">
        <v>1811</v>
      </c>
      <c r="C831">
        <v>2021</v>
      </c>
      <c r="E831" t="s">
        <v>2982</v>
      </c>
      <c r="F831" t="s">
        <v>9206</v>
      </c>
    </row>
    <row r="832" spans="1:6" x14ac:dyDescent="0.25">
      <c r="A832" t="s">
        <v>2522</v>
      </c>
      <c r="B832" t="s">
        <v>1811</v>
      </c>
      <c r="C832">
        <v>2025</v>
      </c>
      <c r="E832" t="s">
        <v>2982</v>
      </c>
      <c r="F832" t="s">
        <v>9261</v>
      </c>
    </row>
    <row r="833" spans="1:6" x14ac:dyDescent="0.25">
      <c r="A833" t="s">
        <v>2428</v>
      </c>
      <c r="B833" t="s">
        <v>1817</v>
      </c>
      <c r="C833">
        <v>2008</v>
      </c>
      <c r="E833" t="s">
        <v>2982</v>
      </c>
      <c r="F833" t="s">
        <v>9234</v>
      </c>
    </row>
    <row r="834" spans="1:6" x14ac:dyDescent="0.25">
      <c r="A834" t="s">
        <v>2804</v>
      </c>
      <c r="B834" t="s">
        <v>1821</v>
      </c>
      <c r="C834">
        <v>2021</v>
      </c>
      <c r="E834" t="s">
        <v>3013</v>
      </c>
    </row>
    <row r="835" spans="1:6" x14ac:dyDescent="0.25">
      <c r="A835" t="s">
        <v>497</v>
      </c>
      <c r="B835" t="s">
        <v>1825</v>
      </c>
      <c r="C835">
        <v>2022</v>
      </c>
      <c r="E835" t="s">
        <v>1828</v>
      </c>
      <c r="F835" t="s">
        <v>8572</v>
      </c>
    </row>
    <row r="836" spans="1:6" x14ac:dyDescent="0.25">
      <c r="A836" t="s">
        <v>160</v>
      </c>
      <c r="B836" t="s">
        <v>1825</v>
      </c>
      <c r="C836">
        <v>2011</v>
      </c>
      <c r="E836" t="s">
        <v>1828</v>
      </c>
      <c r="F836" t="s">
        <v>9301</v>
      </c>
    </row>
    <row r="837" spans="1:6" x14ac:dyDescent="0.25">
      <c r="A837" t="s">
        <v>2804</v>
      </c>
      <c r="B837" t="s">
        <v>1829</v>
      </c>
      <c r="C837">
        <v>2021</v>
      </c>
      <c r="E837" t="s">
        <v>3013</v>
      </c>
    </row>
    <row r="838" spans="1:6" x14ac:dyDescent="0.25">
      <c r="A838" t="s">
        <v>2185</v>
      </c>
      <c r="B838" t="s">
        <v>1833</v>
      </c>
      <c r="C838">
        <v>2022</v>
      </c>
      <c r="E838" t="s">
        <v>2982</v>
      </c>
      <c r="F838" t="s">
        <v>9077</v>
      </c>
    </row>
    <row r="839" spans="1:6" x14ac:dyDescent="0.25">
      <c r="A839" t="s">
        <v>90</v>
      </c>
      <c r="B839" t="s">
        <v>1833</v>
      </c>
      <c r="C839">
        <v>2017</v>
      </c>
      <c r="E839" t="s">
        <v>2982</v>
      </c>
      <c r="F839" t="s">
        <v>9155</v>
      </c>
    </row>
    <row r="840" spans="1:6" x14ac:dyDescent="0.25">
      <c r="A840" t="s">
        <v>2173</v>
      </c>
      <c r="B840" t="s">
        <v>1837</v>
      </c>
      <c r="C840">
        <v>2013</v>
      </c>
      <c r="E840" s="10" t="s">
        <v>8377</v>
      </c>
      <c r="F840" t="s">
        <v>9072</v>
      </c>
    </row>
    <row r="841" spans="1:6" x14ac:dyDescent="0.25">
      <c r="A841" t="s">
        <v>160</v>
      </c>
      <c r="B841" t="s">
        <v>1837</v>
      </c>
      <c r="C841">
        <v>2011</v>
      </c>
      <c r="E841" s="10" t="s">
        <v>8377</v>
      </c>
      <c r="F841" t="s">
        <v>9302</v>
      </c>
    </row>
    <row r="842" spans="1:6" x14ac:dyDescent="0.25">
      <c r="A842" t="s">
        <v>2804</v>
      </c>
      <c r="B842" t="s">
        <v>1837</v>
      </c>
      <c r="C842">
        <v>2021</v>
      </c>
      <c r="E842" t="s">
        <v>3013</v>
      </c>
    </row>
    <row r="843" spans="1:6" x14ac:dyDescent="0.25">
      <c r="A843" t="s">
        <v>160</v>
      </c>
      <c r="B843" t="s">
        <v>1843</v>
      </c>
      <c r="C843">
        <v>2011</v>
      </c>
      <c r="E843" t="s">
        <v>3409</v>
      </c>
      <c r="F843" t="s">
        <v>9303</v>
      </c>
    </row>
    <row r="844" spans="1:6" x14ac:dyDescent="0.25">
      <c r="A844" t="s">
        <v>946</v>
      </c>
      <c r="B844" t="s">
        <v>1847</v>
      </c>
      <c r="C844">
        <v>2014</v>
      </c>
      <c r="E844" t="s">
        <v>3164</v>
      </c>
    </row>
    <row r="845" spans="1:6" x14ac:dyDescent="0.25">
      <c r="A845" t="s">
        <v>1144</v>
      </c>
      <c r="B845" t="s">
        <v>1847</v>
      </c>
      <c r="C845">
        <v>2012</v>
      </c>
      <c r="E845" t="s">
        <v>3208</v>
      </c>
      <c r="F845" t="s">
        <v>8774</v>
      </c>
    </row>
    <row r="846" spans="1:6" x14ac:dyDescent="0.25">
      <c r="A846" t="s">
        <v>2506</v>
      </c>
      <c r="B846" t="s">
        <v>1851</v>
      </c>
      <c r="C846">
        <v>2021</v>
      </c>
      <c r="E846" t="s">
        <v>2982</v>
      </c>
      <c r="F846" t="s">
        <v>9254</v>
      </c>
    </row>
    <row r="847" spans="1:6" x14ac:dyDescent="0.25">
      <c r="A847" t="s">
        <v>160</v>
      </c>
      <c r="B847" t="s">
        <v>1851</v>
      </c>
      <c r="C847">
        <v>2011</v>
      </c>
      <c r="E847" t="s">
        <v>2982</v>
      </c>
      <c r="F847" t="s">
        <v>9304</v>
      </c>
    </row>
    <row r="848" spans="1:6" x14ac:dyDescent="0.25">
      <c r="A848" t="s">
        <v>2804</v>
      </c>
      <c r="B848" t="s">
        <v>1851</v>
      </c>
      <c r="C848">
        <v>2021</v>
      </c>
      <c r="E848" t="s">
        <v>2982</v>
      </c>
      <c r="F848" t="s">
        <v>9363</v>
      </c>
    </row>
    <row r="849" spans="1:6" x14ac:dyDescent="0.25">
      <c r="A849" t="s">
        <v>1144</v>
      </c>
      <c r="B849" t="s">
        <v>1855</v>
      </c>
      <c r="C849">
        <v>2012</v>
      </c>
      <c r="E849" s="10" t="s">
        <v>8417</v>
      </c>
      <c r="F849" t="s">
        <v>8775</v>
      </c>
    </row>
    <row r="850" spans="1:6" x14ac:dyDescent="0.25">
      <c r="A850" t="s">
        <v>2322</v>
      </c>
      <c r="B850" t="s">
        <v>1855</v>
      </c>
      <c r="C850">
        <v>2010</v>
      </c>
      <c r="E850" t="s">
        <v>3341</v>
      </c>
      <c r="F850" t="s">
        <v>9086</v>
      </c>
    </row>
    <row r="851" spans="1:6" x14ac:dyDescent="0.25">
      <c r="A851" t="s">
        <v>2428</v>
      </c>
      <c r="B851" t="s">
        <v>1855</v>
      </c>
      <c r="C851">
        <v>2008</v>
      </c>
      <c r="E851" s="10" t="s">
        <v>8417</v>
      </c>
      <c r="F851" t="s">
        <v>9235</v>
      </c>
    </row>
    <row r="852" spans="1:6" x14ac:dyDescent="0.25">
      <c r="A852" t="s">
        <v>160</v>
      </c>
      <c r="B852" t="s">
        <v>1855</v>
      </c>
      <c r="C852">
        <v>2011</v>
      </c>
      <c r="E852" s="10" t="s">
        <v>8417</v>
      </c>
      <c r="F852" t="s">
        <v>9305</v>
      </c>
    </row>
    <row r="853" spans="1:6" x14ac:dyDescent="0.25">
      <c r="A853" t="s">
        <v>1294</v>
      </c>
      <c r="B853" t="s">
        <v>1859</v>
      </c>
      <c r="C853">
        <v>2019</v>
      </c>
      <c r="E853" t="s">
        <v>3013</v>
      </c>
    </row>
    <row r="854" spans="1:6" x14ac:dyDescent="0.25">
      <c r="A854" t="s">
        <v>344</v>
      </c>
      <c r="B854" t="s">
        <v>1863</v>
      </c>
      <c r="C854">
        <v>2023</v>
      </c>
      <c r="E854" t="s">
        <v>2982</v>
      </c>
      <c r="F854" t="s">
        <v>8500</v>
      </c>
    </row>
    <row r="855" spans="1:6" x14ac:dyDescent="0.25">
      <c r="A855" t="s">
        <v>2506</v>
      </c>
      <c r="B855" t="s">
        <v>1863</v>
      </c>
      <c r="C855">
        <v>2021</v>
      </c>
      <c r="E855" t="s">
        <v>2982</v>
      </c>
      <c r="F855" t="s">
        <v>9255</v>
      </c>
    </row>
    <row r="856" spans="1:6" x14ac:dyDescent="0.25">
      <c r="A856" t="s">
        <v>2614</v>
      </c>
      <c r="B856" t="s">
        <v>1863</v>
      </c>
      <c r="C856">
        <v>2025</v>
      </c>
      <c r="E856" t="s">
        <v>2982</v>
      </c>
      <c r="F856" t="s">
        <v>9273</v>
      </c>
    </row>
    <row r="857" spans="1:6" x14ac:dyDescent="0.25">
      <c r="A857" t="s">
        <v>759</v>
      </c>
      <c r="B857" t="s">
        <v>1865</v>
      </c>
      <c r="C857">
        <v>2018</v>
      </c>
      <c r="E857" t="s">
        <v>3013</v>
      </c>
    </row>
    <row r="858" spans="1:6" x14ac:dyDescent="0.25">
      <c r="A858" t="s">
        <v>90</v>
      </c>
      <c r="B858" t="s">
        <v>1867</v>
      </c>
      <c r="C858">
        <v>2017</v>
      </c>
      <c r="E858" t="s">
        <v>3373</v>
      </c>
    </row>
    <row r="859" spans="1:6" x14ac:dyDescent="0.25">
      <c r="A859" t="s">
        <v>160</v>
      </c>
      <c r="B859" t="s">
        <v>1867</v>
      </c>
      <c r="C859">
        <v>2011</v>
      </c>
      <c r="E859" t="s">
        <v>3373</v>
      </c>
    </row>
    <row r="860" spans="1:6" x14ac:dyDescent="0.25">
      <c r="A860" t="s">
        <v>651</v>
      </c>
      <c r="B860" t="s">
        <v>1875</v>
      </c>
      <c r="C860">
        <v>2023</v>
      </c>
      <c r="E860" t="s">
        <v>3081</v>
      </c>
    </row>
    <row r="861" spans="1:6" x14ac:dyDescent="0.25">
      <c r="A861" t="s">
        <v>1046</v>
      </c>
      <c r="B861" t="s">
        <v>1877</v>
      </c>
      <c r="C861">
        <v>2016</v>
      </c>
      <c r="E861" t="s">
        <v>3189</v>
      </c>
      <c r="F861" t="s">
        <v>8746</v>
      </c>
    </row>
    <row r="862" spans="1:6" x14ac:dyDescent="0.25">
      <c r="A862" t="s">
        <v>1855</v>
      </c>
      <c r="B862" t="s">
        <v>1877</v>
      </c>
      <c r="C862">
        <v>2015</v>
      </c>
      <c r="E862" t="s">
        <v>3189</v>
      </c>
      <c r="F862" t="s">
        <v>8988</v>
      </c>
    </row>
    <row r="863" spans="1:6" x14ac:dyDescent="0.25">
      <c r="A863" t="s">
        <v>1516</v>
      </c>
      <c r="B863" t="s">
        <v>1879</v>
      </c>
      <c r="C863">
        <v>2024</v>
      </c>
      <c r="D863" t="s">
        <v>187</v>
      </c>
    </row>
    <row r="864" spans="1:6" x14ac:dyDescent="0.25">
      <c r="A864" t="s">
        <v>1855</v>
      </c>
      <c r="B864" t="s">
        <v>1879</v>
      </c>
      <c r="C864">
        <v>2015</v>
      </c>
      <c r="E864" t="s">
        <v>3302</v>
      </c>
    </row>
    <row r="865" spans="1:6" x14ac:dyDescent="0.25">
      <c r="A865" t="s">
        <v>2254</v>
      </c>
      <c r="B865" t="s">
        <v>1879</v>
      </c>
      <c r="C865">
        <v>2020</v>
      </c>
      <c r="E865" t="s">
        <v>3302</v>
      </c>
    </row>
    <row r="866" spans="1:6" x14ac:dyDescent="0.25">
      <c r="A866" t="s">
        <v>2154</v>
      </c>
      <c r="B866" t="s">
        <v>1882</v>
      </c>
      <c r="C866">
        <v>1980</v>
      </c>
      <c r="E866" s="10" t="s">
        <v>8461</v>
      </c>
      <c r="F866" t="s">
        <v>8462</v>
      </c>
    </row>
    <row r="867" spans="1:6" x14ac:dyDescent="0.25">
      <c r="A867" t="s">
        <v>2721</v>
      </c>
      <c r="B867" t="s">
        <v>1885</v>
      </c>
      <c r="C867">
        <v>1993</v>
      </c>
      <c r="D867" t="s">
        <v>187</v>
      </c>
    </row>
    <row r="868" spans="1:6" x14ac:dyDescent="0.25">
      <c r="A868" t="s">
        <v>1891</v>
      </c>
      <c r="B868" t="s">
        <v>1887</v>
      </c>
      <c r="C868">
        <v>2017</v>
      </c>
      <c r="D868" t="s">
        <v>187</v>
      </c>
    </row>
    <row r="869" spans="1:6" x14ac:dyDescent="0.25">
      <c r="A869" t="s">
        <v>1885</v>
      </c>
      <c r="B869" t="s">
        <v>1891</v>
      </c>
      <c r="C869">
        <v>2015</v>
      </c>
      <c r="D869" t="s">
        <v>187</v>
      </c>
    </row>
    <row r="870" spans="1:6" x14ac:dyDescent="0.25">
      <c r="A870" t="s">
        <v>353</v>
      </c>
      <c r="B870" t="s">
        <v>1893</v>
      </c>
      <c r="C870">
        <v>2023</v>
      </c>
      <c r="E870" t="s">
        <v>3035</v>
      </c>
      <c r="F870" t="s">
        <v>8531</v>
      </c>
    </row>
    <row r="871" spans="1:6" x14ac:dyDescent="0.25">
      <c r="A871" t="s">
        <v>364</v>
      </c>
      <c r="B871" t="s">
        <v>1893</v>
      </c>
      <c r="C871">
        <v>2024</v>
      </c>
      <c r="E871" t="s">
        <v>3035</v>
      </c>
      <c r="F871" t="s">
        <v>8552</v>
      </c>
    </row>
    <row r="872" spans="1:6" x14ac:dyDescent="0.25">
      <c r="A872" t="s">
        <v>1576</v>
      </c>
      <c r="B872" t="s">
        <v>1893</v>
      </c>
      <c r="C872">
        <v>2021</v>
      </c>
      <c r="E872" t="s">
        <v>3035</v>
      </c>
      <c r="F872" t="s">
        <v>8906</v>
      </c>
    </row>
    <row r="873" spans="1:6" x14ac:dyDescent="0.25">
      <c r="A873" t="s">
        <v>1144</v>
      </c>
      <c r="B873" t="s">
        <v>1895</v>
      </c>
      <c r="C873">
        <v>2012</v>
      </c>
      <c r="E873" t="s">
        <v>3209</v>
      </c>
      <c r="F873" t="s">
        <v>8776</v>
      </c>
    </row>
    <row r="874" spans="1:6" x14ac:dyDescent="0.25">
      <c r="A874" t="s">
        <v>1855</v>
      </c>
      <c r="B874" t="s">
        <v>1895</v>
      </c>
      <c r="C874">
        <v>2015</v>
      </c>
      <c r="E874" t="s">
        <v>3209</v>
      </c>
      <c r="F874" t="s">
        <v>8989</v>
      </c>
    </row>
    <row r="875" spans="1:6" x14ac:dyDescent="0.25">
      <c r="A875" t="s">
        <v>90</v>
      </c>
      <c r="B875" t="s">
        <v>1895</v>
      </c>
      <c r="C875">
        <v>2017</v>
      </c>
      <c r="E875" t="s">
        <v>3209</v>
      </c>
      <c r="F875" t="s">
        <v>9156</v>
      </c>
    </row>
    <row r="876" spans="1:6" x14ac:dyDescent="0.25">
      <c r="A876" t="s">
        <v>1761</v>
      </c>
      <c r="B876" t="s">
        <v>1899</v>
      </c>
      <c r="C876">
        <v>1995</v>
      </c>
      <c r="E876" t="s">
        <v>3274</v>
      </c>
    </row>
    <row r="877" spans="1:6" x14ac:dyDescent="0.25">
      <c r="A877" t="s">
        <v>2721</v>
      </c>
      <c r="B877" t="s">
        <v>1899</v>
      </c>
      <c r="C877">
        <v>1993</v>
      </c>
      <c r="E877" t="s">
        <v>3274</v>
      </c>
    </row>
    <row r="878" spans="1:6" x14ac:dyDescent="0.25">
      <c r="A878" t="s">
        <v>1970</v>
      </c>
      <c r="B878" t="s">
        <v>1903</v>
      </c>
      <c r="C878">
        <v>2012</v>
      </c>
      <c r="E878" t="s">
        <v>3306</v>
      </c>
    </row>
    <row r="879" spans="1:6" x14ac:dyDescent="0.25">
      <c r="A879" t="s">
        <v>205</v>
      </c>
      <c r="B879" t="s">
        <v>7838</v>
      </c>
      <c r="C879">
        <v>2015</v>
      </c>
      <c r="E879" s="10" t="s">
        <v>8378</v>
      </c>
      <c r="F879" t="s">
        <v>8471</v>
      </c>
    </row>
    <row r="880" spans="1:6" x14ac:dyDescent="0.25">
      <c r="A880" t="s">
        <v>1553</v>
      </c>
      <c r="B880" t="s">
        <v>7838</v>
      </c>
      <c r="C880">
        <v>2017</v>
      </c>
      <c r="E880" t="s">
        <v>7823</v>
      </c>
      <c r="F880" t="s">
        <v>8889</v>
      </c>
    </row>
    <row r="881" spans="1:6" x14ac:dyDescent="0.25">
      <c r="A881" t="s">
        <v>2324</v>
      </c>
      <c r="B881" t="s">
        <v>7838</v>
      </c>
      <c r="C881">
        <v>2022</v>
      </c>
      <c r="E881" s="10" t="s">
        <v>8379</v>
      </c>
      <c r="F881" t="s">
        <v>9088</v>
      </c>
    </row>
    <row r="882" spans="1:6" x14ac:dyDescent="0.25">
      <c r="A882" t="s">
        <v>2361</v>
      </c>
      <c r="B882" t="s">
        <v>7838</v>
      </c>
      <c r="C882">
        <v>2018</v>
      </c>
      <c r="E882" s="10" t="s">
        <v>8379</v>
      </c>
      <c r="F882" t="s">
        <v>9202</v>
      </c>
    </row>
    <row r="883" spans="1:6" x14ac:dyDescent="0.25">
      <c r="A883" t="s">
        <v>2506</v>
      </c>
      <c r="B883" t="s">
        <v>7838</v>
      </c>
      <c r="C883">
        <v>2021</v>
      </c>
      <c r="E883" t="s">
        <v>7823</v>
      </c>
      <c r="F883" t="s">
        <v>9256</v>
      </c>
    </row>
    <row r="884" spans="1:6" x14ac:dyDescent="0.25">
      <c r="A884" t="s">
        <v>847</v>
      </c>
      <c r="B884" t="s">
        <v>1911</v>
      </c>
      <c r="C884">
        <v>1996</v>
      </c>
      <c r="E884" s="10" t="s">
        <v>8380</v>
      </c>
      <c r="F884" t="s">
        <v>8675</v>
      </c>
    </row>
    <row r="885" spans="1:6" x14ac:dyDescent="0.25">
      <c r="A885" t="s">
        <v>914</v>
      </c>
      <c r="B885" t="s">
        <v>1911</v>
      </c>
      <c r="C885">
        <v>2013</v>
      </c>
      <c r="E885" s="10" t="s">
        <v>8380</v>
      </c>
      <c r="F885" t="s">
        <v>8693</v>
      </c>
    </row>
    <row r="886" spans="1:6" x14ac:dyDescent="0.25">
      <c r="A886" t="s">
        <v>1144</v>
      </c>
      <c r="B886" t="s">
        <v>1911</v>
      </c>
      <c r="C886">
        <v>2012</v>
      </c>
      <c r="E886" t="s">
        <v>3210</v>
      </c>
      <c r="F886" t="s">
        <v>8777</v>
      </c>
    </row>
    <row r="887" spans="1:6" x14ac:dyDescent="0.25">
      <c r="A887" t="s">
        <v>160</v>
      </c>
      <c r="B887" t="s">
        <v>1911</v>
      </c>
      <c r="C887">
        <v>2011</v>
      </c>
      <c r="E887" t="s">
        <v>3210</v>
      </c>
      <c r="F887" t="s">
        <v>9306</v>
      </c>
    </row>
    <row r="888" spans="1:6" x14ac:dyDescent="0.25">
      <c r="A888" t="s">
        <v>1795</v>
      </c>
      <c r="B888" t="s">
        <v>1918</v>
      </c>
      <c r="C888">
        <v>1987</v>
      </c>
      <c r="E888" t="s">
        <v>2982</v>
      </c>
      <c r="F888" t="s">
        <v>8957</v>
      </c>
    </row>
    <row r="889" spans="1:6" x14ac:dyDescent="0.25">
      <c r="A889" t="s">
        <v>90</v>
      </c>
      <c r="B889" t="s">
        <v>1921</v>
      </c>
      <c r="C889">
        <v>2017</v>
      </c>
      <c r="E889" t="s">
        <v>3013</v>
      </c>
    </row>
    <row r="890" spans="1:6" x14ac:dyDescent="0.25">
      <c r="A890" t="s">
        <v>2009</v>
      </c>
      <c r="B890" t="s">
        <v>1925</v>
      </c>
      <c r="C890">
        <v>2005</v>
      </c>
      <c r="E890" t="s">
        <v>3307</v>
      </c>
      <c r="F890" t="s">
        <v>9009</v>
      </c>
    </row>
    <row r="891" spans="1:6" x14ac:dyDescent="0.25">
      <c r="A891" t="s">
        <v>160</v>
      </c>
      <c r="B891" t="s">
        <v>1927</v>
      </c>
      <c r="C891">
        <v>2011</v>
      </c>
      <c r="E891" t="s">
        <v>2982</v>
      </c>
      <c r="F891" t="s">
        <v>9307</v>
      </c>
    </row>
    <row r="892" spans="1:6" x14ac:dyDescent="0.25">
      <c r="A892" t="s">
        <v>1046</v>
      </c>
      <c r="B892" t="s">
        <v>7925</v>
      </c>
      <c r="C892">
        <v>2016</v>
      </c>
      <c r="E892" s="10" t="s">
        <v>7924</v>
      </c>
    </row>
    <row r="893" spans="1:6" x14ac:dyDescent="0.25">
      <c r="A893" t="s">
        <v>353</v>
      </c>
      <c r="B893" t="s">
        <v>1931</v>
      </c>
      <c r="C893">
        <v>2023</v>
      </c>
      <c r="E893" t="s">
        <v>3036</v>
      </c>
      <c r="F893" t="s">
        <v>8532</v>
      </c>
    </row>
    <row r="894" spans="1:6" x14ac:dyDescent="0.25">
      <c r="A894" t="s">
        <v>1046</v>
      </c>
      <c r="B894" t="s">
        <v>1933</v>
      </c>
      <c r="C894">
        <v>2016</v>
      </c>
      <c r="E894" s="10" t="s">
        <v>8419</v>
      </c>
    </row>
    <row r="895" spans="1:6" x14ac:dyDescent="0.25">
      <c r="A895" t="s">
        <v>160</v>
      </c>
      <c r="B895" t="s">
        <v>1933</v>
      </c>
      <c r="C895">
        <v>2011</v>
      </c>
      <c r="E895" t="s">
        <v>3410</v>
      </c>
    </row>
    <row r="896" spans="1:6" x14ac:dyDescent="0.25">
      <c r="A896" t="s">
        <v>964</v>
      </c>
      <c r="B896" t="s">
        <v>1937</v>
      </c>
      <c r="C896">
        <v>2006</v>
      </c>
      <c r="E896" t="s">
        <v>1940</v>
      </c>
      <c r="F896" t="s">
        <v>8716</v>
      </c>
    </row>
    <row r="897" spans="1:6" x14ac:dyDescent="0.25">
      <c r="A897" t="s">
        <v>2107</v>
      </c>
      <c r="B897" t="s">
        <v>1937</v>
      </c>
      <c r="C897">
        <v>2020</v>
      </c>
      <c r="E897" t="s">
        <v>1940</v>
      </c>
      <c r="F897" t="s">
        <v>9018</v>
      </c>
    </row>
    <row r="898" spans="1:6" x14ac:dyDescent="0.25">
      <c r="A898" t="s">
        <v>2571</v>
      </c>
      <c r="B898" t="s">
        <v>1937</v>
      </c>
      <c r="C898">
        <v>1998</v>
      </c>
      <c r="E898" t="s">
        <v>1940</v>
      </c>
    </row>
    <row r="899" spans="1:6" x14ac:dyDescent="0.25">
      <c r="A899" t="s">
        <v>1046</v>
      </c>
      <c r="B899" t="s">
        <v>1941</v>
      </c>
      <c r="C899">
        <v>2016</v>
      </c>
      <c r="E899" t="s">
        <v>3190</v>
      </c>
      <c r="F899" t="s">
        <v>8747</v>
      </c>
    </row>
    <row r="900" spans="1:6" x14ac:dyDescent="0.25">
      <c r="A900" t="s">
        <v>1817</v>
      </c>
      <c r="B900" t="s">
        <v>1941</v>
      </c>
      <c r="C900">
        <v>2019</v>
      </c>
      <c r="E900" t="s">
        <v>3295</v>
      </c>
      <c r="F900" t="s">
        <v>8970</v>
      </c>
    </row>
    <row r="901" spans="1:6" x14ac:dyDescent="0.25">
      <c r="A901" t="s">
        <v>160</v>
      </c>
      <c r="B901" t="s">
        <v>1941</v>
      </c>
      <c r="C901">
        <v>2011</v>
      </c>
      <c r="E901" t="s">
        <v>3411</v>
      </c>
      <c r="F901" t="s">
        <v>9308</v>
      </c>
    </row>
    <row r="902" spans="1:6" x14ac:dyDescent="0.25">
      <c r="A902" t="s">
        <v>1795</v>
      </c>
      <c r="B902" t="s">
        <v>1944</v>
      </c>
      <c r="C902">
        <v>1987</v>
      </c>
      <c r="E902" t="s">
        <v>3285</v>
      </c>
      <c r="F902" t="s">
        <v>8958</v>
      </c>
    </row>
    <row r="903" spans="1:6" x14ac:dyDescent="0.25">
      <c r="A903" t="s">
        <v>1443</v>
      </c>
      <c r="B903" t="s">
        <v>1947</v>
      </c>
      <c r="C903">
        <v>2018</v>
      </c>
      <c r="E903" t="s">
        <v>3252</v>
      </c>
      <c r="F903" t="s">
        <v>8876</v>
      </c>
    </row>
    <row r="904" spans="1:6" x14ac:dyDescent="0.25">
      <c r="A904" t="s">
        <v>90</v>
      </c>
      <c r="B904" t="s">
        <v>1947</v>
      </c>
      <c r="C904">
        <v>2017</v>
      </c>
      <c r="E904" t="s">
        <v>3252</v>
      </c>
      <c r="F904" t="s">
        <v>9157</v>
      </c>
    </row>
    <row r="905" spans="1:6" x14ac:dyDescent="0.25">
      <c r="A905" t="s">
        <v>497</v>
      </c>
      <c r="B905" t="s">
        <v>8127</v>
      </c>
      <c r="C905">
        <v>2022</v>
      </c>
      <c r="E905" s="10" t="s">
        <v>8135</v>
      </c>
      <c r="F905" t="s">
        <v>8573</v>
      </c>
    </row>
    <row r="906" spans="1:6" x14ac:dyDescent="0.25">
      <c r="A906" t="s">
        <v>2377</v>
      </c>
      <c r="B906" t="s">
        <v>8127</v>
      </c>
      <c r="C906">
        <v>2021</v>
      </c>
      <c r="E906" s="10" t="s">
        <v>8135</v>
      </c>
      <c r="F906" t="s">
        <v>9207</v>
      </c>
    </row>
    <row r="907" spans="1:6" x14ac:dyDescent="0.25">
      <c r="A907" t="s">
        <v>90</v>
      </c>
      <c r="B907" t="s">
        <v>1951</v>
      </c>
      <c r="C907">
        <v>2017</v>
      </c>
      <c r="E907" t="s">
        <v>3374</v>
      </c>
      <c r="F907" t="s">
        <v>9158</v>
      </c>
    </row>
    <row r="908" spans="1:6" x14ac:dyDescent="0.25">
      <c r="A908" t="s">
        <v>353</v>
      </c>
      <c r="B908" t="s">
        <v>1955</v>
      </c>
      <c r="C908">
        <v>2023</v>
      </c>
      <c r="E908" t="s">
        <v>3037</v>
      </c>
      <c r="F908" t="s">
        <v>8533</v>
      </c>
    </row>
    <row r="909" spans="1:6" x14ac:dyDescent="0.25">
      <c r="A909" t="s">
        <v>1851</v>
      </c>
      <c r="B909" t="s">
        <v>1955</v>
      </c>
      <c r="C909">
        <v>2024</v>
      </c>
      <c r="E909" t="s">
        <v>3037</v>
      </c>
      <c r="F909" t="s">
        <v>8975</v>
      </c>
    </row>
    <row r="910" spans="1:6" x14ac:dyDescent="0.25">
      <c r="A910" t="s">
        <v>1951</v>
      </c>
      <c r="B910" t="s">
        <v>1955</v>
      </c>
      <c r="C910">
        <v>2022</v>
      </c>
      <c r="E910" t="s">
        <v>3037</v>
      </c>
      <c r="F910" t="s">
        <v>9005</v>
      </c>
    </row>
    <row r="911" spans="1:6" x14ac:dyDescent="0.25">
      <c r="A911" t="s">
        <v>185</v>
      </c>
      <c r="B911" t="s">
        <v>7653</v>
      </c>
      <c r="C911">
        <v>2022</v>
      </c>
      <c r="E911" t="s">
        <v>7656</v>
      </c>
      <c r="F911" t="s">
        <v>9406</v>
      </c>
    </row>
    <row r="912" spans="1:6" x14ac:dyDescent="0.25">
      <c r="A912" t="s">
        <v>360</v>
      </c>
      <c r="B912" t="s">
        <v>7653</v>
      </c>
      <c r="C912">
        <v>2025</v>
      </c>
      <c r="E912" t="s">
        <v>7656</v>
      </c>
      <c r="F912" t="s">
        <v>9408</v>
      </c>
    </row>
    <row r="913" spans="1:6" x14ac:dyDescent="0.25">
      <c r="A913" t="s">
        <v>497</v>
      </c>
      <c r="B913" t="s">
        <v>7653</v>
      </c>
      <c r="C913">
        <v>2022</v>
      </c>
      <c r="E913" t="s">
        <v>7656</v>
      </c>
      <c r="F913" t="s">
        <v>9409</v>
      </c>
    </row>
    <row r="914" spans="1:6" x14ac:dyDescent="0.25">
      <c r="A914" t="s">
        <v>606</v>
      </c>
      <c r="B914" t="s">
        <v>7653</v>
      </c>
      <c r="C914">
        <v>2025</v>
      </c>
      <c r="E914" t="s">
        <v>7656</v>
      </c>
      <c r="F914" t="s">
        <v>9410</v>
      </c>
    </row>
    <row r="915" spans="1:6" x14ac:dyDescent="0.25">
      <c r="A915" t="s">
        <v>811</v>
      </c>
      <c r="B915" t="s">
        <v>7653</v>
      </c>
      <c r="C915">
        <v>2024</v>
      </c>
      <c r="E915" t="s">
        <v>7656</v>
      </c>
      <c r="F915" t="s">
        <v>9411</v>
      </c>
    </row>
    <row r="916" spans="1:6" x14ac:dyDescent="0.25">
      <c r="A916" t="s">
        <v>1621</v>
      </c>
      <c r="B916" t="s">
        <v>7653</v>
      </c>
      <c r="C916">
        <v>2025</v>
      </c>
      <c r="E916" t="s">
        <v>7656</v>
      </c>
      <c r="F916" t="s">
        <v>9412</v>
      </c>
    </row>
    <row r="917" spans="1:6" x14ac:dyDescent="0.25">
      <c r="A917" t="s">
        <v>160</v>
      </c>
      <c r="B917" t="s">
        <v>7653</v>
      </c>
      <c r="C917">
        <v>2011</v>
      </c>
      <c r="E917" t="s">
        <v>7656</v>
      </c>
      <c r="F917" t="s">
        <v>9413</v>
      </c>
    </row>
    <row r="918" spans="1:6" x14ac:dyDescent="0.25">
      <c r="A918" t="s">
        <v>333</v>
      </c>
      <c r="B918" t="s">
        <v>1958</v>
      </c>
      <c r="C918">
        <v>2020</v>
      </c>
      <c r="E918" t="s">
        <v>1961</v>
      </c>
      <c r="F918" t="s">
        <v>8495</v>
      </c>
    </row>
    <row r="919" spans="1:6" x14ac:dyDescent="0.25">
      <c r="A919" t="s">
        <v>497</v>
      </c>
      <c r="B919" t="s">
        <v>1958</v>
      </c>
      <c r="C919">
        <v>2022</v>
      </c>
      <c r="E919" t="s">
        <v>1961</v>
      </c>
      <c r="F919" t="s">
        <v>8574</v>
      </c>
    </row>
    <row r="920" spans="1:6" x14ac:dyDescent="0.25">
      <c r="A920" t="s">
        <v>2804</v>
      </c>
      <c r="B920" t="s">
        <v>1958</v>
      </c>
      <c r="C920">
        <v>2021</v>
      </c>
      <c r="E920" s="10" t="s">
        <v>1961</v>
      </c>
      <c r="F920" t="s">
        <v>9364</v>
      </c>
    </row>
    <row r="921" spans="1:6" x14ac:dyDescent="0.25">
      <c r="A921" t="s">
        <v>847</v>
      </c>
      <c r="B921" t="s">
        <v>1962</v>
      </c>
      <c r="C921">
        <v>1996</v>
      </c>
      <c r="E921" s="10" t="s">
        <v>1965</v>
      </c>
      <c r="F921" t="s">
        <v>8676</v>
      </c>
    </row>
    <row r="922" spans="1:6" x14ac:dyDescent="0.25">
      <c r="A922" t="s">
        <v>2804</v>
      </c>
      <c r="B922" t="s">
        <v>1962</v>
      </c>
      <c r="C922">
        <v>2021</v>
      </c>
      <c r="E922" t="s">
        <v>3013</v>
      </c>
    </row>
    <row r="923" spans="1:6" x14ac:dyDescent="0.25">
      <c r="A923" t="s">
        <v>353</v>
      </c>
      <c r="B923" t="s">
        <v>1966</v>
      </c>
      <c r="C923">
        <v>2023</v>
      </c>
      <c r="E923" t="s">
        <v>1969</v>
      </c>
      <c r="F923" t="s">
        <v>8534</v>
      </c>
    </row>
    <row r="924" spans="1:6" x14ac:dyDescent="0.25">
      <c r="A924" t="s">
        <v>490</v>
      </c>
      <c r="B924" t="s">
        <v>1970</v>
      </c>
      <c r="C924">
        <v>2009</v>
      </c>
      <c r="E924" t="s">
        <v>3060</v>
      </c>
      <c r="F924" t="s">
        <v>8559</v>
      </c>
    </row>
    <row r="925" spans="1:6" x14ac:dyDescent="0.25">
      <c r="A925" t="s">
        <v>353</v>
      </c>
      <c r="B925" t="s">
        <v>1977</v>
      </c>
      <c r="C925">
        <v>2023</v>
      </c>
      <c r="E925" t="s">
        <v>3013</v>
      </c>
    </row>
    <row r="926" spans="1:6" x14ac:dyDescent="0.25">
      <c r="A926" t="s">
        <v>1576</v>
      </c>
      <c r="B926" t="s">
        <v>1980</v>
      </c>
      <c r="C926">
        <v>2021</v>
      </c>
      <c r="E926" t="s">
        <v>3265</v>
      </c>
      <c r="F926" t="s">
        <v>8907</v>
      </c>
    </row>
    <row r="927" spans="1:6" x14ac:dyDescent="0.25">
      <c r="A927" t="s">
        <v>90</v>
      </c>
      <c r="B927" t="s">
        <v>1982</v>
      </c>
      <c r="C927">
        <v>2017</v>
      </c>
      <c r="E927" t="s">
        <v>2982</v>
      </c>
      <c r="F927" t="s">
        <v>9159</v>
      </c>
    </row>
    <row r="928" spans="1:6" x14ac:dyDescent="0.25">
      <c r="A928" t="s">
        <v>1435</v>
      </c>
      <c r="B928" t="s">
        <v>1984</v>
      </c>
      <c r="C928">
        <v>2021</v>
      </c>
      <c r="E928" t="s">
        <v>3244</v>
      </c>
      <c r="F928" t="s">
        <v>8860</v>
      </c>
    </row>
    <row r="929" spans="1:6" x14ac:dyDescent="0.25">
      <c r="A929" t="s">
        <v>90</v>
      </c>
      <c r="B929" t="s">
        <v>1992</v>
      </c>
      <c r="C929">
        <v>2017</v>
      </c>
      <c r="E929" t="s">
        <v>3375</v>
      </c>
      <c r="F929" t="s">
        <v>9160</v>
      </c>
    </row>
    <row r="930" spans="1:6" x14ac:dyDescent="0.25">
      <c r="A930" t="s">
        <v>924</v>
      </c>
      <c r="B930" t="s">
        <v>1995</v>
      </c>
      <c r="C930">
        <v>2019</v>
      </c>
    </row>
    <row r="931" spans="1:6" x14ac:dyDescent="0.25">
      <c r="A931" t="s">
        <v>1995</v>
      </c>
      <c r="B931" t="s">
        <v>1998</v>
      </c>
      <c r="C931">
        <v>2021</v>
      </c>
    </row>
    <row r="932" spans="1:6" x14ac:dyDescent="0.25">
      <c r="A932" t="s">
        <v>90</v>
      </c>
      <c r="B932" t="s">
        <v>1998</v>
      </c>
      <c r="C932">
        <v>2017</v>
      </c>
    </row>
    <row r="933" spans="1:6" x14ac:dyDescent="0.25">
      <c r="A933" t="s">
        <v>2004</v>
      </c>
      <c r="B933" t="s">
        <v>2001</v>
      </c>
      <c r="C933">
        <v>2007</v>
      </c>
      <c r="D933" t="s">
        <v>187</v>
      </c>
    </row>
    <row r="934" spans="1:6" x14ac:dyDescent="0.25">
      <c r="A934" t="s">
        <v>2009</v>
      </c>
      <c r="B934" t="s">
        <v>2004</v>
      </c>
      <c r="C934">
        <v>2005</v>
      </c>
      <c r="D934" t="s">
        <v>187</v>
      </c>
    </row>
    <row r="935" spans="1:6" x14ac:dyDescent="0.25">
      <c r="A935" t="s">
        <v>2009</v>
      </c>
      <c r="B935" t="s">
        <v>2007</v>
      </c>
      <c r="C935">
        <v>2005</v>
      </c>
      <c r="D935" t="s">
        <v>187</v>
      </c>
    </row>
    <row r="936" spans="1:6" x14ac:dyDescent="0.25">
      <c r="A936" t="s">
        <v>2721</v>
      </c>
      <c r="B936" t="s">
        <v>2009</v>
      </c>
      <c r="C936">
        <v>1993</v>
      </c>
      <c r="D936" t="s">
        <v>187</v>
      </c>
    </row>
    <row r="937" spans="1:6" x14ac:dyDescent="0.25">
      <c r="A937" t="s">
        <v>2009</v>
      </c>
      <c r="B937" t="s">
        <v>2012</v>
      </c>
      <c r="C937">
        <v>2005</v>
      </c>
      <c r="D937" t="s">
        <v>187</v>
      </c>
    </row>
    <row r="938" spans="1:6" x14ac:dyDescent="0.25">
      <c r="A938" t="s">
        <v>2009</v>
      </c>
      <c r="B938" t="s">
        <v>2014</v>
      </c>
      <c r="C938">
        <v>2005</v>
      </c>
      <c r="D938" t="s">
        <v>187</v>
      </c>
    </row>
    <row r="939" spans="1:6" x14ac:dyDescent="0.25">
      <c r="A939" t="s">
        <v>2804</v>
      </c>
      <c r="B939" t="s">
        <v>7944</v>
      </c>
      <c r="C939">
        <v>2021</v>
      </c>
      <c r="E939" s="10" t="s">
        <v>7947</v>
      </c>
    </row>
    <row r="940" spans="1:6" x14ac:dyDescent="0.25">
      <c r="A940" t="s">
        <v>2136</v>
      </c>
      <c r="B940" t="s">
        <v>2016</v>
      </c>
      <c r="C940">
        <v>2020</v>
      </c>
      <c r="E940" t="s">
        <v>2982</v>
      </c>
    </row>
    <row r="941" spans="1:6" x14ac:dyDescent="0.25">
      <c r="A941" t="s">
        <v>1435</v>
      </c>
      <c r="B941" t="s">
        <v>2018</v>
      </c>
      <c r="C941">
        <v>2021</v>
      </c>
      <c r="E941" t="s">
        <v>3245</v>
      </c>
    </row>
    <row r="942" spans="1:6" x14ac:dyDescent="0.25">
      <c r="A942" t="s">
        <v>2016</v>
      </c>
      <c r="B942" t="s">
        <v>2018</v>
      </c>
      <c r="C942">
        <v>2024</v>
      </c>
      <c r="E942" t="s">
        <v>3245</v>
      </c>
    </row>
    <row r="943" spans="1:6" x14ac:dyDescent="0.25">
      <c r="A943" t="s">
        <v>90</v>
      </c>
      <c r="B943" t="s">
        <v>2018</v>
      </c>
      <c r="C943">
        <v>2017</v>
      </c>
      <c r="E943" t="s">
        <v>3245</v>
      </c>
    </row>
    <row r="944" spans="1:6" x14ac:dyDescent="0.25">
      <c r="A944" t="s">
        <v>256</v>
      </c>
      <c r="B944" t="s">
        <v>2023</v>
      </c>
      <c r="C944">
        <v>1994</v>
      </c>
      <c r="E944" t="s">
        <v>2994</v>
      </c>
      <c r="F944" t="s">
        <v>8480</v>
      </c>
    </row>
    <row r="945" spans="1:6" x14ac:dyDescent="0.25">
      <c r="A945" t="s">
        <v>260</v>
      </c>
      <c r="B945" t="s">
        <v>2023</v>
      </c>
      <c r="C945">
        <v>1990</v>
      </c>
      <c r="E945" t="s">
        <v>2994</v>
      </c>
      <c r="F945" t="s">
        <v>8488</v>
      </c>
    </row>
    <row r="946" spans="1:6" x14ac:dyDescent="0.25">
      <c r="A946" t="s">
        <v>847</v>
      </c>
      <c r="B946" t="s">
        <v>2023</v>
      </c>
      <c r="C946">
        <v>1996</v>
      </c>
      <c r="E946" t="s">
        <v>2994</v>
      </c>
      <c r="F946" t="s">
        <v>8677</v>
      </c>
    </row>
    <row r="947" spans="1:6" x14ac:dyDescent="0.25">
      <c r="A947" t="s">
        <v>1538</v>
      </c>
      <c r="B947" t="s">
        <v>2023</v>
      </c>
      <c r="C947">
        <v>1995</v>
      </c>
      <c r="E947" t="s">
        <v>2994</v>
      </c>
      <c r="F947" t="s">
        <v>9467</v>
      </c>
    </row>
    <row r="948" spans="1:6" x14ac:dyDescent="0.25">
      <c r="A948" t="s">
        <v>1725</v>
      </c>
      <c r="B948" t="s">
        <v>2023</v>
      </c>
      <c r="C948">
        <v>1983</v>
      </c>
      <c r="E948" t="s">
        <v>2994</v>
      </c>
      <c r="F948" t="s">
        <v>8933</v>
      </c>
    </row>
    <row r="949" spans="1:6" x14ac:dyDescent="0.25">
      <c r="A949" t="s">
        <v>1795</v>
      </c>
      <c r="B949" t="s">
        <v>2023</v>
      </c>
      <c r="C949">
        <v>1987</v>
      </c>
      <c r="E949" t="s">
        <v>3286</v>
      </c>
      <c r="F949" t="s">
        <v>8959</v>
      </c>
    </row>
    <row r="950" spans="1:6" x14ac:dyDescent="0.25">
      <c r="A950" t="s">
        <v>1817</v>
      </c>
      <c r="B950" t="s">
        <v>2026</v>
      </c>
      <c r="C950">
        <v>2019</v>
      </c>
      <c r="E950" t="s">
        <v>3296</v>
      </c>
    </row>
    <row r="951" spans="1:6" x14ac:dyDescent="0.25">
      <c r="A951" t="s">
        <v>160</v>
      </c>
      <c r="B951" t="s">
        <v>2028</v>
      </c>
      <c r="C951">
        <v>2011</v>
      </c>
      <c r="E951" t="s">
        <v>3412</v>
      </c>
      <c r="F951" t="s">
        <v>9309</v>
      </c>
    </row>
    <row r="952" spans="1:6" x14ac:dyDescent="0.25">
      <c r="A952" t="s">
        <v>2652</v>
      </c>
      <c r="B952" t="s">
        <v>2028</v>
      </c>
      <c r="C952">
        <v>2019</v>
      </c>
      <c r="E952" t="s">
        <v>3419</v>
      </c>
      <c r="F952" t="s">
        <v>9332</v>
      </c>
    </row>
    <row r="953" spans="1:6" x14ac:dyDescent="0.25">
      <c r="A953" t="s">
        <v>1294</v>
      </c>
      <c r="B953" t="s">
        <v>2031</v>
      </c>
      <c r="C953">
        <v>2019</v>
      </c>
      <c r="E953" t="s">
        <v>3233</v>
      </c>
      <c r="F953" t="s">
        <v>8825</v>
      </c>
    </row>
    <row r="954" spans="1:6" x14ac:dyDescent="0.25">
      <c r="A954" t="s">
        <v>2132</v>
      </c>
      <c r="B954" t="s">
        <v>2031</v>
      </c>
      <c r="C954">
        <v>2013</v>
      </c>
      <c r="E954" t="s">
        <v>3233</v>
      </c>
      <c r="F954" t="s">
        <v>9022</v>
      </c>
    </row>
    <row r="955" spans="1:6" x14ac:dyDescent="0.25">
      <c r="A955" t="s">
        <v>2906</v>
      </c>
      <c r="B955" t="s">
        <v>2031</v>
      </c>
      <c r="C955">
        <v>2018</v>
      </c>
      <c r="E955" t="s">
        <v>3233</v>
      </c>
      <c r="F955" t="s">
        <v>9388</v>
      </c>
    </row>
    <row r="956" spans="1:6" x14ac:dyDescent="0.25">
      <c r="A956" t="s">
        <v>1129</v>
      </c>
      <c r="B956" t="s">
        <v>8115</v>
      </c>
      <c r="C956">
        <v>2022</v>
      </c>
      <c r="D956" t="s">
        <v>187</v>
      </c>
    </row>
    <row r="957" spans="1:6" x14ac:dyDescent="0.25">
      <c r="A957" t="s">
        <v>922</v>
      </c>
      <c r="B957" t="s">
        <v>2035</v>
      </c>
      <c r="C957">
        <v>2002</v>
      </c>
      <c r="E957" t="s">
        <v>3151</v>
      </c>
      <c r="F957" t="s">
        <v>8699</v>
      </c>
    </row>
    <row r="958" spans="1:6" x14ac:dyDescent="0.25">
      <c r="A958" t="s">
        <v>2154</v>
      </c>
      <c r="B958" t="s">
        <v>2035</v>
      </c>
      <c r="C958">
        <v>1980</v>
      </c>
      <c r="E958" t="s">
        <v>3151</v>
      </c>
      <c r="F958" t="s">
        <v>9054</v>
      </c>
    </row>
    <row r="959" spans="1:6" x14ac:dyDescent="0.25">
      <c r="A959" t="s">
        <v>178</v>
      </c>
      <c r="B959" t="s">
        <v>2039</v>
      </c>
      <c r="C959">
        <v>2010</v>
      </c>
      <c r="E959" t="s">
        <v>2981</v>
      </c>
      <c r="F959" t="s">
        <v>8466</v>
      </c>
    </row>
    <row r="960" spans="1:6" x14ac:dyDescent="0.25">
      <c r="A960" t="s">
        <v>994</v>
      </c>
      <c r="B960" t="s">
        <v>2039</v>
      </c>
      <c r="C960">
        <v>2011</v>
      </c>
      <c r="E960" t="s">
        <v>2981</v>
      </c>
      <c r="F960" t="s">
        <v>8721</v>
      </c>
    </row>
    <row r="961" spans="1:6" x14ac:dyDescent="0.25">
      <c r="A961" t="s">
        <v>1294</v>
      </c>
      <c r="B961" t="s">
        <v>2043</v>
      </c>
      <c r="C961">
        <v>2019</v>
      </c>
      <c r="E961" s="10" t="s">
        <v>8437</v>
      </c>
      <c r="F961" t="s">
        <v>8826</v>
      </c>
    </row>
    <row r="962" spans="1:6" x14ac:dyDescent="0.25">
      <c r="A962" t="s">
        <v>353</v>
      </c>
      <c r="B962" t="s">
        <v>2045</v>
      </c>
      <c r="C962">
        <v>2023</v>
      </c>
      <c r="E962" t="s">
        <v>3038</v>
      </c>
      <c r="F962" t="s">
        <v>8535</v>
      </c>
    </row>
    <row r="963" spans="1:6" x14ac:dyDescent="0.25">
      <c r="A963" t="s">
        <v>717</v>
      </c>
      <c r="B963" t="s">
        <v>2045</v>
      </c>
      <c r="C963">
        <v>2024</v>
      </c>
      <c r="E963" t="s">
        <v>3066</v>
      </c>
      <c r="F963" t="s">
        <v>8601</v>
      </c>
    </row>
    <row r="964" spans="1:6" x14ac:dyDescent="0.25">
      <c r="A964" t="s">
        <v>337</v>
      </c>
      <c r="B964" t="s">
        <v>2049</v>
      </c>
      <c r="C964">
        <v>2014</v>
      </c>
      <c r="E964" t="s">
        <v>3008</v>
      </c>
    </row>
    <row r="965" spans="1:6" x14ac:dyDescent="0.25">
      <c r="A965" t="s">
        <v>497</v>
      </c>
      <c r="B965" t="s">
        <v>2049</v>
      </c>
      <c r="C965">
        <v>2022</v>
      </c>
      <c r="E965" t="s">
        <v>3008</v>
      </c>
    </row>
    <row r="966" spans="1:6" x14ac:dyDescent="0.25">
      <c r="A966" t="s">
        <v>1795</v>
      </c>
      <c r="B966" t="s">
        <v>2053</v>
      </c>
      <c r="C966">
        <v>1987</v>
      </c>
      <c r="E966" t="s">
        <v>3287</v>
      </c>
      <c r="F966" t="s">
        <v>8960</v>
      </c>
    </row>
    <row r="967" spans="1:6" x14ac:dyDescent="0.25">
      <c r="A967" t="s">
        <v>2154</v>
      </c>
      <c r="B967" t="s">
        <v>2053</v>
      </c>
      <c r="C967">
        <v>1980</v>
      </c>
      <c r="E967" t="s">
        <v>3287</v>
      </c>
      <c r="F967" t="s">
        <v>9055</v>
      </c>
    </row>
    <row r="968" spans="1:6" x14ac:dyDescent="0.25">
      <c r="A968" t="s">
        <v>1046</v>
      </c>
      <c r="B968" t="s">
        <v>2056</v>
      </c>
      <c r="C968">
        <v>2016</v>
      </c>
      <c r="E968" t="s">
        <v>3191</v>
      </c>
      <c r="F968" t="s">
        <v>8748</v>
      </c>
    </row>
    <row r="969" spans="1:6" x14ac:dyDescent="0.25">
      <c r="A969" t="s">
        <v>1855</v>
      </c>
      <c r="B969" t="s">
        <v>2056</v>
      </c>
      <c r="C969">
        <v>2015</v>
      </c>
      <c r="E969" t="s">
        <v>3191</v>
      </c>
      <c r="F969" t="s">
        <v>8990</v>
      </c>
    </row>
    <row r="970" spans="1:6" x14ac:dyDescent="0.25">
      <c r="A970" t="s">
        <v>160</v>
      </c>
      <c r="B970" t="s">
        <v>2058</v>
      </c>
      <c r="C970">
        <v>2011</v>
      </c>
      <c r="E970" t="s">
        <v>3413</v>
      </c>
      <c r="F970" t="s">
        <v>9310</v>
      </c>
    </row>
    <row r="971" spans="1:6" x14ac:dyDescent="0.25">
      <c r="A971" t="s">
        <v>819</v>
      </c>
      <c r="B971" t="s">
        <v>7929</v>
      </c>
      <c r="C971">
        <v>2012</v>
      </c>
      <c r="E971" s="10" t="s">
        <v>7930</v>
      </c>
      <c r="F971" t="s">
        <v>9461</v>
      </c>
    </row>
    <row r="972" spans="1:6" x14ac:dyDescent="0.25">
      <c r="A972" t="s">
        <v>1496</v>
      </c>
      <c r="B972" t="s">
        <v>2061</v>
      </c>
      <c r="C972">
        <v>2016</v>
      </c>
      <c r="E972" t="s">
        <v>3013</v>
      </c>
    </row>
    <row r="973" spans="1:6" x14ac:dyDescent="0.25">
      <c r="A973" t="s">
        <v>90</v>
      </c>
      <c r="B973" t="s">
        <v>2061</v>
      </c>
      <c r="C973">
        <v>2017</v>
      </c>
      <c r="E973" t="s">
        <v>3013</v>
      </c>
    </row>
    <row r="974" spans="1:6" x14ac:dyDescent="0.25">
      <c r="A974" t="s">
        <v>726</v>
      </c>
      <c r="B974" t="s">
        <v>2065</v>
      </c>
      <c r="C974">
        <v>2020</v>
      </c>
      <c r="D974" t="s">
        <v>187</v>
      </c>
    </row>
    <row r="975" spans="1:6" x14ac:dyDescent="0.25">
      <c r="A975" t="s">
        <v>759</v>
      </c>
      <c r="B975" t="s">
        <v>2069</v>
      </c>
      <c r="C975">
        <v>2018</v>
      </c>
      <c r="E975" t="s">
        <v>2982</v>
      </c>
      <c r="F975" t="s">
        <v>8642</v>
      </c>
    </row>
    <row r="976" spans="1:6" x14ac:dyDescent="0.25">
      <c r="A976" t="s">
        <v>1294</v>
      </c>
      <c r="B976" t="s">
        <v>2069</v>
      </c>
      <c r="C976">
        <v>2019</v>
      </c>
      <c r="E976" t="s">
        <v>2982</v>
      </c>
      <c r="F976" t="s">
        <v>8827</v>
      </c>
    </row>
    <row r="977" spans="1:6" x14ac:dyDescent="0.25">
      <c r="A977" t="s">
        <v>1294</v>
      </c>
      <c r="B977" t="s">
        <v>2071</v>
      </c>
      <c r="C977">
        <v>2019</v>
      </c>
      <c r="E977" t="s">
        <v>3234</v>
      </c>
      <c r="F977" t="s">
        <v>8828</v>
      </c>
    </row>
    <row r="978" spans="1:6" x14ac:dyDescent="0.25">
      <c r="A978" t="s">
        <v>2335</v>
      </c>
      <c r="B978" t="s">
        <v>2071</v>
      </c>
      <c r="C978">
        <v>2020</v>
      </c>
      <c r="E978" t="s">
        <v>3234</v>
      </c>
      <c r="F978" t="s">
        <v>9089</v>
      </c>
    </row>
    <row r="979" spans="1:6" x14ac:dyDescent="0.25">
      <c r="A979" t="s">
        <v>1795</v>
      </c>
      <c r="B979" t="s">
        <v>2073</v>
      </c>
      <c r="C979">
        <v>1987</v>
      </c>
      <c r="E979" s="10" t="s">
        <v>8408</v>
      </c>
      <c r="F979" t="s">
        <v>8961</v>
      </c>
    </row>
    <row r="980" spans="1:6" x14ac:dyDescent="0.25">
      <c r="A980" t="s">
        <v>2428</v>
      </c>
      <c r="B980" t="s">
        <v>2073</v>
      </c>
      <c r="C980">
        <v>2008</v>
      </c>
      <c r="E980" s="10" t="s">
        <v>8408</v>
      </c>
      <c r="F980" t="s">
        <v>9236</v>
      </c>
    </row>
    <row r="981" spans="1:6" x14ac:dyDescent="0.25">
      <c r="A981" t="s">
        <v>540</v>
      </c>
      <c r="B981" t="s">
        <v>2077</v>
      </c>
      <c r="C981">
        <v>2015</v>
      </c>
      <c r="E981" t="s">
        <v>3075</v>
      </c>
    </row>
    <row r="982" spans="1:6" x14ac:dyDescent="0.25">
      <c r="A982" t="s">
        <v>2154</v>
      </c>
      <c r="B982" t="s">
        <v>2077</v>
      </c>
      <c r="C982">
        <v>1980</v>
      </c>
      <c r="E982" t="s">
        <v>3328</v>
      </c>
    </row>
    <row r="983" spans="1:6" x14ac:dyDescent="0.25">
      <c r="A983" t="s">
        <v>2428</v>
      </c>
      <c r="B983" t="s">
        <v>2077</v>
      </c>
      <c r="C983">
        <v>2008</v>
      </c>
      <c r="E983" t="s">
        <v>3328</v>
      </c>
    </row>
    <row r="984" spans="1:6" x14ac:dyDescent="0.25">
      <c r="A984" t="s">
        <v>847</v>
      </c>
      <c r="B984" t="s">
        <v>7919</v>
      </c>
      <c r="C984">
        <v>1996</v>
      </c>
      <c r="E984" s="10" t="s">
        <v>7918</v>
      </c>
    </row>
    <row r="985" spans="1:6" x14ac:dyDescent="0.25">
      <c r="A985" t="s">
        <v>1294</v>
      </c>
      <c r="B985" t="s">
        <v>7919</v>
      </c>
      <c r="C985">
        <v>2019</v>
      </c>
      <c r="E985" s="10" t="s">
        <v>7918</v>
      </c>
    </row>
    <row r="986" spans="1:6" x14ac:dyDescent="0.25">
      <c r="A986" t="s">
        <v>1144</v>
      </c>
      <c r="B986" t="s">
        <v>2080</v>
      </c>
      <c r="C986">
        <v>2012</v>
      </c>
      <c r="E986" t="s">
        <v>3211</v>
      </c>
      <c r="F986" t="s">
        <v>8778</v>
      </c>
    </row>
    <row r="987" spans="1:6" x14ac:dyDescent="0.25">
      <c r="A987" t="s">
        <v>1855</v>
      </c>
      <c r="B987" t="s">
        <v>2084</v>
      </c>
      <c r="C987">
        <v>2015</v>
      </c>
      <c r="E987" t="s">
        <v>2982</v>
      </c>
      <c r="F987" t="s">
        <v>8991</v>
      </c>
    </row>
    <row r="988" spans="1:6" x14ac:dyDescent="0.25">
      <c r="A988" t="s">
        <v>353</v>
      </c>
      <c r="B988" t="s">
        <v>2088</v>
      </c>
      <c r="C988">
        <v>2023</v>
      </c>
      <c r="E988" t="s">
        <v>3039</v>
      </c>
      <c r="F988" t="s">
        <v>8536</v>
      </c>
    </row>
    <row r="989" spans="1:6" x14ac:dyDescent="0.25">
      <c r="A989" t="s">
        <v>90</v>
      </c>
      <c r="B989" t="s">
        <v>2088</v>
      </c>
      <c r="C989">
        <v>2017</v>
      </c>
      <c r="E989" t="s">
        <v>3039</v>
      </c>
      <c r="F989" t="s">
        <v>9161</v>
      </c>
    </row>
    <row r="990" spans="1:6" x14ac:dyDescent="0.25">
      <c r="A990" t="s">
        <v>2804</v>
      </c>
      <c r="B990" t="s">
        <v>2091</v>
      </c>
      <c r="C990">
        <v>2021</v>
      </c>
      <c r="E990" t="s">
        <v>3013</v>
      </c>
    </row>
    <row r="991" spans="1:6" x14ac:dyDescent="0.25">
      <c r="A991" t="s">
        <v>160</v>
      </c>
      <c r="B991" t="s">
        <v>2099</v>
      </c>
      <c r="C991">
        <v>2011</v>
      </c>
      <c r="E991" t="s">
        <v>3414</v>
      </c>
      <c r="F991" t="s">
        <v>9311</v>
      </c>
    </row>
    <row r="992" spans="1:6" x14ac:dyDescent="0.25">
      <c r="A992" t="s">
        <v>2804</v>
      </c>
      <c r="B992" t="s">
        <v>2103</v>
      </c>
      <c r="C992">
        <v>2021</v>
      </c>
      <c r="E992" t="s">
        <v>3013</v>
      </c>
    </row>
    <row r="993" spans="1:6" x14ac:dyDescent="0.25">
      <c r="A993" t="s">
        <v>2965</v>
      </c>
      <c r="B993" t="s">
        <v>2103</v>
      </c>
      <c r="C993">
        <v>2023</v>
      </c>
      <c r="D993" t="s">
        <v>187</v>
      </c>
    </row>
    <row r="994" spans="1:6" x14ac:dyDescent="0.25">
      <c r="A994" t="s">
        <v>490</v>
      </c>
      <c r="B994" t="s">
        <v>2107</v>
      </c>
      <c r="C994">
        <v>2009</v>
      </c>
      <c r="E994" s="10" t="s">
        <v>2110</v>
      </c>
      <c r="F994" t="s">
        <v>8560</v>
      </c>
    </row>
    <row r="995" spans="1:6" x14ac:dyDescent="0.25">
      <c r="A995" t="s">
        <v>847</v>
      </c>
      <c r="B995" t="s">
        <v>2107</v>
      </c>
      <c r="C995">
        <v>1996</v>
      </c>
      <c r="E995" t="s">
        <v>3138</v>
      </c>
    </row>
    <row r="996" spans="1:6" x14ac:dyDescent="0.25">
      <c r="A996" t="s">
        <v>964</v>
      </c>
      <c r="B996" t="s">
        <v>2107</v>
      </c>
      <c r="C996">
        <v>2006</v>
      </c>
      <c r="E996" t="s">
        <v>3138</v>
      </c>
    </row>
    <row r="997" spans="1:6" x14ac:dyDescent="0.25">
      <c r="A997" t="s">
        <v>1795</v>
      </c>
      <c r="B997" t="s">
        <v>2107</v>
      </c>
      <c r="C997">
        <v>1987</v>
      </c>
      <c r="E997" t="s">
        <v>3138</v>
      </c>
    </row>
    <row r="998" spans="1:6" x14ac:dyDescent="0.25">
      <c r="A998" t="s">
        <v>2571</v>
      </c>
      <c r="B998" t="s">
        <v>2107</v>
      </c>
      <c r="C998">
        <v>1998</v>
      </c>
      <c r="E998" t="s">
        <v>3138</v>
      </c>
    </row>
    <row r="999" spans="1:6" x14ac:dyDescent="0.25">
      <c r="A999" t="s">
        <v>2107</v>
      </c>
      <c r="B999" t="s">
        <v>2111</v>
      </c>
      <c r="C999">
        <v>2020</v>
      </c>
      <c r="D999" t="s">
        <v>187</v>
      </c>
    </row>
    <row r="1000" spans="1:6" x14ac:dyDescent="0.25">
      <c r="A1000" t="s">
        <v>2111</v>
      </c>
      <c r="B1000" t="s">
        <v>2115</v>
      </c>
      <c r="C1000">
        <v>2024</v>
      </c>
      <c r="D1000" t="s">
        <v>187</v>
      </c>
    </row>
    <row r="1001" spans="1:6" x14ac:dyDescent="0.25">
      <c r="A1001" t="s">
        <v>2136</v>
      </c>
      <c r="B1001" t="s">
        <v>7934</v>
      </c>
      <c r="C1001">
        <v>2020</v>
      </c>
      <c r="E1001" s="10" t="s">
        <v>7933</v>
      </c>
    </row>
    <row r="1002" spans="1:6" x14ac:dyDescent="0.25">
      <c r="A1002" t="s">
        <v>2804</v>
      </c>
      <c r="B1002" t="s">
        <v>7934</v>
      </c>
      <c r="C1002">
        <v>2021</v>
      </c>
      <c r="E1002" s="10" t="s">
        <v>7933</v>
      </c>
    </row>
    <row r="1003" spans="1:6" x14ac:dyDescent="0.25">
      <c r="A1003" t="s">
        <v>90</v>
      </c>
      <c r="B1003" t="s">
        <v>2118</v>
      </c>
      <c r="C1003">
        <v>2017</v>
      </c>
      <c r="E1003" t="s">
        <v>3376</v>
      </c>
      <c r="F1003" t="s">
        <v>9162</v>
      </c>
    </row>
    <row r="1004" spans="1:6" x14ac:dyDescent="0.25">
      <c r="A1004" t="s">
        <v>90</v>
      </c>
      <c r="B1004" t="s">
        <v>2122</v>
      </c>
      <c r="C1004">
        <v>2017</v>
      </c>
      <c r="E1004" t="s">
        <v>3377</v>
      </c>
      <c r="F1004" t="s">
        <v>9163</v>
      </c>
    </row>
    <row r="1005" spans="1:6" x14ac:dyDescent="0.25">
      <c r="A1005" t="s">
        <v>930</v>
      </c>
      <c r="B1005" t="s">
        <v>2130</v>
      </c>
      <c r="C1005">
        <v>2015</v>
      </c>
      <c r="E1005" t="s">
        <v>3159</v>
      </c>
      <c r="F1005" t="s">
        <v>8706</v>
      </c>
    </row>
    <row r="1006" spans="1:6" x14ac:dyDescent="0.25">
      <c r="A1006" t="s">
        <v>2132</v>
      </c>
      <c r="B1006" t="s">
        <v>2136</v>
      </c>
      <c r="C1006">
        <v>2013</v>
      </c>
      <c r="D1006" t="s">
        <v>187</v>
      </c>
    </row>
    <row r="1007" spans="1:6" x14ac:dyDescent="0.25">
      <c r="A1007" t="s">
        <v>2132</v>
      </c>
      <c r="B1007" t="s">
        <v>2140</v>
      </c>
      <c r="C1007">
        <v>2013</v>
      </c>
      <c r="D1007" t="s">
        <v>187</v>
      </c>
    </row>
    <row r="1008" spans="1:6" x14ac:dyDescent="0.25">
      <c r="A1008" t="s">
        <v>914</v>
      </c>
      <c r="B1008" t="s">
        <v>2144</v>
      </c>
      <c r="C1008">
        <v>2013</v>
      </c>
      <c r="E1008" t="s">
        <v>3147</v>
      </c>
      <c r="F1008" t="s">
        <v>8694</v>
      </c>
    </row>
    <row r="1009" spans="1:6" x14ac:dyDescent="0.25">
      <c r="A1009" t="s">
        <v>1144</v>
      </c>
      <c r="B1009" t="s">
        <v>2144</v>
      </c>
      <c r="C1009">
        <v>2012</v>
      </c>
      <c r="E1009" t="s">
        <v>3147</v>
      </c>
      <c r="F1009" t="s">
        <v>8779</v>
      </c>
    </row>
    <row r="1010" spans="1:6" x14ac:dyDescent="0.25">
      <c r="A1010" t="s">
        <v>759</v>
      </c>
      <c r="B1010" t="s">
        <v>2146</v>
      </c>
      <c r="C1010">
        <v>2018</v>
      </c>
      <c r="E1010" s="10" t="s">
        <v>9468</v>
      </c>
      <c r="F1010" t="s">
        <v>9462</v>
      </c>
    </row>
    <row r="1011" spans="1:6" x14ac:dyDescent="0.25">
      <c r="A1011" t="s">
        <v>1046</v>
      </c>
      <c r="B1011" t="s">
        <v>2146</v>
      </c>
      <c r="C1011">
        <v>2016</v>
      </c>
      <c r="E1011" s="10" t="s">
        <v>8381</v>
      </c>
      <c r="F1011" t="s">
        <v>8749</v>
      </c>
    </row>
    <row r="1012" spans="1:6" x14ac:dyDescent="0.25">
      <c r="A1012" t="s">
        <v>1272</v>
      </c>
      <c r="B1012" t="s">
        <v>2146</v>
      </c>
      <c r="C1012">
        <v>2020</v>
      </c>
      <c r="E1012" s="10" t="s">
        <v>9468</v>
      </c>
      <c r="F1012" t="s">
        <v>9463</v>
      </c>
    </row>
    <row r="1013" spans="1:6" x14ac:dyDescent="0.25">
      <c r="A1013" t="s">
        <v>1855</v>
      </c>
      <c r="B1013" t="s">
        <v>2146</v>
      </c>
      <c r="C1013">
        <v>2015</v>
      </c>
      <c r="E1013" s="10" t="s">
        <v>9468</v>
      </c>
      <c r="F1013" t="s">
        <v>9464</v>
      </c>
    </row>
    <row r="1014" spans="1:6" x14ac:dyDescent="0.25">
      <c r="A1014" t="s">
        <v>1855</v>
      </c>
      <c r="B1014" t="s">
        <v>2150</v>
      </c>
      <c r="C1014">
        <v>2015</v>
      </c>
      <c r="E1014" t="s">
        <v>2982</v>
      </c>
      <c r="F1014" t="s">
        <v>8992</v>
      </c>
    </row>
    <row r="1015" spans="1:6" x14ac:dyDescent="0.25">
      <c r="A1015" t="s">
        <v>185</v>
      </c>
      <c r="B1015" t="s">
        <v>2158</v>
      </c>
      <c r="C1015">
        <v>2022</v>
      </c>
      <c r="E1015" t="s">
        <v>2983</v>
      </c>
      <c r="F1015" t="s">
        <v>8468</v>
      </c>
    </row>
    <row r="1016" spans="1:6" x14ac:dyDescent="0.25">
      <c r="A1016" t="s">
        <v>1690</v>
      </c>
      <c r="B1016" t="s">
        <v>2158</v>
      </c>
      <c r="C1016">
        <v>2020</v>
      </c>
      <c r="E1016" t="s">
        <v>2983</v>
      </c>
      <c r="F1016" t="s">
        <v>8925</v>
      </c>
    </row>
    <row r="1017" spans="1:6" x14ac:dyDescent="0.25">
      <c r="A1017" t="s">
        <v>90</v>
      </c>
      <c r="B1017" t="s">
        <v>2158</v>
      </c>
      <c r="C1017">
        <v>2017</v>
      </c>
      <c r="E1017" t="s">
        <v>2983</v>
      </c>
      <c r="F1017" t="s">
        <v>9164</v>
      </c>
    </row>
    <row r="1018" spans="1:6" x14ac:dyDescent="0.25">
      <c r="A1018" t="s">
        <v>256</v>
      </c>
      <c r="B1018" t="s">
        <v>2160</v>
      </c>
      <c r="C1018">
        <v>1994</v>
      </c>
      <c r="E1018" t="s">
        <v>2995</v>
      </c>
      <c r="F1018" t="s">
        <v>9469</v>
      </c>
    </row>
    <row r="1019" spans="1:6" x14ac:dyDescent="0.25">
      <c r="A1019" t="s">
        <v>2571</v>
      </c>
      <c r="B1019" t="s">
        <v>2160</v>
      </c>
      <c r="C1019">
        <v>1998</v>
      </c>
      <c r="E1019" t="s">
        <v>2995</v>
      </c>
      <c r="F1019" t="s">
        <v>9470</v>
      </c>
    </row>
    <row r="1020" spans="1:6" x14ac:dyDescent="0.25">
      <c r="A1020" t="s">
        <v>353</v>
      </c>
      <c r="B1020" t="s">
        <v>2162</v>
      </c>
      <c r="C1020">
        <v>2023</v>
      </c>
      <c r="E1020" t="s">
        <v>2982</v>
      </c>
      <c r="F1020" t="s">
        <v>8537</v>
      </c>
    </row>
    <row r="1021" spans="1:6" x14ac:dyDescent="0.25">
      <c r="A1021" t="s">
        <v>2804</v>
      </c>
      <c r="B1021" t="s">
        <v>2162</v>
      </c>
      <c r="C1021">
        <v>2021</v>
      </c>
      <c r="E1021" t="s">
        <v>2982</v>
      </c>
      <c r="F1021" t="s">
        <v>9365</v>
      </c>
    </row>
    <row r="1022" spans="1:6" x14ac:dyDescent="0.25">
      <c r="A1022" t="s">
        <v>2154</v>
      </c>
      <c r="B1022" t="s">
        <v>2166</v>
      </c>
      <c r="C1022">
        <v>1980</v>
      </c>
      <c r="E1022" t="s">
        <v>3329</v>
      </c>
      <c r="F1022" t="s">
        <v>9056</v>
      </c>
    </row>
    <row r="1023" spans="1:6" x14ac:dyDescent="0.25">
      <c r="A1023" t="s">
        <v>2625</v>
      </c>
      <c r="B1023" t="s">
        <v>2166</v>
      </c>
      <c r="C1023">
        <v>2000</v>
      </c>
      <c r="D1023" t="s">
        <v>187</v>
      </c>
    </row>
    <row r="1024" spans="1:6" x14ac:dyDescent="0.25">
      <c r="A1024" t="s">
        <v>2173</v>
      </c>
      <c r="B1024" t="s">
        <v>2169</v>
      </c>
      <c r="C1024">
        <v>2013</v>
      </c>
      <c r="E1024" t="s">
        <v>3337</v>
      </c>
    </row>
    <row r="1025" spans="1:6" x14ac:dyDescent="0.25">
      <c r="A1025" t="s">
        <v>2428</v>
      </c>
      <c r="B1025" t="s">
        <v>2173</v>
      </c>
      <c r="C1025">
        <v>2008</v>
      </c>
      <c r="E1025" t="s">
        <v>3399</v>
      </c>
      <c r="F1025" t="s">
        <v>9237</v>
      </c>
    </row>
    <row r="1026" spans="1:6" x14ac:dyDescent="0.25">
      <c r="A1026" t="s">
        <v>160</v>
      </c>
      <c r="B1026" t="s">
        <v>2173</v>
      </c>
      <c r="C1026">
        <v>2011</v>
      </c>
      <c r="E1026" t="s">
        <v>3399</v>
      </c>
      <c r="F1026" t="s">
        <v>9312</v>
      </c>
    </row>
    <row r="1027" spans="1:6" x14ac:dyDescent="0.25">
      <c r="A1027" t="s">
        <v>2173</v>
      </c>
      <c r="B1027" t="s">
        <v>2177</v>
      </c>
      <c r="C1027">
        <v>2013</v>
      </c>
      <c r="D1027" t="s">
        <v>187</v>
      </c>
    </row>
    <row r="1028" spans="1:6" x14ac:dyDescent="0.25">
      <c r="A1028" t="s">
        <v>90</v>
      </c>
      <c r="B1028" t="s">
        <v>2181</v>
      </c>
      <c r="C1028">
        <v>2017</v>
      </c>
    </row>
    <row r="1029" spans="1:6" x14ac:dyDescent="0.25">
      <c r="A1029" t="s">
        <v>344</v>
      </c>
      <c r="B1029" t="s">
        <v>2187</v>
      </c>
      <c r="C1029">
        <v>2023</v>
      </c>
      <c r="E1029" s="10" t="s">
        <v>8382</v>
      </c>
      <c r="F1029" t="s">
        <v>8501</v>
      </c>
    </row>
    <row r="1030" spans="1:6" x14ac:dyDescent="0.25">
      <c r="A1030" t="s">
        <v>346</v>
      </c>
      <c r="B1030" t="s">
        <v>2187</v>
      </c>
      <c r="C1030">
        <v>2022</v>
      </c>
      <c r="E1030" t="s">
        <v>3017</v>
      </c>
      <c r="F1030" t="s">
        <v>8507</v>
      </c>
    </row>
    <row r="1031" spans="1:6" x14ac:dyDescent="0.25">
      <c r="A1031" t="s">
        <v>1144</v>
      </c>
      <c r="B1031" t="s">
        <v>2187</v>
      </c>
      <c r="C1031">
        <v>2012</v>
      </c>
      <c r="E1031" t="s">
        <v>3017</v>
      </c>
      <c r="F1031" t="s">
        <v>8780</v>
      </c>
    </row>
    <row r="1032" spans="1:6" x14ac:dyDescent="0.25">
      <c r="A1032" t="s">
        <v>1443</v>
      </c>
      <c r="B1032" t="s">
        <v>2187</v>
      </c>
      <c r="C1032">
        <v>2018</v>
      </c>
      <c r="E1032" t="s">
        <v>3017</v>
      </c>
      <c r="F1032" t="s">
        <v>8877</v>
      </c>
    </row>
    <row r="1033" spans="1:6" x14ac:dyDescent="0.25">
      <c r="A1033" t="s">
        <v>1951</v>
      </c>
      <c r="B1033" t="s">
        <v>2187</v>
      </c>
      <c r="C1033">
        <v>2022</v>
      </c>
      <c r="E1033" s="10" t="s">
        <v>8382</v>
      </c>
      <c r="F1033" t="s">
        <v>9006</v>
      </c>
    </row>
    <row r="1034" spans="1:6" x14ac:dyDescent="0.25">
      <c r="A1034" t="s">
        <v>90</v>
      </c>
      <c r="B1034" t="s">
        <v>2187</v>
      </c>
      <c r="C1034">
        <v>2017</v>
      </c>
      <c r="E1034" t="s">
        <v>3017</v>
      </c>
      <c r="F1034" t="s">
        <v>9165</v>
      </c>
    </row>
    <row r="1035" spans="1:6" x14ac:dyDescent="0.25">
      <c r="A1035" t="s">
        <v>994</v>
      </c>
      <c r="B1035" t="s">
        <v>2190</v>
      </c>
      <c r="C1035">
        <v>2011</v>
      </c>
      <c r="E1035" t="s">
        <v>3171</v>
      </c>
    </row>
    <row r="1036" spans="1:6" x14ac:dyDescent="0.25">
      <c r="A1036" t="s">
        <v>2534</v>
      </c>
      <c r="B1036" t="s">
        <v>2190</v>
      </c>
      <c r="C1036">
        <v>1982</v>
      </c>
      <c r="E1036" t="s">
        <v>3171</v>
      </c>
      <c r="F1036" t="s">
        <v>9262</v>
      </c>
    </row>
    <row r="1037" spans="1:6" x14ac:dyDescent="0.25">
      <c r="A1037" t="s">
        <v>90</v>
      </c>
      <c r="B1037" t="s">
        <v>2192</v>
      </c>
      <c r="C1037">
        <v>2017</v>
      </c>
      <c r="E1037" s="10" t="s">
        <v>8383</v>
      </c>
      <c r="F1037" t="s">
        <v>9166</v>
      </c>
    </row>
    <row r="1038" spans="1:6" x14ac:dyDescent="0.25">
      <c r="A1038" t="s">
        <v>2804</v>
      </c>
      <c r="B1038" t="s">
        <v>2192</v>
      </c>
      <c r="C1038">
        <v>2021</v>
      </c>
      <c r="E1038" s="10" t="s">
        <v>8383</v>
      </c>
      <c r="F1038" t="s">
        <v>9366</v>
      </c>
    </row>
    <row r="1039" spans="1:6" x14ac:dyDescent="0.25">
      <c r="A1039" t="s">
        <v>90</v>
      </c>
      <c r="B1039" t="s">
        <v>2196</v>
      </c>
      <c r="C1039">
        <v>2017</v>
      </c>
      <c r="E1039" t="s">
        <v>3378</v>
      </c>
    </row>
    <row r="1040" spans="1:6" x14ac:dyDescent="0.25">
      <c r="A1040" t="s">
        <v>490</v>
      </c>
      <c r="B1040" t="s">
        <v>2200</v>
      </c>
      <c r="C1040">
        <v>2009</v>
      </c>
      <c r="E1040" t="s">
        <v>3061</v>
      </c>
      <c r="F1040" t="s">
        <v>8561</v>
      </c>
    </row>
    <row r="1041" spans="1:6" x14ac:dyDescent="0.25">
      <c r="A1041" t="s">
        <v>2154</v>
      </c>
      <c r="B1041" t="s">
        <v>2200</v>
      </c>
      <c r="C1041">
        <v>1980</v>
      </c>
      <c r="E1041" t="s">
        <v>3061</v>
      </c>
      <c r="F1041" t="s">
        <v>9057</v>
      </c>
    </row>
    <row r="1042" spans="1:6" x14ac:dyDescent="0.25">
      <c r="A1042" t="s">
        <v>353</v>
      </c>
      <c r="B1042" t="s">
        <v>2202</v>
      </c>
      <c r="C1042">
        <v>2023</v>
      </c>
      <c r="E1042" s="10" t="s">
        <v>3040</v>
      </c>
    </row>
    <row r="1043" spans="1:6" x14ac:dyDescent="0.25">
      <c r="A1043" t="s">
        <v>90</v>
      </c>
      <c r="B1043" t="s">
        <v>2202</v>
      </c>
      <c r="C1043">
        <v>2017</v>
      </c>
      <c r="E1043" s="10" t="s">
        <v>3040</v>
      </c>
    </row>
    <row r="1044" spans="1:6" x14ac:dyDescent="0.25">
      <c r="A1044" t="s">
        <v>2154</v>
      </c>
      <c r="B1044" t="s">
        <v>2204</v>
      </c>
      <c r="C1044">
        <v>1980</v>
      </c>
      <c r="E1044" t="s">
        <v>3330</v>
      </c>
      <c r="F1044" t="s">
        <v>9058</v>
      </c>
    </row>
    <row r="1045" spans="1:6" x14ac:dyDescent="0.25">
      <c r="A1045" t="s">
        <v>353</v>
      </c>
      <c r="B1045" t="s">
        <v>2215</v>
      </c>
      <c r="C1045">
        <v>2023</v>
      </c>
      <c r="E1045" t="s">
        <v>3041</v>
      </c>
      <c r="F1045" t="s">
        <v>8538</v>
      </c>
    </row>
    <row r="1046" spans="1:6" x14ac:dyDescent="0.25">
      <c r="A1046" t="s">
        <v>2211</v>
      </c>
      <c r="B1046" t="s">
        <v>2215</v>
      </c>
      <c r="C1046">
        <v>2021</v>
      </c>
      <c r="E1046" t="s">
        <v>3041</v>
      </c>
      <c r="F1046" t="s">
        <v>9081</v>
      </c>
    </row>
    <row r="1047" spans="1:6" x14ac:dyDescent="0.25">
      <c r="A1047" t="s">
        <v>960</v>
      </c>
      <c r="B1047" t="s">
        <v>2219</v>
      </c>
      <c r="C1047">
        <v>2024</v>
      </c>
      <c r="E1047" t="s">
        <v>2982</v>
      </c>
      <c r="F1047" t="s">
        <v>8712</v>
      </c>
    </row>
    <row r="1048" spans="1:6" x14ac:dyDescent="0.25">
      <c r="A1048" t="s">
        <v>353</v>
      </c>
      <c r="B1048" t="s">
        <v>2222</v>
      </c>
      <c r="C1048">
        <v>2023</v>
      </c>
      <c r="E1048" t="s">
        <v>3042</v>
      </c>
      <c r="F1048" t="s">
        <v>8539</v>
      </c>
    </row>
    <row r="1049" spans="1:6" x14ac:dyDescent="0.25">
      <c r="A1049" t="s">
        <v>1576</v>
      </c>
      <c r="B1049" t="s">
        <v>2222</v>
      </c>
      <c r="C1049">
        <v>2021</v>
      </c>
      <c r="E1049" t="s">
        <v>3042</v>
      </c>
      <c r="F1049" t="s">
        <v>8908</v>
      </c>
    </row>
    <row r="1050" spans="1:6" x14ac:dyDescent="0.25">
      <c r="A1050" t="s">
        <v>90</v>
      </c>
      <c r="B1050" t="s">
        <v>2222</v>
      </c>
      <c r="C1050">
        <v>2017</v>
      </c>
      <c r="E1050" t="s">
        <v>3042</v>
      </c>
      <c r="F1050" t="s">
        <v>9167</v>
      </c>
    </row>
    <row r="1051" spans="1:6" x14ac:dyDescent="0.25">
      <c r="A1051" t="s">
        <v>2506</v>
      </c>
      <c r="B1051" t="s">
        <v>2222</v>
      </c>
      <c r="C1051">
        <v>2021</v>
      </c>
      <c r="E1051" t="s">
        <v>3042</v>
      </c>
      <c r="F1051" t="s">
        <v>9257</v>
      </c>
    </row>
    <row r="1052" spans="1:6" x14ac:dyDescent="0.25">
      <c r="A1052" t="s">
        <v>1951</v>
      </c>
      <c r="B1052" t="s">
        <v>2229</v>
      </c>
      <c r="C1052">
        <v>2022</v>
      </c>
      <c r="E1052" t="s">
        <v>3305</v>
      </c>
      <c r="F1052" t="s">
        <v>9007</v>
      </c>
    </row>
    <row r="1053" spans="1:6" x14ac:dyDescent="0.25">
      <c r="A1053" t="s">
        <v>353</v>
      </c>
      <c r="B1053" t="s">
        <v>2232</v>
      </c>
      <c r="C1053">
        <v>2023</v>
      </c>
      <c r="E1053" t="s">
        <v>3043</v>
      </c>
      <c r="F1053" t="s">
        <v>8540</v>
      </c>
    </row>
    <row r="1054" spans="1:6" x14ac:dyDescent="0.25">
      <c r="A1054" t="s">
        <v>746</v>
      </c>
      <c r="B1054" t="s">
        <v>2232</v>
      </c>
      <c r="C1054">
        <v>2015</v>
      </c>
      <c r="E1054" s="10" t="s">
        <v>9473</v>
      </c>
      <c r="F1054" t="s">
        <v>9475</v>
      </c>
    </row>
    <row r="1055" spans="1:6" x14ac:dyDescent="0.25">
      <c r="A1055" t="s">
        <v>847</v>
      </c>
      <c r="B1055" t="s">
        <v>2232</v>
      </c>
      <c r="C1055">
        <v>1996</v>
      </c>
      <c r="E1055" s="10" t="s">
        <v>9473</v>
      </c>
      <c r="F1055" t="s">
        <v>9474</v>
      </c>
    </row>
    <row r="1056" spans="1:6" x14ac:dyDescent="0.25">
      <c r="A1056" t="s">
        <v>1576</v>
      </c>
      <c r="B1056" t="s">
        <v>2232</v>
      </c>
      <c r="C1056">
        <v>2021</v>
      </c>
      <c r="E1056" t="s">
        <v>3266</v>
      </c>
    </row>
    <row r="1057" spans="1:6" x14ac:dyDescent="0.25">
      <c r="A1057" t="s">
        <v>353</v>
      </c>
      <c r="B1057" t="s">
        <v>2236</v>
      </c>
      <c r="C1057">
        <v>2023</v>
      </c>
      <c r="E1057" t="s">
        <v>3044</v>
      </c>
      <c r="F1057" t="s">
        <v>8541</v>
      </c>
    </row>
    <row r="1058" spans="1:6" x14ac:dyDescent="0.25">
      <c r="A1058" t="s">
        <v>90</v>
      </c>
      <c r="B1058" t="s">
        <v>2236</v>
      </c>
      <c r="C1058">
        <v>2017</v>
      </c>
      <c r="E1058" t="s">
        <v>3044</v>
      </c>
      <c r="F1058" t="s">
        <v>9168</v>
      </c>
    </row>
    <row r="1059" spans="1:6" x14ac:dyDescent="0.25">
      <c r="A1059" t="s">
        <v>1549</v>
      </c>
      <c r="B1059" t="s">
        <v>2239</v>
      </c>
      <c r="C1059">
        <v>2021</v>
      </c>
      <c r="E1059" t="s">
        <v>2241</v>
      </c>
      <c r="F1059" t="s">
        <v>8888</v>
      </c>
    </row>
    <row r="1060" spans="1:6" x14ac:dyDescent="0.25">
      <c r="A1060" t="s">
        <v>90</v>
      </c>
      <c r="B1060" t="s">
        <v>2239</v>
      </c>
      <c r="C1060">
        <v>2017</v>
      </c>
      <c r="E1060" t="s">
        <v>2241</v>
      </c>
      <c r="F1060" t="s">
        <v>9169</v>
      </c>
    </row>
    <row r="1061" spans="1:6" x14ac:dyDescent="0.25">
      <c r="A1061" t="s">
        <v>2804</v>
      </c>
      <c r="B1061" t="s">
        <v>8384</v>
      </c>
      <c r="C1061">
        <v>2021</v>
      </c>
      <c r="E1061" t="s">
        <v>3013</v>
      </c>
    </row>
    <row r="1062" spans="1:6" x14ac:dyDescent="0.25">
      <c r="A1062" t="s">
        <v>1155</v>
      </c>
      <c r="B1062" t="s">
        <v>2242</v>
      </c>
      <c r="C1062">
        <v>2010</v>
      </c>
      <c r="D1062" t="s">
        <v>187</v>
      </c>
    </row>
    <row r="1063" spans="1:6" x14ac:dyDescent="0.25">
      <c r="A1063" t="s">
        <v>720</v>
      </c>
      <c r="B1063" t="s">
        <v>2244</v>
      </c>
      <c r="C1063">
        <v>2016</v>
      </c>
      <c r="E1063" t="s">
        <v>3091</v>
      </c>
      <c r="F1063" t="s">
        <v>8603</v>
      </c>
    </row>
    <row r="1064" spans="1:6" x14ac:dyDescent="0.25">
      <c r="A1064" t="s">
        <v>746</v>
      </c>
      <c r="B1064" t="s">
        <v>2244</v>
      </c>
      <c r="C1064">
        <v>2015</v>
      </c>
      <c r="E1064" t="s">
        <v>3091</v>
      </c>
      <c r="F1064" t="s">
        <v>8621</v>
      </c>
    </row>
    <row r="1065" spans="1:6" x14ac:dyDescent="0.25">
      <c r="A1065" t="s">
        <v>1115</v>
      </c>
      <c r="B1065" t="s">
        <v>2244</v>
      </c>
      <c r="C1065">
        <v>2018</v>
      </c>
      <c r="E1065" t="s">
        <v>3091</v>
      </c>
      <c r="F1065" t="s">
        <v>8757</v>
      </c>
    </row>
    <row r="1066" spans="1:6" x14ac:dyDescent="0.25">
      <c r="A1066" t="s">
        <v>2804</v>
      </c>
      <c r="B1066" t="s">
        <v>2247</v>
      </c>
      <c r="C1066">
        <v>2021</v>
      </c>
      <c r="E1066" t="s">
        <v>3013</v>
      </c>
    </row>
    <row r="1067" spans="1:6" x14ac:dyDescent="0.25">
      <c r="A1067" t="s">
        <v>353</v>
      </c>
      <c r="B1067" t="s">
        <v>2251</v>
      </c>
      <c r="C1067">
        <v>2023</v>
      </c>
      <c r="E1067" t="s">
        <v>2982</v>
      </c>
      <c r="F1067" t="s">
        <v>8542</v>
      </c>
    </row>
    <row r="1068" spans="1:6" x14ac:dyDescent="0.25">
      <c r="A1068" t="s">
        <v>160</v>
      </c>
      <c r="B1068" t="s">
        <v>2251</v>
      </c>
      <c r="C1068">
        <v>2011</v>
      </c>
      <c r="E1068" t="s">
        <v>2982</v>
      </c>
      <c r="F1068" t="s">
        <v>9313</v>
      </c>
    </row>
    <row r="1069" spans="1:6" x14ac:dyDescent="0.25">
      <c r="A1069" t="s">
        <v>435</v>
      </c>
      <c r="B1069" t="s">
        <v>2254</v>
      </c>
      <c r="C1069">
        <v>2019</v>
      </c>
      <c r="E1069" t="s">
        <v>2982</v>
      </c>
    </row>
    <row r="1070" spans="1:6" x14ac:dyDescent="0.25">
      <c r="A1070" t="s">
        <v>759</v>
      </c>
      <c r="B1070" t="s">
        <v>2254</v>
      </c>
      <c r="C1070">
        <v>2018</v>
      </c>
      <c r="E1070" t="s">
        <v>2982</v>
      </c>
      <c r="F1070" t="s">
        <v>8643</v>
      </c>
    </row>
    <row r="1071" spans="1:6" x14ac:dyDescent="0.25">
      <c r="A1071" t="s">
        <v>930</v>
      </c>
      <c r="B1071" t="s">
        <v>2254</v>
      </c>
      <c r="C1071">
        <v>2015</v>
      </c>
      <c r="E1071" t="s">
        <v>2982</v>
      </c>
      <c r="F1071" t="s">
        <v>8707</v>
      </c>
    </row>
    <row r="1072" spans="1:6" x14ac:dyDescent="0.25">
      <c r="A1072" t="s">
        <v>2130</v>
      </c>
      <c r="B1072" t="s">
        <v>2254</v>
      </c>
      <c r="C1072">
        <v>2017</v>
      </c>
      <c r="E1072" t="s">
        <v>2982</v>
      </c>
      <c r="F1072" t="s">
        <v>9019</v>
      </c>
    </row>
    <row r="1073" spans="1:6" x14ac:dyDescent="0.25">
      <c r="A1073" t="s">
        <v>2459</v>
      </c>
      <c r="B1073" t="s">
        <v>2254</v>
      </c>
      <c r="C1073">
        <v>2017</v>
      </c>
      <c r="E1073" t="s">
        <v>2982</v>
      </c>
      <c r="F1073" t="s">
        <v>9246</v>
      </c>
    </row>
    <row r="1074" spans="1:6" x14ac:dyDescent="0.25">
      <c r="A1074" t="s">
        <v>2804</v>
      </c>
      <c r="B1074" t="s">
        <v>2258</v>
      </c>
      <c r="C1074">
        <v>2021</v>
      </c>
      <c r="E1074" t="s">
        <v>3013</v>
      </c>
    </row>
    <row r="1075" spans="1:6" x14ac:dyDescent="0.25">
      <c r="A1075" t="s">
        <v>2225</v>
      </c>
      <c r="B1075" t="s">
        <v>2260</v>
      </c>
      <c r="C1075">
        <v>2021</v>
      </c>
      <c r="E1075" s="10" t="s">
        <v>8397</v>
      </c>
    </row>
    <row r="1076" spans="1:6" x14ac:dyDescent="0.25">
      <c r="A1076" t="s">
        <v>90</v>
      </c>
      <c r="B1076" t="s">
        <v>2264</v>
      </c>
      <c r="C1076">
        <v>2017</v>
      </c>
      <c r="E1076" t="s">
        <v>3379</v>
      </c>
      <c r="F1076" t="s">
        <v>9170</v>
      </c>
    </row>
    <row r="1077" spans="1:6" x14ac:dyDescent="0.25">
      <c r="A1077" t="s">
        <v>2594</v>
      </c>
      <c r="B1077" t="s">
        <v>2264</v>
      </c>
      <c r="C1077">
        <v>2019</v>
      </c>
      <c r="E1077" t="s">
        <v>3379</v>
      </c>
      <c r="F1077" t="s">
        <v>9269</v>
      </c>
    </row>
    <row r="1078" spans="1:6" x14ac:dyDescent="0.25">
      <c r="A1078" t="s">
        <v>847</v>
      </c>
      <c r="B1078" t="s">
        <v>2267</v>
      </c>
      <c r="C1078">
        <v>1996</v>
      </c>
      <c r="E1078" s="10" t="s">
        <v>9421</v>
      </c>
      <c r="F1078" t="s">
        <v>9483</v>
      </c>
    </row>
    <row r="1079" spans="1:6" x14ac:dyDescent="0.25">
      <c r="A1079" t="s">
        <v>998</v>
      </c>
      <c r="B1079" t="s">
        <v>2267</v>
      </c>
      <c r="C1079">
        <v>2018</v>
      </c>
      <c r="D1079" t="s">
        <v>187</v>
      </c>
      <c r="F1079" t="s">
        <v>9481</v>
      </c>
    </row>
    <row r="1080" spans="1:6" x14ac:dyDescent="0.25">
      <c r="A1080" t="s">
        <v>1046</v>
      </c>
      <c r="B1080" t="s">
        <v>2267</v>
      </c>
      <c r="C1080">
        <v>2016</v>
      </c>
      <c r="E1080" t="s">
        <v>2982</v>
      </c>
    </row>
    <row r="1081" spans="1:6" x14ac:dyDescent="0.25">
      <c r="A1081" t="s">
        <v>1294</v>
      </c>
      <c r="B1081" t="s">
        <v>2267</v>
      </c>
      <c r="C1081">
        <v>2019</v>
      </c>
      <c r="E1081" s="10" t="s">
        <v>9421</v>
      </c>
      <c r="F1081" t="s">
        <v>9484</v>
      </c>
    </row>
    <row r="1082" spans="1:6" x14ac:dyDescent="0.25">
      <c r="A1082" t="s">
        <v>1817</v>
      </c>
      <c r="B1082" t="s">
        <v>2267</v>
      </c>
      <c r="C1082">
        <v>2019</v>
      </c>
      <c r="E1082" s="10" t="s">
        <v>9421</v>
      </c>
      <c r="F1082" t="s">
        <v>9482</v>
      </c>
    </row>
    <row r="1083" spans="1:6" x14ac:dyDescent="0.25">
      <c r="A1083" t="s">
        <v>1010</v>
      </c>
      <c r="B1083" t="s">
        <v>2273</v>
      </c>
      <c r="C1083">
        <v>2025</v>
      </c>
      <c r="E1083" t="s">
        <v>3180</v>
      </c>
      <c r="F1083" t="s">
        <v>8729</v>
      </c>
    </row>
    <row r="1084" spans="1:6" x14ac:dyDescent="0.25">
      <c r="A1084" t="s">
        <v>1294</v>
      </c>
      <c r="B1084" t="s">
        <v>2273</v>
      </c>
      <c r="C1084">
        <v>2019</v>
      </c>
      <c r="E1084" t="s">
        <v>2982</v>
      </c>
      <c r="F1084" t="s">
        <v>8829</v>
      </c>
    </row>
    <row r="1085" spans="1:6" x14ac:dyDescent="0.25">
      <c r="A1085" t="s">
        <v>2136</v>
      </c>
      <c r="B1085" t="s">
        <v>2273</v>
      </c>
      <c r="C1085">
        <v>2020</v>
      </c>
      <c r="E1085" t="s">
        <v>2982</v>
      </c>
      <c r="F1085" t="s">
        <v>9032</v>
      </c>
    </row>
    <row r="1086" spans="1:6" x14ac:dyDescent="0.25">
      <c r="A1086" t="s">
        <v>256</v>
      </c>
      <c r="B1086" t="s">
        <v>2276</v>
      </c>
      <c r="C1086">
        <v>1994</v>
      </c>
      <c r="E1086" t="s">
        <v>2996</v>
      </c>
      <c r="F1086" t="s">
        <v>8481</v>
      </c>
    </row>
    <row r="1087" spans="1:6" x14ac:dyDescent="0.25">
      <c r="A1087" t="s">
        <v>1882</v>
      </c>
      <c r="B1087" t="s">
        <v>2276</v>
      </c>
      <c r="C1087">
        <v>1987</v>
      </c>
      <c r="E1087" t="s">
        <v>2996</v>
      </c>
      <c r="F1087" t="s">
        <v>8999</v>
      </c>
    </row>
    <row r="1088" spans="1:6" x14ac:dyDescent="0.25">
      <c r="A1088" t="s">
        <v>746</v>
      </c>
      <c r="B1088" t="s">
        <v>2279</v>
      </c>
      <c r="C1088">
        <v>2015</v>
      </c>
      <c r="E1088" t="s">
        <v>3106</v>
      </c>
      <c r="F1088" t="s">
        <v>8622</v>
      </c>
    </row>
    <row r="1089" spans="1:6" x14ac:dyDescent="0.25">
      <c r="A1089" t="s">
        <v>1294</v>
      </c>
      <c r="B1089" t="s">
        <v>2279</v>
      </c>
      <c r="C1089">
        <v>2019</v>
      </c>
      <c r="E1089" s="10" t="s">
        <v>3106</v>
      </c>
      <c r="F1089" t="s">
        <v>8455</v>
      </c>
    </row>
    <row r="1090" spans="1:6" x14ac:dyDescent="0.25">
      <c r="A1090" t="s">
        <v>90</v>
      </c>
      <c r="B1090" t="s">
        <v>2279</v>
      </c>
      <c r="C1090">
        <v>2017</v>
      </c>
      <c r="E1090" t="s">
        <v>3106</v>
      </c>
      <c r="F1090" t="s">
        <v>9171</v>
      </c>
    </row>
    <row r="1091" spans="1:6" x14ac:dyDescent="0.25">
      <c r="A1091" t="s">
        <v>1144</v>
      </c>
      <c r="B1091" t="s">
        <v>2281</v>
      </c>
      <c r="C1091">
        <v>2012</v>
      </c>
      <c r="E1091" t="s">
        <v>3212</v>
      </c>
      <c r="F1091" t="s">
        <v>8781</v>
      </c>
    </row>
    <row r="1092" spans="1:6" x14ac:dyDescent="0.25">
      <c r="A1092" t="s">
        <v>2065</v>
      </c>
      <c r="B1092" t="s">
        <v>2281</v>
      </c>
      <c r="C1092">
        <v>2023</v>
      </c>
      <c r="E1092" t="s">
        <v>3212</v>
      </c>
      <c r="F1092" t="s">
        <v>9011</v>
      </c>
    </row>
    <row r="1093" spans="1:6" x14ac:dyDescent="0.25">
      <c r="A1093" t="s">
        <v>2132</v>
      </c>
      <c r="B1093" t="s">
        <v>2281</v>
      </c>
      <c r="C1093">
        <v>2013</v>
      </c>
      <c r="E1093" t="s">
        <v>3212</v>
      </c>
      <c r="F1093" t="s">
        <v>9023</v>
      </c>
    </row>
    <row r="1094" spans="1:6" x14ac:dyDescent="0.25">
      <c r="A1094" t="s">
        <v>497</v>
      </c>
      <c r="B1094" t="s">
        <v>2283</v>
      </c>
      <c r="C1094">
        <v>2022</v>
      </c>
      <c r="E1094" t="s">
        <v>3070</v>
      </c>
      <c r="F1094" t="s">
        <v>8575</v>
      </c>
    </row>
    <row r="1095" spans="1:6" x14ac:dyDescent="0.25">
      <c r="A1095" t="s">
        <v>2136</v>
      </c>
      <c r="B1095" t="s">
        <v>2283</v>
      </c>
      <c r="C1095">
        <v>2020</v>
      </c>
      <c r="E1095" t="s">
        <v>3070</v>
      </c>
      <c r="F1095" t="s">
        <v>9033</v>
      </c>
    </row>
    <row r="1096" spans="1:6" x14ac:dyDescent="0.25">
      <c r="A1096" t="s">
        <v>1302</v>
      </c>
      <c r="B1096" t="s">
        <v>7942</v>
      </c>
      <c r="C1096">
        <v>2023</v>
      </c>
      <c r="E1096" s="10" t="s">
        <v>7940</v>
      </c>
      <c r="F1096" t="s">
        <v>8843</v>
      </c>
    </row>
    <row r="1097" spans="1:6" x14ac:dyDescent="0.25">
      <c r="A1097" t="s">
        <v>1970</v>
      </c>
      <c r="B1097" t="s">
        <v>2286</v>
      </c>
      <c r="C1097">
        <v>2012</v>
      </c>
      <c r="D1097" t="s">
        <v>187</v>
      </c>
    </row>
    <row r="1098" spans="1:6" x14ac:dyDescent="0.25">
      <c r="A1098" t="s">
        <v>1294</v>
      </c>
      <c r="B1098" t="s">
        <v>2288</v>
      </c>
      <c r="C1098">
        <v>2019</v>
      </c>
      <c r="E1098" t="s">
        <v>2982</v>
      </c>
      <c r="F1098" t="s">
        <v>8830</v>
      </c>
    </row>
    <row r="1099" spans="1:6" x14ac:dyDescent="0.25">
      <c r="A1099" t="s">
        <v>1690</v>
      </c>
      <c r="B1099" t="s">
        <v>2288</v>
      </c>
      <c r="C1099">
        <v>2020</v>
      </c>
      <c r="E1099" t="s">
        <v>2982</v>
      </c>
      <c r="F1099" t="s">
        <v>8926</v>
      </c>
    </row>
    <row r="1100" spans="1:6" x14ac:dyDescent="0.25">
      <c r="A1100" t="s">
        <v>160</v>
      </c>
      <c r="B1100" t="s">
        <v>2288</v>
      </c>
      <c r="C1100">
        <v>2011</v>
      </c>
      <c r="E1100" t="s">
        <v>2982</v>
      </c>
      <c r="F1100" t="s">
        <v>9314</v>
      </c>
    </row>
    <row r="1101" spans="1:6" x14ac:dyDescent="0.25">
      <c r="A1101" t="s">
        <v>2295</v>
      </c>
      <c r="B1101" t="s">
        <v>2292</v>
      </c>
      <c r="C1101">
        <v>2000</v>
      </c>
      <c r="D1101" t="s">
        <v>187</v>
      </c>
    </row>
    <row r="1102" spans="1:6" x14ac:dyDescent="0.25">
      <c r="A1102" t="s">
        <v>1761</v>
      </c>
      <c r="B1102" t="s">
        <v>2295</v>
      </c>
      <c r="C1102">
        <v>1995</v>
      </c>
      <c r="D1102" t="s">
        <v>187</v>
      </c>
    </row>
    <row r="1103" spans="1:6" x14ac:dyDescent="0.25">
      <c r="A1103" t="s">
        <v>2292</v>
      </c>
      <c r="B1103" t="s">
        <v>2298</v>
      </c>
      <c r="C1103">
        <v>2008</v>
      </c>
      <c r="D1103" t="s">
        <v>187</v>
      </c>
    </row>
    <row r="1104" spans="1:6" x14ac:dyDescent="0.25">
      <c r="A1104" t="s">
        <v>2295</v>
      </c>
      <c r="B1104" t="s">
        <v>2301</v>
      </c>
      <c r="C1104">
        <v>2000</v>
      </c>
      <c r="D1104" t="s">
        <v>187</v>
      </c>
    </row>
    <row r="1105" spans="1:6" x14ac:dyDescent="0.25">
      <c r="A1105" t="s">
        <v>1761</v>
      </c>
      <c r="B1105" t="s">
        <v>2304</v>
      </c>
      <c r="C1105">
        <v>1995</v>
      </c>
      <c r="D1105" t="s">
        <v>187</v>
      </c>
    </row>
    <row r="1106" spans="1:6" x14ac:dyDescent="0.25">
      <c r="A1106" t="s">
        <v>2304</v>
      </c>
      <c r="B1106" t="s">
        <v>2307</v>
      </c>
      <c r="C1106">
        <v>1996</v>
      </c>
      <c r="D1106" t="s">
        <v>187</v>
      </c>
    </row>
    <row r="1107" spans="1:6" x14ac:dyDescent="0.25">
      <c r="A1107" t="s">
        <v>2314</v>
      </c>
      <c r="B1107" t="s">
        <v>2310</v>
      </c>
      <c r="C1107">
        <v>2010</v>
      </c>
      <c r="D1107" t="s">
        <v>187</v>
      </c>
    </row>
    <row r="1108" spans="1:6" x14ac:dyDescent="0.25">
      <c r="A1108" t="s">
        <v>2298</v>
      </c>
      <c r="B1108" t="s">
        <v>2314</v>
      </c>
      <c r="C1108">
        <v>2010</v>
      </c>
      <c r="D1108" t="s">
        <v>187</v>
      </c>
    </row>
    <row r="1109" spans="1:6" x14ac:dyDescent="0.25">
      <c r="A1109" t="s">
        <v>689</v>
      </c>
      <c r="B1109" t="s">
        <v>2318</v>
      </c>
      <c r="C1109">
        <v>2015</v>
      </c>
      <c r="E1109" t="s">
        <v>3088</v>
      </c>
      <c r="F1109" t="s">
        <v>8598</v>
      </c>
    </row>
    <row r="1110" spans="1:6" x14ac:dyDescent="0.25">
      <c r="A1110" t="s">
        <v>746</v>
      </c>
      <c r="B1110" t="s">
        <v>2318</v>
      </c>
      <c r="C1110">
        <v>2015</v>
      </c>
      <c r="E1110" t="s">
        <v>3088</v>
      </c>
      <c r="F1110" t="s">
        <v>8623</v>
      </c>
    </row>
    <row r="1111" spans="1:6" x14ac:dyDescent="0.25">
      <c r="A1111" t="s">
        <v>1443</v>
      </c>
      <c r="B1111" t="s">
        <v>2318</v>
      </c>
      <c r="C1111">
        <v>2018</v>
      </c>
      <c r="E1111" t="s">
        <v>3088</v>
      </c>
      <c r="F1111" t="s">
        <v>8878</v>
      </c>
    </row>
    <row r="1112" spans="1:6" x14ac:dyDescent="0.25">
      <c r="A1112" t="s">
        <v>90</v>
      </c>
      <c r="B1112" t="s">
        <v>2318</v>
      </c>
      <c r="C1112">
        <v>2017</v>
      </c>
      <c r="E1112" t="s">
        <v>3088</v>
      </c>
      <c r="F1112" t="s">
        <v>9172</v>
      </c>
    </row>
    <row r="1113" spans="1:6" x14ac:dyDescent="0.25">
      <c r="A1113" t="s">
        <v>930</v>
      </c>
      <c r="B1113" t="s">
        <v>2328</v>
      </c>
      <c r="C1113">
        <v>2015</v>
      </c>
      <c r="E1113" t="s">
        <v>3160</v>
      </c>
    </row>
    <row r="1114" spans="1:6" x14ac:dyDescent="0.25">
      <c r="A1114" t="s">
        <v>2428</v>
      </c>
      <c r="B1114" t="s">
        <v>2328</v>
      </c>
      <c r="C1114">
        <v>2008</v>
      </c>
      <c r="E1114" t="s">
        <v>3160</v>
      </c>
    </row>
    <row r="1115" spans="1:6" x14ac:dyDescent="0.25">
      <c r="A1115" t="s">
        <v>1435</v>
      </c>
      <c r="B1115" t="s">
        <v>7949</v>
      </c>
      <c r="C1115">
        <v>2021</v>
      </c>
      <c r="E1115" s="10" t="s">
        <v>7948</v>
      </c>
    </row>
    <row r="1116" spans="1:6" x14ac:dyDescent="0.25">
      <c r="A1116" t="s">
        <v>90</v>
      </c>
      <c r="B1116" t="s">
        <v>7949</v>
      </c>
      <c r="C1116">
        <v>2017</v>
      </c>
      <c r="E1116" s="10" t="s">
        <v>7948</v>
      </c>
    </row>
    <row r="1117" spans="1:6" x14ac:dyDescent="0.25">
      <c r="A1117" t="s">
        <v>260</v>
      </c>
      <c r="B1117" t="s">
        <v>2330</v>
      </c>
      <c r="C1117">
        <v>1990</v>
      </c>
      <c r="E1117" t="s">
        <v>3003</v>
      </c>
      <c r="F1117" t="s">
        <v>8489</v>
      </c>
    </row>
    <row r="1118" spans="1:6" x14ac:dyDescent="0.25">
      <c r="A1118" t="s">
        <v>2695</v>
      </c>
      <c r="B1118" t="s">
        <v>2332</v>
      </c>
      <c r="C1118">
        <v>2025</v>
      </c>
      <c r="D1118" t="s">
        <v>187</v>
      </c>
    </row>
    <row r="1119" spans="1:6" x14ac:dyDescent="0.25">
      <c r="A1119" t="s">
        <v>8402</v>
      </c>
      <c r="B1119" t="s">
        <v>2339</v>
      </c>
      <c r="C1119">
        <v>2021</v>
      </c>
      <c r="E1119" t="s">
        <v>2982</v>
      </c>
      <c r="F1119" t="s">
        <v>8661</v>
      </c>
    </row>
    <row r="1120" spans="1:6" x14ac:dyDescent="0.25">
      <c r="A1120" t="s">
        <v>2365</v>
      </c>
      <c r="B1120" t="s">
        <v>2339</v>
      </c>
      <c r="C1120">
        <v>2023</v>
      </c>
      <c r="E1120" t="s">
        <v>2982</v>
      </c>
      <c r="F1120" t="s">
        <v>9203</v>
      </c>
    </row>
    <row r="1121" spans="1:6" x14ac:dyDescent="0.25">
      <c r="A1121" t="s">
        <v>2828</v>
      </c>
      <c r="B1121" t="s">
        <v>2339</v>
      </c>
      <c r="C1121">
        <v>2022</v>
      </c>
      <c r="D1121" t="s">
        <v>187</v>
      </c>
    </row>
    <row r="1122" spans="1:6" x14ac:dyDescent="0.25">
      <c r="A1122" t="s">
        <v>2428</v>
      </c>
      <c r="B1122" t="s">
        <v>2341</v>
      </c>
      <c r="C1122">
        <v>2008</v>
      </c>
      <c r="E1122" t="s">
        <v>2982</v>
      </c>
      <c r="F1122" t="s">
        <v>9238</v>
      </c>
    </row>
    <row r="1123" spans="1:6" x14ac:dyDescent="0.25">
      <c r="A1123" t="s">
        <v>353</v>
      </c>
      <c r="B1123" t="s">
        <v>2344</v>
      </c>
      <c r="C1123">
        <v>2023</v>
      </c>
      <c r="E1123" t="s">
        <v>3045</v>
      </c>
    </row>
    <row r="1124" spans="1:6" x14ac:dyDescent="0.25">
      <c r="A1124" t="s">
        <v>1795</v>
      </c>
      <c r="B1124" t="s">
        <v>2348</v>
      </c>
      <c r="C1124">
        <v>1987</v>
      </c>
      <c r="E1124" t="s">
        <v>3288</v>
      </c>
      <c r="F1124" t="s">
        <v>8962</v>
      </c>
    </row>
    <row r="1125" spans="1:6" x14ac:dyDescent="0.25">
      <c r="A1125" t="s">
        <v>746</v>
      </c>
      <c r="B1125" t="s">
        <v>90</v>
      </c>
      <c r="C1125">
        <v>2015</v>
      </c>
      <c r="E1125" t="s">
        <v>3107</v>
      </c>
      <c r="F1125" t="s">
        <v>8624</v>
      </c>
    </row>
    <row r="1126" spans="1:6" x14ac:dyDescent="0.25">
      <c r="A1126" t="s">
        <v>946</v>
      </c>
      <c r="B1126" t="s">
        <v>90</v>
      </c>
      <c r="C1126">
        <v>2014</v>
      </c>
      <c r="E1126" t="s">
        <v>3165</v>
      </c>
    </row>
    <row r="1127" spans="1:6" x14ac:dyDescent="0.25">
      <c r="A1127" t="s">
        <v>1144</v>
      </c>
      <c r="B1127" t="s">
        <v>90</v>
      </c>
      <c r="C1127">
        <v>2012</v>
      </c>
      <c r="E1127" t="s">
        <v>3213</v>
      </c>
      <c r="F1127" t="s">
        <v>8782</v>
      </c>
    </row>
    <row r="1128" spans="1:6" x14ac:dyDescent="0.25">
      <c r="A1128" t="s">
        <v>160</v>
      </c>
      <c r="B1128" t="s">
        <v>90</v>
      </c>
      <c r="C1128">
        <v>2011</v>
      </c>
      <c r="E1128" t="s">
        <v>3165</v>
      </c>
    </row>
    <row r="1129" spans="1:6" x14ac:dyDescent="0.25">
      <c r="A1129" t="s">
        <v>90</v>
      </c>
      <c r="B1129" t="s">
        <v>38</v>
      </c>
      <c r="C1129">
        <v>2017</v>
      </c>
      <c r="D1129" t="s">
        <v>187</v>
      </c>
    </row>
    <row r="1130" spans="1:6" x14ac:dyDescent="0.25">
      <c r="A1130" t="s">
        <v>1144</v>
      </c>
      <c r="B1130" t="s">
        <v>2361</v>
      </c>
      <c r="C1130">
        <v>2012</v>
      </c>
      <c r="E1130" t="s">
        <v>2982</v>
      </c>
      <c r="F1130" t="s">
        <v>8783</v>
      </c>
    </row>
    <row r="1131" spans="1:6" x14ac:dyDescent="0.25">
      <c r="A1131" t="s">
        <v>90</v>
      </c>
      <c r="B1131" t="s">
        <v>2361</v>
      </c>
      <c r="C1131">
        <v>2017</v>
      </c>
      <c r="E1131" t="s">
        <v>2982</v>
      </c>
      <c r="F1131" t="s">
        <v>9173</v>
      </c>
    </row>
    <row r="1132" spans="1:6" x14ac:dyDescent="0.25">
      <c r="A1132" t="s">
        <v>2365</v>
      </c>
      <c r="B1132" t="s">
        <v>8389</v>
      </c>
      <c r="C1132">
        <v>2023</v>
      </c>
      <c r="D1132" t="s">
        <v>187</v>
      </c>
    </row>
    <row r="1133" spans="1:6" x14ac:dyDescent="0.25">
      <c r="A1133" t="s">
        <v>185</v>
      </c>
      <c r="B1133" t="s">
        <v>2365</v>
      </c>
      <c r="C1133">
        <v>2022</v>
      </c>
      <c r="E1133" s="10" t="s">
        <v>2368</v>
      </c>
      <c r="F1133" t="s">
        <v>8469</v>
      </c>
    </row>
    <row r="1134" spans="1:6" x14ac:dyDescent="0.25">
      <c r="A1134" t="s">
        <v>497</v>
      </c>
      <c r="B1134" t="s">
        <v>2365</v>
      </c>
      <c r="C1134">
        <v>2022</v>
      </c>
      <c r="E1134" s="10" t="s">
        <v>2368</v>
      </c>
      <c r="F1134" t="s">
        <v>8576</v>
      </c>
    </row>
    <row r="1135" spans="1:6" x14ac:dyDescent="0.25">
      <c r="A1135" t="s">
        <v>8402</v>
      </c>
      <c r="B1135" t="s">
        <v>2365</v>
      </c>
      <c r="C1135">
        <v>2021</v>
      </c>
      <c r="D1135" t="s">
        <v>187</v>
      </c>
    </row>
    <row r="1136" spans="1:6" x14ac:dyDescent="0.25">
      <c r="A1136" t="s">
        <v>924</v>
      </c>
      <c r="B1136" t="s">
        <v>2365</v>
      </c>
      <c r="C1136">
        <v>2019</v>
      </c>
      <c r="E1136" s="10" t="s">
        <v>2368</v>
      </c>
    </row>
    <row r="1137" spans="1:6" x14ac:dyDescent="0.25">
      <c r="A1137" t="s">
        <v>1302</v>
      </c>
      <c r="B1137" t="s">
        <v>2365</v>
      </c>
      <c r="C1137">
        <v>2023</v>
      </c>
      <c r="E1137" s="10" t="s">
        <v>2368</v>
      </c>
      <c r="F1137" t="s">
        <v>8844</v>
      </c>
    </row>
    <row r="1138" spans="1:6" x14ac:dyDescent="0.25">
      <c r="A1138" t="s">
        <v>2397</v>
      </c>
      <c r="B1138" t="s">
        <v>2365</v>
      </c>
      <c r="C1138">
        <v>2022</v>
      </c>
      <c r="E1138" s="10" t="s">
        <v>2368</v>
      </c>
      <c r="F1138" t="s">
        <v>9209</v>
      </c>
    </row>
    <row r="1139" spans="1:6" x14ac:dyDescent="0.25">
      <c r="A1139" t="s">
        <v>2804</v>
      </c>
      <c r="B1139" t="s">
        <v>2365</v>
      </c>
      <c r="C1139">
        <v>2021</v>
      </c>
      <c r="E1139" s="10" t="s">
        <v>8388</v>
      </c>
      <c r="F1139" t="s">
        <v>9367</v>
      </c>
    </row>
    <row r="1140" spans="1:6" x14ac:dyDescent="0.25">
      <c r="A1140" t="s">
        <v>1565</v>
      </c>
      <c r="B1140" t="s">
        <v>2369</v>
      </c>
      <c r="C1140">
        <v>2023</v>
      </c>
      <c r="E1140" t="s">
        <v>3260</v>
      </c>
      <c r="F1140" t="s">
        <v>8890</v>
      </c>
    </row>
    <row r="1141" spans="1:6" x14ac:dyDescent="0.25">
      <c r="A1141" t="s">
        <v>1576</v>
      </c>
      <c r="B1141" t="s">
        <v>2369</v>
      </c>
      <c r="C1141">
        <v>2021</v>
      </c>
      <c r="E1141" t="s">
        <v>3260</v>
      </c>
      <c r="F1141" t="s">
        <v>8909</v>
      </c>
    </row>
    <row r="1142" spans="1:6" x14ac:dyDescent="0.25">
      <c r="A1142" t="s">
        <v>1761</v>
      </c>
      <c r="B1142" t="s">
        <v>2369</v>
      </c>
      <c r="C1142">
        <v>1995</v>
      </c>
      <c r="E1142" t="s">
        <v>3260</v>
      </c>
      <c r="F1142" t="s">
        <v>8939</v>
      </c>
    </row>
    <row r="1143" spans="1:6" x14ac:dyDescent="0.25">
      <c r="A1143" t="s">
        <v>90</v>
      </c>
      <c r="B1143" t="s">
        <v>2369</v>
      </c>
      <c r="C1143">
        <v>2017</v>
      </c>
      <c r="E1143" t="s">
        <v>3260</v>
      </c>
      <c r="F1143" t="s">
        <v>9174</v>
      </c>
    </row>
    <row r="1144" spans="1:6" x14ac:dyDescent="0.25">
      <c r="A1144" t="s">
        <v>353</v>
      </c>
      <c r="B1144" t="s">
        <v>2371</v>
      </c>
      <c r="C1144">
        <v>2023</v>
      </c>
      <c r="E1144" t="s">
        <v>3046</v>
      </c>
      <c r="F1144" t="s">
        <v>8543</v>
      </c>
    </row>
    <row r="1145" spans="1:6" x14ac:dyDescent="0.25">
      <c r="A1145" t="s">
        <v>90</v>
      </c>
      <c r="B1145" t="s">
        <v>2371</v>
      </c>
      <c r="C1145">
        <v>2017</v>
      </c>
      <c r="E1145" t="s">
        <v>3046</v>
      </c>
      <c r="F1145" t="s">
        <v>9175</v>
      </c>
    </row>
    <row r="1146" spans="1:6" x14ac:dyDescent="0.25">
      <c r="A1146" t="s">
        <v>353</v>
      </c>
      <c r="B1146" t="s">
        <v>2381</v>
      </c>
      <c r="C1146">
        <v>2023</v>
      </c>
      <c r="E1146" t="s">
        <v>3047</v>
      </c>
      <c r="F1146" t="s">
        <v>8544</v>
      </c>
    </row>
    <row r="1147" spans="1:6" x14ac:dyDescent="0.25">
      <c r="A1147" t="s">
        <v>778</v>
      </c>
      <c r="B1147" t="s">
        <v>2381</v>
      </c>
      <c r="C1147">
        <v>2023</v>
      </c>
      <c r="E1147" t="s">
        <v>3047</v>
      </c>
      <c r="F1147" t="s">
        <v>8652</v>
      </c>
    </row>
    <row r="1148" spans="1:6" x14ac:dyDescent="0.25">
      <c r="A1148" t="s">
        <v>2804</v>
      </c>
      <c r="B1148" t="s">
        <v>2381</v>
      </c>
      <c r="C1148">
        <v>2021</v>
      </c>
      <c r="E1148" t="s">
        <v>2982</v>
      </c>
      <c r="F1148" t="s">
        <v>9368</v>
      </c>
    </row>
    <row r="1149" spans="1:6" x14ac:dyDescent="0.25">
      <c r="A1149" t="s">
        <v>353</v>
      </c>
      <c r="B1149" t="s">
        <v>2385</v>
      </c>
      <c r="C1149">
        <v>2023</v>
      </c>
      <c r="E1149" t="s">
        <v>3048</v>
      </c>
    </row>
    <row r="1150" spans="1:6" x14ac:dyDescent="0.25">
      <c r="A1150" t="s">
        <v>873</v>
      </c>
      <c r="B1150" t="s">
        <v>2385</v>
      </c>
      <c r="C1150">
        <v>2019</v>
      </c>
      <c r="E1150" s="10" t="s">
        <v>8420</v>
      </c>
    </row>
    <row r="1151" spans="1:6" x14ac:dyDescent="0.25">
      <c r="A1151" t="s">
        <v>1435</v>
      </c>
      <c r="B1151" t="s">
        <v>2385</v>
      </c>
      <c r="C1151">
        <v>2021</v>
      </c>
      <c r="E1151" s="10" t="s">
        <v>8420</v>
      </c>
      <c r="F1151" t="s">
        <v>8861</v>
      </c>
    </row>
    <row r="1152" spans="1:6" x14ac:dyDescent="0.25">
      <c r="A1152" t="s">
        <v>1144</v>
      </c>
      <c r="B1152" t="s">
        <v>2389</v>
      </c>
      <c r="C1152">
        <v>2012</v>
      </c>
      <c r="E1152" t="s">
        <v>3214</v>
      </c>
    </row>
    <row r="1153" spans="1:6" x14ac:dyDescent="0.25">
      <c r="A1153" t="s">
        <v>256</v>
      </c>
      <c r="B1153" t="s">
        <v>2393</v>
      </c>
      <c r="C1153">
        <v>1994</v>
      </c>
      <c r="E1153" t="s">
        <v>2997</v>
      </c>
      <c r="F1153" t="s">
        <v>8482</v>
      </c>
    </row>
    <row r="1154" spans="1:6" x14ac:dyDescent="0.25">
      <c r="A1154" t="s">
        <v>2792</v>
      </c>
      <c r="B1154" t="s">
        <v>2393</v>
      </c>
      <c r="C1154">
        <v>1992</v>
      </c>
      <c r="E1154" t="s">
        <v>2997</v>
      </c>
      <c r="F1154" t="s">
        <v>9341</v>
      </c>
    </row>
    <row r="1155" spans="1:6" x14ac:dyDescent="0.25">
      <c r="A1155" t="s">
        <v>1004</v>
      </c>
      <c r="B1155" t="s">
        <v>2395</v>
      </c>
      <c r="C1155">
        <v>2006</v>
      </c>
      <c r="E1155" t="s">
        <v>3173</v>
      </c>
      <c r="F1155" t="s">
        <v>8725</v>
      </c>
    </row>
    <row r="1156" spans="1:6" x14ac:dyDescent="0.25">
      <c r="A1156" t="s">
        <v>2393</v>
      </c>
      <c r="B1156" t="s">
        <v>2395</v>
      </c>
      <c r="C1156">
        <v>2022</v>
      </c>
      <c r="D1156" t="s">
        <v>187</v>
      </c>
    </row>
    <row r="1157" spans="1:6" x14ac:dyDescent="0.25">
      <c r="A1157" t="s">
        <v>1294</v>
      </c>
      <c r="B1157" t="s">
        <v>2397</v>
      </c>
      <c r="C1157">
        <v>2019</v>
      </c>
      <c r="E1157" t="s">
        <v>3235</v>
      </c>
      <c r="F1157" t="s">
        <v>8831</v>
      </c>
    </row>
    <row r="1158" spans="1:6" x14ac:dyDescent="0.25">
      <c r="A1158" t="s">
        <v>2136</v>
      </c>
      <c r="B1158" t="s">
        <v>2397</v>
      </c>
      <c r="C1158">
        <v>2020</v>
      </c>
      <c r="E1158" s="10" t="s">
        <v>8394</v>
      </c>
      <c r="F1158" t="s">
        <v>9034</v>
      </c>
    </row>
    <row r="1159" spans="1:6" x14ac:dyDescent="0.25">
      <c r="A1159" t="s">
        <v>2804</v>
      </c>
      <c r="B1159" t="s">
        <v>2397</v>
      </c>
      <c r="C1159">
        <v>2021</v>
      </c>
      <c r="E1159" t="s">
        <v>3235</v>
      </c>
      <c r="F1159" t="s">
        <v>9369</v>
      </c>
    </row>
    <row r="1160" spans="1:6" x14ac:dyDescent="0.25">
      <c r="A1160" t="s">
        <v>759</v>
      </c>
      <c r="B1160" t="s">
        <v>2403</v>
      </c>
      <c r="C1160">
        <v>2018</v>
      </c>
      <c r="E1160" t="s">
        <v>3122</v>
      </c>
      <c r="F1160" t="s">
        <v>8644</v>
      </c>
    </row>
    <row r="1161" spans="1:6" x14ac:dyDescent="0.25">
      <c r="A1161" t="s">
        <v>2173</v>
      </c>
      <c r="B1161" t="s">
        <v>2403</v>
      </c>
      <c r="C1161">
        <v>2013</v>
      </c>
      <c r="E1161" t="s">
        <v>3122</v>
      </c>
      <c r="F1161" t="s">
        <v>9073</v>
      </c>
    </row>
    <row r="1162" spans="1:6" x14ac:dyDescent="0.25">
      <c r="A1162" t="s">
        <v>160</v>
      </c>
      <c r="B1162" t="s">
        <v>2403</v>
      </c>
      <c r="C1162">
        <v>2011</v>
      </c>
      <c r="E1162" t="s">
        <v>3122</v>
      </c>
      <c r="F1162" t="s">
        <v>9315</v>
      </c>
    </row>
    <row r="1163" spans="1:6" x14ac:dyDescent="0.25">
      <c r="A1163" t="s">
        <v>490</v>
      </c>
      <c r="B1163" t="s">
        <v>2406</v>
      </c>
      <c r="C1163">
        <v>2009</v>
      </c>
      <c r="E1163" t="s">
        <v>3062</v>
      </c>
      <c r="F1163" t="s">
        <v>8562</v>
      </c>
    </row>
    <row r="1164" spans="1:6" x14ac:dyDescent="0.25">
      <c r="A1164" t="s">
        <v>922</v>
      </c>
      <c r="B1164" t="s">
        <v>2406</v>
      </c>
      <c r="C1164">
        <v>2002</v>
      </c>
      <c r="E1164" t="s">
        <v>3062</v>
      </c>
      <c r="F1164" t="s">
        <v>8700</v>
      </c>
    </row>
    <row r="1165" spans="1:6" x14ac:dyDescent="0.25">
      <c r="A1165" t="s">
        <v>746</v>
      </c>
      <c r="B1165" t="s">
        <v>8118</v>
      </c>
      <c r="C1165">
        <v>2015</v>
      </c>
      <c r="E1165" s="10" t="s">
        <v>8132</v>
      </c>
    </row>
    <row r="1166" spans="1:6" x14ac:dyDescent="0.25">
      <c r="A1166" t="s">
        <v>914</v>
      </c>
      <c r="B1166" t="s">
        <v>8118</v>
      </c>
      <c r="C1166">
        <v>2013</v>
      </c>
      <c r="E1166" s="10" t="s">
        <v>8132</v>
      </c>
    </row>
    <row r="1167" spans="1:6" x14ac:dyDescent="0.25">
      <c r="A1167" t="s">
        <v>1255</v>
      </c>
      <c r="B1167" t="s">
        <v>8118</v>
      </c>
      <c r="C1167">
        <v>2020</v>
      </c>
      <c r="E1167" s="10" t="s">
        <v>8132</v>
      </c>
    </row>
    <row r="1168" spans="1:6" x14ac:dyDescent="0.25">
      <c r="A1168" t="s">
        <v>1294</v>
      </c>
      <c r="B1168" t="s">
        <v>8118</v>
      </c>
      <c r="C1168">
        <v>2019</v>
      </c>
      <c r="E1168" s="10" t="s">
        <v>8132</v>
      </c>
    </row>
    <row r="1169" spans="1:6" x14ac:dyDescent="0.25">
      <c r="A1169" t="s">
        <v>1144</v>
      </c>
      <c r="B1169" t="s">
        <v>7857</v>
      </c>
      <c r="C1169">
        <v>2012</v>
      </c>
      <c r="E1169" t="s">
        <v>7856</v>
      </c>
      <c r="F1169" t="s">
        <v>8784</v>
      </c>
    </row>
    <row r="1170" spans="1:6" x14ac:dyDescent="0.25">
      <c r="A1170" t="s">
        <v>2173</v>
      </c>
      <c r="B1170" t="s">
        <v>7857</v>
      </c>
      <c r="C1170">
        <v>2013</v>
      </c>
      <c r="E1170" t="s">
        <v>7859</v>
      </c>
      <c r="F1170" t="s">
        <v>9074</v>
      </c>
    </row>
    <row r="1171" spans="1:6" x14ac:dyDescent="0.25">
      <c r="A1171" t="s">
        <v>160</v>
      </c>
      <c r="B1171" t="s">
        <v>7857</v>
      </c>
      <c r="C1171">
        <v>2011</v>
      </c>
      <c r="E1171" t="s">
        <v>7856</v>
      </c>
      <c r="F1171" t="s">
        <v>9316</v>
      </c>
    </row>
    <row r="1172" spans="1:6" x14ac:dyDescent="0.25">
      <c r="A1172" t="s">
        <v>2804</v>
      </c>
      <c r="B1172" t="s">
        <v>2410</v>
      </c>
      <c r="C1172">
        <v>2021</v>
      </c>
      <c r="E1172" t="s">
        <v>3013</v>
      </c>
    </row>
    <row r="1173" spans="1:6" x14ac:dyDescent="0.25">
      <c r="A1173" t="s">
        <v>1385</v>
      </c>
      <c r="B1173" t="s">
        <v>2414</v>
      </c>
      <c r="C1173">
        <v>2013</v>
      </c>
      <c r="E1173" s="10" t="s">
        <v>8413</v>
      </c>
    </row>
    <row r="1174" spans="1:6" x14ac:dyDescent="0.25">
      <c r="A1174" t="s">
        <v>1443</v>
      </c>
      <c r="B1174" t="s">
        <v>2414</v>
      </c>
      <c r="C1174">
        <v>2018</v>
      </c>
      <c r="E1174" t="s">
        <v>3253</v>
      </c>
    </row>
    <row r="1175" spans="1:6" x14ac:dyDescent="0.25">
      <c r="A1175" t="s">
        <v>1855</v>
      </c>
      <c r="B1175" t="s">
        <v>2414</v>
      </c>
      <c r="C1175">
        <v>2015</v>
      </c>
      <c r="E1175" s="10" t="s">
        <v>8413</v>
      </c>
      <c r="F1175" t="s">
        <v>8993</v>
      </c>
    </row>
    <row r="1176" spans="1:6" x14ac:dyDescent="0.25">
      <c r="A1176" t="s">
        <v>873</v>
      </c>
      <c r="B1176" t="s">
        <v>2416</v>
      </c>
      <c r="C1176">
        <v>2019</v>
      </c>
      <c r="E1176" t="s">
        <v>2982</v>
      </c>
    </row>
    <row r="1177" spans="1:6" x14ac:dyDescent="0.25">
      <c r="A1177" t="s">
        <v>90</v>
      </c>
      <c r="B1177" t="s">
        <v>2416</v>
      </c>
      <c r="C1177">
        <v>2017</v>
      </c>
      <c r="E1177" t="s">
        <v>2982</v>
      </c>
    </row>
    <row r="1178" spans="1:6" x14ac:dyDescent="0.25">
      <c r="A1178" t="s">
        <v>2428</v>
      </c>
      <c r="B1178" t="s">
        <v>2420</v>
      </c>
      <c r="C1178">
        <v>2008</v>
      </c>
      <c r="D1178" t="s">
        <v>187</v>
      </c>
    </row>
    <row r="1179" spans="1:6" x14ac:dyDescent="0.25">
      <c r="A1179" t="s">
        <v>2420</v>
      </c>
      <c r="B1179" t="s">
        <v>2424</v>
      </c>
      <c r="C1179">
        <v>2012</v>
      </c>
      <c r="D1179" t="s">
        <v>187</v>
      </c>
    </row>
    <row r="1180" spans="1:6" x14ac:dyDescent="0.25">
      <c r="A1180" t="s">
        <v>1795</v>
      </c>
      <c r="B1180" t="s">
        <v>2428</v>
      </c>
      <c r="C1180">
        <v>1987</v>
      </c>
      <c r="E1180" t="s">
        <v>3289</v>
      </c>
      <c r="F1180" t="s">
        <v>8963</v>
      </c>
    </row>
    <row r="1181" spans="1:6" x14ac:dyDescent="0.25">
      <c r="A1181" t="s">
        <v>346</v>
      </c>
      <c r="B1181" t="s">
        <v>2431</v>
      </c>
      <c r="C1181">
        <v>2022</v>
      </c>
      <c r="E1181" t="s">
        <v>2982</v>
      </c>
      <c r="F1181" t="s">
        <v>8508</v>
      </c>
    </row>
    <row r="1182" spans="1:6" x14ac:dyDescent="0.25">
      <c r="A1182" t="s">
        <v>1576</v>
      </c>
      <c r="B1182" t="s">
        <v>2431</v>
      </c>
      <c r="C1182">
        <v>2021</v>
      </c>
      <c r="E1182" t="s">
        <v>2982</v>
      </c>
      <c r="F1182" t="s">
        <v>8910</v>
      </c>
    </row>
    <row r="1183" spans="1:6" x14ac:dyDescent="0.25">
      <c r="A1183" t="s">
        <v>90</v>
      </c>
      <c r="B1183" t="s">
        <v>2431</v>
      </c>
      <c r="C1183">
        <v>2017</v>
      </c>
      <c r="E1183" t="s">
        <v>2982</v>
      </c>
      <c r="F1183" t="s">
        <v>9176</v>
      </c>
    </row>
    <row r="1184" spans="1:6" x14ac:dyDescent="0.25">
      <c r="A1184" t="s">
        <v>1592</v>
      </c>
      <c r="B1184" t="s">
        <v>2435</v>
      </c>
      <c r="C1184">
        <v>2019</v>
      </c>
      <c r="E1184" s="10" t="s">
        <v>8376</v>
      </c>
      <c r="F1184" t="s">
        <v>8914</v>
      </c>
    </row>
    <row r="1185" spans="1:6" x14ac:dyDescent="0.25">
      <c r="A1185" t="s">
        <v>2804</v>
      </c>
      <c r="B1185" t="s">
        <v>2435</v>
      </c>
      <c r="C1185">
        <v>2021</v>
      </c>
      <c r="E1185" t="s">
        <v>3013</v>
      </c>
    </row>
    <row r="1186" spans="1:6" x14ac:dyDescent="0.25">
      <c r="A1186" t="s">
        <v>1294</v>
      </c>
      <c r="B1186" t="s">
        <v>2439</v>
      </c>
      <c r="C1186">
        <v>2019</v>
      </c>
      <c r="E1186" t="s">
        <v>2982</v>
      </c>
      <c r="F1186" t="s">
        <v>8832</v>
      </c>
    </row>
    <row r="1187" spans="1:6" x14ac:dyDescent="0.25">
      <c r="A1187" t="s">
        <v>90</v>
      </c>
      <c r="B1187" t="s">
        <v>2439</v>
      </c>
      <c r="C1187">
        <v>2017</v>
      </c>
      <c r="E1187" t="s">
        <v>2982</v>
      </c>
      <c r="F1187" t="s">
        <v>9177</v>
      </c>
    </row>
    <row r="1188" spans="1:6" x14ac:dyDescent="0.25">
      <c r="A1188" t="s">
        <v>2428</v>
      </c>
      <c r="B1188" t="s">
        <v>2443</v>
      </c>
      <c r="C1188">
        <v>2008</v>
      </c>
      <c r="E1188" t="s">
        <v>2446</v>
      </c>
      <c r="F1188" t="s">
        <v>9239</v>
      </c>
    </row>
    <row r="1189" spans="1:6" x14ac:dyDescent="0.25">
      <c r="A1189" t="s">
        <v>256</v>
      </c>
      <c r="B1189" t="s">
        <v>2447</v>
      </c>
      <c r="C1189">
        <v>1994</v>
      </c>
      <c r="E1189" t="s">
        <v>2998</v>
      </c>
      <c r="F1189" t="s">
        <v>8483</v>
      </c>
    </row>
    <row r="1190" spans="1:6" x14ac:dyDescent="0.25">
      <c r="A1190" t="s">
        <v>553</v>
      </c>
      <c r="B1190" t="s">
        <v>2447</v>
      </c>
      <c r="C1190">
        <v>2010</v>
      </c>
      <c r="D1190" t="s">
        <v>187</v>
      </c>
    </row>
    <row r="1191" spans="1:6" x14ac:dyDescent="0.25">
      <c r="A1191" t="s">
        <v>353</v>
      </c>
      <c r="B1191" t="s">
        <v>2455</v>
      </c>
      <c r="C1191">
        <v>2023</v>
      </c>
      <c r="E1191" t="s">
        <v>3013</v>
      </c>
    </row>
    <row r="1192" spans="1:6" x14ac:dyDescent="0.25">
      <c r="A1192" t="s">
        <v>2377</v>
      </c>
      <c r="B1192" t="s">
        <v>2455</v>
      </c>
      <c r="C1192">
        <v>2021</v>
      </c>
      <c r="E1192" t="s">
        <v>2982</v>
      </c>
      <c r="F1192" t="s">
        <v>9208</v>
      </c>
    </row>
    <row r="1193" spans="1:6" x14ac:dyDescent="0.25">
      <c r="A1193" t="s">
        <v>160</v>
      </c>
      <c r="B1193" t="s">
        <v>2459</v>
      </c>
      <c r="C1193">
        <v>2011</v>
      </c>
      <c r="E1193" t="s">
        <v>3415</v>
      </c>
      <c r="F1193" t="s">
        <v>9317</v>
      </c>
    </row>
    <row r="1194" spans="1:6" x14ac:dyDescent="0.25">
      <c r="A1194" t="s">
        <v>759</v>
      </c>
      <c r="B1194" t="s">
        <v>8341</v>
      </c>
      <c r="C1194">
        <v>2018</v>
      </c>
      <c r="E1194" s="10" t="s">
        <v>8351</v>
      </c>
    </row>
    <row r="1195" spans="1:6" x14ac:dyDescent="0.25">
      <c r="A1195" t="s">
        <v>1443</v>
      </c>
      <c r="B1195" t="s">
        <v>8341</v>
      </c>
      <c r="C1195">
        <v>2018</v>
      </c>
      <c r="E1195" s="10" t="s">
        <v>8351</v>
      </c>
    </row>
    <row r="1196" spans="1:6" x14ac:dyDescent="0.25">
      <c r="A1196" t="s">
        <v>90</v>
      </c>
      <c r="B1196" t="s">
        <v>8341</v>
      </c>
      <c r="C1196">
        <v>2017</v>
      </c>
      <c r="E1196" s="10" t="s">
        <v>8351</v>
      </c>
    </row>
    <row r="1197" spans="1:6" x14ac:dyDescent="0.25">
      <c r="A1197" t="s">
        <v>185</v>
      </c>
      <c r="B1197" t="s">
        <v>2463</v>
      </c>
      <c r="C1197">
        <v>2022</v>
      </c>
      <c r="E1197" s="10" t="s">
        <v>2466</v>
      </c>
      <c r="F1197" t="s">
        <v>8470</v>
      </c>
    </row>
    <row r="1198" spans="1:6" x14ac:dyDescent="0.25">
      <c r="A1198" t="s">
        <v>457</v>
      </c>
      <c r="B1198" t="s">
        <v>2463</v>
      </c>
      <c r="C1198">
        <v>2022</v>
      </c>
      <c r="E1198" s="10" t="s">
        <v>2466</v>
      </c>
      <c r="F1198" t="s">
        <v>8554</v>
      </c>
    </row>
    <row r="1199" spans="1:6" x14ac:dyDescent="0.25">
      <c r="A1199" t="s">
        <v>497</v>
      </c>
      <c r="B1199" t="s">
        <v>2463</v>
      </c>
      <c r="C1199">
        <v>2022</v>
      </c>
      <c r="E1199" s="10" t="s">
        <v>2466</v>
      </c>
      <c r="F1199" t="s">
        <v>8577</v>
      </c>
    </row>
    <row r="1200" spans="1:6" x14ac:dyDescent="0.25">
      <c r="A1200" t="s">
        <v>1843</v>
      </c>
      <c r="B1200" t="s">
        <v>2463</v>
      </c>
      <c r="C1200">
        <v>2019</v>
      </c>
      <c r="E1200" s="10" t="s">
        <v>2466</v>
      </c>
      <c r="F1200" t="s">
        <v>8973</v>
      </c>
    </row>
    <row r="1201" spans="1:6" x14ac:dyDescent="0.25">
      <c r="A1201" t="s">
        <v>2192</v>
      </c>
      <c r="B1201" t="s">
        <v>2463</v>
      </c>
      <c r="C1201">
        <v>2022</v>
      </c>
      <c r="E1201" s="10" t="s">
        <v>2466</v>
      </c>
      <c r="F1201" t="s">
        <v>9079</v>
      </c>
    </row>
    <row r="1202" spans="1:6" x14ac:dyDescent="0.25">
      <c r="A1202" t="s">
        <v>8384</v>
      </c>
      <c r="B1202" t="s">
        <v>2463</v>
      </c>
      <c r="C1202">
        <v>2022</v>
      </c>
      <c r="E1202" s="10" t="s">
        <v>2466</v>
      </c>
      <c r="F1202" t="s">
        <v>9082</v>
      </c>
    </row>
    <row r="1203" spans="1:6" x14ac:dyDescent="0.25">
      <c r="A1203" t="s">
        <v>2397</v>
      </c>
      <c r="B1203" t="s">
        <v>2463</v>
      </c>
      <c r="C1203">
        <v>2022</v>
      </c>
      <c r="E1203" s="10" t="s">
        <v>2466</v>
      </c>
      <c r="F1203" t="s">
        <v>9210</v>
      </c>
    </row>
    <row r="1204" spans="1:6" x14ac:dyDescent="0.25">
      <c r="A1204" t="s">
        <v>2410</v>
      </c>
      <c r="B1204" t="s">
        <v>2463</v>
      </c>
      <c r="C1204">
        <v>2022</v>
      </c>
      <c r="E1204" s="10" t="s">
        <v>2466</v>
      </c>
      <c r="F1204" t="s">
        <v>9211</v>
      </c>
    </row>
    <row r="1205" spans="1:6" x14ac:dyDescent="0.25">
      <c r="A1205" t="s">
        <v>2804</v>
      </c>
      <c r="B1205" t="s">
        <v>2463</v>
      </c>
      <c r="C1205">
        <v>2021</v>
      </c>
      <c r="E1205" s="10" t="s">
        <v>2466</v>
      </c>
    </row>
    <row r="1206" spans="1:6" x14ac:dyDescent="0.25">
      <c r="A1206" t="s">
        <v>2828</v>
      </c>
      <c r="B1206" t="s">
        <v>2463</v>
      </c>
      <c r="C1206">
        <v>2022</v>
      </c>
      <c r="E1206" s="10" t="s">
        <v>2466</v>
      </c>
      <c r="F1206" t="s">
        <v>9380</v>
      </c>
    </row>
    <row r="1207" spans="1:6" x14ac:dyDescent="0.25">
      <c r="A1207" t="s">
        <v>1294</v>
      </c>
      <c r="B1207" t="s">
        <v>2467</v>
      </c>
      <c r="C1207">
        <v>2019</v>
      </c>
      <c r="E1207" t="s">
        <v>3236</v>
      </c>
    </row>
    <row r="1208" spans="1:6" x14ac:dyDescent="0.25">
      <c r="A1208" t="s">
        <v>90</v>
      </c>
      <c r="B1208" t="s">
        <v>2471</v>
      </c>
      <c r="C1208">
        <v>2017</v>
      </c>
      <c r="E1208" s="10" t="s">
        <v>3380</v>
      </c>
      <c r="F1208" t="s">
        <v>9178</v>
      </c>
    </row>
    <row r="1209" spans="1:6" x14ac:dyDescent="0.25">
      <c r="A1209" t="s">
        <v>353</v>
      </c>
      <c r="B1209" t="s">
        <v>2475</v>
      </c>
      <c r="C1209">
        <v>2023</v>
      </c>
      <c r="E1209" t="s">
        <v>3049</v>
      </c>
      <c r="F1209" t="s">
        <v>8545</v>
      </c>
    </row>
    <row r="1210" spans="1:6" x14ac:dyDescent="0.25">
      <c r="A1210" t="s">
        <v>1576</v>
      </c>
      <c r="B1210" t="s">
        <v>2475</v>
      </c>
      <c r="C1210">
        <v>2021</v>
      </c>
      <c r="E1210" t="s">
        <v>3049</v>
      </c>
      <c r="F1210" t="s">
        <v>8911</v>
      </c>
    </row>
    <row r="1211" spans="1:6" x14ac:dyDescent="0.25">
      <c r="A1211" t="s">
        <v>1951</v>
      </c>
      <c r="B1211" t="s">
        <v>2475</v>
      </c>
      <c r="C1211">
        <v>2022</v>
      </c>
      <c r="E1211" t="s">
        <v>3049</v>
      </c>
      <c r="F1211" t="s">
        <v>9008</v>
      </c>
    </row>
    <row r="1212" spans="1:6" x14ac:dyDescent="0.25">
      <c r="A1212" t="s">
        <v>497</v>
      </c>
      <c r="B1212" t="s">
        <v>8112</v>
      </c>
      <c r="C1212">
        <v>2022</v>
      </c>
      <c r="E1212" s="10" t="s">
        <v>8131</v>
      </c>
      <c r="F1212" t="s">
        <v>8456</v>
      </c>
    </row>
    <row r="1213" spans="1:6" x14ac:dyDescent="0.25">
      <c r="A1213" t="s">
        <v>847</v>
      </c>
      <c r="B1213" t="s">
        <v>8112</v>
      </c>
      <c r="C1213">
        <v>1996</v>
      </c>
      <c r="E1213" s="10" t="s">
        <v>8131</v>
      </c>
      <c r="F1213" t="s">
        <v>8678</v>
      </c>
    </row>
    <row r="1214" spans="1:6" x14ac:dyDescent="0.25">
      <c r="A1214" t="s">
        <v>2804</v>
      </c>
      <c r="B1214" t="s">
        <v>8112</v>
      </c>
      <c r="C1214">
        <v>2021</v>
      </c>
      <c r="E1214" s="10" t="s">
        <v>8131</v>
      </c>
      <c r="F1214" t="s">
        <v>9370</v>
      </c>
    </row>
    <row r="1215" spans="1:6" x14ac:dyDescent="0.25">
      <c r="A1215" t="s">
        <v>256</v>
      </c>
      <c r="B1215" t="s">
        <v>2481</v>
      </c>
      <c r="C1215">
        <v>1994</v>
      </c>
      <c r="E1215" t="s">
        <v>2999</v>
      </c>
    </row>
    <row r="1216" spans="1:6" x14ac:dyDescent="0.25">
      <c r="A1216" t="s">
        <v>746</v>
      </c>
      <c r="B1216" t="s">
        <v>2481</v>
      </c>
      <c r="C1216">
        <v>2015</v>
      </c>
      <c r="E1216" t="s">
        <v>2999</v>
      </c>
    </row>
    <row r="1217" spans="1:6" x14ac:dyDescent="0.25">
      <c r="A1217" t="s">
        <v>2428</v>
      </c>
      <c r="B1217" t="s">
        <v>2485</v>
      </c>
      <c r="C1217">
        <v>2008</v>
      </c>
      <c r="E1217" t="s">
        <v>3400</v>
      </c>
    </row>
    <row r="1218" spans="1:6" x14ac:dyDescent="0.25">
      <c r="A1218" t="s">
        <v>1538</v>
      </c>
      <c r="B1218" t="s">
        <v>2489</v>
      </c>
      <c r="C1218">
        <v>1995</v>
      </c>
      <c r="E1218" t="s">
        <v>3258</v>
      </c>
      <c r="F1218" t="s">
        <v>8887</v>
      </c>
    </row>
    <row r="1219" spans="1:6" x14ac:dyDescent="0.25">
      <c r="A1219" t="s">
        <v>1795</v>
      </c>
      <c r="B1219" t="s">
        <v>2489</v>
      </c>
      <c r="C1219">
        <v>1987</v>
      </c>
      <c r="E1219" t="s">
        <v>3258</v>
      </c>
      <c r="F1219" t="s">
        <v>8964</v>
      </c>
    </row>
    <row r="1220" spans="1:6" x14ac:dyDescent="0.25">
      <c r="A1220" t="s">
        <v>1855</v>
      </c>
      <c r="B1220" t="s">
        <v>2492</v>
      </c>
      <c r="C1220">
        <v>2015</v>
      </c>
      <c r="E1220" t="s">
        <v>2495</v>
      </c>
      <c r="F1220" t="s">
        <v>8994</v>
      </c>
    </row>
    <row r="1221" spans="1:6" x14ac:dyDescent="0.25">
      <c r="A1221" t="s">
        <v>2428</v>
      </c>
      <c r="B1221" t="s">
        <v>2492</v>
      </c>
      <c r="C1221">
        <v>2008</v>
      </c>
      <c r="E1221" t="s">
        <v>3401</v>
      </c>
      <c r="F1221" t="s">
        <v>9240</v>
      </c>
    </row>
    <row r="1222" spans="1:6" x14ac:dyDescent="0.25">
      <c r="A1222" t="s">
        <v>160</v>
      </c>
      <c r="B1222" t="s">
        <v>2492</v>
      </c>
      <c r="C1222">
        <v>2011</v>
      </c>
      <c r="E1222" t="s">
        <v>3401</v>
      </c>
      <c r="F1222" t="s">
        <v>9318</v>
      </c>
    </row>
    <row r="1223" spans="1:6" x14ac:dyDescent="0.25">
      <c r="A1223" t="s">
        <v>1454</v>
      </c>
      <c r="B1223" t="s">
        <v>8426</v>
      </c>
      <c r="C1223">
        <v>2001</v>
      </c>
      <c r="E1223" s="10" t="s">
        <v>8425</v>
      </c>
    </row>
    <row r="1224" spans="1:6" x14ac:dyDescent="0.25">
      <c r="A1224" t="s">
        <v>1817</v>
      </c>
      <c r="B1224" t="s">
        <v>2496</v>
      </c>
      <c r="C1224">
        <v>2019</v>
      </c>
      <c r="E1224" t="s">
        <v>3297</v>
      </c>
      <c r="F1224" t="s">
        <v>8971</v>
      </c>
    </row>
    <row r="1225" spans="1:6" x14ac:dyDescent="0.25">
      <c r="A1225" t="s">
        <v>2095</v>
      </c>
      <c r="B1225" t="s">
        <v>8426</v>
      </c>
      <c r="C1225">
        <v>2023</v>
      </c>
      <c r="E1225" s="10" t="s">
        <v>8425</v>
      </c>
    </row>
    <row r="1226" spans="1:6" x14ac:dyDescent="0.25">
      <c r="A1226" t="s">
        <v>2173</v>
      </c>
      <c r="B1226" t="s">
        <v>2498</v>
      </c>
      <c r="C1226">
        <v>2013</v>
      </c>
      <c r="E1226" t="s">
        <v>3338</v>
      </c>
      <c r="F1226" t="s">
        <v>9075</v>
      </c>
    </row>
    <row r="1227" spans="1:6" x14ac:dyDescent="0.25">
      <c r="A1227" t="s">
        <v>914</v>
      </c>
      <c r="B1227" t="s">
        <v>2502</v>
      </c>
      <c r="C1227">
        <v>2013</v>
      </c>
      <c r="E1227" s="10" t="s">
        <v>8423</v>
      </c>
    </row>
    <row r="1228" spans="1:6" x14ac:dyDescent="0.25">
      <c r="A1228" t="s">
        <v>1144</v>
      </c>
      <c r="B1228" t="s">
        <v>2502</v>
      </c>
      <c r="C1228">
        <v>2012</v>
      </c>
      <c r="E1228" t="s">
        <v>3200</v>
      </c>
    </row>
    <row r="1229" spans="1:6" x14ac:dyDescent="0.25">
      <c r="A1229" t="s">
        <v>924</v>
      </c>
      <c r="B1229" t="s">
        <v>2506</v>
      </c>
      <c r="C1229">
        <v>2019</v>
      </c>
      <c r="E1229" t="s">
        <v>3152</v>
      </c>
      <c r="F1229" t="s">
        <v>8701</v>
      </c>
    </row>
    <row r="1230" spans="1:6" x14ac:dyDescent="0.25">
      <c r="A1230" t="s">
        <v>90</v>
      </c>
      <c r="B1230" t="s">
        <v>2510</v>
      </c>
      <c r="C1230">
        <v>2017</v>
      </c>
      <c r="E1230" s="10" t="s">
        <v>8398</v>
      </c>
      <c r="F1230" t="s">
        <v>9179</v>
      </c>
    </row>
    <row r="1231" spans="1:6" x14ac:dyDescent="0.25">
      <c r="A1231" t="s">
        <v>1004</v>
      </c>
      <c r="B1231" t="s">
        <v>2514</v>
      </c>
      <c r="C1231">
        <v>2006</v>
      </c>
      <c r="E1231" t="s">
        <v>3174</v>
      </c>
    </row>
    <row r="1232" spans="1:6" x14ac:dyDescent="0.25">
      <c r="A1232" t="s">
        <v>1294</v>
      </c>
      <c r="B1232" t="s">
        <v>2514</v>
      </c>
      <c r="C1232">
        <v>2019</v>
      </c>
      <c r="E1232" t="s">
        <v>3174</v>
      </c>
      <c r="F1232" t="s">
        <v>9404</v>
      </c>
    </row>
    <row r="1233" spans="1:6" x14ac:dyDescent="0.25">
      <c r="A1233" t="s">
        <v>1549</v>
      </c>
      <c r="B1233" t="s">
        <v>2514</v>
      </c>
      <c r="C1233">
        <v>2021</v>
      </c>
      <c r="E1233" t="s">
        <v>3174</v>
      </c>
      <c r="F1233" t="s">
        <v>9405</v>
      </c>
    </row>
    <row r="1234" spans="1:6" x14ac:dyDescent="0.25">
      <c r="A1234" t="s">
        <v>1576</v>
      </c>
      <c r="B1234" t="s">
        <v>2522</v>
      </c>
      <c r="C1234">
        <v>2021</v>
      </c>
      <c r="E1234" t="s">
        <v>3267</v>
      </c>
      <c r="F1234" t="s">
        <v>8912</v>
      </c>
    </row>
    <row r="1235" spans="1:6" x14ac:dyDescent="0.25">
      <c r="A1235" t="s">
        <v>2095</v>
      </c>
      <c r="B1235" t="s">
        <v>2524</v>
      </c>
      <c r="C1235">
        <v>2023</v>
      </c>
      <c r="E1235" t="s">
        <v>3312</v>
      </c>
      <c r="F1235" t="s">
        <v>9016</v>
      </c>
    </row>
    <row r="1236" spans="1:6" x14ac:dyDescent="0.25">
      <c r="A1236" t="s">
        <v>2136</v>
      </c>
      <c r="B1236" t="s">
        <v>2524</v>
      </c>
      <c r="C1236">
        <v>2020</v>
      </c>
      <c r="E1236" t="s">
        <v>3312</v>
      </c>
      <c r="F1236" t="s">
        <v>9035</v>
      </c>
    </row>
    <row r="1237" spans="1:6" x14ac:dyDescent="0.25">
      <c r="A1237" t="s">
        <v>2146</v>
      </c>
      <c r="B1237" t="s">
        <v>2524</v>
      </c>
      <c r="C1237">
        <v>2020</v>
      </c>
      <c r="E1237" t="s">
        <v>3312</v>
      </c>
      <c r="F1237" t="s">
        <v>9041</v>
      </c>
    </row>
    <row r="1238" spans="1:6" x14ac:dyDescent="0.25">
      <c r="A1238" t="s">
        <v>2804</v>
      </c>
      <c r="B1238" t="s">
        <v>2526</v>
      </c>
      <c r="C1238">
        <v>2021</v>
      </c>
      <c r="E1238" t="s">
        <v>3432</v>
      </c>
      <c r="F1238" t="s">
        <v>9371</v>
      </c>
    </row>
    <row r="1239" spans="1:6" x14ac:dyDescent="0.25">
      <c r="A1239" t="s">
        <v>1144</v>
      </c>
      <c r="B1239" t="s">
        <v>2530</v>
      </c>
      <c r="C1239">
        <v>2012</v>
      </c>
      <c r="E1239" t="s">
        <v>3215</v>
      </c>
      <c r="F1239" t="s">
        <v>8785</v>
      </c>
    </row>
    <row r="1240" spans="1:6" x14ac:dyDescent="0.25">
      <c r="A1240" t="s">
        <v>2428</v>
      </c>
      <c r="B1240" t="s">
        <v>2530</v>
      </c>
      <c r="C1240">
        <v>2008</v>
      </c>
      <c r="E1240" t="s">
        <v>3215</v>
      </c>
      <c r="F1240" t="s">
        <v>9241</v>
      </c>
    </row>
    <row r="1241" spans="1:6" x14ac:dyDescent="0.25">
      <c r="A1241" t="s">
        <v>160</v>
      </c>
      <c r="B1241" t="s">
        <v>2530</v>
      </c>
      <c r="C1241">
        <v>2011</v>
      </c>
      <c r="E1241" t="s">
        <v>3215</v>
      </c>
      <c r="F1241" t="s">
        <v>9319</v>
      </c>
    </row>
    <row r="1242" spans="1:6" x14ac:dyDescent="0.25">
      <c r="A1242" t="s">
        <v>341</v>
      </c>
      <c r="B1242" t="s">
        <v>2537</v>
      </c>
      <c r="C1242">
        <v>1997</v>
      </c>
      <c r="E1242" t="s">
        <v>3010</v>
      </c>
      <c r="F1242" t="s">
        <v>8496</v>
      </c>
    </row>
    <row r="1243" spans="1:6" x14ac:dyDescent="0.25">
      <c r="A1243" t="s">
        <v>1046</v>
      </c>
      <c r="B1243" t="s">
        <v>2537</v>
      </c>
      <c r="C1243">
        <v>2016</v>
      </c>
      <c r="E1243" t="s">
        <v>3010</v>
      </c>
      <c r="F1243" t="s">
        <v>8750</v>
      </c>
    </row>
    <row r="1244" spans="1:6" x14ac:dyDescent="0.25">
      <c r="A1244" t="s">
        <v>2537</v>
      </c>
      <c r="B1244" t="s">
        <v>2540</v>
      </c>
      <c r="C1244">
        <v>2021</v>
      </c>
      <c r="D1244" t="s">
        <v>187</v>
      </c>
    </row>
    <row r="1245" spans="1:6" x14ac:dyDescent="0.25">
      <c r="A1245" t="s">
        <v>847</v>
      </c>
      <c r="B1245" t="s">
        <v>2543</v>
      </c>
      <c r="C1245">
        <v>1996</v>
      </c>
      <c r="E1245" t="s">
        <v>3139</v>
      </c>
      <c r="F1245" t="s">
        <v>8679</v>
      </c>
    </row>
    <row r="1246" spans="1:6" x14ac:dyDescent="0.25">
      <c r="A1246" t="s">
        <v>1795</v>
      </c>
      <c r="B1246" t="s">
        <v>2543</v>
      </c>
      <c r="C1246">
        <v>1987</v>
      </c>
      <c r="E1246" t="s">
        <v>3290</v>
      </c>
      <c r="F1246" t="s">
        <v>8965</v>
      </c>
    </row>
    <row r="1247" spans="1:6" x14ac:dyDescent="0.25">
      <c r="A1247" t="s">
        <v>2154</v>
      </c>
      <c r="B1247" t="s">
        <v>2543</v>
      </c>
      <c r="C1247">
        <v>1980</v>
      </c>
      <c r="E1247" t="s">
        <v>3290</v>
      </c>
      <c r="F1247" t="s">
        <v>9059</v>
      </c>
    </row>
    <row r="1248" spans="1:6" x14ac:dyDescent="0.25">
      <c r="A1248" t="s">
        <v>1443</v>
      </c>
      <c r="B1248" t="s">
        <v>2546</v>
      </c>
      <c r="C1248">
        <v>2018</v>
      </c>
      <c r="E1248" t="s">
        <v>2982</v>
      </c>
      <c r="F1248" t="s">
        <v>8879</v>
      </c>
    </row>
    <row r="1249" spans="1:6" x14ac:dyDescent="0.25">
      <c r="A1249" t="s">
        <v>1294</v>
      </c>
      <c r="B1249" t="s">
        <v>2550</v>
      </c>
      <c r="C1249">
        <v>2019</v>
      </c>
      <c r="E1249" t="s">
        <v>3237</v>
      </c>
      <c r="F1249" t="s">
        <v>8833</v>
      </c>
    </row>
    <row r="1250" spans="1:6" x14ac:dyDescent="0.25">
      <c r="A1250" t="s">
        <v>2556</v>
      </c>
      <c r="B1250" t="s">
        <v>2554</v>
      </c>
      <c r="C1250">
        <v>2018</v>
      </c>
      <c r="D1250" t="s">
        <v>187</v>
      </c>
    </row>
    <row r="1251" spans="1:6" x14ac:dyDescent="0.25">
      <c r="A1251" t="s">
        <v>2132</v>
      </c>
      <c r="B1251" t="s">
        <v>2556</v>
      </c>
      <c r="C1251">
        <v>2013</v>
      </c>
      <c r="E1251" t="s">
        <v>3315</v>
      </c>
      <c r="F1251" t="s">
        <v>9024</v>
      </c>
    </row>
    <row r="1252" spans="1:6" x14ac:dyDescent="0.25">
      <c r="A1252" t="s">
        <v>350</v>
      </c>
      <c r="B1252" t="s">
        <v>2560</v>
      </c>
      <c r="C1252">
        <v>2018</v>
      </c>
      <c r="E1252" t="s">
        <v>2982</v>
      </c>
      <c r="F1252" t="s">
        <v>8509</v>
      </c>
    </row>
    <row r="1253" spans="1:6" x14ac:dyDescent="0.25">
      <c r="A1253" t="s">
        <v>90</v>
      </c>
      <c r="B1253" t="s">
        <v>2560</v>
      </c>
      <c r="C1253">
        <v>2017</v>
      </c>
      <c r="E1253" t="s">
        <v>3381</v>
      </c>
      <c r="F1253" t="s">
        <v>9180</v>
      </c>
    </row>
    <row r="1254" spans="1:6" x14ac:dyDescent="0.25">
      <c r="A1254" t="s">
        <v>90</v>
      </c>
      <c r="B1254" t="s">
        <v>2563</v>
      </c>
      <c r="C1254">
        <v>2017</v>
      </c>
      <c r="E1254" t="s">
        <v>3382</v>
      </c>
      <c r="F1254" t="s">
        <v>9181</v>
      </c>
    </row>
    <row r="1255" spans="1:6" x14ac:dyDescent="0.25">
      <c r="A1255" t="s">
        <v>2073</v>
      </c>
      <c r="B1255" t="s">
        <v>2567</v>
      </c>
      <c r="C1255">
        <v>2010</v>
      </c>
      <c r="E1255" t="s">
        <v>2982</v>
      </c>
      <c r="F1255" t="s">
        <v>9013</v>
      </c>
    </row>
    <row r="1256" spans="1:6" x14ac:dyDescent="0.25">
      <c r="A1256" t="s">
        <v>160</v>
      </c>
      <c r="B1256" t="s">
        <v>2567</v>
      </c>
      <c r="C1256">
        <v>2011</v>
      </c>
      <c r="E1256" t="s">
        <v>2982</v>
      </c>
      <c r="F1256" t="s">
        <v>9320</v>
      </c>
    </row>
    <row r="1257" spans="1:6" x14ac:dyDescent="0.25">
      <c r="A1257" t="s">
        <v>2804</v>
      </c>
      <c r="B1257" t="s">
        <v>2567</v>
      </c>
      <c r="C1257">
        <v>2021</v>
      </c>
      <c r="E1257" s="10" t="s">
        <v>8464</v>
      </c>
      <c r="F1257" t="s">
        <v>8465</v>
      </c>
    </row>
    <row r="1258" spans="1:6" x14ac:dyDescent="0.25">
      <c r="A1258" t="s">
        <v>2947</v>
      </c>
      <c r="B1258" t="s">
        <v>2571</v>
      </c>
      <c r="C1258">
        <v>1994</v>
      </c>
      <c r="E1258" t="s">
        <v>3440</v>
      </c>
      <c r="F1258" t="s">
        <v>9390</v>
      </c>
    </row>
    <row r="1259" spans="1:6" x14ac:dyDescent="0.25">
      <c r="A1259" t="s">
        <v>90</v>
      </c>
      <c r="B1259" t="s">
        <v>2575</v>
      </c>
      <c r="C1259">
        <v>2017</v>
      </c>
      <c r="E1259" t="s">
        <v>3383</v>
      </c>
      <c r="F1259" t="s">
        <v>9182</v>
      </c>
    </row>
    <row r="1260" spans="1:6" x14ac:dyDescent="0.25">
      <c r="A1260" t="s">
        <v>984</v>
      </c>
      <c r="B1260" t="s">
        <v>2578</v>
      </c>
      <c r="C1260">
        <v>2010</v>
      </c>
      <c r="E1260" t="s">
        <v>3169</v>
      </c>
      <c r="F1260" t="s">
        <v>8719</v>
      </c>
    </row>
    <row r="1261" spans="1:6" x14ac:dyDescent="0.25">
      <c r="A1261" t="s">
        <v>1761</v>
      </c>
      <c r="B1261" t="s">
        <v>2578</v>
      </c>
      <c r="C1261">
        <v>1995</v>
      </c>
      <c r="E1261" t="s">
        <v>3275</v>
      </c>
      <c r="F1261" t="s">
        <v>8940</v>
      </c>
    </row>
    <row r="1262" spans="1:6" x14ac:dyDescent="0.25">
      <c r="A1262" t="s">
        <v>2571</v>
      </c>
      <c r="B1262" t="s">
        <v>2578</v>
      </c>
      <c r="C1262">
        <v>1998</v>
      </c>
      <c r="E1262" t="s">
        <v>3169</v>
      </c>
      <c r="F1262" t="s">
        <v>9264</v>
      </c>
    </row>
    <row r="1263" spans="1:6" x14ac:dyDescent="0.25">
      <c r="A1263" t="s">
        <v>341</v>
      </c>
      <c r="B1263" t="s">
        <v>2587</v>
      </c>
      <c r="C1263">
        <v>1997</v>
      </c>
      <c r="D1263" t="s">
        <v>187</v>
      </c>
    </row>
    <row r="1264" spans="1:6" x14ac:dyDescent="0.25">
      <c r="A1264" t="s">
        <v>1294</v>
      </c>
      <c r="B1264" t="s">
        <v>2590</v>
      </c>
      <c r="C1264">
        <v>2019</v>
      </c>
      <c r="E1264" t="s">
        <v>3238</v>
      </c>
      <c r="F1264" t="s">
        <v>8834</v>
      </c>
    </row>
    <row r="1265" spans="1:6" x14ac:dyDescent="0.25">
      <c r="A1265" t="s">
        <v>90</v>
      </c>
      <c r="B1265" t="s">
        <v>2590</v>
      </c>
      <c r="C1265">
        <v>2017</v>
      </c>
      <c r="E1265" s="10" t="s">
        <v>3238</v>
      </c>
      <c r="F1265" t="s">
        <v>9418</v>
      </c>
    </row>
    <row r="1266" spans="1:6" x14ac:dyDescent="0.25">
      <c r="A1266" t="s">
        <v>160</v>
      </c>
      <c r="B1266" t="s">
        <v>2590</v>
      </c>
      <c r="C1266">
        <v>2011</v>
      </c>
      <c r="E1266" s="10" t="s">
        <v>9420</v>
      </c>
      <c r="F1266" t="s">
        <v>9419</v>
      </c>
    </row>
    <row r="1267" spans="1:6" x14ac:dyDescent="0.25">
      <c r="A1267" t="s">
        <v>924</v>
      </c>
      <c r="B1267" t="s">
        <v>2594</v>
      </c>
      <c r="C1267">
        <v>2019</v>
      </c>
      <c r="E1267" t="s">
        <v>3153</v>
      </c>
      <c r="F1267" t="s">
        <v>8702</v>
      </c>
    </row>
    <row r="1268" spans="1:6" x14ac:dyDescent="0.25">
      <c r="A1268" t="s">
        <v>2136</v>
      </c>
      <c r="B1268" t="s">
        <v>2596</v>
      </c>
      <c r="C1268">
        <v>2020</v>
      </c>
      <c r="E1268" t="s">
        <v>3318</v>
      </c>
    </row>
    <row r="1269" spans="1:6" x14ac:dyDescent="0.25">
      <c r="A1269" t="s">
        <v>574</v>
      </c>
      <c r="B1269" t="s">
        <v>2599</v>
      </c>
      <c r="C1269">
        <v>2019</v>
      </c>
      <c r="E1269" t="s">
        <v>3078</v>
      </c>
      <c r="F1269" t="s">
        <v>8587</v>
      </c>
    </row>
    <row r="1270" spans="1:6" x14ac:dyDescent="0.25">
      <c r="A1270" t="s">
        <v>759</v>
      </c>
      <c r="B1270" t="s">
        <v>2599</v>
      </c>
      <c r="C1270">
        <v>2018</v>
      </c>
      <c r="E1270" t="s">
        <v>3078</v>
      </c>
      <c r="F1270" t="s">
        <v>8645</v>
      </c>
    </row>
    <row r="1271" spans="1:6" x14ac:dyDescent="0.25">
      <c r="A1271" t="s">
        <v>1294</v>
      </c>
      <c r="B1271" t="s">
        <v>2599</v>
      </c>
      <c r="C1271">
        <v>2019</v>
      </c>
      <c r="E1271" t="s">
        <v>3239</v>
      </c>
      <c r="F1271" t="s">
        <v>8835</v>
      </c>
    </row>
    <row r="1272" spans="1:6" x14ac:dyDescent="0.25">
      <c r="A1272" t="s">
        <v>2804</v>
      </c>
      <c r="B1272" t="s">
        <v>2603</v>
      </c>
      <c r="C1272">
        <v>2021</v>
      </c>
      <c r="E1272" t="s">
        <v>3013</v>
      </c>
    </row>
    <row r="1273" spans="1:6" x14ac:dyDescent="0.25">
      <c r="A1273" t="s">
        <v>1144</v>
      </c>
      <c r="B1273" t="s">
        <v>2605</v>
      </c>
      <c r="C1273">
        <v>2012</v>
      </c>
      <c r="E1273" t="s">
        <v>2982</v>
      </c>
      <c r="F1273" t="s">
        <v>8786</v>
      </c>
    </row>
    <row r="1274" spans="1:6" x14ac:dyDescent="0.25">
      <c r="A1274" t="s">
        <v>2804</v>
      </c>
      <c r="B1274" t="s">
        <v>2609</v>
      </c>
      <c r="C1274">
        <v>2021</v>
      </c>
      <c r="E1274" t="s">
        <v>3433</v>
      </c>
    </row>
    <row r="1275" spans="1:6" x14ac:dyDescent="0.25">
      <c r="A1275" t="s">
        <v>2136</v>
      </c>
      <c r="B1275" t="s">
        <v>2612</v>
      </c>
      <c r="C1275">
        <v>2020</v>
      </c>
      <c r="E1275" t="s">
        <v>3319</v>
      </c>
    </row>
    <row r="1276" spans="1:6" x14ac:dyDescent="0.25">
      <c r="A1276" t="s">
        <v>924</v>
      </c>
      <c r="B1276" t="s">
        <v>2614</v>
      </c>
      <c r="C1276">
        <v>2019</v>
      </c>
      <c r="E1276" t="s">
        <v>3154</v>
      </c>
    </row>
    <row r="1277" spans="1:6" x14ac:dyDescent="0.25">
      <c r="A1277" t="s">
        <v>2594</v>
      </c>
      <c r="B1277" t="s">
        <v>2614</v>
      </c>
      <c r="C1277">
        <v>2019</v>
      </c>
      <c r="E1277" t="s">
        <v>3154</v>
      </c>
      <c r="F1277" t="s">
        <v>9270</v>
      </c>
    </row>
    <row r="1278" spans="1:6" x14ac:dyDescent="0.25">
      <c r="A1278" t="s">
        <v>836</v>
      </c>
      <c r="B1278" t="s">
        <v>160</v>
      </c>
      <c r="C1278">
        <v>2010</v>
      </c>
      <c r="E1278" t="s">
        <v>3129</v>
      </c>
    </row>
    <row r="1279" spans="1:6" x14ac:dyDescent="0.25">
      <c r="A1279" t="s">
        <v>2428</v>
      </c>
      <c r="B1279" t="s">
        <v>160</v>
      </c>
      <c r="C1279">
        <v>2008</v>
      </c>
      <c r="E1279" t="s">
        <v>3129</v>
      </c>
    </row>
    <row r="1280" spans="1:6" x14ac:dyDescent="0.25">
      <c r="A1280" t="s">
        <v>160</v>
      </c>
      <c r="B1280" t="s">
        <v>2619</v>
      </c>
      <c r="C1280">
        <v>2011</v>
      </c>
      <c r="D1280" t="s">
        <v>187</v>
      </c>
    </row>
    <row r="1281" spans="1:6" x14ac:dyDescent="0.25">
      <c r="A1281" t="s">
        <v>623</v>
      </c>
      <c r="B1281" t="s">
        <v>2623</v>
      </c>
      <c r="C1281">
        <v>2017</v>
      </c>
      <c r="E1281" t="s">
        <v>3080</v>
      </c>
      <c r="F1281" t="s">
        <v>8590</v>
      </c>
    </row>
    <row r="1282" spans="1:6" x14ac:dyDescent="0.25">
      <c r="A1282" t="s">
        <v>994</v>
      </c>
      <c r="B1282" t="s">
        <v>2623</v>
      </c>
      <c r="C1282">
        <v>2011</v>
      </c>
      <c r="E1282" t="s">
        <v>3080</v>
      </c>
      <c r="F1282" t="s">
        <v>8722</v>
      </c>
    </row>
    <row r="1283" spans="1:6" x14ac:dyDescent="0.25">
      <c r="A1283" t="s">
        <v>1004</v>
      </c>
      <c r="B1283" t="s">
        <v>2623</v>
      </c>
      <c r="C1283">
        <v>2006</v>
      </c>
      <c r="E1283" t="s">
        <v>3175</v>
      </c>
      <c r="F1283" t="s">
        <v>8726</v>
      </c>
    </row>
    <row r="1284" spans="1:6" x14ac:dyDescent="0.25">
      <c r="A1284" t="s">
        <v>2154</v>
      </c>
      <c r="B1284" t="s">
        <v>2625</v>
      </c>
      <c r="C1284">
        <v>1980</v>
      </c>
      <c r="E1284" t="s">
        <v>3329</v>
      </c>
      <c r="F1284" t="s">
        <v>9060</v>
      </c>
    </row>
    <row r="1285" spans="1:6" x14ac:dyDescent="0.25">
      <c r="A1285" t="s">
        <v>2721</v>
      </c>
      <c r="B1285" t="s">
        <v>2625</v>
      </c>
      <c r="C1285">
        <v>1993</v>
      </c>
      <c r="E1285" t="s">
        <v>3424</v>
      </c>
    </row>
    <row r="1286" spans="1:6" x14ac:dyDescent="0.25">
      <c r="A1286" t="s">
        <v>914</v>
      </c>
      <c r="B1286" t="s">
        <v>2630</v>
      </c>
      <c r="C1286">
        <v>2013</v>
      </c>
      <c r="E1286" t="s">
        <v>3148</v>
      </c>
      <c r="F1286" t="s">
        <v>8695</v>
      </c>
    </row>
    <row r="1287" spans="1:6" x14ac:dyDescent="0.25">
      <c r="A1287" t="s">
        <v>260</v>
      </c>
      <c r="B1287" t="s">
        <v>2634</v>
      </c>
      <c r="C1287">
        <v>1990</v>
      </c>
      <c r="E1287" t="s">
        <v>3004</v>
      </c>
      <c r="F1287" t="s">
        <v>8490</v>
      </c>
    </row>
    <row r="1288" spans="1:6" x14ac:dyDescent="0.25">
      <c r="A1288" t="s">
        <v>1420</v>
      </c>
      <c r="B1288" t="s">
        <v>2634</v>
      </c>
      <c r="C1288">
        <v>2007</v>
      </c>
      <c r="E1288" t="s">
        <v>3004</v>
      </c>
      <c r="F1288" t="s">
        <v>8850</v>
      </c>
    </row>
    <row r="1289" spans="1:6" x14ac:dyDescent="0.25">
      <c r="A1289" t="s">
        <v>2023</v>
      </c>
      <c r="B1289" t="s">
        <v>2634</v>
      </c>
      <c r="C1289">
        <v>2003</v>
      </c>
      <c r="E1289" t="s">
        <v>3004</v>
      </c>
    </row>
    <row r="1290" spans="1:6" x14ac:dyDescent="0.25">
      <c r="A1290" t="s">
        <v>2943</v>
      </c>
      <c r="B1290" t="s">
        <v>2637</v>
      </c>
      <c r="C1290">
        <v>2010</v>
      </c>
      <c r="D1290" t="s">
        <v>187</v>
      </c>
      <c r="E1290" t="s">
        <v>3438</v>
      </c>
    </row>
    <row r="1291" spans="1:6" x14ac:dyDescent="0.25">
      <c r="A1291" t="s">
        <v>323</v>
      </c>
      <c r="B1291" t="s">
        <v>2643</v>
      </c>
      <c r="C1291">
        <v>2020</v>
      </c>
      <c r="E1291" t="s">
        <v>3007</v>
      </c>
      <c r="F1291" t="s">
        <v>8494</v>
      </c>
    </row>
    <row r="1292" spans="1:6" x14ac:dyDescent="0.25">
      <c r="A1292" t="s">
        <v>90</v>
      </c>
      <c r="B1292" t="s">
        <v>2643</v>
      </c>
      <c r="C1292">
        <v>2017</v>
      </c>
      <c r="E1292" t="s">
        <v>3384</v>
      </c>
      <c r="F1292" t="s">
        <v>9183</v>
      </c>
    </row>
    <row r="1293" spans="1:6" x14ac:dyDescent="0.25">
      <c r="A1293" t="s">
        <v>160</v>
      </c>
      <c r="B1293" t="s">
        <v>2645</v>
      </c>
      <c r="C1293">
        <v>2011</v>
      </c>
      <c r="E1293" t="s">
        <v>3416</v>
      </c>
      <c r="F1293" t="s">
        <v>9321</v>
      </c>
    </row>
    <row r="1294" spans="1:6" x14ac:dyDescent="0.25">
      <c r="A1294" t="s">
        <v>2698</v>
      </c>
      <c r="B1294" t="s">
        <v>2645</v>
      </c>
      <c r="C1294">
        <v>2022</v>
      </c>
      <c r="E1294" t="s">
        <v>3416</v>
      </c>
      <c r="F1294" t="s">
        <v>9333</v>
      </c>
    </row>
    <row r="1295" spans="1:6" x14ac:dyDescent="0.25">
      <c r="A1295" t="s">
        <v>383</v>
      </c>
      <c r="B1295" t="s">
        <v>2648</v>
      </c>
      <c r="C1295">
        <v>2017</v>
      </c>
      <c r="E1295" t="s">
        <v>3055</v>
      </c>
      <c r="F1295" t="s">
        <v>8553</v>
      </c>
    </row>
    <row r="1296" spans="1:6" x14ac:dyDescent="0.25">
      <c r="A1296" t="s">
        <v>1443</v>
      </c>
      <c r="B1296" t="s">
        <v>2648</v>
      </c>
      <c r="C1296">
        <v>2018</v>
      </c>
      <c r="E1296" t="s">
        <v>3055</v>
      </c>
      <c r="F1296" t="s">
        <v>8880</v>
      </c>
    </row>
    <row r="1297" spans="1:6" x14ac:dyDescent="0.25">
      <c r="A1297" t="s">
        <v>90</v>
      </c>
      <c r="B1297" t="s">
        <v>2648</v>
      </c>
      <c r="C1297">
        <v>2017</v>
      </c>
      <c r="E1297" t="s">
        <v>3055</v>
      </c>
      <c r="F1297" t="s">
        <v>9184</v>
      </c>
    </row>
    <row r="1298" spans="1:6" x14ac:dyDescent="0.25">
      <c r="A1298" t="s">
        <v>2481</v>
      </c>
      <c r="B1298" t="s">
        <v>2648</v>
      </c>
      <c r="C1298">
        <v>2020</v>
      </c>
      <c r="E1298" s="10" t="s">
        <v>8392</v>
      </c>
      <c r="F1298" t="s">
        <v>9248</v>
      </c>
    </row>
    <row r="1299" spans="1:6" x14ac:dyDescent="0.25">
      <c r="A1299" t="s">
        <v>160</v>
      </c>
      <c r="B1299" t="s">
        <v>2652</v>
      </c>
      <c r="C1299">
        <v>2011</v>
      </c>
      <c r="D1299" t="s">
        <v>187</v>
      </c>
    </row>
    <row r="1300" spans="1:6" x14ac:dyDescent="0.25">
      <c r="A1300" t="s">
        <v>353</v>
      </c>
      <c r="B1300" t="s">
        <v>7937</v>
      </c>
      <c r="C1300">
        <v>2023</v>
      </c>
      <c r="E1300" t="s">
        <v>2982</v>
      </c>
      <c r="F1300" t="s">
        <v>8546</v>
      </c>
    </row>
    <row r="1301" spans="1:6" x14ac:dyDescent="0.25">
      <c r="A1301" t="s">
        <v>2804</v>
      </c>
      <c r="B1301" t="s">
        <v>8149</v>
      </c>
      <c r="C1301">
        <v>2021</v>
      </c>
      <c r="E1301" s="10" t="s">
        <v>8150</v>
      </c>
      <c r="F1301" t="s">
        <v>9372</v>
      </c>
    </row>
    <row r="1302" spans="1:6" x14ac:dyDescent="0.25">
      <c r="A1302" t="s">
        <v>2721</v>
      </c>
      <c r="B1302" t="s">
        <v>2656</v>
      </c>
      <c r="C1302">
        <v>1993</v>
      </c>
      <c r="D1302" t="s">
        <v>187</v>
      </c>
    </row>
    <row r="1303" spans="1:6" x14ac:dyDescent="0.25">
      <c r="A1303" t="s">
        <v>1443</v>
      </c>
      <c r="B1303" t="s">
        <v>2659</v>
      </c>
      <c r="C1303">
        <v>2018</v>
      </c>
      <c r="E1303" t="s">
        <v>3254</v>
      </c>
    </row>
    <row r="1304" spans="1:6" x14ac:dyDescent="0.25">
      <c r="A1304" t="s">
        <v>1947</v>
      </c>
      <c r="B1304" t="s">
        <v>2659</v>
      </c>
      <c r="C1304">
        <v>2021</v>
      </c>
      <c r="E1304" t="s">
        <v>3254</v>
      </c>
    </row>
    <row r="1305" spans="1:6" x14ac:dyDescent="0.25">
      <c r="A1305" t="s">
        <v>2324</v>
      </c>
      <c r="B1305" t="s">
        <v>2659</v>
      </c>
      <c r="C1305">
        <v>2022</v>
      </c>
      <c r="E1305" t="s">
        <v>3254</v>
      </c>
    </row>
    <row r="1306" spans="1:6" x14ac:dyDescent="0.25">
      <c r="A1306" t="s">
        <v>90</v>
      </c>
      <c r="B1306" t="s">
        <v>2659</v>
      </c>
      <c r="C1306">
        <v>2017</v>
      </c>
      <c r="E1306" t="s">
        <v>3254</v>
      </c>
      <c r="F1306" t="s">
        <v>9185</v>
      </c>
    </row>
    <row r="1307" spans="1:6" x14ac:dyDescent="0.25">
      <c r="A1307" t="s">
        <v>759</v>
      </c>
      <c r="B1307" t="s">
        <v>2663</v>
      </c>
      <c r="C1307">
        <v>2018</v>
      </c>
      <c r="D1307" t="s">
        <v>187</v>
      </c>
      <c r="E1307" t="s">
        <v>3123</v>
      </c>
      <c r="F1307" t="s">
        <v>8646</v>
      </c>
    </row>
    <row r="1308" spans="1:6" x14ac:dyDescent="0.25">
      <c r="A1308" t="s">
        <v>237</v>
      </c>
      <c r="B1308" t="s">
        <v>2667</v>
      </c>
      <c r="C1308">
        <v>2021</v>
      </c>
      <c r="E1308" t="s">
        <v>2985</v>
      </c>
      <c r="F1308" t="s">
        <v>8473</v>
      </c>
    </row>
    <row r="1309" spans="1:6" x14ac:dyDescent="0.25">
      <c r="A1309" t="s">
        <v>353</v>
      </c>
      <c r="B1309" t="s">
        <v>2667</v>
      </c>
      <c r="C1309">
        <v>2023</v>
      </c>
      <c r="E1309" t="s">
        <v>2985</v>
      </c>
      <c r="F1309" t="s">
        <v>8547</v>
      </c>
    </row>
    <row r="1310" spans="1:6" x14ac:dyDescent="0.25">
      <c r="A1310" t="s">
        <v>1435</v>
      </c>
      <c r="B1310" t="s">
        <v>2667</v>
      </c>
      <c r="C1310">
        <v>2021</v>
      </c>
      <c r="E1310" t="s">
        <v>2985</v>
      </c>
      <c r="F1310" t="s">
        <v>8862</v>
      </c>
    </row>
    <row r="1311" spans="1:6" x14ac:dyDescent="0.25">
      <c r="A1311" t="s">
        <v>1690</v>
      </c>
      <c r="B1311" t="s">
        <v>2667</v>
      </c>
      <c r="C1311">
        <v>2020</v>
      </c>
      <c r="E1311" t="s">
        <v>2985</v>
      </c>
      <c r="F1311" t="s">
        <v>8927</v>
      </c>
    </row>
    <row r="1312" spans="1:6" x14ac:dyDescent="0.25">
      <c r="A1312" t="s">
        <v>90</v>
      </c>
      <c r="B1312" t="s">
        <v>2667</v>
      </c>
      <c r="C1312">
        <v>2017</v>
      </c>
      <c r="E1312" t="s">
        <v>2985</v>
      </c>
      <c r="F1312" t="s">
        <v>9186</v>
      </c>
    </row>
    <row r="1313" spans="1:6" x14ac:dyDescent="0.25">
      <c r="A1313" t="s">
        <v>778</v>
      </c>
      <c r="B1313" t="s">
        <v>2669</v>
      </c>
      <c r="C1313">
        <v>2023</v>
      </c>
      <c r="E1313" t="s">
        <v>3127</v>
      </c>
      <c r="F1313" t="s">
        <v>8653</v>
      </c>
    </row>
    <row r="1314" spans="1:6" x14ac:dyDescent="0.25">
      <c r="A1314" t="s">
        <v>811</v>
      </c>
      <c r="B1314" t="s">
        <v>2669</v>
      </c>
      <c r="C1314">
        <v>2024</v>
      </c>
      <c r="E1314" t="s">
        <v>3127</v>
      </c>
      <c r="F1314" t="s">
        <v>8657</v>
      </c>
    </row>
    <row r="1315" spans="1:6" x14ac:dyDescent="0.25">
      <c r="A1315" t="s">
        <v>2804</v>
      </c>
      <c r="B1315" t="s">
        <v>2669</v>
      </c>
      <c r="C1315">
        <v>2021</v>
      </c>
      <c r="E1315" t="s">
        <v>3013</v>
      </c>
    </row>
    <row r="1316" spans="1:6" x14ac:dyDescent="0.25">
      <c r="A1316" t="s">
        <v>2196</v>
      </c>
      <c r="B1316" t="s">
        <v>2671</v>
      </c>
      <c r="C1316">
        <v>2021</v>
      </c>
      <c r="E1316" t="s">
        <v>3340</v>
      </c>
    </row>
    <row r="1317" spans="1:6" x14ac:dyDescent="0.25">
      <c r="A1317" t="s">
        <v>90</v>
      </c>
      <c r="B1317" t="s">
        <v>2671</v>
      </c>
      <c r="C1317">
        <v>2017</v>
      </c>
      <c r="E1317" t="s">
        <v>2982</v>
      </c>
      <c r="F1317" t="s">
        <v>9187</v>
      </c>
    </row>
    <row r="1318" spans="1:6" x14ac:dyDescent="0.25">
      <c r="A1318" t="s">
        <v>1046</v>
      </c>
      <c r="B1318" t="s">
        <v>2675</v>
      </c>
      <c r="C1318">
        <v>2016</v>
      </c>
      <c r="E1318" t="s">
        <v>3192</v>
      </c>
      <c r="F1318" t="s">
        <v>8751</v>
      </c>
    </row>
    <row r="1319" spans="1:6" x14ac:dyDescent="0.25">
      <c r="A1319" t="s">
        <v>1294</v>
      </c>
      <c r="B1319" t="s">
        <v>2675</v>
      </c>
      <c r="C1319">
        <v>2019</v>
      </c>
      <c r="E1319" t="s">
        <v>3192</v>
      </c>
      <c r="F1319" t="s">
        <v>8836</v>
      </c>
    </row>
    <row r="1320" spans="1:6" x14ac:dyDescent="0.25">
      <c r="A1320" t="s">
        <v>160</v>
      </c>
      <c r="B1320" t="s">
        <v>2679</v>
      </c>
      <c r="C1320">
        <v>2011</v>
      </c>
      <c r="E1320" t="s">
        <v>3417</v>
      </c>
      <c r="F1320" t="s">
        <v>9322</v>
      </c>
    </row>
    <row r="1321" spans="1:6" x14ac:dyDescent="0.25">
      <c r="A1321" t="s">
        <v>2721</v>
      </c>
      <c r="B1321" t="s">
        <v>2681</v>
      </c>
      <c r="C1321">
        <v>1993</v>
      </c>
      <c r="E1321" t="s">
        <v>3425</v>
      </c>
      <c r="F1321" t="s">
        <v>9339</v>
      </c>
    </row>
    <row r="1322" spans="1:6" x14ac:dyDescent="0.25">
      <c r="A1322" t="s">
        <v>353</v>
      </c>
      <c r="B1322" t="s">
        <v>2686</v>
      </c>
      <c r="C1322">
        <v>2023</v>
      </c>
      <c r="E1322" t="s">
        <v>3050</v>
      </c>
      <c r="F1322" t="s">
        <v>8548</v>
      </c>
    </row>
    <row r="1323" spans="1:6" x14ac:dyDescent="0.25">
      <c r="A1323" t="s">
        <v>2318</v>
      </c>
      <c r="B1323" t="s">
        <v>2686</v>
      </c>
      <c r="C1323">
        <v>2023</v>
      </c>
      <c r="E1323" t="s">
        <v>2982</v>
      </c>
      <c r="F1323" t="s">
        <v>9085</v>
      </c>
    </row>
    <row r="1324" spans="1:6" x14ac:dyDescent="0.25">
      <c r="A1324" t="s">
        <v>90</v>
      </c>
      <c r="B1324" t="s">
        <v>2686</v>
      </c>
      <c r="C1324">
        <v>2017</v>
      </c>
      <c r="E1324" t="s">
        <v>2982</v>
      </c>
      <c r="F1324" t="s">
        <v>9188</v>
      </c>
    </row>
    <row r="1325" spans="1:6" x14ac:dyDescent="0.25">
      <c r="A1325" t="s">
        <v>2804</v>
      </c>
      <c r="B1325" t="s">
        <v>2688</v>
      </c>
      <c r="C1325">
        <v>2021</v>
      </c>
      <c r="E1325" t="s">
        <v>3434</v>
      </c>
      <c r="F1325" t="s">
        <v>9373</v>
      </c>
    </row>
    <row r="1326" spans="1:6" x14ac:dyDescent="0.25">
      <c r="A1326" t="s">
        <v>2804</v>
      </c>
      <c r="B1326" t="s">
        <v>2691</v>
      </c>
      <c r="C1326">
        <v>2021</v>
      </c>
      <c r="E1326" t="s">
        <v>3013</v>
      </c>
    </row>
    <row r="1327" spans="1:6" x14ac:dyDescent="0.25">
      <c r="A1327" t="s">
        <v>1817</v>
      </c>
      <c r="B1327" t="s">
        <v>7966</v>
      </c>
      <c r="C1327">
        <v>2019</v>
      </c>
      <c r="E1327" s="10" t="s">
        <v>7965</v>
      </c>
      <c r="F1327" t="s">
        <v>8972</v>
      </c>
    </row>
    <row r="1328" spans="1:6" x14ac:dyDescent="0.25">
      <c r="A1328" t="s">
        <v>90</v>
      </c>
      <c r="B1328" t="s">
        <v>7966</v>
      </c>
      <c r="C1328">
        <v>2017</v>
      </c>
      <c r="E1328" s="10" t="s">
        <v>7965</v>
      </c>
      <c r="F1328" t="s">
        <v>9189</v>
      </c>
    </row>
    <row r="1329" spans="1:6" x14ac:dyDescent="0.25">
      <c r="A1329" t="s">
        <v>209</v>
      </c>
      <c r="B1329" t="s">
        <v>2695</v>
      </c>
      <c r="C1329">
        <v>2024</v>
      </c>
      <c r="E1329" t="s">
        <v>2984</v>
      </c>
      <c r="F1329" t="s">
        <v>8472</v>
      </c>
    </row>
    <row r="1330" spans="1:6" x14ac:dyDescent="0.25">
      <c r="A1330" t="s">
        <v>344</v>
      </c>
      <c r="B1330" t="s">
        <v>2695</v>
      </c>
      <c r="C1330">
        <v>2023</v>
      </c>
      <c r="E1330" t="s">
        <v>2984</v>
      </c>
      <c r="F1330" t="s">
        <v>8502</v>
      </c>
    </row>
    <row r="1331" spans="1:6" x14ac:dyDescent="0.25">
      <c r="A1331" t="s">
        <v>2506</v>
      </c>
      <c r="B1331" t="s">
        <v>2695</v>
      </c>
      <c r="C1331">
        <v>2021</v>
      </c>
      <c r="E1331" t="s">
        <v>2984</v>
      </c>
      <c r="F1331" t="s">
        <v>9258</v>
      </c>
    </row>
    <row r="1332" spans="1:6" x14ac:dyDescent="0.25">
      <c r="A1332" t="s">
        <v>2594</v>
      </c>
      <c r="B1332" t="s">
        <v>2695</v>
      </c>
      <c r="C1332">
        <v>2019</v>
      </c>
      <c r="E1332" t="s">
        <v>2984</v>
      </c>
      <c r="F1332" t="s">
        <v>9271</v>
      </c>
    </row>
    <row r="1333" spans="1:6" x14ac:dyDescent="0.25">
      <c r="A1333" t="s">
        <v>847</v>
      </c>
      <c r="B1333" t="s">
        <v>2698</v>
      </c>
      <c r="C1333">
        <v>1996</v>
      </c>
      <c r="E1333" s="10" t="s">
        <v>9399</v>
      </c>
      <c r="F1333" t="s">
        <v>9400</v>
      </c>
    </row>
    <row r="1334" spans="1:6" x14ac:dyDescent="0.25">
      <c r="A1334" t="s">
        <v>1046</v>
      </c>
      <c r="B1334" t="s">
        <v>2698</v>
      </c>
      <c r="C1334">
        <v>2016</v>
      </c>
      <c r="E1334" t="s">
        <v>3193</v>
      </c>
      <c r="F1334" t="s">
        <v>9401</v>
      </c>
    </row>
    <row r="1335" spans="1:6" x14ac:dyDescent="0.25">
      <c r="A1335" t="s">
        <v>1294</v>
      </c>
      <c r="B1335" t="s">
        <v>2698</v>
      </c>
      <c r="C1335">
        <v>2019</v>
      </c>
      <c r="E1335" t="s">
        <v>3193</v>
      </c>
      <c r="F1335" t="s">
        <v>8837</v>
      </c>
    </row>
    <row r="1336" spans="1:6" x14ac:dyDescent="0.25">
      <c r="A1336" t="s">
        <v>1855</v>
      </c>
      <c r="B1336" t="s">
        <v>2698</v>
      </c>
      <c r="C1336">
        <v>2015</v>
      </c>
      <c r="E1336" t="s">
        <v>3193</v>
      </c>
      <c r="F1336" t="s">
        <v>9402</v>
      </c>
    </row>
    <row r="1337" spans="1:6" x14ac:dyDescent="0.25">
      <c r="A1337" t="s">
        <v>2099</v>
      </c>
      <c r="B1337" t="s">
        <v>2698</v>
      </c>
      <c r="C1337">
        <v>2021</v>
      </c>
      <c r="E1337" s="10" t="s">
        <v>8393</v>
      </c>
      <c r="F1337" t="s">
        <v>9017</v>
      </c>
    </row>
    <row r="1338" spans="1:6" x14ac:dyDescent="0.25">
      <c r="A1338" t="s">
        <v>160</v>
      </c>
      <c r="B1338" t="s">
        <v>2698</v>
      </c>
      <c r="C1338">
        <v>2011</v>
      </c>
      <c r="E1338" t="s">
        <v>3193</v>
      </c>
      <c r="F1338" t="s">
        <v>9403</v>
      </c>
    </row>
    <row r="1339" spans="1:6" x14ac:dyDescent="0.25">
      <c r="A1339" t="s">
        <v>2804</v>
      </c>
      <c r="B1339" t="s">
        <v>2698</v>
      </c>
      <c r="C1339">
        <v>2021</v>
      </c>
      <c r="E1339" s="10" t="s">
        <v>3193</v>
      </c>
      <c r="F1339" t="s">
        <v>9398</v>
      </c>
    </row>
    <row r="1340" spans="1:6" x14ac:dyDescent="0.25">
      <c r="A1340" t="s">
        <v>746</v>
      </c>
      <c r="B1340" t="s">
        <v>2702</v>
      </c>
      <c r="C1340">
        <v>2015</v>
      </c>
      <c r="E1340" t="s">
        <v>2982</v>
      </c>
      <c r="F1340" t="s">
        <v>8625</v>
      </c>
    </row>
    <row r="1341" spans="1:6" x14ac:dyDescent="0.25">
      <c r="A1341" t="s">
        <v>2154</v>
      </c>
      <c r="B1341" t="s">
        <v>2706</v>
      </c>
      <c r="C1341">
        <v>1980</v>
      </c>
      <c r="E1341" t="s">
        <v>3331</v>
      </c>
      <c r="F1341" t="s">
        <v>9061</v>
      </c>
    </row>
    <row r="1342" spans="1:6" x14ac:dyDescent="0.25">
      <c r="A1342" t="s">
        <v>2706</v>
      </c>
      <c r="B1342" t="s">
        <v>2709</v>
      </c>
      <c r="C1342">
        <v>1991</v>
      </c>
      <c r="D1342" t="s">
        <v>187</v>
      </c>
    </row>
    <row r="1343" spans="1:6" x14ac:dyDescent="0.25">
      <c r="A1343" t="s">
        <v>1046</v>
      </c>
      <c r="B1343" t="s">
        <v>2711</v>
      </c>
      <c r="C1343">
        <v>2016</v>
      </c>
      <c r="E1343" t="s">
        <v>3194</v>
      </c>
      <c r="F1343" t="s">
        <v>8752</v>
      </c>
    </row>
    <row r="1344" spans="1:6" x14ac:dyDescent="0.25">
      <c r="A1344" t="s">
        <v>160</v>
      </c>
      <c r="B1344" t="s">
        <v>2711</v>
      </c>
      <c r="C1344">
        <v>2011</v>
      </c>
      <c r="E1344" t="s">
        <v>3194</v>
      </c>
      <c r="F1344" t="s">
        <v>9323</v>
      </c>
    </row>
    <row r="1345" spans="1:6" x14ac:dyDescent="0.25">
      <c r="A1345" t="s">
        <v>2721</v>
      </c>
      <c r="B1345" t="s">
        <v>2715</v>
      </c>
      <c r="C1345">
        <v>1993</v>
      </c>
      <c r="D1345" t="s">
        <v>187</v>
      </c>
    </row>
    <row r="1346" spans="1:6" x14ac:dyDescent="0.25">
      <c r="A1346" t="s">
        <v>2715</v>
      </c>
      <c r="B1346" t="s">
        <v>2718</v>
      </c>
      <c r="C1346">
        <v>1999</v>
      </c>
      <c r="D1346" t="s">
        <v>187</v>
      </c>
    </row>
    <row r="1347" spans="1:6" x14ac:dyDescent="0.25">
      <c r="A1347" t="s">
        <v>2154</v>
      </c>
      <c r="B1347" t="s">
        <v>2721</v>
      </c>
      <c r="C1347">
        <v>1980</v>
      </c>
      <c r="E1347" t="s">
        <v>3332</v>
      </c>
      <c r="F1347" t="s">
        <v>9062</v>
      </c>
    </row>
    <row r="1348" spans="1:6" x14ac:dyDescent="0.25">
      <c r="A1348" t="s">
        <v>964</v>
      </c>
      <c r="B1348" t="s">
        <v>2724</v>
      </c>
      <c r="C1348">
        <v>2006</v>
      </c>
      <c r="E1348" t="s">
        <v>2727</v>
      </c>
      <c r="F1348" t="s">
        <v>8717</v>
      </c>
    </row>
    <row r="1349" spans="1:6" x14ac:dyDescent="0.25">
      <c r="A1349" t="s">
        <v>1157</v>
      </c>
      <c r="B1349" t="s">
        <v>2728</v>
      </c>
      <c r="C1349">
        <v>2014</v>
      </c>
      <c r="D1349" t="s">
        <v>187</v>
      </c>
    </row>
    <row r="1350" spans="1:6" x14ac:dyDescent="0.25">
      <c r="A1350" t="s">
        <v>1659</v>
      </c>
      <c r="B1350" t="s">
        <v>2731</v>
      </c>
      <c r="C1350">
        <v>2012</v>
      </c>
      <c r="D1350" t="s">
        <v>187</v>
      </c>
    </row>
    <row r="1351" spans="1:6" x14ac:dyDescent="0.25">
      <c r="A1351" t="s">
        <v>90</v>
      </c>
      <c r="B1351" t="s">
        <v>2734</v>
      </c>
      <c r="C1351">
        <v>2017</v>
      </c>
      <c r="E1351" t="s">
        <v>3385</v>
      </c>
    </row>
    <row r="1352" spans="1:6" x14ac:dyDescent="0.25">
      <c r="A1352" t="s">
        <v>2185</v>
      </c>
      <c r="B1352" t="s">
        <v>2736</v>
      </c>
      <c r="C1352">
        <v>2022</v>
      </c>
      <c r="E1352" t="s">
        <v>3339</v>
      </c>
      <c r="F1352" t="s">
        <v>9078</v>
      </c>
    </row>
    <row r="1353" spans="1:6" x14ac:dyDescent="0.25">
      <c r="A1353" t="s">
        <v>1690</v>
      </c>
      <c r="B1353" t="s">
        <v>2738</v>
      </c>
      <c r="C1353">
        <v>2020</v>
      </c>
      <c r="E1353" t="s">
        <v>2982</v>
      </c>
      <c r="F1353" t="s">
        <v>8928</v>
      </c>
    </row>
    <row r="1354" spans="1:6" x14ac:dyDescent="0.25">
      <c r="A1354" t="s">
        <v>90</v>
      </c>
      <c r="B1354" t="s">
        <v>2738</v>
      </c>
      <c r="C1354">
        <v>2017</v>
      </c>
      <c r="E1354" t="s">
        <v>2982</v>
      </c>
      <c r="F1354" t="s">
        <v>9190</v>
      </c>
    </row>
    <row r="1355" spans="1:6" x14ac:dyDescent="0.25">
      <c r="A1355" t="s">
        <v>1365</v>
      </c>
      <c r="B1355" t="s">
        <v>2742</v>
      </c>
      <c r="C1355">
        <v>2018</v>
      </c>
      <c r="E1355" t="s">
        <v>2982</v>
      </c>
      <c r="F1355" t="s">
        <v>8847</v>
      </c>
    </row>
    <row r="1356" spans="1:6" x14ac:dyDescent="0.25">
      <c r="A1356" t="s">
        <v>2804</v>
      </c>
      <c r="B1356" t="s">
        <v>2742</v>
      </c>
      <c r="C1356">
        <v>2021</v>
      </c>
      <c r="E1356" t="s">
        <v>2982</v>
      </c>
      <c r="F1356" t="s">
        <v>9374</v>
      </c>
    </row>
    <row r="1357" spans="1:6" x14ac:dyDescent="0.25">
      <c r="A1357" t="s">
        <v>930</v>
      </c>
      <c r="B1357" t="s">
        <v>2744</v>
      </c>
      <c r="C1357">
        <v>2015</v>
      </c>
      <c r="E1357" t="s">
        <v>3161</v>
      </c>
      <c r="F1357" t="s">
        <v>8708</v>
      </c>
    </row>
    <row r="1358" spans="1:6" x14ac:dyDescent="0.25">
      <c r="A1358" t="s">
        <v>160</v>
      </c>
      <c r="B1358" t="s">
        <v>2747</v>
      </c>
      <c r="C1358">
        <v>2011</v>
      </c>
      <c r="E1358" t="s">
        <v>3418</v>
      </c>
      <c r="F1358" t="s">
        <v>9324</v>
      </c>
    </row>
    <row r="1359" spans="1:6" x14ac:dyDescent="0.25">
      <c r="A1359" t="s">
        <v>1144</v>
      </c>
      <c r="B1359" t="s">
        <v>2751</v>
      </c>
      <c r="C1359">
        <v>2012</v>
      </c>
      <c r="E1359" t="s">
        <v>2982</v>
      </c>
      <c r="F1359" t="s">
        <v>8787</v>
      </c>
    </row>
    <row r="1360" spans="1:6" x14ac:dyDescent="0.25">
      <c r="A1360" t="s">
        <v>90</v>
      </c>
      <c r="B1360" t="s">
        <v>2751</v>
      </c>
      <c r="C1360">
        <v>2017</v>
      </c>
      <c r="E1360" t="s">
        <v>2982</v>
      </c>
      <c r="F1360" t="s">
        <v>9191</v>
      </c>
    </row>
    <row r="1361" spans="1:6" x14ac:dyDescent="0.25">
      <c r="A1361" t="s">
        <v>344</v>
      </c>
      <c r="B1361" t="s">
        <v>2755</v>
      </c>
      <c r="C1361">
        <v>2023</v>
      </c>
      <c r="E1361" t="s">
        <v>3013</v>
      </c>
    </row>
    <row r="1362" spans="1:6" x14ac:dyDescent="0.25">
      <c r="A1362" t="s">
        <v>1443</v>
      </c>
      <c r="B1362" t="s">
        <v>8124</v>
      </c>
      <c r="C1362">
        <v>2018</v>
      </c>
      <c r="E1362" s="10" t="s">
        <v>8134</v>
      </c>
      <c r="F1362" t="s">
        <v>8881</v>
      </c>
    </row>
    <row r="1363" spans="1:6" x14ac:dyDescent="0.25">
      <c r="A1363" t="s">
        <v>1144</v>
      </c>
      <c r="B1363" t="s">
        <v>2757</v>
      </c>
      <c r="C1363">
        <v>2012</v>
      </c>
      <c r="E1363" t="s">
        <v>2982</v>
      </c>
      <c r="F1363" t="s">
        <v>8788</v>
      </c>
    </row>
    <row r="1364" spans="1:6" x14ac:dyDescent="0.25">
      <c r="A1364" t="s">
        <v>930</v>
      </c>
      <c r="B1364" t="s">
        <v>2760</v>
      </c>
      <c r="C1364">
        <v>2015</v>
      </c>
      <c r="E1364" t="s">
        <v>3162</v>
      </c>
      <c r="F1364" t="s">
        <v>8709</v>
      </c>
    </row>
    <row r="1365" spans="1:6" x14ac:dyDescent="0.25">
      <c r="A1365" t="s">
        <v>2428</v>
      </c>
      <c r="B1365" t="s">
        <v>2760</v>
      </c>
      <c r="C1365">
        <v>2008</v>
      </c>
      <c r="E1365" t="s">
        <v>3162</v>
      </c>
      <c r="F1365" t="s">
        <v>9242</v>
      </c>
    </row>
    <row r="1366" spans="1:6" x14ac:dyDescent="0.25">
      <c r="A1366" t="s">
        <v>160</v>
      </c>
      <c r="B1366" t="s">
        <v>2760</v>
      </c>
      <c r="C1366">
        <v>2011</v>
      </c>
      <c r="E1366" t="s">
        <v>3162</v>
      </c>
      <c r="F1366" t="s">
        <v>9325</v>
      </c>
    </row>
    <row r="1367" spans="1:6" x14ac:dyDescent="0.25">
      <c r="A1367" t="s">
        <v>344</v>
      </c>
      <c r="B1367" t="s">
        <v>2763</v>
      </c>
      <c r="C1367">
        <v>2023</v>
      </c>
      <c r="E1367" t="s">
        <v>3014</v>
      </c>
    </row>
    <row r="1368" spans="1:6" x14ac:dyDescent="0.25">
      <c r="A1368" t="s">
        <v>2614</v>
      </c>
      <c r="B1368" t="s">
        <v>2763</v>
      </c>
      <c r="C1368">
        <v>2025</v>
      </c>
      <c r="E1368" t="s">
        <v>3014</v>
      </c>
    </row>
    <row r="1369" spans="1:6" x14ac:dyDescent="0.25">
      <c r="A1369" t="s">
        <v>759</v>
      </c>
      <c r="B1369" t="s">
        <v>2766</v>
      </c>
      <c r="C1369">
        <v>2018</v>
      </c>
      <c r="E1369" t="s">
        <v>2982</v>
      </c>
      <c r="F1369" t="s">
        <v>8647</v>
      </c>
    </row>
    <row r="1370" spans="1:6" x14ac:dyDescent="0.25">
      <c r="A1370" t="s">
        <v>1004</v>
      </c>
      <c r="B1370" t="s">
        <v>2769</v>
      </c>
      <c r="C1370">
        <v>2006</v>
      </c>
      <c r="E1370" t="s">
        <v>3176</v>
      </c>
    </row>
    <row r="1371" spans="1:6" x14ac:dyDescent="0.25">
      <c r="A1371" t="s">
        <v>160</v>
      </c>
      <c r="B1371" t="s">
        <v>2769</v>
      </c>
      <c r="C1371">
        <v>2011</v>
      </c>
      <c r="E1371" t="s">
        <v>3176</v>
      </c>
    </row>
    <row r="1372" spans="1:6" x14ac:dyDescent="0.25">
      <c r="A1372" t="s">
        <v>256</v>
      </c>
      <c r="B1372" t="s">
        <v>2771</v>
      </c>
      <c r="C1372">
        <v>1994</v>
      </c>
    </row>
    <row r="1373" spans="1:6" x14ac:dyDescent="0.25">
      <c r="A1373" t="s">
        <v>353</v>
      </c>
      <c r="B1373" t="s">
        <v>7706</v>
      </c>
      <c r="C1373">
        <v>2023</v>
      </c>
      <c r="E1373" t="s">
        <v>7705</v>
      </c>
      <c r="F1373" t="s">
        <v>8549</v>
      </c>
    </row>
    <row r="1374" spans="1:6" x14ac:dyDescent="0.25">
      <c r="A1374" t="s">
        <v>2506</v>
      </c>
      <c r="B1374" t="s">
        <v>7706</v>
      </c>
      <c r="C1374">
        <v>2021</v>
      </c>
      <c r="E1374" t="s">
        <v>7705</v>
      </c>
      <c r="F1374" t="s">
        <v>9259</v>
      </c>
    </row>
    <row r="1375" spans="1:6" x14ac:dyDescent="0.25">
      <c r="A1375" t="s">
        <v>759</v>
      </c>
      <c r="B1375" t="s">
        <v>2782</v>
      </c>
      <c r="C1375">
        <v>2018</v>
      </c>
      <c r="E1375" t="s">
        <v>3124</v>
      </c>
      <c r="F1375" t="s">
        <v>8648</v>
      </c>
    </row>
    <row r="1376" spans="1:6" x14ac:dyDescent="0.25">
      <c r="A1376" t="s">
        <v>1046</v>
      </c>
      <c r="B1376" t="s">
        <v>2782</v>
      </c>
      <c r="C1376">
        <v>2016</v>
      </c>
      <c r="E1376" s="10" t="s">
        <v>8438</v>
      </c>
      <c r="F1376" t="s">
        <v>8753</v>
      </c>
    </row>
    <row r="1377" spans="1:6" x14ac:dyDescent="0.25">
      <c r="A1377" t="s">
        <v>2173</v>
      </c>
      <c r="B1377" t="s">
        <v>2782</v>
      </c>
      <c r="C1377">
        <v>2013</v>
      </c>
      <c r="E1377" t="s">
        <v>3124</v>
      </c>
      <c r="F1377" t="s">
        <v>9076</v>
      </c>
    </row>
    <row r="1378" spans="1:6" x14ac:dyDescent="0.25">
      <c r="A1378" t="s">
        <v>90</v>
      </c>
      <c r="B1378" t="s">
        <v>2782</v>
      </c>
      <c r="C1378">
        <v>2017</v>
      </c>
      <c r="E1378" s="10" t="s">
        <v>9427</v>
      </c>
      <c r="F1378" t="s">
        <v>9428</v>
      </c>
    </row>
    <row r="1379" spans="1:6" x14ac:dyDescent="0.25">
      <c r="A1379" t="s">
        <v>160</v>
      </c>
      <c r="B1379" t="s">
        <v>2782</v>
      </c>
      <c r="C1379">
        <v>2011</v>
      </c>
      <c r="E1379" t="s">
        <v>3124</v>
      </c>
      <c r="F1379" t="s">
        <v>9326</v>
      </c>
    </row>
    <row r="1380" spans="1:6" x14ac:dyDescent="0.25">
      <c r="A1380" t="s">
        <v>1294</v>
      </c>
      <c r="B1380" t="s">
        <v>2786</v>
      </c>
      <c r="C1380">
        <v>2019</v>
      </c>
      <c r="E1380" s="10" t="s">
        <v>8438</v>
      </c>
      <c r="F1380" t="s">
        <v>9394</v>
      </c>
    </row>
    <row r="1381" spans="1:6" x14ac:dyDescent="0.25">
      <c r="A1381" t="s">
        <v>2782</v>
      </c>
      <c r="B1381" t="s">
        <v>2786</v>
      </c>
      <c r="C1381">
        <v>2019</v>
      </c>
      <c r="D1381" t="s">
        <v>187</v>
      </c>
    </row>
    <row r="1382" spans="1:6" x14ac:dyDescent="0.25">
      <c r="A1382" t="s">
        <v>490</v>
      </c>
      <c r="B1382" t="s">
        <v>2788</v>
      </c>
      <c r="C1382">
        <v>2009</v>
      </c>
      <c r="E1382" t="s">
        <v>3063</v>
      </c>
      <c r="F1382" t="s">
        <v>8563</v>
      </c>
    </row>
    <row r="1383" spans="1:6" x14ac:dyDescent="0.25">
      <c r="A1383" t="s">
        <v>1795</v>
      </c>
      <c r="B1383" t="s">
        <v>2788</v>
      </c>
      <c r="C1383">
        <v>1987</v>
      </c>
      <c r="E1383" s="10" t="s">
        <v>8411</v>
      </c>
      <c r="F1383" t="s">
        <v>8966</v>
      </c>
    </row>
    <row r="1384" spans="1:6" x14ac:dyDescent="0.25">
      <c r="A1384" t="s">
        <v>2154</v>
      </c>
      <c r="B1384" t="s">
        <v>2788</v>
      </c>
      <c r="C1384">
        <v>1980</v>
      </c>
      <c r="E1384" s="10" t="s">
        <v>8411</v>
      </c>
      <c r="F1384" t="s">
        <v>9063</v>
      </c>
    </row>
    <row r="1385" spans="1:6" x14ac:dyDescent="0.25">
      <c r="A1385" t="s">
        <v>2788</v>
      </c>
      <c r="B1385" t="s">
        <v>2790</v>
      </c>
      <c r="C1385">
        <v>2017</v>
      </c>
      <c r="D1385" t="s">
        <v>187</v>
      </c>
    </row>
    <row r="1386" spans="1:6" x14ac:dyDescent="0.25">
      <c r="A1386" t="s">
        <v>1795</v>
      </c>
      <c r="B1386" t="s">
        <v>2792</v>
      </c>
      <c r="C1386">
        <v>1987</v>
      </c>
      <c r="E1386" t="s">
        <v>3291</v>
      </c>
    </row>
    <row r="1387" spans="1:6" x14ac:dyDescent="0.25">
      <c r="A1387" t="s">
        <v>1882</v>
      </c>
      <c r="B1387" t="s">
        <v>2792</v>
      </c>
      <c r="C1387">
        <v>1987</v>
      </c>
      <c r="E1387" t="s">
        <v>3291</v>
      </c>
    </row>
    <row r="1388" spans="1:6" x14ac:dyDescent="0.25">
      <c r="A1388" t="s">
        <v>847</v>
      </c>
      <c r="B1388" t="s">
        <v>2796</v>
      </c>
      <c r="C1388">
        <v>1996</v>
      </c>
      <c r="E1388" s="10" t="s">
        <v>3168</v>
      </c>
      <c r="F1388" t="s">
        <v>8463</v>
      </c>
    </row>
    <row r="1389" spans="1:6" x14ac:dyDescent="0.25">
      <c r="A1389" t="s">
        <v>964</v>
      </c>
      <c r="B1389" t="s">
        <v>2796</v>
      </c>
      <c r="C1389">
        <v>2018</v>
      </c>
      <c r="E1389" t="s">
        <v>3168</v>
      </c>
      <c r="F1389" t="s">
        <v>8718</v>
      </c>
    </row>
    <row r="1390" spans="1:6" x14ac:dyDescent="0.25">
      <c r="A1390" t="s">
        <v>2428</v>
      </c>
      <c r="B1390" t="s">
        <v>2796</v>
      </c>
      <c r="C1390">
        <v>2018</v>
      </c>
      <c r="E1390" t="s">
        <v>3168</v>
      </c>
      <c r="F1390" t="s">
        <v>9243</v>
      </c>
    </row>
    <row r="1391" spans="1:6" x14ac:dyDescent="0.25">
      <c r="A1391" t="s">
        <v>2804</v>
      </c>
      <c r="B1391" t="s">
        <v>2798</v>
      </c>
      <c r="C1391">
        <v>2021</v>
      </c>
      <c r="D1391" t="s">
        <v>187</v>
      </c>
    </row>
    <row r="1392" spans="1:6" x14ac:dyDescent="0.25">
      <c r="A1392" t="s">
        <v>497</v>
      </c>
      <c r="B1392" t="s">
        <v>2800</v>
      </c>
      <c r="C1392">
        <v>2022</v>
      </c>
      <c r="E1392" s="10" t="s">
        <v>8418</v>
      </c>
    </row>
    <row r="1393" spans="1:6" x14ac:dyDescent="0.25">
      <c r="A1393" t="s">
        <v>2397</v>
      </c>
      <c r="B1393" t="s">
        <v>2800</v>
      </c>
      <c r="C1393">
        <v>2022</v>
      </c>
      <c r="E1393" s="10" t="s">
        <v>8418</v>
      </c>
    </row>
    <row r="1394" spans="1:6" x14ac:dyDescent="0.25">
      <c r="A1394" t="s">
        <v>2804</v>
      </c>
      <c r="B1394" t="s">
        <v>2800</v>
      </c>
      <c r="C1394">
        <v>2021</v>
      </c>
      <c r="E1394" t="s">
        <v>2982</v>
      </c>
      <c r="F1394" t="s">
        <v>9375</v>
      </c>
    </row>
    <row r="1395" spans="1:6" x14ac:dyDescent="0.25">
      <c r="A1395" t="s">
        <v>1592</v>
      </c>
      <c r="B1395" t="s">
        <v>2804</v>
      </c>
      <c r="C1395">
        <v>2019</v>
      </c>
      <c r="E1395" t="s">
        <v>3268</v>
      </c>
      <c r="F1395" t="s">
        <v>8915</v>
      </c>
    </row>
    <row r="1396" spans="1:6" x14ac:dyDescent="0.25">
      <c r="A1396" t="s">
        <v>90</v>
      </c>
      <c r="B1396" t="s">
        <v>2808</v>
      </c>
      <c r="C1396">
        <v>2017</v>
      </c>
      <c r="E1396" t="s">
        <v>3386</v>
      </c>
      <c r="F1396" t="s">
        <v>9192</v>
      </c>
    </row>
    <row r="1397" spans="1:6" x14ac:dyDescent="0.25">
      <c r="A1397" t="s">
        <v>651</v>
      </c>
      <c r="B1397" t="s">
        <v>2812</v>
      </c>
      <c r="C1397">
        <v>2023</v>
      </c>
      <c r="E1397" t="s">
        <v>3082</v>
      </c>
      <c r="F1397" t="s">
        <v>8591</v>
      </c>
    </row>
    <row r="1398" spans="1:6" x14ac:dyDescent="0.25">
      <c r="A1398" t="s">
        <v>1029</v>
      </c>
      <c r="B1398" t="s">
        <v>2812</v>
      </c>
      <c r="C1398">
        <v>2022</v>
      </c>
      <c r="E1398" t="s">
        <v>3082</v>
      </c>
      <c r="F1398" t="s">
        <v>8730</v>
      </c>
    </row>
    <row r="1399" spans="1:6" x14ac:dyDescent="0.25">
      <c r="A1399" t="s">
        <v>1272</v>
      </c>
      <c r="B1399" t="s">
        <v>2812</v>
      </c>
      <c r="C1399">
        <v>2020</v>
      </c>
      <c r="E1399" t="s">
        <v>3082</v>
      </c>
      <c r="F1399" t="s">
        <v>8795</v>
      </c>
    </row>
    <row r="1400" spans="1:6" x14ac:dyDescent="0.25">
      <c r="A1400" t="s">
        <v>1294</v>
      </c>
      <c r="B1400" t="s">
        <v>2812</v>
      </c>
      <c r="C1400">
        <v>2019</v>
      </c>
      <c r="E1400" t="s">
        <v>3082</v>
      </c>
      <c r="F1400" t="s">
        <v>8838</v>
      </c>
    </row>
    <row r="1401" spans="1:6" x14ac:dyDescent="0.25">
      <c r="A1401" t="s">
        <v>2136</v>
      </c>
      <c r="B1401" t="s">
        <v>2812</v>
      </c>
      <c r="C1401">
        <v>2020</v>
      </c>
      <c r="E1401" t="s">
        <v>3082</v>
      </c>
      <c r="F1401" t="s">
        <v>9036</v>
      </c>
    </row>
    <row r="1402" spans="1:6" x14ac:dyDescent="0.25">
      <c r="A1402" t="s">
        <v>2954</v>
      </c>
      <c r="B1402" t="s">
        <v>2812</v>
      </c>
      <c r="C1402">
        <v>2014</v>
      </c>
      <c r="E1402" t="s">
        <v>3082</v>
      </c>
      <c r="F1402" t="s">
        <v>9393</v>
      </c>
    </row>
    <row r="1403" spans="1:6" x14ac:dyDescent="0.25">
      <c r="A1403" t="s">
        <v>2804</v>
      </c>
      <c r="B1403" t="s">
        <v>2814</v>
      </c>
      <c r="C1403">
        <v>2021</v>
      </c>
      <c r="E1403" t="s">
        <v>2982</v>
      </c>
      <c r="F1403" t="s">
        <v>9376</v>
      </c>
    </row>
    <row r="1404" spans="1:6" x14ac:dyDescent="0.25">
      <c r="A1404" t="s">
        <v>924</v>
      </c>
      <c r="B1404" t="s">
        <v>2818</v>
      </c>
      <c r="C1404">
        <v>2019</v>
      </c>
      <c r="E1404" t="s">
        <v>3155</v>
      </c>
    </row>
    <row r="1405" spans="1:6" x14ac:dyDescent="0.25">
      <c r="A1405" t="s">
        <v>90</v>
      </c>
      <c r="B1405" t="s">
        <v>2818</v>
      </c>
      <c r="C1405">
        <v>2017</v>
      </c>
      <c r="E1405" t="s">
        <v>3155</v>
      </c>
    </row>
    <row r="1406" spans="1:6" x14ac:dyDescent="0.25">
      <c r="A1406" t="s">
        <v>2721</v>
      </c>
      <c r="B1406" t="s">
        <v>2818</v>
      </c>
      <c r="C1406">
        <v>1993</v>
      </c>
      <c r="E1406" t="s">
        <v>3155</v>
      </c>
    </row>
    <row r="1407" spans="1:6" x14ac:dyDescent="0.25">
      <c r="A1407" t="s">
        <v>2818</v>
      </c>
      <c r="B1407" t="s">
        <v>2820</v>
      </c>
      <c r="C1407">
        <v>2021</v>
      </c>
      <c r="D1407" t="s">
        <v>187</v>
      </c>
    </row>
    <row r="1408" spans="1:6" x14ac:dyDescent="0.25">
      <c r="A1408" t="s">
        <v>746</v>
      </c>
      <c r="B1408" t="s">
        <v>2822</v>
      </c>
      <c r="C1408">
        <v>2015</v>
      </c>
      <c r="E1408" t="s">
        <v>3108</v>
      </c>
      <c r="F1408" t="s">
        <v>8626</v>
      </c>
    </row>
    <row r="1409" spans="1:6" x14ac:dyDescent="0.25">
      <c r="A1409" t="s">
        <v>90</v>
      </c>
      <c r="B1409" t="s">
        <v>2822</v>
      </c>
      <c r="C1409">
        <v>2017</v>
      </c>
      <c r="E1409" t="s">
        <v>2982</v>
      </c>
      <c r="F1409" t="s">
        <v>9193</v>
      </c>
    </row>
    <row r="1410" spans="1:6" x14ac:dyDescent="0.25">
      <c r="A1410" t="s">
        <v>1144</v>
      </c>
      <c r="B1410" t="s">
        <v>2824</v>
      </c>
      <c r="C1410">
        <v>2012</v>
      </c>
      <c r="E1410" t="s">
        <v>3216</v>
      </c>
      <c r="F1410" t="s">
        <v>8789</v>
      </c>
    </row>
    <row r="1411" spans="1:6" x14ac:dyDescent="0.25">
      <c r="A1411" t="s">
        <v>2804</v>
      </c>
      <c r="B1411" t="s">
        <v>2828</v>
      </c>
      <c r="C1411">
        <v>2021</v>
      </c>
      <c r="E1411" t="s">
        <v>2982</v>
      </c>
      <c r="F1411" t="s">
        <v>9377</v>
      </c>
    </row>
    <row r="1412" spans="1:6" x14ac:dyDescent="0.25">
      <c r="A1412" t="s">
        <v>1004</v>
      </c>
      <c r="B1412" t="s">
        <v>2832</v>
      </c>
      <c r="C1412">
        <v>2006</v>
      </c>
      <c r="E1412" t="s">
        <v>3177</v>
      </c>
    </row>
    <row r="1413" spans="1:6" x14ac:dyDescent="0.25">
      <c r="A1413" t="s">
        <v>1144</v>
      </c>
      <c r="B1413" t="s">
        <v>2832</v>
      </c>
      <c r="C1413">
        <v>2012</v>
      </c>
      <c r="E1413" t="s">
        <v>3177</v>
      </c>
    </row>
    <row r="1414" spans="1:6" x14ac:dyDescent="0.25">
      <c r="A1414" t="s">
        <v>1855</v>
      </c>
      <c r="B1414" t="s">
        <v>2834</v>
      </c>
      <c r="C1414">
        <v>2015</v>
      </c>
      <c r="E1414" t="s">
        <v>3303</v>
      </c>
      <c r="F1414" t="s">
        <v>8995</v>
      </c>
    </row>
    <row r="1415" spans="1:6" x14ac:dyDescent="0.25">
      <c r="A1415" t="s">
        <v>457</v>
      </c>
      <c r="B1415" t="s">
        <v>2838</v>
      </c>
      <c r="C1415">
        <v>2022</v>
      </c>
      <c r="D1415" t="s">
        <v>187</v>
      </c>
    </row>
    <row r="1416" spans="1:6" x14ac:dyDescent="0.25">
      <c r="A1416" t="s">
        <v>497</v>
      </c>
      <c r="B1416" t="s">
        <v>2838</v>
      </c>
      <c r="C1416">
        <v>2022</v>
      </c>
      <c r="E1416" t="s">
        <v>3071</v>
      </c>
      <c r="F1416" t="s">
        <v>8578</v>
      </c>
    </row>
    <row r="1417" spans="1:6" x14ac:dyDescent="0.25">
      <c r="A1417" t="s">
        <v>847</v>
      </c>
      <c r="B1417" t="s">
        <v>2840</v>
      </c>
      <c r="C1417">
        <v>1996</v>
      </c>
      <c r="E1417" s="10" t="s">
        <v>3437</v>
      </c>
      <c r="F1417" t="s">
        <v>8680</v>
      </c>
    </row>
    <row r="1418" spans="1:6" x14ac:dyDescent="0.25">
      <c r="A1418" t="s">
        <v>2901</v>
      </c>
      <c r="B1418" t="s">
        <v>2840</v>
      </c>
      <c r="C1418">
        <v>2023</v>
      </c>
      <c r="E1418" t="s">
        <v>3437</v>
      </c>
      <c r="F1418" t="s">
        <v>9384</v>
      </c>
    </row>
    <row r="1419" spans="1:6" x14ac:dyDescent="0.25">
      <c r="A1419" t="s">
        <v>2721</v>
      </c>
      <c r="B1419" t="s">
        <v>2843</v>
      </c>
      <c r="C1419">
        <v>1993</v>
      </c>
      <c r="E1419" t="s">
        <v>3013</v>
      </c>
    </row>
    <row r="1420" spans="1:6" x14ac:dyDescent="0.25">
      <c r="A1420" t="s">
        <v>904</v>
      </c>
      <c r="B1420" t="s">
        <v>2846</v>
      </c>
      <c r="C1420">
        <v>2022</v>
      </c>
      <c r="E1420" t="s">
        <v>3146</v>
      </c>
      <c r="F1420" t="s">
        <v>8692</v>
      </c>
    </row>
    <row r="1421" spans="1:6" x14ac:dyDescent="0.25">
      <c r="A1421" t="s">
        <v>2846</v>
      </c>
      <c r="B1421" t="s">
        <v>2850</v>
      </c>
      <c r="C1421">
        <v>2023</v>
      </c>
      <c r="D1421" t="s">
        <v>187</v>
      </c>
    </row>
    <row r="1422" spans="1:6" x14ac:dyDescent="0.25">
      <c r="A1422" t="s">
        <v>350</v>
      </c>
      <c r="B1422" t="s">
        <v>7852</v>
      </c>
      <c r="C1422">
        <v>2018</v>
      </c>
      <c r="E1422" t="s">
        <v>7855</v>
      </c>
      <c r="F1422" t="s">
        <v>8510</v>
      </c>
    </row>
    <row r="1423" spans="1:6" x14ac:dyDescent="0.25">
      <c r="A1423" t="s">
        <v>2804</v>
      </c>
      <c r="B1423" t="s">
        <v>7852</v>
      </c>
      <c r="C1423">
        <v>2021</v>
      </c>
      <c r="E1423" t="s">
        <v>7855</v>
      </c>
      <c r="F1423" t="s">
        <v>9378</v>
      </c>
    </row>
    <row r="1424" spans="1:6" x14ac:dyDescent="0.25">
      <c r="A1424" t="s">
        <v>2804</v>
      </c>
      <c r="B1424" t="s">
        <v>2852</v>
      </c>
      <c r="C1424">
        <v>2021</v>
      </c>
      <c r="D1424" t="s">
        <v>187</v>
      </c>
      <c r="E1424" t="s">
        <v>3435</v>
      </c>
    </row>
    <row r="1425" spans="1:6" x14ac:dyDescent="0.25">
      <c r="A1425" t="s">
        <v>490</v>
      </c>
      <c r="B1425" t="s">
        <v>2854</v>
      </c>
      <c r="C1425">
        <v>2009</v>
      </c>
      <c r="E1425" t="s">
        <v>3064</v>
      </c>
      <c r="F1425" t="s">
        <v>9492</v>
      </c>
    </row>
    <row r="1426" spans="1:6" x14ac:dyDescent="0.25">
      <c r="A1426" t="s">
        <v>1144</v>
      </c>
      <c r="B1426" t="s">
        <v>2854</v>
      </c>
      <c r="C1426">
        <v>2012</v>
      </c>
      <c r="E1426" t="s">
        <v>3064</v>
      </c>
      <c r="F1426" t="s">
        <v>9493</v>
      </c>
    </row>
    <row r="1427" spans="1:6" x14ac:dyDescent="0.25">
      <c r="A1427" t="s">
        <v>90</v>
      </c>
      <c r="B1427" t="s">
        <v>2856</v>
      </c>
      <c r="C1427">
        <v>2017</v>
      </c>
      <c r="E1427" t="s">
        <v>3387</v>
      </c>
      <c r="F1427" t="s">
        <v>9194</v>
      </c>
    </row>
    <row r="1428" spans="1:6" x14ac:dyDescent="0.25">
      <c r="A1428" t="s">
        <v>1004</v>
      </c>
      <c r="B1428" t="s">
        <v>2860</v>
      </c>
      <c r="C1428">
        <v>2006</v>
      </c>
      <c r="E1428" t="s">
        <v>3178</v>
      </c>
      <c r="F1428" t="s">
        <v>8727</v>
      </c>
    </row>
    <row r="1429" spans="1:6" x14ac:dyDescent="0.25">
      <c r="A1429" t="s">
        <v>1004</v>
      </c>
      <c r="B1429" t="s">
        <v>2864</v>
      </c>
      <c r="C1429">
        <v>2006</v>
      </c>
      <c r="E1429" t="s">
        <v>3179</v>
      </c>
      <c r="F1429" t="s">
        <v>8728</v>
      </c>
    </row>
    <row r="1430" spans="1:6" x14ac:dyDescent="0.25">
      <c r="A1430" t="s">
        <v>2023</v>
      </c>
      <c r="B1430" t="s">
        <v>2864</v>
      </c>
      <c r="C1430">
        <v>2003</v>
      </c>
      <c r="E1430" t="s">
        <v>3310</v>
      </c>
      <c r="F1430" t="s">
        <v>9491</v>
      </c>
    </row>
    <row r="1431" spans="1:6" x14ac:dyDescent="0.25">
      <c r="A1431" t="s">
        <v>1795</v>
      </c>
      <c r="B1431" t="s">
        <v>2866</v>
      </c>
      <c r="C1431">
        <v>1987</v>
      </c>
      <c r="E1431" t="s">
        <v>3292</v>
      </c>
      <c r="F1431" t="s">
        <v>8967</v>
      </c>
    </row>
    <row r="1432" spans="1:6" x14ac:dyDescent="0.25">
      <c r="A1432" t="s">
        <v>2489</v>
      </c>
      <c r="B1432" t="s">
        <v>2874</v>
      </c>
      <c r="C1432">
        <v>2002</v>
      </c>
      <c r="D1432" t="s">
        <v>187</v>
      </c>
    </row>
    <row r="1433" spans="1:6" x14ac:dyDescent="0.25">
      <c r="A1433" t="s">
        <v>2804</v>
      </c>
      <c r="B1433" t="s">
        <v>2882</v>
      </c>
      <c r="C1433">
        <v>2021</v>
      </c>
      <c r="E1433" t="s">
        <v>3436</v>
      </c>
      <c r="F1433" t="s">
        <v>9379</v>
      </c>
    </row>
    <row r="1434" spans="1:6" x14ac:dyDescent="0.25">
      <c r="A1434" t="s">
        <v>2824</v>
      </c>
      <c r="B1434" t="s">
        <v>2886</v>
      </c>
      <c r="C1434">
        <v>2019</v>
      </c>
      <c r="D1434" t="s">
        <v>187</v>
      </c>
    </row>
    <row r="1435" spans="1:6" x14ac:dyDescent="0.25">
      <c r="A1435" t="s">
        <v>549</v>
      </c>
      <c r="B1435" t="s">
        <v>2890</v>
      </c>
      <c r="C1435">
        <v>2017</v>
      </c>
      <c r="E1435" t="s">
        <v>3076</v>
      </c>
      <c r="F1435" t="s">
        <v>8584</v>
      </c>
    </row>
    <row r="1436" spans="1:6" x14ac:dyDescent="0.25">
      <c r="A1436" t="s">
        <v>1690</v>
      </c>
      <c r="B1436" t="s">
        <v>2890</v>
      </c>
      <c r="C1436">
        <v>2020</v>
      </c>
      <c r="E1436" t="s">
        <v>3076</v>
      </c>
      <c r="F1436" t="s">
        <v>8929</v>
      </c>
    </row>
    <row r="1437" spans="1:6" x14ac:dyDescent="0.25">
      <c r="A1437" t="s">
        <v>2132</v>
      </c>
      <c r="B1437" t="s">
        <v>2890</v>
      </c>
      <c r="C1437">
        <v>2013</v>
      </c>
      <c r="E1437" t="s">
        <v>3076</v>
      </c>
      <c r="F1437" t="s">
        <v>9025</v>
      </c>
    </row>
    <row r="1438" spans="1:6" x14ac:dyDescent="0.25">
      <c r="A1438" t="s">
        <v>90</v>
      </c>
      <c r="B1438" t="s">
        <v>2890</v>
      </c>
      <c r="C1438">
        <v>2017</v>
      </c>
      <c r="E1438" t="s">
        <v>3076</v>
      </c>
      <c r="F1438" t="s">
        <v>9195</v>
      </c>
    </row>
    <row r="1439" spans="1:6" x14ac:dyDescent="0.25">
      <c r="A1439" t="s">
        <v>2428</v>
      </c>
      <c r="B1439" t="s">
        <v>2890</v>
      </c>
      <c r="C1439">
        <v>2008</v>
      </c>
      <c r="E1439" t="s">
        <v>3076</v>
      </c>
      <c r="F1439" t="s">
        <v>9244</v>
      </c>
    </row>
    <row r="1440" spans="1:6" x14ac:dyDescent="0.25">
      <c r="A1440" t="s">
        <v>160</v>
      </c>
      <c r="B1440" t="s">
        <v>2890</v>
      </c>
      <c r="C1440">
        <v>2011</v>
      </c>
      <c r="E1440" t="s">
        <v>3076</v>
      </c>
      <c r="F1440" t="s">
        <v>9327</v>
      </c>
    </row>
    <row r="1441" spans="1:6" x14ac:dyDescent="0.25">
      <c r="A1441" t="s">
        <v>759</v>
      </c>
      <c r="B1441" t="s">
        <v>2894</v>
      </c>
      <c r="C1441">
        <v>2018</v>
      </c>
      <c r="D1441" t="s">
        <v>187</v>
      </c>
      <c r="E1441" t="s">
        <v>3125</v>
      </c>
      <c r="F1441" t="s">
        <v>8649</v>
      </c>
    </row>
    <row r="1442" spans="1:6" x14ac:dyDescent="0.25">
      <c r="A1442" t="s">
        <v>1549</v>
      </c>
      <c r="B1442" t="s">
        <v>2896</v>
      </c>
      <c r="C1442">
        <v>2021</v>
      </c>
      <c r="E1442" t="s">
        <v>3259</v>
      </c>
      <c r="F1442" t="s">
        <v>9490</v>
      </c>
    </row>
    <row r="1443" spans="1:6" x14ac:dyDescent="0.25">
      <c r="A1443" t="s">
        <v>2122</v>
      </c>
      <c r="B1443" t="s">
        <v>2896</v>
      </c>
      <c r="C1443">
        <v>2020</v>
      </c>
      <c r="D1443" t="s">
        <v>187</v>
      </c>
    </row>
    <row r="1444" spans="1:6" x14ac:dyDescent="0.25">
      <c r="A1444" t="s">
        <v>90</v>
      </c>
      <c r="B1444" t="s">
        <v>2896</v>
      </c>
      <c r="C1444">
        <v>2017</v>
      </c>
      <c r="E1444" t="s">
        <v>3388</v>
      </c>
      <c r="F1444" t="s">
        <v>9487</v>
      </c>
    </row>
    <row r="1445" spans="1:6" x14ac:dyDescent="0.25">
      <c r="A1445" t="s">
        <v>1294</v>
      </c>
      <c r="B1445" t="s">
        <v>2901</v>
      </c>
      <c r="C1445">
        <v>2019</v>
      </c>
      <c r="E1445" s="10" t="s">
        <v>7960</v>
      </c>
      <c r="F1445" t="s">
        <v>8839</v>
      </c>
    </row>
    <row r="1446" spans="1:6" x14ac:dyDescent="0.25">
      <c r="A1446" t="s">
        <v>90</v>
      </c>
      <c r="B1446" t="s">
        <v>2904</v>
      </c>
      <c r="C1446">
        <v>2017</v>
      </c>
      <c r="E1446" t="s">
        <v>3389</v>
      </c>
      <c r="F1446" t="s">
        <v>9196</v>
      </c>
    </row>
    <row r="1447" spans="1:6" x14ac:dyDescent="0.25">
      <c r="A1447" t="s">
        <v>2906</v>
      </c>
      <c r="B1447" t="s">
        <v>2910</v>
      </c>
      <c r="C1447">
        <v>2018</v>
      </c>
      <c r="D1447" t="s">
        <v>187</v>
      </c>
    </row>
    <row r="1448" spans="1:6" x14ac:dyDescent="0.25">
      <c r="A1448" t="s">
        <v>160</v>
      </c>
      <c r="B1448" t="s">
        <v>2914</v>
      </c>
      <c r="C1448">
        <v>2011</v>
      </c>
      <c r="E1448" t="s">
        <v>2982</v>
      </c>
      <c r="F1448" t="s">
        <v>9328</v>
      </c>
    </row>
    <row r="1449" spans="1:6" x14ac:dyDescent="0.25">
      <c r="A1449" t="s">
        <v>353</v>
      </c>
      <c r="B1449" t="s">
        <v>2918</v>
      </c>
      <c r="C1449">
        <v>2023</v>
      </c>
      <c r="E1449" t="s">
        <v>3051</v>
      </c>
      <c r="F1449" t="s">
        <v>8550</v>
      </c>
    </row>
    <row r="1450" spans="1:6" x14ac:dyDescent="0.25">
      <c r="A1450" t="s">
        <v>353</v>
      </c>
      <c r="B1450" t="s">
        <v>2920</v>
      </c>
      <c r="C1450">
        <v>2023</v>
      </c>
      <c r="E1450" t="s">
        <v>3052</v>
      </c>
    </row>
    <row r="1451" spans="1:6" x14ac:dyDescent="0.25">
      <c r="A1451" t="s">
        <v>873</v>
      </c>
      <c r="B1451" t="s">
        <v>2924</v>
      </c>
      <c r="C1451">
        <v>2019</v>
      </c>
      <c r="E1451" s="10" t="s">
        <v>8387</v>
      </c>
      <c r="F1451" t="s">
        <v>8687</v>
      </c>
    </row>
    <row r="1452" spans="1:6" x14ac:dyDescent="0.25">
      <c r="A1452" t="s">
        <v>90</v>
      </c>
      <c r="B1452" t="s">
        <v>2924</v>
      </c>
      <c r="C1452">
        <v>2017</v>
      </c>
      <c r="E1452" t="s">
        <v>3390</v>
      </c>
      <c r="F1452" t="s">
        <v>9197</v>
      </c>
    </row>
    <row r="1453" spans="1:6" x14ac:dyDescent="0.25">
      <c r="A1453" t="s">
        <v>2080</v>
      </c>
      <c r="B1453" t="s">
        <v>2928</v>
      </c>
      <c r="C1453">
        <v>2015</v>
      </c>
      <c r="E1453" t="s">
        <v>2982</v>
      </c>
      <c r="F1453" t="s">
        <v>9014</v>
      </c>
    </row>
    <row r="1454" spans="1:6" x14ac:dyDescent="0.25">
      <c r="A1454" t="s">
        <v>1294</v>
      </c>
      <c r="B1454" t="s">
        <v>2931</v>
      </c>
      <c r="C1454">
        <v>2019</v>
      </c>
      <c r="E1454" t="s">
        <v>3013</v>
      </c>
    </row>
    <row r="1455" spans="1:6" x14ac:dyDescent="0.25">
      <c r="A1455" t="s">
        <v>2804</v>
      </c>
      <c r="B1455" t="s">
        <v>2933</v>
      </c>
      <c r="C1455">
        <v>2021</v>
      </c>
      <c r="E1455" t="s">
        <v>3013</v>
      </c>
    </row>
    <row r="1456" spans="1:6" x14ac:dyDescent="0.25">
      <c r="A1456" t="s">
        <v>90</v>
      </c>
      <c r="B1456" t="s">
        <v>2937</v>
      </c>
      <c r="C1456">
        <v>2017</v>
      </c>
      <c r="E1456" t="s">
        <v>3013</v>
      </c>
    </row>
    <row r="1457" spans="1:6" x14ac:dyDescent="0.25">
      <c r="A1457" t="s">
        <v>2447</v>
      </c>
      <c r="B1457" t="s">
        <v>2941</v>
      </c>
      <c r="C1457">
        <v>2014</v>
      </c>
      <c r="E1457" t="s">
        <v>3402</v>
      </c>
      <c r="F1457" t="s">
        <v>9245</v>
      </c>
    </row>
    <row r="1458" spans="1:6" x14ac:dyDescent="0.25">
      <c r="A1458" t="s">
        <v>2721</v>
      </c>
      <c r="B1458" t="s">
        <v>2943</v>
      </c>
      <c r="C1458">
        <v>1993</v>
      </c>
      <c r="E1458" t="s">
        <v>3426</v>
      </c>
    </row>
    <row r="1459" spans="1:6" x14ac:dyDescent="0.25">
      <c r="A1459" t="s">
        <v>260</v>
      </c>
      <c r="B1459" t="s">
        <v>2947</v>
      </c>
      <c r="C1459">
        <v>1990</v>
      </c>
      <c r="E1459" t="s">
        <v>3005</v>
      </c>
      <c r="F1459" t="s">
        <v>8491</v>
      </c>
    </row>
    <row r="1460" spans="1:6" x14ac:dyDescent="0.25">
      <c r="A1460" t="s">
        <v>1294</v>
      </c>
      <c r="B1460" t="s">
        <v>2950</v>
      </c>
      <c r="C1460">
        <v>2019</v>
      </c>
      <c r="E1460" t="s">
        <v>2982</v>
      </c>
      <c r="F1460" t="s">
        <v>8840</v>
      </c>
    </row>
    <row r="1461" spans="1:6" x14ac:dyDescent="0.25">
      <c r="A1461" t="s">
        <v>90</v>
      </c>
      <c r="B1461" t="s">
        <v>2950</v>
      </c>
      <c r="C1461">
        <v>2017</v>
      </c>
      <c r="E1461" t="s">
        <v>2982</v>
      </c>
      <c r="F1461" t="s">
        <v>9198</v>
      </c>
    </row>
    <row r="1462" spans="1:6" x14ac:dyDescent="0.25">
      <c r="A1462" t="s">
        <v>2954</v>
      </c>
      <c r="B1462" t="s">
        <v>2958</v>
      </c>
      <c r="C1462">
        <v>2014</v>
      </c>
      <c r="D1462" t="s">
        <v>187</v>
      </c>
    </row>
    <row r="1463" spans="1:6" x14ac:dyDescent="0.25">
      <c r="A1463" t="s">
        <v>260</v>
      </c>
      <c r="B1463" t="s">
        <v>2962</v>
      </c>
      <c r="C1463">
        <v>1990</v>
      </c>
      <c r="E1463" t="s">
        <v>3006</v>
      </c>
      <c r="F1463" t="s">
        <v>8492</v>
      </c>
    </row>
    <row r="1464" spans="1:6" x14ac:dyDescent="0.25">
      <c r="A1464" t="s">
        <v>525</v>
      </c>
      <c r="B1464" t="s">
        <v>2962</v>
      </c>
      <c r="C1464">
        <v>2005</v>
      </c>
      <c r="E1464" t="s">
        <v>3006</v>
      </c>
      <c r="F1464" t="s">
        <v>8581</v>
      </c>
    </row>
    <row r="1465" spans="1:6" x14ac:dyDescent="0.25">
      <c r="A1465" t="s">
        <v>964</v>
      </c>
      <c r="B1465" t="s">
        <v>2962</v>
      </c>
      <c r="C1465">
        <v>2006</v>
      </c>
      <c r="E1465" t="s">
        <v>3006</v>
      </c>
      <c r="F1465" t="s">
        <v>9485</v>
      </c>
    </row>
    <row r="1466" spans="1:6" x14ac:dyDescent="0.25">
      <c r="A1466" t="s">
        <v>1287</v>
      </c>
      <c r="B1466" t="s">
        <v>2962</v>
      </c>
      <c r="C1466">
        <v>2022</v>
      </c>
      <c r="E1466" t="s">
        <v>3006</v>
      </c>
      <c r="F1466" t="s">
        <v>8802</v>
      </c>
    </row>
    <row r="1467" spans="1:6" x14ac:dyDescent="0.25">
      <c r="A1467" t="s">
        <v>2634</v>
      </c>
      <c r="B1467" t="s">
        <v>2962</v>
      </c>
      <c r="C1467">
        <v>2014</v>
      </c>
      <c r="E1467" t="s">
        <v>3006</v>
      </c>
      <c r="F1467" t="s">
        <v>9330</v>
      </c>
    </row>
    <row r="1468" spans="1:6" x14ac:dyDescent="0.25">
      <c r="A1468" t="s">
        <v>2947</v>
      </c>
      <c r="B1468" t="s">
        <v>2962</v>
      </c>
      <c r="C1468">
        <v>1994</v>
      </c>
      <c r="E1468" t="s">
        <v>3006</v>
      </c>
      <c r="F1468" t="s">
        <v>9391</v>
      </c>
    </row>
    <row r="1469" spans="1:6" x14ac:dyDescent="0.25">
      <c r="A1469" t="s">
        <v>1255</v>
      </c>
      <c r="B1469" t="s">
        <v>2965</v>
      </c>
      <c r="C1469">
        <v>2020</v>
      </c>
      <c r="E1469" t="s">
        <v>3217</v>
      </c>
      <c r="F1469" t="s">
        <v>8790</v>
      </c>
    </row>
    <row r="1470" spans="1:6" x14ac:dyDescent="0.25">
      <c r="A1470" t="s">
        <v>90</v>
      </c>
      <c r="B1470" t="s">
        <v>2965</v>
      </c>
      <c r="C1470">
        <v>2017</v>
      </c>
      <c r="E1470" t="s">
        <v>3217</v>
      </c>
      <c r="F1470" t="s">
        <v>9199</v>
      </c>
    </row>
    <row r="1471" spans="1:6" x14ac:dyDescent="0.25">
      <c r="A1471" t="s">
        <v>353</v>
      </c>
      <c r="B1471" t="s">
        <v>2969</v>
      </c>
      <c r="C1471">
        <v>2023</v>
      </c>
      <c r="E1471" t="s">
        <v>3053</v>
      </c>
      <c r="F1471" t="s">
        <v>9486</v>
      </c>
    </row>
    <row r="1472" spans="1:6" x14ac:dyDescent="0.25">
      <c r="A1472" t="s">
        <v>260</v>
      </c>
      <c r="B1472" t="s">
        <v>2972</v>
      </c>
      <c r="C1472">
        <v>1990</v>
      </c>
      <c r="E1472" t="s">
        <v>2982</v>
      </c>
      <c r="F1472" t="s">
        <v>8493</v>
      </c>
    </row>
    <row r="1473" spans="1:6" x14ac:dyDescent="0.25">
      <c r="A1473" t="s">
        <v>2506</v>
      </c>
      <c r="B1473" t="s">
        <v>2896</v>
      </c>
      <c r="C1473">
        <v>2021</v>
      </c>
      <c r="E1473" s="10" t="s">
        <v>9489</v>
      </c>
      <c r="F1473" t="s">
        <v>9488</v>
      </c>
    </row>
  </sheetData>
  <hyperlinks>
    <hyperlink ref="E1015" r:id="rId1" xr:uid="{00000000-0004-0000-0100-000000000000}"/>
    <hyperlink ref="E1329" r:id="rId2" xr:uid="{00000000-0004-0000-0100-000001000000}"/>
    <hyperlink ref="E1308" r:id="rId3" xr:uid="{00000000-0004-0000-0100-000002000000}"/>
    <hyperlink ref="E784" r:id="rId4" xr:uid="{00000000-0004-0000-0100-000003000000}"/>
    <hyperlink ref="E257" r:id="rId5" xr:uid="{00000000-0004-0000-0100-000004000000}"/>
    <hyperlink ref="E418" r:id="rId6" xr:uid="{00000000-0004-0000-0100-000005000000}"/>
    <hyperlink ref="E494" r:id="rId7" xr:uid="{00000000-0004-0000-0100-000006000000}"/>
    <hyperlink ref="E516" r:id="rId8" xr:uid="{00000000-0004-0000-0100-000007000000}"/>
    <hyperlink ref="E617" r:id="rId9" xr:uid="{00000000-0004-0000-0100-000008000000}"/>
    <hyperlink ref="E691" r:id="rId10" xr:uid="{00000000-0004-0000-0100-000009000000}"/>
    <hyperlink ref="E944" r:id="rId11" xr:uid="{00000000-0004-0000-0100-00000A000000}"/>
    <hyperlink ref="E1018" r:id="rId12" xr:uid="{00000000-0004-0000-0100-00000B000000}"/>
    <hyperlink ref="E1086" r:id="rId13" xr:uid="{00000000-0004-0000-0100-00000C000000}"/>
    <hyperlink ref="E1153" r:id="rId14" xr:uid="{00000000-0004-0000-0100-00000D000000}"/>
    <hyperlink ref="E1189" r:id="rId15" xr:uid="{00000000-0004-0000-0100-00000E000000}"/>
    <hyperlink ref="E1215" r:id="rId16" xr:uid="{00000000-0004-0000-0100-00000F000000}"/>
    <hyperlink ref="E173" r:id="rId17" xr:uid="{00000000-0004-0000-0100-000010000000}"/>
    <hyperlink ref="E258" r:id="rId18" xr:uid="{00000000-0004-0000-0100-000011000000}"/>
    <hyperlink ref="E352" r:id="rId19" xr:uid="{00000000-0004-0000-0100-000012000000}"/>
    <hyperlink ref="E419" r:id="rId20" xr:uid="{00000000-0004-0000-0100-000013000000}"/>
    <hyperlink ref="E692" r:id="rId21" xr:uid="{00000000-0004-0000-0100-000014000000}"/>
    <hyperlink ref="E945" r:id="rId22" xr:uid="{00000000-0004-0000-0100-000015000000}"/>
    <hyperlink ref="E1117" r:id="rId23" xr:uid="{00000000-0004-0000-0100-000016000000}"/>
    <hyperlink ref="E1287" r:id="rId24" xr:uid="{00000000-0004-0000-0100-000017000000}"/>
    <hyperlink ref="E1459" r:id="rId25" xr:uid="{00000000-0004-0000-0100-000018000000}"/>
    <hyperlink ref="E1463" r:id="rId26" xr:uid="{00000000-0004-0000-0100-000019000000}"/>
    <hyperlink ref="E1291" r:id="rId27" xr:uid="{00000000-0004-0000-0100-00001A000000}"/>
    <hyperlink ref="E918" r:id="rId28" xr:uid="{00000000-0004-0000-0100-00001B000000}"/>
    <hyperlink ref="E964" r:id="rId29" xr:uid="{00000000-0004-0000-0100-00001C000000}"/>
    <hyperlink ref="E577" r:id="rId30" xr:uid="{00000000-0004-0000-0100-00001D000000}"/>
    <hyperlink ref="E1242" r:id="rId31" xr:uid="{00000000-0004-0000-0100-00001E000000}"/>
    <hyperlink ref="E681" r:id="rId32" xr:uid="{00000000-0004-0000-0100-00001F000000}"/>
    <hyperlink ref="E716" r:id="rId33" location=":~:text=A%20downloadable%20game%20for%20Windows,it%20to%20the%20next%20round." xr:uid="{00000000-0004-0000-0100-000020000000}"/>
    <hyperlink ref="E1330" r:id="rId34" xr:uid="{00000000-0004-0000-0100-000021000000}"/>
    <hyperlink ref="E1367" r:id="rId35" xr:uid="{00000000-0004-0000-0100-000022000000}"/>
    <hyperlink ref="E90" r:id="rId36" xr:uid="{00000000-0004-0000-0100-000023000000}"/>
    <hyperlink ref="E103" r:id="rId37" xr:uid="{00000000-0004-0000-0100-000024000000}"/>
    <hyperlink ref="E1030" r:id="rId38" location="c4335355681661031211" xr:uid="{00000000-0004-0000-0100-000025000000}"/>
    <hyperlink ref="E129" r:id="rId39" xr:uid="{00000000-0004-0000-0100-000026000000}"/>
    <hyperlink ref="E134" r:id="rId40" xr:uid="{00000000-0004-0000-0100-000027000000}"/>
    <hyperlink ref="E194" r:id="rId41" xr:uid="{00000000-0004-0000-0100-000028000000}"/>
    <hyperlink ref="E221" r:id="rId42" xr:uid="{00000000-0004-0000-0100-000029000000}"/>
    <hyperlink ref="E230" r:id="rId43" xr:uid="{00000000-0004-0000-0100-00002A000000}"/>
    <hyperlink ref="E235" r:id="rId44" location=":~:text=With%20inspirations%20from%20hometown%20superstars%20Nikola%20Jokić%2C,passion%20project%20using%20basketball%20as%20the%20medium." xr:uid="{00000000-0004-0000-0100-00002B000000}"/>
    <hyperlink ref="E277" r:id="rId45" xr:uid="{00000000-0004-0000-0100-00002C000000}"/>
    <hyperlink ref="E293" r:id="rId46" xr:uid="{00000000-0004-0000-0100-00002D000000}"/>
    <hyperlink ref="E312" r:id="rId47" xr:uid="{00000000-0004-0000-0100-00002E000000}"/>
    <hyperlink ref="E389" r:id="rId48" xr:uid="{00000000-0004-0000-0100-00002F000000}"/>
    <hyperlink ref="E509" r:id="rId49" xr:uid="{00000000-0004-0000-0100-000030000000}"/>
    <hyperlink ref="E610" r:id="rId50" xr:uid="{00000000-0004-0000-0100-000031000000}"/>
    <hyperlink ref="E717" r:id="rId51" location=":~:text=A%20downloadable%20game%20for%20Windows,it%20to%20the%20next%20round." xr:uid="{00000000-0004-0000-0100-000032000000}"/>
    <hyperlink ref="E733" r:id="rId52" xr:uid="{00000000-0004-0000-0100-000033000000}"/>
    <hyperlink ref="E756" r:id="rId53" xr:uid="{00000000-0004-0000-0100-000034000000}"/>
    <hyperlink ref="E870" r:id="rId54" xr:uid="{00000000-0004-0000-0100-000035000000}"/>
    <hyperlink ref="E893" r:id="rId55" xr:uid="{00000000-0004-0000-0100-000036000000}"/>
    <hyperlink ref="E908" r:id="rId56" xr:uid="{00000000-0004-0000-0100-000037000000}"/>
    <hyperlink ref="E923" r:id="rId57" xr:uid="{00000000-0004-0000-0100-000038000000}"/>
    <hyperlink ref="E962" r:id="rId58" xr:uid="{00000000-0004-0000-0100-000039000000}"/>
    <hyperlink ref="E988" r:id="rId59" xr:uid="{00000000-0004-0000-0100-00003A000000}"/>
    <hyperlink ref="E1045" r:id="rId60" location=":~:text=RollScape%20is%20a%20game%20inspired,I%20played%20throughout%20the%20years." xr:uid="{00000000-0004-0000-0100-00003B000000}"/>
    <hyperlink ref="E1048" r:id="rId61" xr:uid="{00000000-0004-0000-0100-00003C000000}"/>
    <hyperlink ref="E1053" r:id="rId62" location=":~:text=%2C%20say%2C%20Arco?-,RunebornGame,make%20it%20even%20more%20unique." xr:uid="{00000000-0004-0000-0100-00003D000000}"/>
    <hyperlink ref="E1057" r:id="rId63" xr:uid="{00000000-0004-0000-0100-00003E000000}"/>
    <hyperlink ref="E1144" r:id="rId64" xr:uid="{00000000-0004-0000-0100-00003F000000}"/>
    <hyperlink ref="E1146" r:id="rId65" xr:uid="{00000000-0004-0000-0100-000040000000}"/>
    <hyperlink ref="E1149" r:id="rId66" xr:uid="{00000000-0004-0000-0100-000041000000}"/>
    <hyperlink ref="E1209" r:id="rId67" xr:uid="{00000000-0004-0000-0100-000042000000}"/>
    <hyperlink ref="E1309" r:id="rId68" xr:uid="{00000000-0004-0000-0100-000043000000}"/>
    <hyperlink ref="E1449" r:id="rId69" xr:uid="{00000000-0004-0000-0100-000044000000}"/>
    <hyperlink ref="E1471" r:id="rId70" xr:uid="{00000000-0004-0000-0100-000045000000}"/>
    <hyperlink ref="E757" r:id="rId71" xr:uid="{00000000-0004-0000-0100-000046000000}"/>
    <hyperlink ref="E871" r:id="rId72" xr:uid="{00000000-0004-0000-0100-000047000000}"/>
    <hyperlink ref="E1295" r:id="rId73" location=":~:text=The%20Last%20Spell's%20unique%20blend,build%20characters%20however%20they%20want." xr:uid="{00000000-0004-0000-0100-000048000000}"/>
    <hyperlink ref="E116" r:id="rId74" xr:uid="{00000000-0004-0000-0100-000049000000}"/>
    <hyperlink ref="E596" r:id="rId75" xr:uid="{00000000-0004-0000-0100-00004A000000}"/>
    <hyperlink ref="E454" r:id="rId76" xr:uid="{00000000-0004-0000-0100-00004B000000}"/>
    <hyperlink ref="E686" r:id="rId77" xr:uid="{00000000-0004-0000-0100-00004C000000}"/>
    <hyperlink ref="E924" r:id="rId78" xr:uid="{00000000-0004-0000-0100-00004D000000}"/>
    <hyperlink ref="E1040" r:id="rId79" xr:uid="{00000000-0004-0000-0100-00004E000000}"/>
    <hyperlink ref="E1163" r:id="rId80" location="c494631967651765393" xr:uid="{00000000-0004-0000-0100-00004F000000}"/>
    <hyperlink ref="E1382" r:id="rId81" xr:uid="{00000000-0004-0000-0100-000050000000}"/>
    <hyperlink ref="E1425" r:id="rId82" xr:uid="{00000000-0004-0000-0100-000051000000}"/>
    <hyperlink ref="E59" r:id="rId83" location="c735910198043297427" xr:uid="{00000000-0004-0000-0100-000052000000}"/>
    <hyperlink ref="E232" r:id="rId84" xr:uid="{00000000-0004-0000-0100-000053000000}"/>
    <hyperlink ref="E599" r:id="rId85" xr:uid="{00000000-0004-0000-0100-000054000000}"/>
    <hyperlink ref="E676" r:id="rId86" xr:uid="{00000000-0004-0000-0100-000055000000}"/>
    <hyperlink ref="E738" r:id="rId87" xr:uid="{00000000-0004-0000-0100-000056000000}"/>
    <hyperlink ref="E835" r:id="rId88" xr:uid="{00000000-0004-0000-0100-000057000000}"/>
    <hyperlink ref="E919" r:id="rId89" xr:uid="{00000000-0004-0000-0100-000058000000}"/>
    <hyperlink ref="E965" r:id="rId90" xr:uid="{00000000-0004-0000-0100-000059000000}"/>
    <hyperlink ref="E1094" r:id="rId91" xr:uid="{00000000-0004-0000-0100-00005A000000}"/>
    <hyperlink ref="E1416" r:id="rId92" xr:uid="{00000000-0004-0000-0100-00005B000000}"/>
    <hyperlink ref="E231" r:id="rId93" xr:uid="{00000000-0004-0000-0100-00005C000000}"/>
    <hyperlink ref="E420" r:id="rId94" xr:uid="{00000000-0004-0000-0100-00005D000000}"/>
    <hyperlink ref="E1464" r:id="rId95" xr:uid="{00000000-0004-0000-0100-00005E000000}"/>
    <hyperlink ref="E188" r:id="rId96" xr:uid="{00000000-0004-0000-0100-00005F000000}"/>
    <hyperlink ref="E189" r:id="rId97" xr:uid="{00000000-0004-0000-0100-000060000000}"/>
    <hyperlink ref="E981" r:id="rId98" xr:uid="{00000000-0004-0000-0100-000061000000}"/>
    <hyperlink ref="E1269" r:id="rId99" xr:uid="{00000000-0004-0000-0100-000062000000}"/>
    <hyperlink ref="E739" r:id="rId100" location=":~:text=*Mainframe%20Defenders*%20is%20a%20roguelite%20game%20available,**Earning%20Matter%20and%20drops**%20*%20**Upgrading%20mechs**" xr:uid="{00000000-0004-0000-0100-000063000000}"/>
    <hyperlink ref="E1281" r:id="rId101" location="c5456682769558786398" xr:uid="{00000000-0004-0000-0100-000064000000}"/>
    <hyperlink ref="E860" r:id="rId102" xr:uid="{00000000-0004-0000-0100-000065000000}"/>
    <hyperlink ref="E1397" r:id="rId103" location=":~:text=Vellum's%20Inspirations,chapter%20of%20the%20original%20series." xr:uid="{00000000-0004-0000-0100-000066000000}"/>
    <hyperlink ref="E7" r:id="rId104" xr:uid="{00000000-0004-0000-0100-000067000000}"/>
    <hyperlink ref="E152" r:id="rId105" location=":~:text=The%20game%20was%20inspired%20by,of%20the%20NecroDancer%20and%20Cuphead." xr:uid="{00000000-0004-0000-0100-000068000000}"/>
    <hyperlink ref="E208" r:id="rId106" xr:uid="{00000000-0004-0000-0100-000069000000}"/>
    <hyperlink ref="E342" r:id="rId107" xr:uid="{00000000-0004-0000-0100-00006A000000}"/>
    <hyperlink ref="E618" r:id="rId108" xr:uid="{00000000-0004-0000-0100-00006B000000}"/>
    <hyperlink ref="E225" r:id="rId109" xr:uid="{00000000-0004-0000-0100-00006C000000}"/>
    <hyperlink ref="E510" r:id="rId110" xr:uid="{00000000-0004-0000-0100-00006D000000}"/>
    <hyperlink ref="E963" r:id="rId111" xr:uid="{00000000-0004-0000-0100-00006E000000}"/>
    <hyperlink ref="E649" r:id="rId112" xr:uid="{00000000-0004-0000-0100-000070000000}"/>
    <hyperlink ref="E1063" r:id="rId113" xr:uid="{00000000-0004-0000-0100-000071000000}"/>
    <hyperlink ref="E823" r:id="rId114" xr:uid="{00000000-0004-0000-0100-000072000000}"/>
    <hyperlink ref="E72" r:id="rId115" xr:uid="{00000000-0004-0000-0100-000073000000}"/>
    <hyperlink ref="E65" r:id="rId116" xr:uid="{00000000-0004-0000-0100-000074000000}"/>
    <hyperlink ref="E249" r:id="rId117" xr:uid="{00000000-0004-0000-0100-000075000000}"/>
    <hyperlink ref="E298" r:id="rId118" xr:uid="{00000000-0004-0000-0100-000076000000}"/>
    <hyperlink ref="E323" r:id="rId119" xr:uid="{00000000-0004-0000-0100-000077000000}"/>
    <hyperlink ref="E336" r:id="rId120" xr:uid="{00000000-0004-0000-0100-000078000000}"/>
    <hyperlink ref="E378" r:id="rId121" xr:uid="{00000000-0004-0000-0100-000079000000}"/>
    <hyperlink ref="E417" r:id="rId122" location="c352788917764129482" xr:uid="{00000000-0004-0000-0100-00007A000000}"/>
    <hyperlink ref="E455" r:id="rId123" xr:uid="{00000000-0004-0000-0100-00007B000000}"/>
    <hyperlink ref="E588" r:id="rId124" xr:uid="{00000000-0004-0000-0100-00007C000000}"/>
    <hyperlink ref="E654" r:id="rId125" xr:uid="{00000000-0004-0000-0100-00007D000000}"/>
    <hyperlink ref="E812" r:id="rId126" xr:uid="{00000000-0004-0000-0100-00007E000000}"/>
    <hyperlink ref="E1064" r:id="rId127" xr:uid="{00000000-0004-0000-0100-00007F000000}"/>
    <hyperlink ref="E1110" r:id="rId128" xr:uid="{00000000-0004-0000-0100-000080000000}"/>
    <hyperlink ref="E1125" r:id="rId129" xr:uid="{00000000-0004-0000-0100-000081000000}"/>
    <hyperlink ref="E1216" r:id="rId130" xr:uid="{00000000-0004-0000-0100-000082000000}"/>
    <hyperlink ref="E1408" r:id="rId131" xr:uid="{00000000-0004-0000-0100-000083000000}"/>
    <hyperlink ref="E385" r:id="rId132" xr:uid="{00000000-0004-0000-0100-000084000000}"/>
    <hyperlink ref="E23" r:id="rId133" xr:uid="{00000000-0004-0000-0100-000085000000}"/>
    <hyperlink ref="E36" r:id="rId134" xr:uid="{00000000-0004-0000-0100-000086000000}"/>
    <hyperlink ref="E84" r:id="rId135" xr:uid="{00000000-0004-0000-0100-000087000000}"/>
    <hyperlink ref="E113" r:id="rId136" xr:uid="{00000000-0004-0000-0100-000088000000}"/>
    <hyperlink ref="E431" r:id="rId137" location=":~:text=A%20big%20of%20Rogue%20Legacy%2C%20Spelunky%2C%20Hades.,kinda%20got%20inspiration%20from%20all%20of%20them." xr:uid="{00000000-0004-0000-0100-000089000000}"/>
    <hyperlink ref="E501" r:id="rId138" location=":~:text=Fury%20Unleashed%20was%20created%20by,like%20Contra%20and%20Metal%20Slug." xr:uid="{00000000-0004-0000-0100-00008A000000}"/>
    <hyperlink ref="E506" r:id="rId139" xr:uid="{00000000-0004-0000-0100-00008B000000}"/>
    <hyperlink ref="E668" r:id="rId140" xr:uid="{00000000-0004-0000-0100-00008C000000}"/>
    <hyperlink ref="E760" r:id="rId141" location=":~:text=Felix%20Soumpholphakdy:%20Dead%20Cells%20is%20a%20big,we%20wanted%20to%20craft%20a%20big%20world." xr:uid="{00000000-0004-0000-0100-00008D000000}"/>
    <hyperlink ref="E1010" r:id="rId142" xr:uid="{00000000-0004-0000-0100-00008E000000}"/>
    <hyperlink ref="E1160" r:id="rId143" xr:uid="{00000000-0004-0000-0100-00008F000000}"/>
    <hyperlink ref="E1270" r:id="rId144" xr:uid="{00000000-0004-0000-0100-000090000000}"/>
    <hyperlink ref="E1307" r:id="rId145" xr:uid="{00000000-0004-0000-0100-000091000000}"/>
    <hyperlink ref="E1441" r:id="rId146" xr:uid="{00000000-0004-0000-0100-000092000000}"/>
    <hyperlink ref="E117" r:id="rId147" xr:uid="{00000000-0004-0000-0100-000093000000}"/>
    <hyperlink ref="E1147" r:id="rId148" xr:uid="{00000000-0004-0000-0100-000094000000}"/>
    <hyperlink ref="E722" r:id="rId149" xr:uid="{00000000-0004-0000-0100-000095000000}"/>
    <hyperlink ref="E60" r:id="rId150" location="c758430178052462886" xr:uid="{00000000-0004-0000-0100-000096000000}"/>
    <hyperlink ref="E148" r:id="rId151" location="c353915309337431749" xr:uid="{00000000-0004-0000-0100-000097000000}"/>
    <hyperlink ref="E176" r:id="rId152" xr:uid="{00000000-0004-0000-0100-000098000000}"/>
    <hyperlink ref="E299" r:id="rId153" xr:uid="{00000000-0004-0000-0100-000099000000}"/>
    <hyperlink ref="E315" r:id="rId154" xr:uid="{00000000-0004-0000-0100-00009A000000}"/>
    <hyperlink ref="E421" r:id="rId155" xr:uid="{00000000-0004-0000-0100-00009B000000}"/>
    <hyperlink ref="E456" r:id="rId156" xr:uid="{00000000-0004-0000-0100-00009C000000}"/>
    <hyperlink ref="E570" r:id="rId157" xr:uid="{00000000-0004-0000-0100-00009D000000}"/>
    <hyperlink ref="E589" r:id="rId158" xr:uid="{00000000-0004-0000-0100-00009E000000}"/>
    <hyperlink ref="E660" r:id="rId159" xr:uid="{00000000-0004-0000-0100-00009F000000}"/>
    <hyperlink ref="E693" r:id="rId160" xr:uid="{00000000-0004-0000-0100-0000A0000000}"/>
    <hyperlink ref="E762" r:id="rId161" xr:uid="{00000000-0004-0000-0100-0000A1000000}"/>
    <hyperlink ref="E946" r:id="rId162" xr:uid="{00000000-0004-0000-0100-0000A2000000}"/>
    <hyperlink ref="E995" r:id="rId163" xr:uid="{00000000-0004-0000-0100-0000A3000000}"/>
    <hyperlink ref="E1245" r:id="rId164" xr:uid="{00000000-0004-0000-0100-0000A4000000}"/>
    <hyperlink ref="E56" r:id="rId165" xr:uid="{00000000-0004-0000-0100-0000A5000000}"/>
    <hyperlink ref="E355" r:id="rId166" xr:uid="{00000000-0004-0000-0100-0000A6000000}"/>
    <hyperlink ref="E379" r:id="rId167" xr:uid="{00000000-0004-0000-0100-0000A7000000}"/>
    <hyperlink ref="E387" r:id="rId168" xr:uid="{00000000-0004-0000-0100-0000A8000000}"/>
    <hyperlink ref="E227" r:id="rId169" xr:uid="{00000000-0004-0000-0100-0000A9000000}"/>
    <hyperlink ref="E779" r:id="rId170" xr:uid="{00000000-0004-0000-0100-0000AA000000}"/>
    <hyperlink ref="E1420" r:id="rId171" xr:uid="{00000000-0004-0000-0100-0000AB000000}"/>
    <hyperlink ref="E613" r:id="rId172" xr:uid="{00000000-0004-0000-0100-0000AC000000}"/>
    <hyperlink ref="E1008" r:id="rId173" xr:uid="{00000000-0004-0000-0100-0000AD000000}"/>
    <hyperlink ref="E1286" r:id="rId174" xr:uid="{00000000-0004-0000-0100-0000AE000000}"/>
    <hyperlink ref="E177" r:id="rId175" xr:uid="{00000000-0004-0000-0100-0000AF000000}"/>
    <hyperlink ref="E186" r:id="rId176" xr:uid="{00000000-0004-0000-0100-0000B0000000}"/>
    <hyperlink ref="E422" r:id="rId177" xr:uid="{00000000-0004-0000-0100-0000B1000000}"/>
    <hyperlink ref="E495" r:id="rId178" xr:uid="{00000000-0004-0000-0100-0000B2000000}"/>
    <hyperlink ref="E1164" r:id="rId179" location="c494631967651765393" xr:uid="{00000000-0004-0000-0100-0000B3000000}"/>
    <hyperlink ref="E1229" r:id="rId180" xr:uid="{00000000-0004-0000-0100-0000B4000000}"/>
    <hyperlink ref="E1267" r:id="rId181" xr:uid="{00000000-0004-0000-0100-0000B5000000}"/>
    <hyperlink ref="E1276" r:id="rId182" xr:uid="{00000000-0004-0000-0100-0000B6000000}"/>
    <hyperlink ref="E1404" r:id="rId183" xr:uid="{00000000-0004-0000-0100-0000B7000000}"/>
    <hyperlink ref="E539" r:id="rId184" xr:uid="{00000000-0004-0000-0100-0000B8000000}"/>
    <hyperlink ref="E710" r:id="rId185" location=":~:text=As%20inspiration%20from%20different%20games,dangerous%20to%20go%20alone%22%20line." xr:uid="{00000000-0004-0000-0100-0000B9000000}"/>
    <hyperlink ref="E714" r:id="rId186" xr:uid="{00000000-0004-0000-0100-0000BA000000}"/>
    <hyperlink ref="E1005" r:id="rId187" location="c1319962683447326488" xr:uid="{00000000-0004-0000-0100-0000BB000000}"/>
    <hyperlink ref="E1113" r:id="rId188" xr:uid="{00000000-0004-0000-0100-0000BC000000}"/>
    <hyperlink ref="E1357" r:id="rId189" xr:uid="{00000000-0004-0000-0100-0000BD000000}"/>
    <hyperlink ref="E1364" r:id="rId190" xr:uid="{00000000-0004-0000-0100-0000BE000000}"/>
    <hyperlink ref="E377" r:id="rId191" xr:uid="{00000000-0004-0000-0100-0000BF000000}"/>
    <hyperlink ref="E775" r:id="rId192" xr:uid="{00000000-0004-0000-0100-0000C0000000}"/>
    <hyperlink ref="E844" r:id="rId193" xr:uid="{00000000-0004-0000-0100-0000C1000000}"/>
    <hyperlink ref="E1126" r:id="rId194" xr:uid="{00000000-0004-0000-0100-0000C2000000}"/>
    <hyperlink ref="E187" r:id="rId195" xr:uid="{00000000-0004-0000-0100-0000C3000000}"/>
    <hyperlink ref="E240" r:id="rId196" location="msg5316" xr:uid="{00000000-0004-0000-0100-0000C4000000}"/>
    <hyperlink ref="E346" r:id="rId197" xr:uid="{00000000-0004-0000-0100-0000C5000000}"/>
    <hyperlink ref="E423" r:id="rId198" xr:uid="{00000000-0004-0000-0100-0000C6000000}"/>
    <hyperlink ref="E996" r:id="rId199" xr:uid="{00000000-0004-0000-0100-0000C7000000}"/>
    <hyperlink ref="E1348" r:id="rId200" xr:uid="{00000000-0004-0000-0100-0000C8000000}"/>
    <hyperlink ref="E1389" r:id="rId201" xr:uid="{00000000-0004-0000-0100-0000C9000000}"/>
    <hyperlink ref="E1465" r:id="rId202" xr:uid="{00000000-0004-0000-0100-0000CA000000}"/>
    <hyperlink ref="E1260" r:id="rId203" xr:uid="{00000000-0004-0000-0100-0000CB000000}"/>
    <hyperlink ref="E625" r:id="rId204" xr:uid="{00000000-0004-0000-0100-0000CC000000}"/>
    <hyperlink ref="E1035" r:id="rId205" xr:uid="{00000000-0004-0000-0100-0000CD000000}"/>
    <hyperlink ref="E1282" r:id="rId206" location="c5456682769558786398" xr:uid="{00000000-0004-0000-0100-0000CE000000}"/>
    <hyperlink ref="E424" r:id="rId207" xr:uid="{00000000-0004-0000-0100-0000CF000000}"/>
    <hyperlink ref="E670" r:id="rId208" location="c606068060818832019" xr:uid="{00000000-0004-0000-0100-0000D0000000}"/>
    <hyperlink ref="E1155" r:id="rId209" location=":~:text=Escaped%20Lunatic-,Soulash%202%20%2D%20Adventures%20and%20Conquest%20in%20Procedural%20Fantasy%20Worlds,to%20the%20Roguelike%20design%20formula." xr:uid="{00000000-0004-0000-0100-0000D1000000}"/>
    <hyperlink ref="E1231" r:id="rId210" xr:uid="{00000000-0004-0000-0100-0000D2000000}"/>
    <hyperlink ref="E1370" r:id="rId211" xr:uid="{00000000-0004-0000-0100-0000D3000000}"/>
    <hyperlink ref="E1412" r:id="rId212" xr:uid="{00000000-0004-0000-0100-0000D4000000}"/>
    <hyperlink ref="E1428" r:id="rId213" xr:uid="{00000000-0004-0000-0100-0000D5000000}"/>
    <hyperlink ref="E1429" r:id="rId214" xr:uid="{00000000-0004-0000-0100-0000D6000000}"/>
    <hyperlink ref="E1083" r:id="rId215" xr:uid="{00000000-0004-0000-0100-0000D7000000}"/>
    <hyperlink ref="E425" r:id="rId216" xr:uid="{00000000-0004-0000-0100-0000D8000000}"/>
    <hyperlink ref="E1398" r:id="rId217" location=":~:text=Vellum's%20Inspirations,chapter%20of%20the%20original%20series." xr:uid="{00000000-0004-0000-0100-0000D9000000}"/>
    <hyperlink ref="E21" r:id="rId218" xr:uid="{00000000-0004-0000-0100-0000DA000000}"/>
    <hyperlink ref="E32" r:id="rId219" xr:uid="{00000000-0004-0000-0100-0000DB000000}"/>
    <hyperlink ref="E85" r:id="rId220" location=":~:text=I%20got%20addicted%20to%20Stardew,simply%20stat%20upgrades%20or%20something)." xr:uid="{00000000-0004-0000-0100-0000DC000000}"/>
    <hyperlink ref="E125" r:id="rId221" xr:uid="{00000000-0004-0000-0100-0000DD000000}"/>
    <hyperlink ref="E457" r:id="rId222" xr:uid="{00000000-0004-0000-0100-0000DE000000}"/>
    <hyperlink ref="E507" r:id="rId223" xr:uid="{00000000-0004-0000-0100-0000DF000000}"/>
    <hyperlink ref="E554" r:id="rId224" location=":~:text=Gunfire%20Reborn%20is%20developed%20by,would%20be%20most%20beneficial%20design." xr:uid="{00000000-0004-0000-0100-0000E0000000}"/>
    <hyperlink ref="E814" r:id="rId225" xr:uid="{00000000-0004-0000-0100-0000E1000000}"/>
    <hyperlink ref="E861" r:id="rId226" location=":~:text=Odinfall%20Early%20Access%20on%20Steam&amp;text=According%20to%20Oscar%20Axelsson%20from,Throne%20and%20Enter%20the%20Gungeon." xr:uid="{00000000-0004-0000-0100-0000E2000000}"/>
    <hyperlink ref="E899" r:id="rId227" xr:uid="{00000000-0004-0000-0100-0000E3000000}"/>
    <hyperlink ref="E968" r:id="rId228" xr:uid="{00000000-0004-0000-0100-0000E4000000}"/>
    <hyperlink ref="E1243" r:id="rId229" xr:uid="{00000000-0004-0000-0100-0000E5000000}"/>
    <hyperlink ref="E1343" r:id="rId230" xr:uid="{00000000-0004-0000-0100-0000E6000000}"/>
    <hyperlink ref="E395" r:id="rId231" xr:uid="{00000000-0004-0000-0100-0000E7000000}"/>
    <hyperlink ref="E205" r:id="rId232" xr:uid="{00000000-0004-0000-0100-0000E8000000}"/>
    <hyperlink ref="E1065" r:id="rId233" xr:uid="{00000000-0004-0000-0100-0000E9000000}"/>
    <hyperlink ref="E20" r:id="rId234" xr:uid="{00000000-0004-0000-0100-0000EA000000}"/>
    <hyperlink ref="E54" r:id="rId235" xr:uid="{00000000-0004-0000-0100-0000EB000000}"/>
    <hyperlink ref="E156" r:id="rId236" location="c6027566653452797874" xr:uid="{00000000-0004-0000-0100-0000EC000000}"/>
    <hyperlink ref="E247" r:id="rId237" xr:uid="{00000000-0004-0000-0100-0000ED000000}"/>
    <hyperlink ref="E271" r:id="rId238" xr:uid="{00000000-0004-0000-0100-0000EE000000}"/>
    <hyperlink ref="E284" r:id="rId239" xr:uid="{00000000-0004-0000-0100-0000EF000000}"/>
    <hyperlink ref="E322" r:id="rId240" location="c617320168065346307" xr:uid="{00000000-0004-0000-0100-0000F0000000}"/>
    <hyperlink ref="E337" r:id="rId241" xr:uid="{00000000-0004-0000-0100-0000F1000000}"/>
    <hyperlink ref="E488" r:id="rId242" xr:uid="{00000000-0004-0000-0100-0000F2000000}"/>
    <hyperlink ref="E572" r:id="rId243" xr:uid="{00000000-0004-0000-0100-0000F3000000}"/>
    <hyperlink ref="E581" r:id="rId244" xr:uid="{00000000-0004-0000-0100-0000F4000000}"/>
    <hyperlink ref="E650" r:id="rId245" xr:uid="{00000000-0004-0000-0100-0000F5000000}"/>
    <hyperlink ref="E781" r:id="rId246" xr:uid="{00000000-0004-0000-0100-0000F6000000}"/>
    <hyperlink ref="E845" r:id="rId247" location="c1675812484339955409" xr:uid="{00000000-0004-0000-0100-0000F7000000}"/>
    <hyperlink ref="E886" r:id="rId248" xr:uid="{00000000-0004-0000-0100-0000F8000000}"/>
    <hyperlink ref="E986" r:id="rId249" location="c483368526581048948" xr:uid="{00000000-0004-0000-0100-0000F9000000}"/>
    <hyperlink ref="E1009" r:id="rId250" xr:uid="{00000000-0004-0000-0100-0000FA000000}"/>
    <hyperlink ref="E1031" r:id="rId251" location="c4335355681661031211" xr:uid="{00000000-0004-0000-0100-0000FB000000}"/>
    <hyperlink ref="E1091" r:id="rId252" location=":~:text=MOBAs%20were%20a%20key%20inspiration,like%20action%20roguelites%20in%20general." xr:uid="{00000000-0004-0000-0100-0000FC000000}"/>
    <hyperlink ref="E1127" r:id="rId253" location=":~:text=Their%20initial%20goal%20was%20to,built%20on%20the%20libGDX%20framework." xr:uid="{00000000-0004-0000-0100-0000FD000000}"/>
    <hyperlink ref="E1152" r:id="rId254" xr:uid="{00000000-0004-0000-0100-0000FE000000}"/>
    <hyperlink ref="E1228" r:id="rId255" xr:uid="{00000000-0004-0000-0100-0000FF000000}"/>
    <hyperlink ref="E1239" r:id="rId256" xr:uid="{00000000-0004-0000-0100-000000010000}"/>
    <hyperlink ref="E1410" r:id="rId257" xr:uid="{00000000-0004-0000-0100-000001010000}"/>
    <hyperlink ref="E1413" r:id="rId258" xr:uid="{00000000-0004-0000-0100-000002010000}"/>
    <hyperlink ref="E1426" r:id="rId259" xr:uid="{00000000-0004-0000-0100-000003010000}"/>
    <hyperlink ref="E1469" r:id="rId260" xr:uid="{00000000-0004-0000-0100-000004010000}"/>
    <hyperlink ref="E324" r:id="rId261" xr:uid="{00000000-0004-0000-0100-000005010000}"/>
    <hyperlink ref="E158" r:id="rId262" location=":~:text=JW%2C%20GF:%20What%20are%20some,us%20a%20lot%20of%20motivation." xr:uid="{00000000-0004-0000-0100-000006010000}"/>
    <hyperlink ref="E303" r:id="rId263" xr:uid="{00000000-0004-0000-0100-000007010000}"/>
    <hyperlink ref="E1399" r:id="rId264" location=":~:text=Vellum's%20Inspirations,chapter%20of%20the%20original%20series." xr:uid="{00000000-0004-0000-0100-000008010000}"/>
    <hyperlink ref="E39" r:id="rId265" xr:uid="{00000000-0004-0000-0100-000009010000}"/>
    <hyperlink ref="E435" r:id="rId266" xr:uid="{00000000-0004-0000-0100-00000A010000}"/>
    <hyperlink ref="E514" r:id="rId267" xr:uid="{00000000-0004-0000-0100-00000B010000}"/>
    <hyperlink ref="E518" r:id="rId268" xr:uid="{00000000-0004-0000-0100-00000C010000}"/>
    <hyperlink ref="E822" r:id="rId269" xr:uid="{00000000-0004-0000-0100-00000D010000}"/>
    <hyperlink ref="E1466" r:id="rId270" xr:uid="{00000000-0004-0000-0100-00000E010000}"/>
    <hyperlink ref="E37" r:id="rId271" xr:uid="{00000000-0004-0000-0100-00000F010000}"/>
    <hyperlink ref="E67" r:id="rId272" xr:uid="{00000000-0004-0000-0100-000010010000}"/>
    <hyperlink ref="E114" r:id="rId273" xr:uid="{00000000-0004-0000-0100-000011010000}"/>
    <hyperlink ref="E135" r:id="rId274" xr:uid="{00000000-0004-0000-0100-000012010000}"/>
    <hyperlink ref="E159" r:id="rId275" location=":~:text=JW%2C%20GF:%20What%20are%20some,us%20a%20lot%20of%20motivation." xr:uid="{00000000-0004-0000-0100-000013010000}"/>
    <hyperlink ref="E304" r:id="rId276" xr:uid="{00000000-0004-0000-0100-000014010000}"/>
    <hyperlink ref="E316" r:id="rId277" location=":~:text=Death%20Must%20Die%20opens%20up,appropriation%2C%20even%20a%20love%20letter." xr:uid="{00000000-0004-0000-0100-000015010000}"/>
    <hyperlink ref="E343" r:id="rId278" xr:uid="{00000000-0004-0000-0100-000016010000}"/>
    <hyperlink ref="E432" r:id="rId279" location=":~:text=A%20big%20of%20Rogue%20Legacy%2C%20Spelunky%2C%20Hades.,kinda%20got%20inspiration%20from%20all%20of%20them." xr:uid="{00000000-0004-0000-0100-000017010000}"/>
    <hyperlink ref="E490" r:id="rId280" xr:uid="{00000000-0004-0000-0100-000018010000}"/>
    <hyperlink ref="E511" r:id="rId281" xr:uid="{00000000-0004-0000-0100-000019010000}"/>
    <hyperlink ref="E583" r:id="rId282" location=":~:text=Have%20a%20Nice%20Death%20also,movies%2C%20shorts%2C%20and%20ads." xr:uid="{00000000-0004-0000-0100-00001A010000}"/>
    <hyperlink ref="E590" r:id="rId283" xr:uid="{00000000-0004-0000-0100-00001B010000}"/>
    <hyperlink ref="E591" r:id="rId284" xr:uid="{00000000-0004-0000-0100-00001C010000}"/>
    <hyperlink ref="E598" r:id="rId285" xr:uid="{00000000-0004-0000-0100-00001D010000}"/>
    <hyperlink ref="E726" r:id="rId286" xr:uid="{00000000-0004-0000-0100-00001E010000}"/>
    <hyperlink ref="E742" r:id="rId287" xr:uid="{00000000-0004-0000-0100-00001F010000}"/>
    <hyperlink ref="E824" r:id="rId288" xr:uid="{00000000-0004-0000-0100-000020010000}"/>
    <hyperlink ref="E977" r:id="rId289" xr:uid="{00000000-0004-0000-0100-000021010000}"/>
    <hyperlink ref="E1157" r:id="rId290" xr:uid="{00000000-0004-0000-0100-000022010000}"/>
    <hyperlink ref="E1207" r:id="rId291" xr:uid="{00000000-0004-0000-0100-000023010000}"/>
    <hyperlink ref="E1232" r:id="rId292" xr:uid="{00000000-0004-0000-0100-000024010000}"/>
    <hyperlink ref="E1249" r:id="rId293" xr:uid="{00000000-0004-0000-0100-000025010000}"/>
    <hyperlink ref="E1264" r:id="rId294" location=":~:text=Tape%20to%20Tape%20is%20a,the%20Spire%20and%20NHL%2094!" xr:uid="{00000000-0004-0000-0100-000026010000}"/>
    <hyperlink ref="E1271" r:id="rId295" xr:uid="{00000000-0004-0000-0100-000027010000}"/>
    <hyperlink ref="E1400" r:id="rId296" location=":~:text=Vellum's%20Inspirations,chapter%20of%20the%20original%20series." xr:uid="{00000000-0004-0000-0100-000028010000}"/>
    <hyperlink ref="E118" r:id="rId297" xr:uid="{00000000-0004-0000-0100-000029010000}"/>
    <hyperlink ref="E592" r:id="rId298" xr:uid="{00000000-0004-0000-0100-00002A010000}"/>
    <hyperlink ref="E458" r:id="rId299" xr:uid="{00000000-0004-0000-0100-00002B010000}"/>
    <hyperlink ref="E619" r:id="rId300" xr:uid="{00000000-0004-0000-0100-00002C010000}"/>
    <hyperlink ref="E652" r:id="rId301" xr:uid="{00000000-0004-0000-0100-00002D010000}"/>
    <hyperlink ref="E1288" r:id="rId302" xr:uid="{00000000-0004-0000-0100-00002E010000}"/>
    <hyperlink ref="E136" r:id="rId303" xr:uid="{00000000-0004-0000-0100-00002F010000}"/>
    <hyperlink ref="E294" r:id="rId304" xr:uid="{00000000-0004-0000-0100-000031010000}"/>
    <hyperlink ref="E493" r:id="rId305" location="c695373095208229623" xr:uid="{00000000-0004-0000-0100-000032010000}"/>
    <hyperlink ref="E745" r:id="rId306" xr:uid="{00000000-0004-0000-0100-000033010000}"/>
    <hyperlink ref="E928" r:id="rId307" xr:uid="{00000000-0004-0000-0100-000034010000}"/>
    <hyperlink ref="E941" r:id="rId308" xr:uid="{00000000-0004-0000-0100-000035010000}"/>
    <hyperlink ref="E1310" r:id="rId309" xr:uid="{00000000-0004-0000-0100-000036010000}"/>
    <hyperlink ref="E34" r:id="rId310" location=":~:text=About%20This%20Game-,ABOUT,and%20'Into%20the%20Breach'." xr:uid="{00000000-0004-0000-0100-000037010000}"/>
    <hyperlink ref="E94" r:id="rId311" location=":~:text=Main%20developer%20Jasper%20Cole%20stated,inventory%20as%20an%20additional%20inspiration." xr:uid="{00000000-0004-0000-0100-000038010000}"/>
    <hyperlink ref="E313" r:id="rId312" xr:uid="{00000000-0004-0000-0100-000039010000}"/>
    <hyperlink ref="E473" r:id="rId313" xr:uid="{00000000-0004-0000-0100-00003A010000}"/>
    <hyperlink ref="E482" r:id="rId314" xr:uid="{00000000-0004-0000-0100-00003B010000}"/>
    <hyperlink ref="E746" r:id="rId315" xr:uid="{00000000-0004-0000-0100-00003C010000}"/>
    <hyperlink ref="E759" r:id="rId316" xr:uid="{00000000-0004-0000-0100-00003D010000}"/>
    <hyperlink ref="E903" r:id="rId317" xr:uid="{00000000-0004-0000-0100-00003E010000}"/>
    <hyperlink ref="E1032" r:id="rId318" location="c4335355681661031211" xr:uid="{00000000-0004-0000-0100-00003F010000}"/>
    <hyperlink ref="E1174" r:id="rId319" location=":~:text=is%20blowing%20up!-,830%20concurrent%20players%2C%20I%20can't%20believe%20it!,has%20been%20a%20wild%20ride." xr:uid="{00000000-0004-0000-0100-000040010000}"/>
    <hyperlink ref="E1296" r:id="rId320" location=":~:text=The%20Last%20Spell's%20unique%20blend,build%20characters%20however%20they%20want." xr:uid="{00000000-0004-0000-0100-000041010000}"/>
    <hyperlink ref="E1303" r:id="rId321" xr:uid="{00000000-0004-0000-0100-000042010000}"/>
    <hyperlink ref="E191" r:id="rId322" xr:uid="{00000000-0004-0000-0100-000043010000}"/>
    <hyperlink ref="E403" r:id="rId323" location="c4346617656897843847" xr:uid="{00000000-0004-0000-0100-000044010000}"/>
    <hyperlink ref="E411" r:id="rId324" xr:uid="{00000000-0004-0000-0100-000045010000}"/>
    <hyperlink ref="E496" r:id="rId325" xr:uid="{00000000-0004-0000-0100-000046010000}"/>
    <hyperlink ref="E947" r:id="rId326" xr:uid="{00000000-0004-0000-0100-000047010000}"/>
    <hyperlink ref="E1218" r:id="rId327" xr:uid="{00000000-0004-0000-0100-000048010000}"/>
    <hyperlink ref="E1059" r:id="rId328" xr:uid="{00000000-0004-0000-0100-000049010000}"/>
    <hyperlink ref="E1233" r:id="rId329" xr:uid="{00000000-0004-0000-0100-00004A010000}"/>
    <hyperlink ref="E1442" r:id="rId330" xr:uid="{00000000-0004-0000-0100-00004B010000}"/>
    <hyperlink ref="E1140" r:id="rId331" xr:uid="{00000000-0004-0000-0100-00004C010000}"/>
    <hyperlink ref="E626" r:id="rId332" xr:uid="{00000000-0004-0000-0100-00004D010000}"/>
    <hyperlink ref="E97" r:id="rId333" xr:uid="{00000000-0004-0000-0100-00004E010000}"/>
    <hyperlink ref="E185" r:id="rId334" xr:uid="{00000000-0004-0000-0100-00004F010000}"/>
    <hyperlink ref="E286" r:id="rId335" xr:uid="{00000000-0004-0000-0100-000050010000}"/>
    <hyperlink ref="E386" r:id="rId336" xr:uid="{00000000-0004-0000-0100-000051010000}"/>
    <hyperlink ref="E872" r:id="rId337" xr:uid="{00000000-0004-0000-0100-000052010000}"/>
    <hyperlink ref="E926" r:id="rId338" xr:uid="{00000000-0004-0000-0100-000053010000}"/>
    <hyperlink ref="E1049" r:id="rId339" xr:uid="{00000000-0004-0000-0100-000054010000}"/>
    <hyperlink ref="E1056" r:id="rId340" location=":~:text=Founder's%20Vision%20“Runeborn%20is%20an,share%20it%20with%20the%20world.”" display="https://www.kxan.com/business/press-releases/ein-presswire/785406016/idream-interactive-unveils-runeborn-a-dark-fantasy-roguelike-deckbuilder-at-steam-next-fest/#:~:text=Founder's%20Vision%20%E2%80%9CRuneborn%20is%20an,share%20it%20with%20the%20world.%E2%80%9D" xr:uid="{00000000-0004-0000-0100-000055010000}"/>
    <hyperlink ref="E1141" r:id="rId341" xr:uid="{00000000-0004-0000-0100-000056010000}"/>
    <hyperlink ref="E1210" r:id="rId342" xr:uid="{00000000-0004-0000-0100-000057010000}"/>
    <hyperlink ref="E1234" r:id="rId343" xr:uid="{00000000-0004-0000-0100-000058010000}"/>
    <hyperlink ref="E1395" r:id="rId344" location=":~:text=The%20game%20was%20inspired%20by,assets%2C%20art%2C%20and%20music." xr:uid="{00000000-0004-0000-0100-000059010000}"/>
    <hyperlink ref="E325" r:id="rId345" xr:uid="{00000000-0004-0000-0100-00005A010000}"/>
    <hyperlink ref="E364" r:id="rId346" xr:uid="{00000000-0004-0000-0100-00005B010000}"/>
    <hyperlink ref="E645" r:id="rId347" xr:uid="{00000000-0004-0000-0100-00005C010000}"/>
    <hyperlink ref="E747" r:id="rId348" xr:uid="{00000000-0004-0000-0100-00005D010000}"/>
    <hyperlink ref="E1016" r:id="rId349" xr:uid="{00000000-0004-0000-0100-00005E010000}"/>
    <hyperlink ref="E1311" r:id="rId350" xr:uid="{00000000-0004-0000-0100-00005F010000}"/>
    <hyperlink ref="E743" r:id="rId351" xr:uid="{00000000-0004-0000-0100-000060010000}"/>
    <hyperlink ref="E42" r:id="rId352" xr:uid="{00000000-0004-0000-0100-000061010000}"/>
    <hyperlink ref="E353" r:id="rId353" xr:uid="{00000000-0004-0000-0100-000062010000}"/>
    <hyperlink ref="E948" r:id="rId354" xr:uid="{00000000-0004-0000-0100-000063010000}"/>
    <hyperlink ref="E718" r:id="rId355" xr:uid="{00000000-0004-0000-0100-000064010000}"/>
    <hyperlink ref="E3" r:id="rId356" xr:uid="{00000000-0004-0000-0100-000065010000}"/>
    <hyperlink ref="E608" r:id="rId357" location=":~:text=House%20of%20Necrosis%20is%20a,Linux)%20and%20the%20Steam%20Deck" xr:uid="{00000000-0004-0000-0100-000066010000}"/>
    <hyperlink ref="E876" r:id="rId358" xr:uid="{00000000-0004-0000-0100-000067010000}"/>
    <hyperlink ref="E1142" r:id="rId359" xr:uid="{00000000-0004-0000-0100-000068010000}"/>
    <hyperlink ref="E1261" r:id="rId360" xr:uid="{00000000-0004-0000-0100-000069010000}"/>
    <hyperlink ref="E119" r:id="rId361" xr:uid="{00000000-0004-0000-0100-00006A010000}"/>
    <hyperlink ref="E105" r:id="rId362" xr:uid="{00000000-0004-0000-0100-00006B010000}"/>
    <hyperlink ref="E330" r:id="rId363" xr:uid="{00000000-0004-0000-0100-00006C010000}"/>
    <hyperlink ref="E354" r:id="rId364" xr:uid="{00000000-0004-0000-0100-00006D010000}"/>
    <hyperlink ref="E398" r:id="rId365" xr:uid="{00000000-0004-0000-0100-00006E010000}"/>
    <hyperlink ref="E429" r:id="rId366" xr:uid="{00000000-0004-0000-0100-00006F010000}"/>
    <hyperlink ref="E470" r:id="rId367" xr:uid="{00000000-0004-0000-0100-000070010000}"/>
    <hyperlink ref="E497" r:id="rId368" xr:uid="{00000000-0004-0000-0100-000071010000}"/>
    <hyperlink ref="E620" r:id="rId369" xr:uid="{00000000-0004-0000-0100-000072010000}"/>
    <hyperlink ref="E656" r:id="rId370" xr:uid="{00000000-0004-0000-0100-000073010000}"/>
    <hyperlink ref="E694" r:id="rId371" xr:uid="{00000000-0004-0000-0100-000074010000}"/>
    <hyperlink ref="E709" r:id="rId372" xr:uid="{00000000-0004-0000-0100-000075010000}"/>
    <hyperlink ref="E902" r:id="rId373" xr:uid="{00000000-0004-0000-0100-000076010000}"/>
    <hyperlink ref="E949" r:id="rId374" xr:uid="{00000000-0004-0000-0100-000077010000}"/>
    <hyperlink ref="E966" r:id="rId375" xr:uid="{00000000-0004-0000-0100-000078010000}"/>
    <hyperlink ref="E997" r:id="rId376" xr:uid="{00000000-0004-0000-0100-000079010000}"/>
    <hyperlink ref="E1219" r:id="rId377" xr:uid="{00000000-0004-0000-0100-00007A010000}"/>
    <hyperlink ref="E1246" r:id="rId378" xr:uid="{00000000-0004-0000-0100-00007B010000}"/>
    <hyperlink ref="E1386" r:id="rId379" xr:uid="{00000000-0004-0000-0100-00007C010000}"/>
    <hyperlink ref="E1431" r:id="rId380" xr:uid="{00000000-0004-0000-0100-00007D010000}"/>
    <hyperlink ref="E735" r:id="rId381" xr:uid="{00000000-0004-0000-0100-00007E010000}"/>
    <hyperlink ref="E900" r:id="rId382" location="c574921459914427191" xr:uid="{00000000-0004-0000-0100-00007F010000}"/>
    <hyperlink ref="E950" r:id="rId383" xr:uid="{00000000-0004-0000-0100-000080010000}"/>
    <hyperlink ref="E295" r:id="rId384" xr:uid="{00000000-0004-0000-0100-000081010000}"/>
    <hyperlink ref="E909" r:id="rId385" xr:uid="{00000000-0004-0000-0100-000082010000}"/>
    <hyperlink ref="E33" r:id="rId386" xr:uid="{00000000-0004-0000-0100-000083010000}"/>
    <hyperlink ref="E86" r:id="rId387" location=":~:text=I%20got%20addicted%20to%20Stardew,simply%20stat%20upgrades%20or%20something)." xr:uid="{00000000-0004-0000-0100-000084010000}"/>
    <hyperlink ref="E310" r:id="rId388" xr:uid="{00000000-0004-0000-0100-000085010000}"/>
    <hyperlink ref="E451" r:id="rId389" location=":~:text=Though%20Crooks%20stated%20that%20The,Souls%2C%20and%20Metal%20Gear%20Solid." xr:uid="{00000000-0004-0000-0100-000086010000}"/>
    <hyperlink ref="E540" r:id="rId390" xr:uid="{00000000-0004-0000-0100-000087010000}"/>
    <hyperlink ref="E579" r:id="rId391" xr:uid="{00000000-0004-0000-0100-000088010000}"/>
    <hyperlink ref="E711" r:id="rId392" location=":~:text=As%20inspiration%20from%20different%20games,dangerous%20to%20go%20alone%22%20line." xr:uid="{00000000-0004-0000-0100-000089010000}"/>
    <hyperlink ref="E815" r:id="rId393" xr:uid="{00000000-0004-0000-0100-00008A010000}"/>
    <hyperlink ref="E862" r:id="rId394" location=":~:text=Odinfall%20Early%20Access%20on%20Steam&amp;text=According%20to%20Oscar%20Axelsson%20from,Throne%20and%20Enter%20the%20Gungeon." xr:uid="{00000000-0004-0000-0100-00008B010000}"/>
    <hyperlink ref="E864" r:id="rId395" xr:uid="{00000000-0004-0000-0100-00008C010000}"/>
    <hyperlink ref="E969" r:id="rId396" xr:uid="{00000000-0004-0000-0100-00008D010000}"/>
    <hyperlink ref="E1013" r:id="rId397" xr:uid="{00000000-0004-0000-0100-00008E010000}"/>
    <hyperlink ref="E1220" r:id="rId398" xr:uid="{00000000-0004-0000-0100-00008F010000}"/>
    <hyperlink ref="E1087" r:id="rId399" xr:uid="{00000000-0004-0000-0100-000090010000}"/>
    <hyperlink ref="E1387" r:id="rId400" xr:uid="{00000000-0004-0000-0100-000091010000}"/>
    <hyperlink ref="E1304" r:id="rId401" xr:uid="{00000000-0004-0000-0100-000092010000}"/>
    <hyperlink ref="E63" r:id="rId402" xr:uid="{00000000-0004-0000-0100-000093010000}"/>
    <hyperlink ref="E278" r:id="rId403" xr:uid="{00000000-0004-0000-0100-000094010000}"/>
    <hyperlink ref="E409" r:id="rId404" xr:uid="{00000000-0004-0000-0100-000095010000}"/>
    <hyperlink ref="E910" r:id="rId405" xr:uid="{00000000-0004-0000-0100-000096010000}"/>
    <hyperlink ref="E1052" r:id="rId406" xr:uid="{00000000-0004-0000-0100-000097010000}"/>
    <hyperlink ref="E1211" r:id="rId407" xr:uid="{00000000-0004-0000-0100-000098010000}"/>
    <hyperlink ref="E878" r:id="rId408" xr:uid="{00000000-0004-0000-0100-000099010000}"/>
    <hyperlink ref="E890" r:id="rId409" xr:uid="{00000000-0004-0000-0100-00009A010000}"/>
    <hyperlink ref="E785" r:id="rId410" xr:uid="{00000000-0004-0000-0100-00009B010000}"/>
    <hyperlink ref="E942" r:id="rId411" xr:uid="{00000000-0004-0000-0100-00009C010000}"/>
    <hyperlink ref="E27" r:id="rId412" xr:uid="{00000000-0004-0000-0100-00009D010000}"/>
    <hyperlink ref="E4" r:id="rId413" xr:uid="{00000000-0004-0000-0100-00009E010000}"/>
    <hyperlink ref="E192" r:id="rId414" xr:uid="{00000000-0004-0000-0100-00009F010000}"/>
    <hyperlink ref="E580" r:id="rId415" xr:uid="{00000000-0004-0000-0100-0000A0010000}"/>
    <hyperlink ref="E1289" r:id="rId416" xr:uid="{00000000-0004-0000-0100-0000A1010000}"/>
    <hyperlink ref="E1430" r:id="rId417" xr:uid="{00000000-0004-0000-0100-0000A2010000}"/>
    <hyperlink ref="E621" r:id="rId418" xr:uid="{00000000-0004-0000-0100-0000A3010000}"/>
    <hyperlink ref="E1092" r:id="rId419" location=":~:text=MOBAs%20were%20a%20key%20inspiration,like%20action%20roguelites%20in%20general." xr:uid="{00000000-0004-0000-0100-0000A4010000}"/>
    <hyperlink ref="E300" r:id="rId420" xr:uid="{00000000-0004-0000-0100-0000A5010000}"/>
    <hyperlink ref="E1235" r:id="rId421" xr:uid="{00000000-0004-0000-0100-0000A6010000}"/>
    <hyperlink ref="E632" r:id="rId422" xr:uid="{00000000-0004-0000-0100-0000A7010000}"/>
    <hyperlink ref="E1093" r:id="rId423" location=":~:text=MOBAs%20were%20a%20key%20inspiration,like%20action%20roguelites%20in%20general." xr:uid="{00000000-0004-0000-0100-0000A8010000}"/>
    <hyperlink ref="E1251" r:id="rId424" xr:uid="{00000000-0004-0000-0100-0000A9010000}"/>
    <hyperlink ref="E301" r:id="rId425" xr:uid="{00000000-0004-0000-0100-0000AA010000}"/>
    <hyperlink ref="E450" r:id="rId426" location="c595137684887857500" xr:uid="{00000000-0004-0000-0100-0000AB010000}"/>
    <hyperlink ref="E719" r:id="rId427" xr:uid="{00000000-0004-0000-0100-0000AC010000}"/>
    <hyperlink ref="E806" r:id="rId428" xr:uid="{00000000-0004-0000-0100-0000AD010000}"/>
    <hyperlink ref="E1095" r:id="rId429" xr:uid="{00000000-0004-0000-0100-0000AE010000}"/>
    <hyperlink ref="E1236" r:id="rId430" xr:uid="{00000000-0004-0000-0100-0000AF010000}"/>
    <hyperlink ref="E1268" r:id="rId431" xr:uid="{00000000-0004-0000-0100-0000B0010000}"/>
    <hyperlink ref="E1401" r:id="rId432" location=":~:text=Vellum's%20Inspirations,chapter%20of%20the%20original%20series." xr:uid="{00000000-0004-0000-0100-0000B1010000}"/>
    <hyperlink ref="E160" r:id="rId433" location=":~:text=JW%2C%20GF:%20What%20are%20some,us%20a%20lot%20of%20motivation." xr:uid="{00000000-0004-0000-0100-0000B2010000}"/>
    <hyperlink ref="E1237" r:id="rId434" xr:uid="{00000000-0004-0000-0100-0000B3010000}"/>
    <hyperlink ref="E13" r:id="rId435" xr:uid="{00000000-0004-0000-0100-0000B4010000}"/>
    <hyperlink ref="E161" r:id="rId436" xr:uid="{00000000-0004-0000-0100-0000B5010000}"/>
    <hyperlink ref="E196" r:id="rId437" xr:uid="{00000000-0004-0000-0100-0000B6010000}"/>
    <hyperlink ref="E272" r:id="rId438" xr:uid="{00000000-0004-0000-0100-0000B7010000}"/>
    <hyperlink ref="E469" r:id="rId439" location=":~:text=Fatal%20Labyrinth%20is%20Sega's%20first,is%20a%20game%2Dbreaking%20affair.%20Also%20it%20shares%20a%20lot%20of%20similarities" xr:uid="{00000000-0004-0000-0100-0000B8010000}"/>
    <hyperlink ref="E536" r:id="rId440" xr:uid="{00000000-0004-0000-0100-0000B9010000}"/>
    <hyperlink ref="E622" r:id="rId441" xr:uid="{00000000-0004-0000-0100-0000BA010000}"/>
    <hyperlink ref="E695" r:id="rId442" xr:uid="{00000000-0004-0000-0100-0000BB010000}"/>
    <hyperlink ref="E798" r:id="rId443" xr:uid="{00000000-0004-0000-0100-0000BC010000}"/>
    <hyperlink ref="E982" r:id="rId444" xr:uid="{00000000-0004-0000-0100-0000BD010000}"/>
    <hyperlink ref="E1022" r:id="rId445" location=":~:text=Apparently%2C%20Ota%20was%20a%20well%20known%20figure,to%20connect%20Tokyo's%20three%20main%20universities%20that" xr:uid="{00000000-0004-0000-0100-0000BE010000}"/>
    <hyperlink ref="E1041" r:id="rId446" xr:uid="{00000000-0004-0000-0100-0000BF010000}"/>
    <hyperlink ref="E1044" r:id="rId447" xr:uid="{00000000-0004-0000-0100-0000C0010000}"/>
    <hyperlink ref="E1247" r:id="rId448" xr:uid="{00000000-0004-0000-0100-0000C1010000}"/>
    <hyperlink ref="E1284" r:id="rId449" location=":~:text=Apparently%2C%20Ota%20was%20a%20well%20known%20figure,to%20connect%20Tokyo's%20three%20main%20universities%20that" xr:uid="{00000000-0004-0000-0100-0000C2010000}"/>
    <hyperlink ref="E1341" r:id="rId450" xr:uid="{00000000-0004-0000-0100-0000C3010000}"/>
    <hyperlink ref="E1347" r:id="rId451" xr:uid="{00000000-0004-0000-0100-0000C4010000}"/>
    <hyperlink ref="E273" r:id="rId452" xr:uid="{00000000-0004-0000-0100-0000C5010000}"/>
    <hyperlink ref="E308" r:id="rId453" xr:uid="{00000000-0004-0000-0100-0000C6010000}"/>
    <hyperlink ref="E433" r:id="rId454" location=":~:text=A%20big%20of%20Rogue%20Legacy%2C%20Spelunky%2C%20Hades.,kinda%20got%20inspiration%20from%20all%20of%20them." xr:uid="{00000000-0004-0000-0100-0000C7010000}"/>
    <hyperlink ref="E502" r:id="rId455" location=":~:text=Fury%20Unleashed%20was%20created%20by,like%20Contra%20and%20Metal%20Slug." xr:uid="{00000000-0004-0000-0100-0000C8010000}"/>
    <hyperlink ref="E629" r:id="rId456" xr:uid="{00000000-0004-0000-0100-0000C9010000}"/>
    <hyperlink ref="E788" r:id="rId457" xr:uid="{00000000-0004-0000-0100-0000CA010000}"/>
    <hyperlink ref="E1024" r:id="rId458" xr:uid="{00000000-0004-0000-0100-0000CB010000}"/>
    <hyperlink ref="E1161" r:id="rId459" xr:uid="{00000000-0004-0000-0100-0000CC010000}"/>
    <hyperlink ref="E1226" r:id="rId460" location="c1693785035807819716" xr:uid="{00000000-0004-0000-0100-0000CD010000}"/>
    <hyperlink ref="E1352" r:id="rId461" xr:uid="{00000000-0004-0000-0100-0000CE010000}"/>
    <hyperlink ref="E1316" r:id="rId462" xr:uid="{00000000-0004-0000-0100-0000CF010000}"/>
    <hyperlink ref="E1046" r:id="rId463" location=":~:text=RollScape%20is%20a%20game%20inspired,I%20played%20throughout%20the%20years." xr:uid="{00000000-0004-0000-0100-0000D0010000}"/>
    <hyperlink ref="E865" r:id="rId464" xr:uid="{00000000-0004-0000-0100-0000D1010000}"/>
    <hyperlink ref="E723" r:id="rId465" xr:uid="{00000000-0004-0000-0100-0000D2010000}"/>
    <hyperlink ref="E850" r:id="rId466" xr:uid="{00000000-0004-0000-0100-0000D3010000}"/>
    <hyperlink ref="E209" r:id="rId467" xr:uid="{00000000-0004-0000-0100-0000D4010000}"/>
    <hyperlink ref="E1305" r:id="rId468" xr:uid="{00000000-0004-0000-0100-0000D5010000}"/>
    <hyperlink ref="E978" r:id="rId469" xr:uid="{00000000-0004-0000-0100-0000D6010000}"/>
    <hyperlink ref="E15" r:id="rId470" xr:uid="{00000000-0004-0000-0100-0000D7010000}"/>
    <hyperlink ref="E18" r:id="rId471" xr:uid="{00000000-0004-0000-0100-0000D8010000}"/>
    <hyperlink ref="E28" r:id="rId472" xr:uid="{00000000-0004-0000-0100-0000D9010000}"/>
    <hyperlink ref="E35" r:id="rId473" location=":~:text=About%20This%20Game-,ABOUT,and%20'Into%20the%20Breach'." xr:uid="{00000000-0004-0000-0100-0000DA010000}"/>
    <hyperlink ref="E55" r:id="rId474" xr:uid="{00000000-0004-0000-0100-0000DB010000}"/>
    <hyperlink ref="E57" r:id="rId475" xr:uid="{00000000-0004-0000-0100-0000DC010000}"/>
    <hyperlink ref="E64" r:id="rId476" xr:uid="{00000000-0004-0000-0100-0000DD010000}"/>
    <hyperlink ref="E75" r:id="rId477" location=":~:text=Inspired%20by%20rogue%2Dlite%20games,set%20of%20attacks%20and%20spells." xr:uid="{00000000-0004-0000-0100-0000DE010000}"/>
    <hyperlink ref="E77" r:id="rId478" xr:uid="{00000000-0004-0000-0100-0000DF010000}"/>
    <hyperlink ref="E87" r:id="rId479" location=":~:text=I%20got%20addicted%20to%20Stardew,simply%20stat%20upgrades%20or%20something)." xr:uid="{00000000-0004-0000-0100-0000E0010000}"/>
    <hyperlink ref="E104" r:id="rId480" xr:uid="{00000000-0004-0000-0100-0000E1010000}"/>
    <hyperlink ref="E123" r:id="rId481" location=":~:text=What%20they%20said%20about%20it,rewards%20that%20come%20with%20them." xr:uid="{00000000-0004-0000-0100-0000E2010000}"/>
    <hyperlink ref="E124" r:id="rId482" xr:uid="{00000000-0004-0000-0100-0000E3010000}"/>
    <hyperlink ref="E137" r:id="rId483" xr:uid="{00000000-0004-0000-0100-0000E4010000}"/>
    <hyperlink ref="E155" r:id="rId484" xr:uid="{00000000-0004-0000-0100-0000E5010000}"/>
    <hyperlink ref="E157" r:id="rId485" location="c6027566653452797874" xr:uid="{00000000-0004-0000-0100-0000E6010000}"/>
    <hyperlink ref="E207" r:id="rId486" xr:uid="{00000000-0004-0000-0100-0000E7010000}"/>
    <hyperlink ref="E210" r:id="rId487" xr:uid="{00000000-0004-0000-0100-0000E8010000}"/>
    <hyperlink ref="E233" r:id="rId488" xr:uid="{00000000-0004-0000-0100-0000E9010000}"/>
    <hyperlink ref="E245" r:id="rId489" xr:uid="{00000000-0004-0000-0100-0000EA010000}"/>
    <hyperlink ref="E248" r:id="rId490" location=":~:text=Oh%20and%20did%20I%20mention,insanely%20replayable%20for%20similar%20reasons." xr:uid="{00000000-0004-0000-0100-0000EB010000}"/>
    <hyperlink ref="E270" r:id="rId491" xr:uid="{00000000-0004-0000-0100-0000EC010000}"/>
    <hyperlink ref="E296" r:id="rId492" xr:uid="{00000000-0004-0000-0100-0000ED010000}"/>
    <hyperlink ref="E326" r:id="rId493" xr:uid="{00000000-0004-0000-0100-0000EE010000}"/>
    <hyperlink ref="E327" r:id="rId494" xr:uid="{00000000-0004-0000-0100-0000EF010000}"/>
    <hyperlink ref="E338" r:id="rId495" xr:uid="{00000000-0004-0000-0100-0000F0010000}"/>
    <hyperlink ref="E357" r:id="rId496" xr:uid="{00000000-0004-0000-0100-0000F1010000}"/>
    <hyperlink ref="E360" r:id="rId497" xr:uid="{00000000-0004-0000-0100-0000F2010000}"/>
    <hyperlink ref="E370" r:id="rId498" xr:uid="{00000000-0004-0000-0100-0000F3010000}"/>
    <hyperlink ref="E380" r:id="rId499" xr:uid="{00000000-0004-0000-0100-0000F4010000}"/>
    <hyperlink ref="E381" r:id="rId500" xr:uid="{00000000-0004-0000-0100-0000F5010000}"/>
    <hyperlink ref="E388" r:id="rId501" xr:uid="{00000000-0004-0000-0100-0000F6010000}"/>
    <hyperlink ref="E474" r:id="rId502" xr:uid="{00000000-0004-0000-0100-0000F7010000}"/>
    <hyperlink ref="E483" r:id="rId503" xr:uid="{00000000-0004-0000-0100-0000F8010000}"/>
    <hyperlink ref="E489" r:id="rId504" xr:uid="{00000000-0004-0000-0100-0000F9010000}"/>
    <hyperlink ref="E491" r:id="rId505" xr:uid="{00000000-0004-0000-0100-0000FA010000}"/>
    <hyperlink ref="E547" r:id="rId506" xr:uid="{00000000-0004-0000-0100-0000FB010000}"/>
    <hyperlink ref="E593" r:id="rId507" xr:uid="{00000000-0004-0000-0100-0000FC010000}"/>
    <hyperlink ref="E597" r:id="rId508" xr:uid="{00000000-0004-0000-0100-0000FD010000}"/>
    <hyperlink ref="E646" r:id="rId509" xr:uid="{00000000-0004-0000-0100-0000FE010000}"/>
    <hyperlink ref="E655" r:id="rId510" xr:uid="{00000000-0004-0000-0100-0000FF010000}"/>
    <hyperlink ref="E724" r:id="rId511" xr:uid="{00000000-0004-0000-0100-000000020000}"/>
    <hyperlink ref="E725" r:id="rId512" location="c3194745319530070972" xr:uid="{00000000-0004-0000-0100-000001020000}"/>
    <hyperlink ref="E731" r:id="rId513" location=":~:text=Dan%20DiIorio%20developed%20Luck%20Be,pondering%20why%20rent%20was%20necessary." xr:uid="{00000000-0004-0000-0100-000002020000}"/>
    <hyperlink ref="E736" r:id="rId514" xr:uid="{00000000-0004-0000-0100-000003020000}"/>
    <hyperlink ref="E748" r:id="rId515" xr:uid="{00000000-0004-0000-0100-000004020000}"/>
    <hyperlink ref="E755" r:id="rId516" xr:uid="{00000000-0004-0000-0100-000005020000}"/>
    <hyperlink ref="E770" r:id="rId517" xr:uid="{00000000-0004-0000-0100-000006020000}"/>
    <hyperlink ref="E786" r:id="rId518" xr:uid="{00000000-0004-0000-0100-000007020000}"/>
    <hyperlink ref="E799" r:id="rId519" xr:uid="{00000000-0004-0000-0100-000008020000}"/>
    <hyperlink ref="E813" r:id="rId520" xr:uid="{00000000-0004-0000-0100-000009020000}"/>
    <hyperlink ref="E858" r:id="rId521" xr:uid="{00000000-0004-0000-0100-00000A020000}"/>
    <hyperlink ref="E904" r:id="rId522" xr:uid="{00000000-0004-0000-0100-00000B020000}"/>
    <hyperlink ref="E907" r:id="rId523" location=":~:text=As%20design%20of%20the%20game,Bandicoot%20and%20Donkey%20Kong%20Country." xr:uid="{00000000-0004-0000-0100-00000C020000}"/>
    <hyperlink ref="E929" r:id="rId524" xr:uid="{00000000-0004-0000-0100-00000D020000}"/>
    <hyperlink ref="E943" r:id="rId525" xr:uid="{00000000-0004-0000-0100-00000E020000}"/>
    <hyperlink ref="E989" r:id="rId526" xr:uid="{00000000-0004-0000-0100-00000F020000}"/>
    <hyperlink ref="E1003" r:id="rId527" xr:uid="{00000000-0004-0000-0100-000010020000}"/>
    <hyperlink ref="E1017" r:id="rId528" xr:uid="{00000000-0004-0000-0100-000011020000}"/>
    <hyperlink ref="E1034" r:id="rId529" location="c4335355681661031211" xr:uid="{00000000-0004-0000-0100-000012020000}"/>
    <hyperlink ref="E1043" r:id="rId530" location=":~:text=Demo%20is%20now%20available!,-selfpromo%20(games)&amp;text=This%20video%20cannot%20be%20played.&amp;text=Hi%20fellow%20devs%2C%20I'm,it%20to%20get%20notified%20:)" display="https://www.reddit.com/r/godot/comments/1lo0rfm/14_months_of_work_on_my_1st_game_demo_is_now/#:~:text=Demo%20is%20now%20available!,-selfpromo%20(games)&amp;text=This%20video%20cannot%20be%20played.&amp;text=Hi%20fellow%20devs%2C%20I'm,it%20to%20get%20notified%20:)" xr:uid="{00000000-0004-0000-0100-000013020000}"/>
    <hyperlink ref="E1050" r:id="rId531" xr:uid="{00000000-0004-0000-0100-000014020000}"/>
    <hyperlink ref="E1058" r:id="rId532" xr:uid="{00000000-0004-0000-0100-000015020000}"/>
    <hyperlink ref="E1060" r:id="rId533" xr:uid="{00000000-0004-0000-0100-000016020000}"/>
    <hyperlink ref="E1076" r:id="rId534" xr:uid="{00000000-0004-0000-0100-000017020000}"/>
    <hyperlink ref="E1143" r:id="rId535" xr:uid="{00000000-0004-0000-0100-000018020000}"/>
    <hyperlink ref="E1145" r:id="rId536" xr:uid="{00000000-0004-0000-0100-000019020000}"/>
    <hyperlink ref="E1208" r:id="rId537" xr:uid="{00000000-0004-0000-0100-00001A020000}"/>
    <hyperlink ref="E1253" r:id="rId538" xr:uid="{00000000-0004-0000-0100-00001B020000}"/>
    <hyperlink ref="E1254" r:id="rId539" location="c3005556719742617866" xr:uid="{00000000-0004-0000-0100-00001C020000}"/>
    <hyperlink ref="E1259" r:id="rId540" xr:uid="{00000000-0004-0000-0100-00001D020000}"/>
    <hyperlink ref="E1292" r:id="rId541" location=":~:text=hotloopgames-,I%20am%20a%20solo%20developer%20working%20on%20The%20Last%20Flame,plays%20as%20an%20auto%2Dbattler." xr:uid="{00000000-0004-0000-0100-00001E020000}"/>
    <hyperlink ref="E1306" r:id="rId542" xr:uid="{00000000-0004-0000-0100-00001F020000}"/>
    <hyperlink ref="E1312" r:id="rId543" xr:uid="{00000000-0004-0000-0100-000020020000}"/>
    <hyperlink ref="E1351" r:id="rId544" xr:uid="{00000000-0004-0000-0100-000021020000}"/>
    <hyperlink ref="E1396" r:id="rId545" xr:uid="{00000000-0004-0000-0100-000023020000}"/>
    <hyperlink ref="E1405" r:id="rId546" xr:uid="{00000000-0004-0000-0100-000024020000}"/>
    <hyperlink ref="E1427" r:id="rId547" xr:uid="{00000000-0004-0000-0100-000025020000}"/>
    <hyperlink ref="E1438" r:id="rId548" xr:uid="{00000000-0004-0000-0100-000026020000}"/>
    <hyperlink ref="E1444" r:id="rId549" xr:uid="{00000000-0004-0000-0100-000027020000}"/>
    <hyperlink ref="E1446" r:id="rId550" xr:uid="{00000000-0004-0000-0100-000028020000}"/>
    <hyperlink ref="E1452" r:id="rId551" xr:uid="{00000000-0004-0000-0100-000029020000}"/>
    <hyperlink ref="E1470" r:id="rId552" xr:uid="{00000000-0004-0000-0100-00002A020000}"/>
    <hyperlink ref="E195" r:id="rId553" xr:uid="{00000000-0004-0000-0100-00002B020000}"/>
    <hyperlink ref="E206" r:id="rId554" xr:uid="{00000000-0004-0000-0100-00002C020000}"/>
    <hyperlink ref="E712" r:id="rId555" location=":~:text=As%20inspiration%20from%20different%20games,dangerous%20to%20go%20alone%22%20line." xr:uid="{00000000-0004-0000-0100-00002D020000}"/>
    <hyperlink ref="E106" r:id="rId556" xr:uid="{00000000-0004-0000-0100-00002E020000}"/>
    <hyperlink ref="E193" r:id="rId557" xr:uid="{00000000-0004-0000-0100-00002F020000}"/>
    <hyperlink ref="E197" r:id="rId558" xr:uid="{00000000-0004-0000-0100-000030020000}"/>
    <hyperlink ref="E229" r:id="rId559" xr:uid="{00000000-0004-0000-0100-000031020000}"/>
    <hyperlink ref="E241" r:id="rId560" xr:uid="{00000000-0004-0000-0100-000032020000}"/>
    <hyperlink ref="E274" r:id="rId561" xr:uid="{00000000-0004-0000-0100-000033020000}"/>
    <hyperlink ref="E394" r:id="rId562" location=":~:text=Much%20of%20the%20game%20was,similar%20gameplay%20would%20be%20like." xr:uid="{00000000-0004-0000-0100-000034020000}"/>
    <hyperlink ref="E434" r:id="rId563" location=":~:text=A%20big%20of%20Rogue%20Legacy%2C%20Spelunky%2C%20Hades.,kinda%20got%20inspiration%20from%20all%20of%20them." xr:uid="{00000000-0004-0000-0100-000035020000}"/>
    <hyperlink ref="E437" r:id="rId564" xr:uid="{00000000-0004-0000-0100-000036020000}"/>
    <hyperlink ref="E541" r:id="rId565" xr:uid="{00000000-0004-0000-0100-000037020000}"/>
    <hyperlink ref="E715" r:id="rId566" xr:uid="{00000000-0004-0000-0100-000038020000}"/>
    <hyperlink ref="E740" r:id="rId567" xr:uid="{00000000-0004-0000-0100-000039020000}"/>
    <hyperlink ref="E782" r:id="rId568" xr:uid="{00000000-0004-0000-0100-00003A020000}"/>
    <hyperlink ref="E805" r:id="rId569" xr:uid="{00000000-0004-0000-0100-00003B020000}"/>
    <hyperlink ref="E983" r:id="rId570" xr:uid="{00000000-0004-0000-0100-00003C020000}"/>
    <hyperlink ref="E1025" r:id="rId571" location=":~:text=The%20game%20was%20developed%20by,development%2C%20including%20an%20experience%20system." xr:uid="{00000000-0004-0000-0100-00003D020000}"/>
    <hyperlink ref="E1114" r:id="rId572" xr:uid="{00000000-0004-0000-0100-00003E020000}"/>
    <hyperlink ref="E1188" r:id="rId573" xr:uid="{00000000-0004-0000-0100-00003F020000}"/>
    <hyperlink ref="E1217" r:id="rId574" xr:uid="{00000000-0004-0000-0100-000040020000}"/>
    <hyperlink ref="E1221" r:id="rId575" location=":~:text=Lead%20designer%20Matt%20Dabrowski%20credited,inspirations%20for%20Streets%20of%20Rogue." xr:uid="{00000000-0004-0000-0100-000041020000}"/>
    <hyperlink ref="E1240" r:id="rId576" xr:uid="{00000000-0004-0000-0100-000042020000}"/>
    <hyperlink ref="E1365" r:id="rId577" xr:uid="{00000000-0004-0000-0100-000043020000}"/>
    <hyperlink ref="E1390" r:id="rId578" xr:uid="{00000000-0004-0000-0100-000044020000}"/>
    <hyperlink ref="E1457" r:id="rId579" xr:uid="{00000000-0004-0000-0100-000045020000}"/>
    <hyperlink ref="E459" r:id="rId580" xr:uid="{00000000-0004-0000-0100-000046020000}"/>
    <hyperlink ref="E297" r:id="rId581" xr:uid="{00000000-0004-0000-0100-000047020000}"/>
    <hyperlink ref="E682" r:id="rId582" xr:uid="{00000000-0004-0000-0100-000048020000}"/>
    <hyperlink ref="E1051" r:id="rId583" xr:uid="{00000000-0004-0000-0100-000049020000}"/>
    <hyperlink ref="E1331" r:id="rId584" xr:uid="{00000000-0004-0000-0100-00004A020000}"/>
    <hyperlink ref="E542" r:id="rId585" xr:uid="{00000000-0004-0000-0100-00004B020000}"/>
    <hyperlink ref="E1036" r:id="rId586" xr:uid="{00000000-0004-0000-0100-00004C020000}"/>
    <hyperlink ref="E179" r:id="rId587" xr:uid="{00000000-0004-0000-0100-00004D020000}"/>
    <hyperlink ref="E426" r:id="rId588" xr:uid="{00000000-0004-0000-0100-00004E020000}"/>
    <hyperlink ref="E687" r:id="rId589" xr:uid="{00000000-0004-0000-0100-00004F020000}"/>
    <hyperlink ref="E998" r:id="rId590" xr:uid="{00000000-0004-0000-0100-000050020000}"/>
    <hyperlink ref="E1019" r:id="rId591" xr:uid="{00000000-0004-0000-0100-000051020000}"/>
    <hyperlink ref="E1262" r:id="rId592" xr:uid="{00000000-0004-0000-0100-000052020000}"/>
    <hyperlink ref="E688" r:id="rId593" xr:uid="{00000000-0004-0000-0100-000053020000}"/>
    <hyperlink ref="E683" r:id="rId594" xr:uid="{00000000-0004-0000-0100-000054020000}"/>
    <hyperlink ref="E1077" r:id="rId595" xr:uid="{00000000-0004-0000-0100-000055020000}"/>
    <hyperlink ref="E1277" r:id="rId596" xr:uid="{00000000-0004-0000-0100-000056020000}"/>
    <hyperlink ref="E1332" r:id="rId597" xr:uid="{00000000-0004-0000-0100-000057020000}"/>
    <hyperlink ref="E1368" r:id="rId598" xr:uid="{00000000-0004-0000-0100-000058020000}"/>
    <hyperlink ref="E8" r:id="rId599" xr:uid="{00000000-0004-0000-0100-000059020000}"/>
    <hyperlink ref="E17" r:id="rId600" xr:uid="{00000000-0004-0000-0100-00005A020000}"/>
    <hyperlink ref="E19" r:id="rId601" location=":~:text=I%20left%20my%20old%20job,as%20The%20Binding%20of%20Isaac." xr:uid="{00000000-0004-0000-0100-00005B020000}"/>
    <hyperlink ref="E38" r:id="rId602" xr:uid="{00000000-0004-0000-0100-00005C020000}"/>
    <hyperlink ref="E128" r:id="rId603" xr:uid="{00000000-0004-0000-0100-00005D020000}"/>
    <hyperlink ref="E169" r:id="rId604" xr:uid="{00000000-0004-0000-0100-00005E020000}"/>
    <hyperlink ref="E202" r:id="rId605" xr:uid="{00000000-0004-0000-0100-00005F020000}"/>
    <hyperlink ref="E234" r:id="rId606" xr:uid="{00000000-0004-0000-0100-000060020000}"/>
    <hyperlink ref="E246" r:id="rId607" xr:uid="{00000000-0004-0000-0100-000061020000}"/>
    <hyperlink ref="E275" r:id="rId608" xr:uid="{00000000-0004-0000-0100-000062020000}"/>
    <hyperlink ref="E311" r:id="rId609" xr:uid="{00000000-0004-0000-0100-000063020000}"/>
    <hyperlink ref="E500" r:id="rId610" location="c846961716375428005" xr:uid="{00000000-0004-0000-0100-000064020000}"/>
    <hyperlink ref="E537" r:id="rId611" xr:uid="{00000000-0004-0000-0100-000065020000}"/>
    <hyperlink ref="E582" r:id="rId612" xr:uid="{00000000-0004-0000-0100-000066020000}"/>
    <hyperlink ref="E737" r:id="rId613" xr:uid="{00000000-0004-0000-0100-000067020000}"/>
    <hyperlink ref="E741" r:id="rId614" xr:uid="{00000000-0004-0000-0100-000068020000}"/>
    <hyperlink ref="E744" r:id="rId615" xr:uid="{00000000-0004-0000-0100-000069020000}"/>
    <hyperlink ref="E783" r:id="rId616" xr:uid="{00000000-0004-0000-0100-00006A020000}"/>
    <hyperlink ref="E789" r:id="rId617" xr:uid="{00000000-0004-0000-0100-00006B020000}"/>
    <hyperlink ref="E836" r:id="rId618" xr:uid="{00000000-0004-0000-0100-00006C020000}"/>
    <hyperlink ref="E843" r:id="rId619" xr:uid="{00000000-0004-0000-0100-00006D020000}"/>
    <hyperlink ref="E859" r:id="rId620" xr:uid="{00000000-0004-0000-0100-00006E020000}"/>
    <hyperlink ref="E887" r:id="rId621" xr:uid="{00000000-0004-0000-0100-00006F020000}"/>
    <hyperlink ref="E895" r:id="rId622" xr:uid="{00000000-0004-0000-0100-000070020000}"/>
    <hyperlink ref="E901" r:id="rId623" xr:uid="{00000000-0004-0000-0100-000071020000}"/>
    <hyperlink ref="E951" r:id="rId624" xr:uid="{00000000-0004-0000-0100-000072020000}"/>
    <hyperlink ref="E970" r:id="rId625" xr:uid="{00000000-0004-0000-0100-000073020000}"/>
    <hyperlink ref="E1026" r:id="rId626" location=":~:text=The%20game%20was%20developed%20by,development%2C%20including%20an%20experience%20system." xr:uid="{00000000-0004-0000-0100-000074020000}"/>
    <hyperlink ref="E1128" r:id="rId627" xr:uid="{00000000-0004-0000-0100-000075020000}"/>
    <hyperlink ref="E1162" r:id="rId628" xr:uid="{00000000-0004-0000-0100-000076020000}"/>
    <hyperlink ref="E1193" r:id="rId629" xr:uid="{00000000-0004-0000-0100-000077020000}"/>
    <hyperlink ref="E1241" r:id="rId630" xr:uid="{00000000-0004-0000-0100-000078020000}"/>
    <hyperlink ref="E1293" r:id="rId631" location="c592882772895432824" xr:uid="{00000000-0004-0000-0100-000079020000}"/>
    <hyperlink ref="E1344" r:id="rId632" xr:uid="{00000000-0004-0000-0100-00007A020000}"/>
    <hyperlink ref="E1358" r:id="rId633" xr:uid="{00000000-0004-0000-0100-00007B020000}"/>
    <hyperlink ref="E1366" r:id="rId634" xr:uid="{00000000-0004-0000-0100-00007C020000}"/>
    <hyperlink ref="E1371" r:id="rId635" xr:uid="{00000000-0004-0000-0100-00007D020000}"/>
    <hyperlink ref="E1379" r:id="rId636" xr:uid="{00000000-0004-0000-0100-00007E020000}"/>
    <hyperlink ref="E460" r:id="rId637" location=":~:text=Apparently%2C%20Ota%20was%20a%20well%20known%20figure,to%20connect%20Tokyo's%20three%20main%20universities%20that" xr:uid="{00000000-0004-0000-0100-00007F020000}"/>
    <hyperlink ref="E1467" r:id="rId638" xr:uid="{00000000-0004-0000-0100-000080020000}"/>
    <hyperlink ref="E170" r:id="rId639" xr:uid="{00000000-0004-0000-0100-000081020000}"/>
    <hyperlink ref="E952" r:id="rId640" xr:uid="{00000000-0004-0000-0100-000082020000}"/>
    <hyperlink ref="E120" r:id="rId641" xr:uid="{00000000-0004-0000-0100-000083020000}"/>
    <hyperlink ref="E1294" r:id="rId642" location="c592882772895432824" xr:uid="{00000000-0004-0000-0100-000084020000}"/>
    <hyperlink ref="E98" r:id="rId643" xr:uid="{00000000-0004-0000-0100-000085020000}"/>
    <hyperlink ref="E503" r:id="rId644" xr:uid="{00000000-0004-0000-0100-000086020000}"/>
    <hyperlink ref="E216" r:id="rId645" xr:uid="{00000000-0004-0000-0100-000088020000}"/>
    <hyperlink ref="E306" r:id="rId646" xr:uid="{00000000-0004-0000-0100-000089020000}"/>
    <hyperlink ref="E609" r:id="rId647" location=":~:text=House%20of%20Necrosis%20is%20a,Linux)%20and%20the%20Steam%20Deck" xr:uid="{00000000-0004-0000-0100-00008A020000}"/>
    <hyperlink ref="E768" r:id="rId648" xr:uid="{00000000-0004-0000-0100-00008B020000}"/>
    <hyperlink ref="E773" r:id="rId649" xr:uid="{00000000-0004-0000-0100-00008C020000}"/>
    <hyperlink ref="E810" r:id="rId650" xr:uid="{00000000-0004-0000-0100-00008D020000}"/>
    <hyperlink ref="E877" r:id="rId651" xr:uid="{00000000-0004-0000-0100-00008E020000}"/>
    <hyperlink ref="E1285" r:id="rId652" xr:uid="{00000000-0004-0000-0100-00008F020000}"/>
    <hyperlink ref="E1321" r:id="rId653" xr:uid="{00000000-0004-0000-0100-000090020000}"/>
    <hyperlink ref="E1406" r:id="rId654" xr:uid="{00000000-0004-0000-0100-000091020000}"/>
    <hyperlink ref="E1154" r:id="rId655" xr:uid="{00000000-0004-0000-0100-000092020000}"/>
    <hyperlink ref="E61" r:id="rId656" location="c735910198043297427" xr:uid="{00000000-0004-0000-0100-000093020000}"/>
    <hyperlink ref="E121" r:id="rId657" xr:uid="{00000000-0004-0000-0100-000095020000}"/>
    <hyperlink ref="E138" r:id="rId658" xr:uid="{00000000-0004-0000-0100-000096020000}"/>
    <hyperlink ref="E211" r:id="rId659" xr:uid="{00000000-0004-0000-0100-000097020000}"/>
    <hyperlink ref="E302" r:id="rId660" location="c562532756309107833" xr:uid="{00000000-0004-0000-0100-000098020000}"/>
    <hyperlink ref="E317" r:id="rId661" xr:uid="{00000000-0004-0000-0100-000099020000}"/>
    <hyperlink ref="E347" r:id="rId662" xr:uid="{00000000-0004-0000-0100-00009A020000}"/>
    <hyperlink ref="E523" r:id="rId663" xr:uid="{00000000-0004-0000-0100-00009B020000}"/>
    <hyperlink ref="E548" r:id="rId664" xr:uid="{00000000-0004-0000-0100-00009C020000}"/>
    <hyperlink ref="E594" r:id="rId665" xr:uid="{00000000-0004-0000-0100-00009D020000}"/>
    <hyperlink ref="E627" r:id="rId666" xr:uid="{00000000-0004-0000-0100-00009E020000}"/>
    <hyperlink ref="E780" r:id="rId667" xr:uid="{00000000-0004-0000-0100-00009F020000}"/>
    <hyperlink ref="E920" r:id="rId668" xr:uid="{00000000-0004-0000-0100-0000A0020000}"/>
    <hyperlink ref="E1238" r:id="rId669" xr:uid="{00000000-0004-0000-0100-0000A2020000}"/>
    <hyperlink ref="E1274" r:id="rId670" xr:uid="{00000000-0004-0000-0100-0000A3020000}"/>
    <hyperlink ref="E1325" r:id="rId671" xr:uid="{00000000-0004-0000-0100-0000A4020000}"/>
    <hyperlink ref="E1433" r:id="rId672" location=":~:text=Runs%20in%20Whisker%20Squadron:%20Survivor,to%20engage%20the%20boost%20thrusters." xr:uid="{00000000-0004-0000-0100-0000A5020000}"/>
    <hyperlink ref="E1418" r:id="rId673" xr:uid="{00000000-0004-0000-0100-0000A6020000}"/>
    <hyperlink ref="E22" r:id="rId674" xr:uid="{00000000-0004-0000-0100-0000A7020000}"/>
    <hyperlink ref="E76" r:id="rId675" xr:uid="{00000000-0004-0000-0100-0000A8020000}"/>
    <hyperlink ref="E276" r:id="rId676" xr:uid="{00000000-0004-0000-0100-0000A9020000}"/>
    <hyperlink ref="E1258" r:id="rId677" xr:uid="{00000000-0004-0000-0100-0000AA020000}"/>
    <hyperlink ref="E1468" r:id="rId678" xr:uid="{00000000-0004-0000-0100-0000AB020000}"/>
    <hyperlink ref="E1402" r:id="rId679" location=":~:text=Vellum's%20Inspirations,chapter%20of%20the%20original%20series." xr:uid="{00000000-0004-0000-0100-0000AC020000}"/>
    <hyperlink ref="E244" r:id="rId680" xr:uid="{DC257F92-B893-4A80-84AF-3BA7F10C76A1}"/>
    <hyperlink ref="E243" r:id="rId681" xr:uid="{7306A171-7F4B-47C2-B91E-E6BB1E82D970}"/>
    <hyperlink ref="E913" r:id="rId682" xr:uid="{9998D6E1-A959-4C80-BCA2-BE69C5A7A99B}"/>
    <hyperlink ref="E911" r:id="rId683" xr:uid="{B9E4EED7-E892-464F-9EBD-AA4E7BD71993}"/>
    <hyperlink ref="E917" r:id="rId684" xr:uid="{B56B3719-2C0F-4F11-9155-40E4DB5FD2F2}"/>
    <hyperlink ref="E914" r:id="rId685" xr:uid="{3273FC85-56B0-4591-95CD-373A480AC68B}"/>
    <hyperlink ref="E912" r:id="rId686" xr:uid="{3264C784-5E91-4DBF-993E-1FEF95430F6C}"/>
    <hyperlink ref="E916" r:id="rId687" xr:uid="{8F547E23-D0FA-4AF7-B467-053D4459C3E3}"/>
    <hyperlink ref="E915" r:id="rId688" xr:uid="{2EDB5F00-8479-4A8F-BB77-B6BDE0431C57}"/>
    <hyperlink ref="E99" r:id="rId689" xr:uid="{D89045FC-4BEC-49BE-8903-287735AA0711}"/>
    <hyperlink ref="E1374" r:id="rId690" xr:uid="{17049E58-CC8C-463C-9767-C1A2569408D4}"/>
    <hyperlink ref="E1373" r:id="rId691" xr:uid="{B62B2547-7D21-4B1B-94F2-4AFC24DACA33}"/>
    <hyperlink ref="E557" r:id="rId692" xr:uid="{234AA154-DC6F-4634-8B71-CC47EBBC5B91}"/>
    <hyperlink ref="E883" r:id="rId693" xr:uid="{756853BF-0C1D-4493-A2E8-263710241BDE}"/>
    <hyperlink ref="E880" r:id="rId694" xr:uid="{1B3C08D6-6EDC-4ADD-BB77-852F9AAA6A80}"/>
    <hyperlink ref="E288" r:id="rId695" xr:uid="{CA2B30A3-EBB5-47EB-A4E7-44FF06BC11B7}"/>
    <hyperlink ref="E289" r:id="rId696" xr:uid="{AD1A4BDA-AB26-44FB-977C-6D4B0B1D0018}"/>
    <hyperlink ref="E1423" r:id="rId697" xr:uid="{A51A4A30-5304-4DC4-8375-CC026AF08628}"/>
    <hyperlink ref="E1422" r:id="rId698" xr:uid="{4C958F54-1C40-43A7-92EF-A9310F99312E}"/>
    <hyperlink ref="E1169" r:id="rId699" xr:uid="{C119554A-953F-485E-9B46-A70B4EB12957}"/>
    <hyperlink ref="E1171" r:id="rId700" xr:uid="{1ABE2D94-FE62-43D5-8CEE-063DFE0E2DAA}"/>
    <hyperlink ref="E1170" r:id="rId701" xr:uid="{7C8D1E95-463B-4139-B901-2361FC6FBF28}"/>
    <hyperlink ref="E576" r:id="rId702" xr:uid="{F1783B7A-9900-4667-B9BB-65FBD38E7C11}"/>
    <hyperlink ref="E25" r:id="rId703" xr:uid="{2ACB47B8-071E-42EF-B4CC-D5635A151212}"/>
    <hyperlink ref="E26" r:id="rId704" xr:uid="{FAE39DDD-5E06-4849-9826-36858752CACC}"/>
    <hyperlink ref="E24" r:id="rId705" xr:uid="{56EFD205-F197-49E0-959D-67AE62661490}"/>
    <hyperlink ref="E985" r:id="rId706" xr:uid="{62145C9D-17FD-49E4-91A9-15463C8D4953}"/>
    <hyperlink ref="E984" r:id="rId707" xr:uid="{9441C145-D2B7-4DDC-966C-EEF4E3AB0D09}"/>
    <hyperlink ref="E892" r:id="rId708" xr:uid="{B8B18927-8DBA-4A3C-8766-2BA089C10618}"/>
    <hyperlink ref="E339" r:id="rId709" xr:uid="{E1E9E0DE-0275-4E22-B235-2D70703E5EF6}"/>
    <hyperlink ref="E341" r:id="rId710" xr:uid="{C64C902E-5CF7-473F-9209-D3742DCCF37C}"/>
    <hyperlink ref="E340" r:id="rId711" xr:uid="{4EB89765-CE1B-453D-AE3B-8A2E8F62FAD6}"/>
    <hyperlink ref="E971" r:id="rId712" xr:uid="{C9381C14-D9BA-490C-B78E-D8D7978D4295}"/>
    <hyperlink ref="E1002" r:id="rId713" xr:uid="{5D6A7A9E-8E93-4677-B335-07D810F5F2CE}"/>
    <hyperlink ref="E1001" r:id="rId714" xr:uid="{02E4BCE0-E5A5-438F-BAA4-3B55B72ABA69}"/>
    <hyperlink ref="E1096" r:id="rId715" xr:uid="{F9C0DC33-F291-48A5-BAA6-CD749F38B8F7}"/>
    <hyperlink ref="E939" r:id="rId716" xr:uid="{C6DAE36B-9FFF-40F4-A975-40308D682ABB}"/>
    <hyperlink ref="E1116" r:id="rId717" xr:uid="{A28AAA5F-E3AF-4CB4-AC75-ED4C73D4241A}"/>
    <hyperlink ref="E1115" r:id="rId718" xr:uid="{684CF565-3C19-420F-ABEF-80608A7964D0}"/>
    <hyperlink ref="E112" r:id="rId719" xr:uid="{C3ACE80B-944E-4458-A021-866DA3743B12}"/>
    <hyperlink ref="E334" r:id="rId720" xr:uid="{70D4547A-51BA-461F-AD30-640DF48CD22D}"/>
    <hyperlink ref="E332" r:id="rId721" xr:uid="{78E56607-57DD-4F76-9014-6DBAEEDF827E}"/>
    <hyperlink ref="E333" r:id="rId722" xr:uid="{7341875F-BDED-41CC-B25D-136FCED18006}"/>
    <hyperlink ref="E331" r:id="rId723" xr:uid="{E0D4E947-25EC-492F-BC8B-0B1CBC953CF7}"/>
    <hyperlink ref="E1417" r:id="rId724" xr:uid="{4F24E171-1AF4-474B-B100-D115B2BFEE71}"/>
    <hyperlink ref="E1445" r:id="rId725" xr:uid="{4A06958D-32E3-4D6F-858C-3E2C787D20FD}"/>
    <hyperlink ref="E701" r:id="rId726" location="c842879193508275230" xr:uid="{F47CC886-9EFA-4939-8863-C8F17F77FDAD}"/>
    <hyperlink ref="E1328" r:id="rId727" xr:uid="{3AB3A00F-98CF-4435-8833-0A851E2C073C}"/>
    <hyperlink ref="E1327" r:id="rId728" xr:uid="{C406D397-30DB-48EC-8075-D7B6C232C5C8}"/>
    <hyperlink ref="E673" r:id="rId729" xr:uid="{007CFBC1-8CEA-4212-B4F0-0FF066C08E2A}"/>
    <hyperlink ref="E404" r:id="rId730" xr:uid="{C5B07F6A-C6B6-4369-9FE3-E7625C1D2C8A}"/>
    <hyperlink ref="E647" r:id="rId731" xr:uid="{9003B96D-F683-49D5-81C9-E8A2CCEE4A21}"/>
    <hyperlink ref="E707" r:id="rId732" xr:uid="{400C9351-54FE-4B8D-9B9A-0B0C219C35CE}"/>
    <hyperlink ref="E674" r:id="rId733" xr:uid="{760CA5D1-BE1A-4AFE-8811-4667F5691EB8}"/>
    <hyperlink ref="E405" r:id="rId734" xr:uid="{F9FC197E-E9FE-4CD7-ADA1-1321F785AE10}"/>
    <hyperlink ref="E648" r:id="rId735" xr:uid="{D37D4B00-C269-473F-A26C-3D2E87C1AAC1}"/>
    <hyperlink ref="E708" r:id="rId736" xr:uid="{ABDDBD02-2EC2-49CC-B72B-4F6636A8E145}"/>
    <hyperlink ref="E696" r:id="rId737" xr:uid="{ED53DE22-9D86-4500-B1B3-6F8BDF546600}"/>
    <hyperlink ref="E1214" r:id="rId738" xr:uid="{9B852CA2-E54A-49EA-8814-23E1B14CD3C1}"/>
    <hyperlink ref="E1213" r:id="rId739" xr:uid="{94E018E0-042D-408B-9779-5894F881B159}"/>
    <hyperlink ref="E1166" r:id="rId740" xr:uid="{B5B7069D-BF7F-482C-915D-665DFFD3BABF}"/>
    <hyperlink ref="E1165" r:id="rId741" xr:uid="{396298D9-2ACA-4C5D-B2C6-C5EE2CDEFB0B}"/>
    <hyperlink ref="E1167" r:id="rId742" xr:uid="{FAF1DFA1-959D-4AEE-BB2F-EA12E94967CF}"/>
    <hyperlink ref="E1168" r:id="rId743" xr:uid="{EC4E5489-3B8D-43C5-BF19-2C2EA22E2606}"/>
    <hyperlink ref="E43" r:id="rId744" xr:uid="{C2596C1D-9A69-44EE-BF12-80C2168233D1}"/>
    <hyperlink ref="E44" r:id="rId745" xr:uid="{F621E8F5-0491-493D-B769-B7CD77BC5B23}"/>
    <hyperlink ref="E1362" r:id="rId746" xr:uid="{4127133D-D589-4277-AA21-D2599470279E}"/>
    <hyperlink ref="E906" r:id="rId747" xr:uid="{34B7B3C3-0C4A-46CD-92BB-6FF3B597AAD7}"/>
    <hyperlink ref="E905" r:id="rId748" xr:uid="{E49398C4-F888-4174-851D-12018E96BA3D}"/>
    <hyperlink ref="E1301" r:id="rId749" xr:uid="{9139EA07-E310-4E9B-ABA2-63D541902482}"/>
    <hyperlink ref="E253" r:id="rId750" xr:uid="{76A98E02-4371-4D92-BF10-7771BDF4B0F6}"/>
    <hyperlink ref="E252" r:id="rId751" xr:uid="{8AB47C2C-DCB0-459E-AB93-D035E87D88FF}"/>
    <hyperlink ref="E255" r:id="rId752" xr:uid="{FBD758DD-5EB8-4F17-834D-B309931C342F}"/>
    <hyperlink ref="E254" r:id="rId753" xr:uid="{C357B225-7211-4499-8BFB-A49F13205C07}"/>
    <hyperlink ref="E251" r:id="rId754" xr:uid="{00F517EE-3EC6-4A52-8DFC-A393770262A5}"/>
    <hyperlink ref="E250" r:id="rId755" xr:uid="{0E72ABCF-08D0-4F45-A663-49A14B6D3325}"/>
    <hyperlink ref="E256" r:id="rId756" xr:uid="{11C937CA-10C7-48B7-AC81-1843474BD01D}"/>
    <hyperlink ref="E1194" r:id="rId757" xr:uid="{FD39470D-1885-4635-9DE7-3856687F8611}"/>
    <hyperlink ref="E1196" r:id="rId758" xr:uid="{B4C62739-016F-4CAE-877E-BF3AEB7ADA8F}"/>
    <hyperlink ref="E1195" r:id="rId759" xr:uid="{09DF1C7B-5846-4CAD-A11F-2136F1192AF6}"/>
    <hyperlink ref="E430" r:id="rId760" xr:uid="{CBC0B082-DD9E-43F8-A179-EB2FFD643FC6}"/>
    <hyperlink ref="E485" r:id="rId761" xr:uid="{5B454A0F-BECB-457F-91B8-ABBCD80D5EE9}"/>
    <hyperlink ref="E486" r:id="rId762" xr:uid="{70D922DB-1822-47F7-8B64-F66186EE28F1}"/>
    <hyperlink ref="E484" r:id="rId763" xr:uid="{0DAEA923-B4B1-4CE6-AB24-DD07A4C5365C}"/>
    <hyperlink ref="E318" r:id="rId764" xr:uid="{95BE4862-33A9-41C4-8487-E447A22797B8}"/>
    <hyperlink ref="E261" r:id="rId765" xr:uid="{5D7AF87A-D596-4C40-8C0F-2F19514A0A9D}"/>
    <hyperlink ref="E260" r:id="rId766" xr:uid="{3914E137-AC2F-4C98-A6AB-2D587913BF39}"/>
    <hyperlink ref="E586" r:id="rId767" xr:uid="{84ADC6BC-5F07-417B-9B2B-58031F51D973}"/>
    <hyperlink ref="E269" r:id="rId768" xr:uid="{4F864965-905D-417C-B363-49B2D25D94EC}"/>
    <hyperlink ref="E675" r:id="rId769" xr:uid="{CA9C0EC1-29DC-44CD-B0A4-2A7DDED681BC}"/>
    <hyperlink ref="E171" r:id="rId770" xr:uid="{785E53CE-FB4B-4280-B57B-EE316B786B50}"/>
    <hyperlink ref="E214" r:id="rId771" xr:uid="{0A8F7EBD-A01D-4336-ADAF-3E8859ED6C33}"/>
    <hyperlink ref="E213" r:id="rId772" xr:uid="{925C99C9-F4C2-4063-9736-FCABD2EEBF72}"/>
    <hyperlink ref="E212" r:id="rId773" xr:uid="{9699B4B8-EC77-439B-95B7-F7574579CD6B}"/>
    <hyperlink ref="E567" r:id="rId774" xr:uid="{8BBD1517-1DCE-403B-8565-4BFD22DDFA25}"/>
    <hyperlink ref="E563" r:id="rId775" xr:uid="{3FA28012-FC78-4A3F-86BA-7FA7BE001059}"/>
    <hyperlink ref="E561" r:id="rId776" xr:uid="{63657D3F-DEFB-4369-85C3-789E96AA8DA6}"/>
    <hyperlink ref="E566" r:id="rId777" xr:uid="{47813FC8-AFE1-427F-AE89-3CCA78408CDC}"/>
    <hyperlink ref="E564" r:id="rId778" xr:uid="{8EE78B8A-CFD9-4BD2-BF05-F408D13A3E25}"/>
    <hyperlink ref="E568" r:id="rId779" xr:uid="{7A6842FA-45F0-40DD-BE37-924F321DF9C9}"/>
    <hyperlink ref="E562" r:id="rId780" xr:uid="{4E0E38B3-9659-4837-A810-D00636B0F10E}"/>
    <hyperlink ref="E565" r:id="rId781" xr:uid="{3EE1E877-C07F-4E95-9F44-3EDCCAF9EBFB}"/>
    <hyperlink ref="E46" r:id="rId782" xr:uid="{DFD5D4A8-7664-41B0-9962-1C8FEF851212}"/>
    <hyperlink ref="E49" r:id="rId783" xr:uid="{9629D6C9-CF08-4AC0-8B04-519412692BBD}"/>
    <hyperlink ref="E48" r:id="rId784" xr:uid="{4295EFFB-07CE-41CD-A14C-BB24DAE390ED}"/>
    <hyperlink ref="E47" r:id="rId785" xr:uid="{9B4A4D25-5438-41E3-ACD7-DD973CE47DD7}"/>
    <hyperlink ref="E222" r:id="rId786" xr:uid="{BACCE9B6-8ECA-41FB-996C-80C0BBD415CD}"/>
    <hyperlink ref="E218" r:id="rId787" xr:uid="{EA72B976-24C7-4518-87D0-8D6F01A0FB47}"/>
    <hyperlink ref="E268" r:id="rId788" xr:uid="{FF59F731-3E2D-4AB5-89ED-B4165A50B489}"/>
    <hyperlink ref="E292" r:id="rId789" xr:uid="{0A249B19-B1F8-4F67-9C2D-71FBBCA252A4}"/>
    <hyperlink ref="E291" r:id="rId790" xr:uid="{12E79190-6A49-41BE-8F44-8CA69A0A8A44}"/>
    <hyperlink ref="E290" r:id="rId791" xr:uid="{E9B5AA31-7CD9-4E41-9454-B6162DBA1459}"/>
    <hyperlink ref="E390" r:id="rId792" xr:uid="{726AE619-0F35-48FB-9070-2DCF26273A7E}"/>
    <hyperlink ref="E528" r:id="rId793" xr:uid="{3296730B-09C4-46E7-9B11-07FEBF67FEB1}"/>
    <hyperlink ref="E529" r:id="rId794" xr:uid="{8845AD77-949C-4FC1-9539-BD096F56CB51}"/>
    <hyperlink ref="E605" r:id="rId795" xr:uid="{359A4A08-94B1-422A-9D9E-365B26FBDD74}"/>
    <hyperlink ref="E606" r:id="rId796" xr:uid="{F9BEED06-E57B-48E9-ABF3-6585B5B3DD63}"/>
    <hyperlink ref="E1184" r:id="rId797" xr:uid="{B02B0A49-D286-479A-85A0-76A995A240D2}"/>
    <hyperlink ref="E841" r:id="rId798" xr:uid="{07C49B31-0A15-4F18-8CE5-D295AAB93256}"/>
    <hyperlink ref="E840" r:id="rId799" xr:uid="{B34B45B8-CB27-4006-8F1B-38115E7B81EE}"/>
    <hyperlink ref="E879" r:id="rId800" xr:uid="{ABDD3C61-D776-44CB-8F85-C5D4E7AF66EF}"/>
    <hyperlink ref="E882" r:id="rId801" xr:uid="{5D28E741-06CB-471F-AA5B-C6279839952F}"/>
    <hyperlink ref="E881" r:id="rId802" xr:uid="{E4D6DAFF-DB98-4039-BDDF-E2905AEA2385}"/>
    <hyperlink ref="E885" r:id="rId803" xr:uid="{79A1D462-8052-48AD-A68B-D0084DBAA7CF}"/>
    <hyperlink ref="E884" r:id="rId804" xr:uid="{6C22384B-4E97-4E31-B844-A350F9331DF2}"/>
    <hyperlink ref="E921" r:id="rId805" xr:uid="{1C3C92C2-D6A0-4FF2-825C-129534F4D777}"/>
    <hyperlink ref="E1011" r:id="rId806" xr:uid="{8F81F563-6034-417A-ADBA-73030B013656}"/>
    <hyperlink ref="E1033" r:id="rId807" xr:uid="{EECFB546-0535-4851-899A-9C580A482C6F}"/>
    <hyperlink ref="E1029" r:id="rId808" xr:uid="{CBC2BBAD-B637-4106-BCD6-E9E4C844256B}"/>
    <hyperlink ref="E1037" r:id="rId809" xr:uid="{1F25C809-BB94-4A11-937B-D24471D02480}"/>
    <hyperlink ref="E1038" r:id="rId810" xr:uid="{97D98395-3C28-4831-B9C4-7B4829982C41}"/>
    <hyperlink ref="E994" r:id="rId811" xr:uid="{C0E7C7EF-C119-405A-AE69-5F625741B5F3}"/>
    <hyperlink ref="E1205" r:id="rId812" xr:uid="{FD983225-12F5-46E5-A904-A1A9774FC711}"/>
    <hyperlink ref="E1199" r:id="rId813" xr:uid="{7C2AF8B1-58BF-4182-B42A-0F6104811C8E}"/>
    <hyperlink ref="E1203" r:id="rId814" xr:uid="{F30E44C9-EDD2-4BB8-B6FA-25CAF04351F8}"/>
    <hyperlink ref="E1197" r:id="rId815" xr:uid="{F4ECDF04-F27A-4F84-8CB9-7356501E47FD}"/>
    <hyperlink ref="E1201" r:id="rId816" xr:uid="{08A19CA9-DB9A-4EE0-9B5B-D245133EE9B9}"/>
    <hyperlink ref="E1204" r:id="rId817" xr:uid="{65642D69-0458-4C57-8626-D97111EBF706}"/>
    <hyperlink ref="E1206" r:id="rId818" xr:uid="{0AE53E53-BBA4-453D-9A0C-99E74A37CA52}"/>
    <hyperlink ref="E1198" r:id="rId819" xr:uid="{47A80645-C8E0-457D-B80A-EC24FB351F8D}"/>
    <hyperlink ref="E1200" r:id="rId820" xr:uid="{0C918335-C59E-49B6-AA43-C0CD9D8C4CF8}"/>
    <hyperlink ref="E1202" r:id="rId821" xr:uid="{1CB6077E-3092-489F-9B0C-6BAB87F17770}"/>
    <hyperlink ref="E1451" r:id="rId822" xr:uid="{3599CE02-A1AD-432F-9855-98EFC546B7C0}"/>
    <hyperlink ref="E1139" r:id="rId823" xr:uid="{ECA9D5F3-38EC-498C-B3FC-78D322956F5C}"/>
    <hyperlink ref="E1298" r:id="rId824" xr:uid="{8076755B-565E-4386-9385-FC02DF98FC86}"/>
    <hyperlink ref="E1337" r:id="rId825" xr:uid="{7FF7EDF5-A200-4775-9665-1C31DEADB023}"/>
    <hyperlink ref="E1158" r:id="rId826" xr:uid="{B4062A1F-3513-4E54-9725-FE70A8E2102C}"/>
    <hyperlink ref="E314" r:id="rId827" location="c591779267908675739" xr:uid="{8E09EE43-7AB1-4EFD-96D7-1D97BCB75A35}"/>
    <hyperlink ref="E399" r:id="rId828" xr:uid="{7AE028C1-55B7-49AF-A33B-C95B2C367207}"/>
    <hyperlink ref="E1075" r:id="rId829" xr:uid="{6E425835-5875-41B2-97A4-FA58DA438409}"/>
    <hyperlink ref="E1230" r:id="rId830" xr:uid="{A9769E26-0749-461F-861E-611D6D59A357}"/>
    <hyperlink ref="E764" r:id="rId831" xr:uid="{490B68C1-1A21-42E5-A4E5-45420F7FAE91}"/>
    <hyperlink ref="E761" r:id="rId832" xr:uid="{B422FF40-64E0-4B24-8F53-496AF4717AFF}"/>
    <hyperlink ref="E349" r:id="rId833" xr:uid="{616EFB2C-AC95-483E-A44D-39F69D8AAE04}"/>
    <hyperlink ref="E703" r:id="rId834" xr:uid="{CF9B0B49-4BC6-4E6E-A28C-97AD2449D1F4}"/>
    <hyperlink ref="E552" r:id="rId835" xr:uid="{CC3D205F-F4A2-4C98-812B-DFCFF767C3AE}"/>
    <hyperlink ref="E553" r:id="rId836" xr:uid="{0F0790E3-9AC0-413F-984C-498AA74C3589}"/>
    <hyperlink ref="E980" r:id="rId837" xr:uid="{8EF70CC2-1F7C-44FC-B27F-D40F33719C00}"/>
    <hyperlink ref="E979" r:id="rId838" xr:uid="{2D78A1F7-4C7B-4BBB-81A4-11B12B8FADDA}"/>
    <hyperlink ref="E499" r:id="rId839" xr:uid="{20287799-1A8F-4339-9E95-0AA01F352BD4}"/>
    <hyperlink ref="E199" r:id="rId840" xr:uid="{CAFAA947-4D25-464D-B292-52BCA67FD2CF}"/>
    <hyperlink ref="E1384" r:id="rId841" xr:uid="{4AC722E2-BCE9-43C4-A80B-4BBCC96FDAEE}"/>
    <hyperlink ref="E1383" r:id="rId842" xr:uid="{96213E6F-FE44-40A6-807C-E0126EE2DDC9}"/>
    <hyperlink ref="E818" r:id="rId843" xr:uid="{4F1594D2-3031-43C8-B872-3A5312FF9FDF}"/>
    <hyperlink ref="E817" r:id="rId844" xr:uid="{676A4F1E-EFAA-4DDC-8D28-7E9C8508C7F1}"/>
    <hyperlink ref="E1175" r:id="rId845" xr:uid="{488C3614-7E9C-44DA-9CFF-02ED9DA6D335}"/>
    <hyperlink ref="E1173" r:id="rId846" xr:uid="{7B3BFBD2-3751-4A52-8F1F-FC662C98C177}"/>
    <hyperlink ref="E41" r:id="rId847" xr:uid="{BFB33606-7E8A-49A2-9856-BB5128AD9376}"/>
    <hyperlink ref="E40" r:id="rId848" xr:uid="{56249F62-B66B-48AF-9B7E-3D57F062A187}"/>
    <hyperlink ref="E631" r:id="rId849" xr:uid="{275CD9A7-2606-4BD7-8AB4-6F7F649B0D82}"/>
    <hyperlink ref="E628" r:id="rId850" xr:uid="{D782717C-86B3-4AB9-9BAE-50DC60637C21}"/>
    <hyperlink ref="E630" r:id="rId851" xr:uid="{B4136A1E-1840-4253-B890-D50610D9B7FF}"/>
    <hyperlink ref="E849" r:id="rId852" xr:uid="{F010C842-1A27-45E7-91BD-D6A667117A83}"/>
    <hyperlink ref="E851" r:id="rId853" xr:uid="{7A735F72-FCBF-4C95-B717-33123075389C}"/>
    <hyperlink ref="E852" r:id="rId854" xr:uid="{0DAFB786-CEC3-42A8-9F7A-4F3B58233AB6}"/>
    <hyperlink ref="E1392" r:id="rId855" xr:uid="{7647C012-527B-47FA-AA69-5F88131531AA}"/>
    <hyperlink ref="E1393" r:id="rId856" xr:uid="{466561B0-4A38-497E-9D82-476E22D32111}"/>
    <hyperlink ref="E894" r:id="rId857" xr:uid="{1F54E98D-2D75-4E65-9A48-E714F01AAEAE}"/>
    <hyperlink ref="E1150" r:id="rId858" xr:uid="{C7A1DF84-E16D-4F1B-9452-9D09780CAB3C}"/>
    <hyperlink ref="E1151" r:id="rId859" xr:uid="{27E54E7F-D861-41B7-A5CB-0379F6FCE10A}"/>
    <hyperlink ref="E201" r:id="rId860" xr:uid="{098EDA8A-FC68-4111-B577-99F1B304BAB2}"/>
    <hyperlink ref="E200" r:id="rId861" xr:uid="{694E1CFD-5FA2-4B53-95A3-ED335D58CE37}"/>
    <hyperlink ref="E1227" r:id="rId862" xr:uid="{DC2E963B-8BB6-4612-927B-0C9EA135745A}"/>
    <hyperlink ref="E183" r:id="rId863" xr:uid="{775D1500-27BD-4FBE-BB82-12C0B18B2018}"/>
    <hyperlink ref="E182" r:id="rId864" xr:uid="{55744FEF-21E1-4B4A-BBEE-FD5B94DE8333}"/>
    <hyperlink ref="E181" r:id="rId865" xr:uid="{22C5AEF3-D8A0-494C-9B46-B4D333E55377}"/>
    <hyperlink ref="E1225" r:id="rId866" xr:uid="{5D245017-B18B-409F-9B15-14C242BCD0D6}"/>
    <hyperlink ref="E1223" r:id="rId867" xr:uid="{851E31D8-E443-46B1-9D46-BF582D4B9332}"/>
    <hyperlink ref="E466" r:id="rId868" xr:uid="{D6991607-8EBB-408C-8E7B-5174D1FE7C25}"/>
    <hyperlink ref="E526" r:id="rId869" xr:uid="{B23B7F09-3736-473F-82D1-8854D9E5C331}"/>
    <hyperlink ref="E525" r:id="rId870" xr:uid="{D57488C7-0308-4F7D-B7CF-AF40CAE04472}"/>
    <hyperlink ref="E527" r:id="rId871" xr:uid="{1755DCC3-224A-4152-BCC8-91981498AEEA}"/>
    <hyperlink ref="E545" r:id="rId872" xr:uid="{85D4F570-895C-488C-AEA6-5A95B93B5E1E}"/>
    <hyperlink ref="E546" r:id="rId873" xr:uid="{D1B3C96A-0C81-4008-828E-3BFAF10EED79}"/>
    <hyperlink ref="E587" r:id="rId874" xr:uid="{83D780E2-27AD-4B1C-BF2E-B3DF2589421A}"/>
    <hyperlink ref="E705" r:id="rId875" xr:uid="{AC1196BC-823B-4E18-B98E-7B1DA3BCA411}"/>
    <hyperlink ref="E706" r:id="rId876" xr:uid="{5D671CD6-0D00-4D6B-ACAE-C99CDCDB4448}"/>
    <hyperlink ref="E791" r:id="rId877" xr:uid="{4CD7DA82-E939-4B3D-98DD-54522C1793F9}"/>
    <hyperlink ref="E796" r:id="rId878" xr:uid="{E1F3E9F4-E70F-4F16-A094-D418B14B769B}"/>
    <hyperlink ref="E961" r:id="rId879" xr:uid="{6693F16F-A7B4-44BB-AEBE-E88D3EB7D2F7}"/>
    <hyperlink ref="E1134" r:id="rId880" xr:uid="{D8A1008B-A01D-4497-B3E9-9891BA45CAB2}"/>
    <hyperlink ref="E1133" r:id="rId881" xr:uid="{82C02E44-C4DC-473C-BDD8-A6E324C69864}"/>
    <hyperlink ref="E1137" r:id="rId882" xr:uid="{F1CB7E5D-3685-4C6E-9108-2997A0AD6DBC}"/>
    <hyperlink ref="E1138" r:id="rId883" xr:uid="{03B04C2D-E6F0-440A-91A9-8F416D1240BA}"/>
    <hyperlink ref="E1136" r:id="rId884" xr:uid="{0AAD27CE-179A-46C7-9DE7-1181659193FE}"/>
    <hyperlink ref="E1376" r:id="rId885" xr:uid="{7270D518-4F12-42D1-BD6E-647FF9122757}"/>
    <hyperlink ref="E522" r:id="rId886" xr:uid="{A0B4227F-FBD1-42C8-BEFA-134B9493FB24}"/>
    <hyperlink ref="E108" r:id="rId887" xr:uid="{3CE67439-D239-4023-8A19-D6F26C6CA8BA}"/>
    <hyperlink ref="E107" r:id="rId888" xr:uid="{C2C160AB-6C9B-414E-A8DB-DCAA600B5072}"/>
    <hyperlink ref="E178" r:id="rId889" xr:uid="{49C2C811-46C2-4B58-9309-B7C58B5B2ABC}"/>
    <hyperlink ref="E175" r:id="rId890" xr:uid="{5FE2E83A-CB29-4B37-B96C-9BBBCC8914FE}"/>
    <hyperlink ref="E174" r:id="rId891" xr:uid="{4CACDD5A-E810-4BD7-B13F-DDC8A372CD63}"/>
    <hyperlink ref="E238" r:id="rId892" xr:uid="{CB5AEC32-697D-40F3-BA64-6B3893675488}"/>
    <hyperlink ref="E236" r:id="rId893" xr:uid="{231242F9-3604-4FE0-9058-1BDA1AABB819}"/>
    <hyperlink ref="E239" r:id="rId894" xr:uid="{91F61043-B371-4C99-87BB-E8FFCDF21E47}"/>
    <hyperlink ref="E237" r:id="rId895" xr:uid="{481E9431-DB0B-468A-8511-238D002E429E}"/>
    <hyperlink ref="E513" r:id="rId896" xr:uid="{BC0C56FF-7E02-4782-A758-30EA62F91D58}"/>
    <hyperlink ref="E809" r:id="rId897" xr:uid="{693AF152-A04D-404E-832F-D81C4C6C72FE}"/>
    <hyperlink ref="E1089" r:id="rId898" xr:uid="{6F248362-153F-424C-B354-6378D4D86F9C}"/>
    <hyperlink ref="E1212" r:id="rId899" xr:uid="{72BB5EFD-4348-413A-A37F-B4261299BADA}"/>
    <hyperlink ref="E345" r:id="rId900" xr:uid="{3A4D9878-45DC-465A-829F-2C4D66BB6733}"/>
    <hyperlink ref="E585" r:id="rId901" xr:uid="{CED3A7A0-6700-4430-A9D8-EAD1DBB90DDF}"/>
    <hyperlink ref="E866" r:id="rId902" xr:uid="{764782B1-752B-4ADB-854C-43DC3582A794}"/>
    <hyperlink ref="E1388" r:id="rId903" xr:uid="{408BADD1-F02E-4742-A102-A3054E30FF9A}"/>
    <hyperlink ref="E1257" r:id="rId904" xr:uid="{A8B96687-1D31-40EF-965F-99E753AE39D9}"/>
    <hyperlink ref="E1380" r:id="rId905" xr:uid="{18465332-FF83-449D-91A7-19D14BE88B01}"/>
    <hyperlink ref="E615" r:id="rId906" xr:uid="{25012F1C-655D-4BC4-9590-99A023CDF835}"/>
    <hyperlink ref="E1339" r:id="rId907" xr:uid="{447EB0F0-5D2B-47F5-9BD0-080715AB0256}"/>
    <hyperlink ref="E1333" r:id="rId908" xr:uid="{0B6AF708-429B-4DEB-BBF8-B1E18E421858}"/>
    <hyperlink ref="E1265" r:id="rId909" location=":~:text=Tape%20to%20Tape%20is%20a,the%20Spire%20and%20NHL%2094!" xr:uid="{01F42245-6207-4EA5-B13B-26DF6E587502}"/>
    <hyperlink ref="E1266" r:id="rId910" xr:uid="{0A49EF2C-0ACF-4551-A67F-5774EB5FF316}"/>
    <hyperlink ref="E1082" r:id="rId911" xr:uid="{901952AC-5261-4F8B-A7DA-FD756206185B}"/>
    <hyperlink ref="E1078" r:id="rId912" xr:uid="{32BB0F5E-E9E8-4B8E-850A-73B887186C35}"/>
    <hyperlink ref="E1081" r:id="rId913" xr:uid="{079A2C82-59A4-45F8-A66C-A330504F5447}"/>
    <hyperlink ref="E127" r:id="rId914" xr:uid="{7C10F27A-851F-4EFA-BD55-1891DD749201}"/>
    <hyperlink ref="E126" r:id="rId915" xr:uid="{C5589458-FD86-4B03-9FC5-B7DE5B5C6556}"/>
    <hyperlink ref="E624" r:id="rId916" xr:uid="{8894A55A-387F-4B46-B832-548B4F667DEC}"/>
    <hyperlink ref="E1378" r:id="rId917" xr:uid="{00000000-0004-0000-0100-000022020000}"/>
    <hyperlink ref="E697" r:id="rId918" xr:uid="{8E10D83C-5A16-4037-936B-6F9639278741}"/>
    <hyperlink ref="E698" r:id="rId919" xr:uid="{3D4BB26A-FCBE-4543-A790-EEB3D6411AC7}"/>
    <hyperlink ref="E699" r:id="rId920" xr:uid="{8CF8E004-EB68-4419-9B70-A5ECCF68950E}"/>
    <hyperlink ref="E700" r:id="rId921" xr:uid="{2A31699E-CB86-4EEA-A791-161EB671C05A}"/>
    <hyperlink ref="E1012" r:id="rId922" xr:uid="{DDDCE849-AB71-43C9-A93D-8A4A043F5D0A}"/>
    <hyperlink ref="E1042" r:id="rId923" location=":~:text=Demo%20is%20now%20available!,-selfpromo%20(games)&amp;text=This%20video%20cannot%20be%20played.&amp;text=Hi%20fellow%20devs%2C%20I'm,it%20to%20get%20notified%20:)" display="https://www.reddit.com/r/godot/comments/1lo0rfm/14_months_of_work_on_my_1st_game_demo_is_now/#:~:text=Demo%20is%20now%20available!,-selfpromo%20(games)&amp;text=This%20video%20cannot%20be%20played.&amp;text=Hi%20fellow%20devs%2C%20I'm,it%20to%20get%20notified%20:)" xr:uid="{8E1F7CD6-1BD0-499B-8B05-BACFD48DA125}"/>
    <hyperlink ref="E777" r:id="rId924" xr:uid="{060A54A0-5C1A-4148-9996-6217B1124F43}"/>
    <hyperlink ref="E1055" r:id="rId925" xr:uid="{CD3FDDA4-5E08-4BE3-9D56-70BC77B8669E}"/>
    <hyperlink ref="E1054" r:id="rId926" xr:uid="{B1AA0B17-12B4-41E9-BFE0-B91C20A86B95}"/>
    <hyperlink ref="E1473" r:id="rId927" xr:uid="{508B9C26-B242-4B92-973D-4B544876A77E}"/>
  </hyperlinks>
  <pageMargins left="0.7" right="0.7" top="0.75" bottom="0.75" header="0.511811023622047" footer="0.511811023622047"/>
  <pageSetup orientation="portrait" horizontalDpi="300" verticalDpi="300"/>
  <tableParts count="1">
    <tablePart r:id="rId92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2"/>
  <sheetViews>
    <sheetView workbookViewId="0">
      <selection activeCell="M2" sqref="M2"/>
    </sheetView>
  </sheetViews>
  <sheetFormatPr defaultRowHeight="15" x14ac:dyDescent="0.25"/>
  <cols>
    <col min="1" max="1" width="16.85546875" bestFit="1" customWidth="1"/>
    <col min="2" max="2" width="29.140625" bestFit="1" customWidth="1"/>
    <col min="4" max="4" width="7.5703125" bestFit="1" customWidth="1"/>
    <col min="5" max="5" width="7.42578125" bestFit="1" customWidth="1"/>
    <col min="6" max="6" width="7.5703125" customWidth="1"/>
    <col min="7" max="7" width="7.5703125" bestFit="1" customWidth="1"/>
    <col min="8" max="8" width="12.7109375" bestFit="1" customWidth="1"/>
    <col min="9" max="9" width="11.42578125" bestFit="1" customWidth="1"/>
    <col min="10" max="10" width="9.28515625" bestFit="1" customWidth="1"/>
    <col min="11" max="11" width="7.42578125" bestFit="1" customWidth="1"/>
    <col min="12" max="12" width="10.5703125" bestFit="1" customWidth="1"/>
    <col min="13" max="13" width="66.28515625" bestFit="1" customWidth="1"/>
    <col min="14" max="14" width="40.140625" bestFit="1" customWidth="1"/>
    <col min="15" max="15" width="70.7109375" customWidth="1"/>
    <col min="16" max="16" width="18.7109375" bestFit="1" customWidth="1"/>
    <col min="17" max="17" width="16.42578125" bestFit="1" customWidth="1"/>
  </cols>
  <sheetData>
    <row r="1" spans="1:17" x14ac:dyDescent="0.25">
      <c r="A1" t="s">
        <v>165</v>
      </c>
      <c r="B1" t="s">
        <v>1</v>
      </c>
      <c r="C1" t="s">
        <v>3441</v>
      </c>
      <c r="D1" t="s">
        <v>3442</v>
      </c>
      <c r="E1" t="s">
        <v>3443</v>
      </c>
      <c r="F1" t="s">
        <v>3444</v>
      </c>
      <c r="G1" t="s">
        <v>3445</v>
      </c>
      <c r="H1" t="s">
        <v>3446</v>
      </c>
      <c r="I1" t="s">
        <v>3447</v>
      </c>
      <c r="J1" t="s">
        <v>3448</v>
      </c>
      <c r="K1" t="s">
        <v>3449</v>
      </c>
      <c r="L1" t="s">
        <v>3450</v>
      </c>
      <c r="M1" t="s">
        <v>3451</v>
      </c>
      <c r="N1" t="s">
        <v>3452</v>
      </c>
      <c r="O1" t="s">
        <v>3453</v>
      </c>
      <c r="P1" t="s">
        <v>8308</v>
      </c>
      <c r="Q1" t="s">
        <v>171</v>
      </c>
    </row>
    <row r="2" spans="1:17" x14ac:dyDescent="0.25">
      <c r="A2" t="s">
        <v>3455</v>
      </c>
      <c r="B2" t="s">
        <v>2804</v>
      </c>
      <c r="C2">
        <v>7</v>
      </c>
      <c r="D2">
        <v>3</v>
      </c>
      <c r="E2">
        <v>1</v>
      </c>
      <c r="F2">
        <v>0</v>
      </c>
      <c r="G2">
        <v>1</v>
      </c>
      <c r="H2">
        <v>0</v>
      </c>
      <c r="I2">
        <v>0</v>
      </c>
      <c r="J2">
        <v>0</v>
      </c>
      <c r="K2">
        <v>0</v>
      </c>
      <c r="L2">
        <v>0</v>
      </c>
      <c r="M2" t="s">
        <v>8297</v>
      </c>
      <c r="N2" t="s">
        <v>3456</v>
      </c>
      <c r="O2" t="s">
        <v>3457</v>
      </c>
      <c r="P2" t="s">
        <v>8315</v>
      </c>
      <c r="Q2" t="s">
        <v>3459</v>
      </c>
    </row>
    <row r="3" spans="1:17" x14ac:dyDescent="0.25">
      <c r="A3" t="s">
        <v>3460</v>
      </c>
      <c r="B3" t="s">
        <v>353</v>
      </c>
      <c r="C3">
        <v>7</v>
      </c>
      <c r="D3">
        <v>3</v>
      </c>
      <c r="E3">
        <v>0</v>
      </c>
      <c r="F3">
        <v>0</v>
      </c>
      <c r="G3">
        <v>0</v>
      </c>
      <c r="H3">
        <v>0</v>
      </c>
      <c r="I3">
        <v>0</v>
      </c>
      <c r="J3">
        <v>0</v>
      </c>
      <c r="K3">
        <v>0</v>
      </c>
      <c r="L3">
        <v>2</v>
      </c>
      <c r="M3" t="s">
        <v>8093</v>
      </c>
      <c r="N3" t="s">
        <v>7986</v>
      </c>
      <c r="O3" t="s">
        <v>3462</v>
      </c>
      <c r="P3" t="s">
        <v>8309</v>
      </c>
      <c r="Q3" t="s">
        <v>3463</v>
      </c>
    </row>
    <row r="4" spans="1:17" x14ac:dyDescent="0.25">
      <c r="A4" t="s">
        <v>3464</v>
      </c>
      <c r="B4" t="s">
        <v>90</v>
      </c>
      <c r="C4">
        <v>8</v>
      </c>
      <c r="D4">
        <v>3</v>
      </c>
      <c r="E4">
        <v>2</v>
      </c>
      <c r="F4">
        <v>0</v>
      </c>
      <c r="G4">
        <v>0</v>
      </c>
      <c r="H4">
        <v>0</v>
      </c>
      <c r="I4">
        <v>0</v>
      </c>
      <c r="J4">
        <v>0</v>
      </c>
      <c r="K4">
        <v>0</v>
      </c>
      <c r="L4">
        <v>0</v>
      </c>
      <c r="M4" t="s">
        <v>8076</v>
      </c>
      <c r="N4" t="s">
        <v>3465</v>
      </c>
      <c r="O4" t="s">
        <v>3466</v>
      </c>
      <c r="P4" t="s">
        <v>3467</v>
      </c>
      <c r="Q4" t="s">
        <v>3464</v>
      </c>
    </row>
    <row r="5" spans="1:17" x14ac:dyDescent="0.25">
      <c r="A5" t="s">
        <v>3468</v>
      </c>
      <c r="B5" t="s">
        <v>160</v>
      </c>
      <c r="C5">
        <v>6</v>
      </c>
      <c r="D5">
        <v>3</v>
      </c>
      <c r="E5">
        <v>0</v>
      </c>
      <c r="F5">
        <v>0</v>
      </c>
      <c r="G5">
        <v>0</v>
      </c>
      <c r="H5">
        <v>0</v>
      </c>
      <c r="I5">
        <v>0</v>
      </c>
      <c r="J5">
        <v>1</v>
      </c>
      <c r="K5">
        <v>0</v>
      </c>
      <c r="L5">
        <v>0</v>
      </c>
      <c r="M5" t="s">
        <v>8077</v>
      </c>
      <c r="N5" t="s">
        <v>3469</v>
      </c>
      <c r="O5" t="s">
        <v>3470</v>
      </c>
      <c r="P5" t="s">
        <v>3471</v>
      </c>
      <c r="Q5" t="s">
        <v>3468</v>
      </c>
    </row>
    <row r="6" spans="1:17" x14ac:dyDescent="0.25">
      <c r="A6" t="s">
        <v>3472</v>
      </c>
      <c r="B6" t="s">
        <v>2045</v>
      </c>
      <c r="C6">
        <v>7</v>
      </c>
      <c r="D6">
        <v>3</v>
      </c>
      <c r="E6">
        <v>0</v>
      </c>
      <c r="F6">
        <v>0</v>
      </c>
      <c r="G6">
        <v>2</v>
      </c>
      <c r="H6">
        <v>0</v>
      </c>
      <c r="I6">
        <v>0</v>
      </c>
      <c r="J6">
        <v>0</v>
      </c>
      <c r="K6">
        <v>0</v>
      </c>
      <c r="L6">
        <v>0</v>
      </c>
      <c r="M6" t="s">
        <v>8070</v>
      </c>
      <c r="N6" t="s">
        <v>3473</v>
      </c>
      <c r="O6" t="s">
        <v>3474</v>
      </c>
      <c r="P6" t="s">
        <v>3458</v>
      </c>
      <c r="Q6" t="s">
        <v>3472</v>
      </c>
    </row>
    <row r="7" spans="1:17" x14ac:dyDescent="0.25">
      <c r="A7" t="s">
        <v>3475</v>
      </c>
      <c r="B7" t="s">
        <v>1817</v>
      </c>
      <c r="C7">
        <v>7</v>
      </c>
      <c r="D7">
        <v>3</v>
      </c>
      <c r="E7">
        <v>0</v>
      </c>
      <c r="F7">
        <v>0</v>
      </c>
      <c r="G7">
        <v>0</v>
      </c>
      <c r="H7">
        <v>2</v>
      </c>
      <c r="I7">
        <v>0</v>
      </c>
      <c r="J7">
        <v>0</v>
      </c>
      <c r="K7">
        <v>0</v>
      </c>
      <c r="L7">
        <v>0</v>
      </c>
      <c r="M7" t="s">
        <v>8071</v>
      </c>
      <c r="N7" t="s">
        <v>3477</v>
      </c>
      <c r="O7" t="s">
        <v>3478</v>
      </c>
      <c r="P7" t="s">
        <v>8313</v>
      </c>
      <c r="Q7" t="s">
        <v>3475</v>
      </c>
    </row>
    <row r="8" spans="1:17" x14ac:dyDescent="0.25">
      <c r="A8" t="s">
        <v>3479</v>
      </c>
      <c r="B8" t="s">
        <v>2804</v>
      </c>
      <c r="C8">
        <v>7</v>
      </c>
      <c r="D8">
        <v>3</v>
      </c>
      <c r="E8">
        <v>0</v>
      </c>
      <c r="F8">
        <v>0</v>
      </c>
      <c r="G8">
        <v>2</v>
      </c>
      <c r="H8">
        <v>0</v>
      </c>
      <c r="I8">
        <v>0</v>
      </c>
      <c r="J8">
        <v>0</v>
      </c>
      <c r="K8">
        <v>0</v>
      </c>
      <c r="L8">
        <v>0</v>
      </c>
      <c r="M8" t="s">
        <v>8073</v>
      </c>
      <c r="N8" t="s">
        <v>3456</v>
      </c>
      <c r="O8" t="s">
        <v>3480</v>
      </c>
      <c r="P8" t="s">
        <v>3481</v>
      </c>
      <c r="Q8" t="s">
        <v>3482</v>
      </c>
    </row>
    <row r="9" spans="1:17" x14ac:dyDescent="0.25">
      <c r="A9" t="s">
        <v>3483</v>
      </c>
      <c r="B9" t="s">
        <v>38</v>
      </c>
      <c r="C9">
        <v>7</v>
      </c>
      <c r="D9">
        <v>3</v>
      </c>
      <c r="E9">
        <v>0</v>
      </c>
      <c r="F9">
        <v>0</v>
      </c>
      <c r="G9">
        <v>1</v>
      </c>
      <c r="H9">
        <v>1</v>
      </c>
      <c r="I9">
        <v>0</v>
      </c>
      <c r="J9">
        <v>0</v>
      </c>
      <c r="K9">
        <v>0</v>
      </c>
      <c r="L9">
        <v>0</v>
      </c>
      <c r="M9" t="s">
        <v>8075</v>
      </c>
      <c r="N9" t="s">
        <v>3465</v>
      </c>
      <c r="O9" t="s">
        <v>3484</v>
      </c>
      <c r="P9" t="s">
        <v>3458</v>
      </c>
      <c r="Q9" t="s">
        <v>3483</v>
      </c>
    </row>
    <row r="10" spans="1:17" x14ac:dyDescent="0.25">
      <c r="A10" t="s">
        <v>3485</v>
      </c>
      <c r="B10" t="s">
        <v>2154</v>
      </c>
      <c r="C10">
        <v>5</v>
      </c>
      <c r="D10">
        <v>3</v>
      </c>
      <c r="E10">
        <v>0</v>
      </c>
      <c r="F10">
        <v>0</v>
      </c>
      <c r="G10">
        <v>0</v>
      </c>
      <c r="H10">
        <v>0</v>
      </c>
      <c r="I10">
        <v>0</v>
      </c>
      <c r="J10">
        <v>0</v>
      </c>
      <c r="K10">
        <v>0</v>
      </c>
      <c r="L10">
        <v>2</v>
      </c>
      <c r="M10" t="s">
        <v>3486</v>
      </c>
      <c r="N10" t="s">
        <v>7484</v>
      </c>
      <c r="O10" t="s">
        <v>3487</v>
      </c>
      <c r="P10" t="s">
        <v>3458</v>
      </c>
      <c r="Q10" t="s">
        <v>3485</v>
      </c>
    </row>
    <row r="11" spans="1:17" x14ac:dyDescent="0.25">
      <c r="A11" t="s">
        <v>3488</v>
      </c>
      <c r="B11" t="s">
        <v>1294</v>
      </c>
      <c r="C11">
        <v>7</v>
      </c>
      <c r="D11">
        <v>3</v>
      </c>
      <c r="E11">
        <v>1</v>
      </c>
      <c r="F11">
        <v>1</v>
      </c>
      <c r="G11">
        <v>0</v>
      </c>
      <c r="H11">
        <v>0</v>
      </c>
      <c r="I11">
        <v>0</v>
      </c>
      <c r="J11">
        <v>0</v>
      </c>
      <c r="K11">
        <v>0</v>
      </c>
      <c r="L11">
        <v>0</v>
      </c>
      <c r="M11" t="s">
        <v>8072</v>
      </c>
      <c r="N11" t="s">
        <v>3489</v>
      </c>
      <c r="O11" t="s">
        <v>3490</v>
      </c>
      <c r="P11" t="s">
        <v>3458</v>
      </c>
      <c r="Q11" t="s">
        <v>3488</v>
      </c>
    </row>
    <row r="12" spans="1:17" x14ac:dyDescent="0.25">
      <c r="A12" t="s">
        <v>3491</v>
      </c>
      <c r="B12" t="s">
        <v>1322</v>
      </c>
      <c r="C12">
        <v>7</v>
      </c>
      <c r="D12">
        <v>3</v>
      </c>
      <c r="E12">
        <v>0</v>
      </c>
      <c r="F12">
        <v>1</v>
      </c>
      <c r="G12">
        <v>1</v>
      </c>
      <c r="H12">
        <v>0</v>
      </c>
      <c r="I12">
        <v>0</v>
      </c>
      <c r="J12">
        <v>0</v>
      </c>
      <c r="K12">
        <v>0</v>
      </c>
      <c r="L12">
        <v>0</v>
      </c>
      <c r="M12" t="s">
        <v>8092</v>
      </c>
      <c r="N12" t="s">
        <v>3493</v>
      </c>
      <c r="O12" t="s">
        <v>3494</v>
      </c>
      <c r="P12" t="s">
        <v>3458</v>
      </c>
      <c r="Q12" t="s">
        <v>3491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1"/>
  <sheetViews>
    <sheetView workbookViewId="0">
      <selection activeCell="G26" sqref="G26"/>
    </sheetView>
  </sheetViews>
  <sheetFormatPr defaultRowHeight="15" x14ac:dyDescent="0.25"/>
  <cols>
    <col min="1" max="1" width="20.7109375" bestFit="1" customWidth="1"/>
    <col min="2" max="2" width="14.5703125" bestFit="1" customWidth="1"/>
    <col min="3" max="3" width="21.5703125" bestFit="1" customWidth="1"/>
    <col min="4" max="4" width="102.7109375" bestFit="1" customWidth="1"/>
    <col min="5" max="5" width="63.140625" bestFit="1" customWidth="1"/>
    <col min="6" max="6" width="27.85546875" bestFit="1" customWidth="1"/>
    <col min="7" max="7" width="22.5703125" bestFit="1" customWidth="1"/>
    <col min="8" max="8" width="11.5703125" bestFit="1" customWidth="1"/>
    <col min="9" max="9" width="20" bestFit="1" customWidth="1"/>
    <col min="10" max="10" width="12.140625" bestFit="1" customWidth="1"/>
    <col min="11" max="11" width="7.28515625" bestFit="1" customWidth="1"/>
  </cols>
  <sheetData>
    <row r="1" spans="1:10" x14ac:dyDescent="0.25">
      <c r="A1" t="s">
        <v>165</v>
      </c>
      <c r="B1" t="s">
        <v>3495</v>
      </c>
      <c r="C1" t="s">
        <v>167</v>
      </c>
      <c r="D1" t="s">
        <v>3453</v>
      </c>
      <c r="E1" t="s">
        <v>3496</v>
      </c>
      <c r="F1" t="s">
        <v>3497</v>
      </c>
      <c r="G1" t="s">
        <v>3498</v>
      </c>
      <c r="H1" t="s">
        <v>3499</v>
      </c>
      <c r="I1" t="s">
        <v>171</v>
      </c>
      <c r="J1" t="s">
        <v>3500</v>
      </c>
    </row>
    <row r="2" spans="1:10" x14ac:dyDescent="0.25">
      <c r="A2" t="s">
        <v>3501</v>
      </c>
      <c r="B2" t="s">
        <v>3502</v>
      </c>
      <c r="C2" t="s">
        <v>3540</v>
      </c>
      <c r="D2" t="s">
        <v>3504</v>
      </c>
      <c r="E2" t="s">
        <v>3505</v>
      </c>
      <c r="F2" t="s">
        <v>497</v>
      </c>
      <c r="G2" t="s">
        <v>3506</v>
      </c>
      <c r="I2" t="s">
        <v>3507</v>
      </c>
      <c r="J2" t="s">
        <v>3441</v>
      </c>
    </row>
    <row r="3" spans="1:10" x14ac:dyDescent="0.25">
      <c r="A3" t="s">
        <v>3508</v>
      </c>
      <c r="B3" t="s">
        <v>41</v>
      </c>
      <c r="C3" t="s">
        <v>3509</v>
      </c>
      <c r="D3" t="s">
        <v>7467</v>
      </c>
      <c r="E3" t="s">
        <v>3510</v>
      </c>
      <c r="F3" t="s">
        <v>90</v>
      </c>
      <c r="G3" t="s">
        <v>3511</v>
      </c>
      <c r="I3" t="s">
        <v>3508</v>
      </c>
      <c r="J3" t="s">
        <v>3512</v>
      </c>
    </row>
    <row r="4" spans="1:10" x14ac:dyDescent="0.25">
      <c r="A4" t="s">
        <v>3513</v>
      </c>
      <c r="B4" t="s">
        <v>3514</v>
      </c>
      <c r="C4" t="s">
        <v>3515</v>
      </c>
      <c r="D4" t="s">
        <v>3516</v>
      </c>
      <c r="E4" t="s">
        <v>3517</v>
      </c>
      <c r="F4" t="s">
        <v>2933</v>
      </c>
      <c r="G4" t="s">
        <v>3518</v>
      </c>
      <c r="I4" t="s">
        <v>3519</v>
      </c>
      <c r="J4" t="s">
        <v>3520</v>
      </c>
    </row>
    <row r="5" spans="1:10" x14ac:dyDescent="0.25">
      <c r="A5" t="s">
        <v>3522</v>
      </c>
      <c r="B5" t="s">
        <v>3514</v>
      </c>
      <c r="C5" t="s">
        <v>3523</v>
      </c>
      <c r="D5" t="s">
        <v>3524</v>
      </c>
      <c r="E5" t="s">
        <v>3525</v>
      </c>
      <c r="F5" t="s">
        <v>1649</v>
      </c>
      <c r="G5" t="s">
        <v>3526</v>
      </c>
      <c r="I5" t="s">
        <v>3527</v>
      </c>
      <c r="J5" t="s">
        <v>3520</v>
      </c>
    </row>
    <row r="6" spans="1:10" x14ac:dyDescent="0.25">
      <c r="A6" t="s">
        <v>3528</v>
      </c>
      <c r="B6" t="s">
        <v>0</v>
      </c>
      <c r="C6" t="s">
        <v>3515</v>
      </c>
      <c r="D6" t="s">
        <v>3529</v>
      </c>
      <c r="E6" t="s">
        <v>3530</v>
      </c>
      <c r="F6" t="s">
        <v>160</v>
      </c>
      <c r="G6" t="s">
        <v>3531</v>
      </c>
      <c r="I6" t="s">
        <v>3532</v>
      </c>
      <c r="J6" t="s">
        <v>3441</v>
      </c>
    </row>
    <row r="7" spans="1:10" x14ac:dyDescent="0.25">
      <c r="A7" t="s">
        <v>3533</v>
      </c>
      <c r="B7" t="s">
        <v>3514</v>
      </c>
      <c r="C7" t="s">
        <v>3503</v>
      </c>
      <c r="D7" t="s">
        <v>3534</v>
      </c>
      <c r="E7" t="s">
        <v>3535</v>
      </c>
      <c r="F7" t="s">
        <v>2619</v>
      </c>
      <c r="G7" t="s">
        <v>3536</v>
      </c>
      <c r="I7" t="s">
        <v>3537</v>
      </c>
      <c r="J7" t="s">
        <v>3538</v>
      </c>
    </row>
    <row r="8" spans="1:10" x14ac:dyDescent="0.25">
      <c r="A8" t="s">
        <v>3539</v>
      </c>
      <c r="B8" t="s">
        <v>3502</v>
      </c>
      <c r="C8" t="s">
        <v>3540</v>
      </c>
      <c r="D8" t="s">
        <v>8324</v>
      </c>
      <c r="E8" t="s">
        <v>3541</v>
      </c>
      <c r="F8" t="s">
        <v>2619</v>
      </c>
      <c r="G8" t="s">
        <v>3542</v>
      </c>
      <c r="H8" t="s">
        <v>3543</v>
      </c>
      <c r="I8" t="s">
        <v>3544</v>
      </c>
      <c r="J8" t="s">
        <v>3545</v>
      </c>
    </row>
    <row r="9" spans="1:10" x14ac:dyDescent="0.25">
      <c r="A9" t="s">
        <v>3467</v>
      </c>
      <c r="B9" t="s">
        <v>3546</v>
      </c>
      <c r="C9" t="s">
        <v>3509</v>
      </c>
      <c r="D9" t="s">
        <v>3547</v>
      </c>
      <c r="E9" t="s">
        <v>3548</v>
      </c>
      <c r="F9" t="s">
        <v>90</v>
      </c>
      <c r="I9" t="s">
        <v>3549</v>
      </c>
      <c r="J9" t="s">
        <v>3441</v>
      </c>
    </row>
    <row r="10" spans="1:10" x14ac:dyDescent="0.25">
      <c r="A10" t="s">
        <v>3550</v>
      </c>
      <c r="B10" t="s">
        <v>41</v>
      </c>
      <c r="C10" t="s">
        <v>3551</v>
      </c>
      <c r="D10" t="s">
        <v>3552</v>
      </c>
      <c r="E10" t="s">
        <v>3553</v>
      </c>
      <c r="F10" t="s">
        <v>2619</v>
      </c>
      <c r="G10" t="s">
        <v>3554</v>
      </c>
      <c r="I10" t="s">
        <v>3555</v>
      </c>
      <c r="J10" t="s">
        <v>3556</v>
      </c>
    </row>
    <row r="11" spans="1:10" x14ac:dyDescent="0.25">
      <c r="A11" t="s">
        <v>3557</v>
      </c>
      <c r="B11" t="s">
        <v>3558</v>
      </c>
      <c r="C11" t="s">
        <v>3515</v>
      </c>
      <c r="D11" t="s">
        <v>3559</v>
      </c>
      <c r="E11" t="s">
        <v>3560</v>
      </c>
      <c r="F11" t="s">
        <v>90</v>
      </c>
      <c r="I11" t="s">
        <v>3561</v>
      </c>
      <c r="J11" t="s">
        <v>3562</v>
      </c>
    </row>
    <row r="12" spans="1:10" x14ac:dyDescent="0.25">
      <c r="A12" t="s">
        <v>7361</v>
      </c>
      <c r="B12" t="s">
        <v>3502</v>
      </c>
      <c r="C12" t="s">
        <v>3515</v>
      </c>
      <c r="D12" t="s">
        <v>7369</v>
      </c>
      <c r="E12" t="s">
        <v>7375</v>
      </c>
      <c r="F12" t="s">
        <v>90</v>
      </c>
      <c r="G12" t="s">
        <v>7362</v>
      </c>
      <c r="H12" t="s">
        <v>3669</v>
      </c>
      <c r="I12" t="s">
        <v>7361</v>
      </c>
      <c r="J12" t="s">
        <v>3588</v>
      </c>
    </row>
    <row r="13" spans="1:10" x14ac:dyDescent="0.25">
      <c r="A13" t="s">
        <v>7865</v>
      </c>
      <c r="B13" t="s">
        <v>3514</v>
      </c>
      <c r="C13" t="s">
        <v>3523</v>
      </c>
      <c r="D13" t="s">
        <v>8298</v>
      </c>
      <c r="E13" t="s">
        <v>8325</v>
      </c>
      <c r="F13" t="s">
        <v>2619</v>
      </c>
      <c r="G13" t="s">
        <v>4660</v>
      </c>
      <c r="H13" t="s">
        <v>3705</v>
      </c>
      <c r="I13" t="s">
        <v>7865</v>
      </c>
      <c r="J13" t="s">
        <v>3977</v>
      </c>
    </row>
    <row r="14" spans="1:10" x14ac:dyDescent="0.25">
      <c r="A14" t="s">
        <v>3563</v>
      </c>
      <c r="B14" t="s">
        <v>3514</v>
      </c>
      <c r="C14" t="s">
        <v>3564</v>
      </c>
      <c r="D14" t="s">
        <v>3565</v>
      </c>
      <c r="E14" t="s">
        <v>3566</v>
      </c>
      <c r="F14" t="s">
        <v>160</v>
      </c>
      <c r="G14" t="s">
        <v>3567</v>
      </c>
      <c r="I14" t="s">
        <v>3568</v>
      </c>
      <c r="J14" t="s">
        <v>3441</v>
      </c>
    </row>
    <row r="15" spans="1:10" x14ac:dyDescent="0.25">
      <c r="A15" t="s">
        <v>3569</v>
      </c>
      <c r="B15" t="s">
        <v>3514</v>
      </c>
      <c r="C15" t="s">
        <v>3523</v>
      </c>
      <c r="D15" t="s">
        <v>3570</v>
      </c>
      <c r="E15" t="s">
        <v>3571</v>
      </c>
      <c r="F15" t="s">
        <v>2804</v>
      </c>
      <c r="G15" t="s">
        <v>3572</v>
      </c>
      <c r="I15" t="s">
        <v>3569</v>
      </c>
      <c r="J15" t="s">
        <v>3520</v>
      </c>
    </row>
    <row r="16" spans="1:10" x14ac:dyDescent="0.25">
      <c r="A16" t="s">
        <v>3573</v>
      </c>
      <c r="B16" t="s">
        <v>3514</v>
      </c>
      <c r="C16" t="s">
        <v>3509</v>
      </c>
      <c r="D16" t="s">
        <v>3574</v>
      </c>
      <c r="E16" t="s">
        <v>3575</v>
      </c>
      <c r="F16" t="s">
        <v>2804</v>
      </c>
      <c r="G16" t="s">
        <v>3576</v>
      </c>
      <c r="I16" t="s">
        <v>3573</v>
      </c>
      <c r="J16" t="s">
        <v>3577</v>
      </c>
    </row>
    <row r="17" spans="1:10" x14ac:dyDescent="0.25">
      <c r="A17" t="s">
        <v>3578</v>
      </c>
      <c r="B17" t="s">
        <v>41</v>
      </c>
      <c r="C17" t="s">
        <v>3579</v>
      </c>
      <c r="D17" t="s">
        <v>3580</v>
      </c>
      <c r="E17" t="s">
        <v>3581</v>
      </c>
      <c r="F17" t="s">
        <v>2619</v>
      </c>
      <c r="G17" t="s">
        <v>315</v>
      </c>
      <c r="I17" t="s">
        <v>3578</v>
      </c>
      <c r="J17" t="s">
        <v>3582</v>
      </c>
    </row>
    <row r="18" spans="1:10" x14ac:dyDescent="0.25">
      <c r="A18" t="s">
        <v>3471</v>
      </c>
      <c r="B18" t="s">
        <v>3514</v>
      </c>
      <c r="C18" t="s">
        <v>3579</v>
      </c>
      <c r="D18" t="s">
        <v>3461</v>
      </c>
      <c r="E18" t="s">
        <v>3583</v>
      </c>
      <c r="F18" t="s">
        <v>160</v>
      </c>
      <c r="G18" t="s">
        <v>315</v>
      </c>
      <c r="I18" t="s">
        <v>3471</v>
      </c>
      <c r="J18" t="s">
        <v>3520</v>
      </c>
    </row>
    <row r="19" spans="1:10" x14ac:dyDescent="0.25">
      <c r="A19" t="s">
        <v>8179</v>
      </c>
      <c r="B19" t="s">
        <v>3514</v>
      </c>
      <c r="C19" t="s">
        <v>3579</v>
      </c>
      <c r="D19" t="s">
        <v>8180</v>
      </c>
      <c r="E19" t="s">
        <v>8186</v>
      </c>
      <c r="F19" t="s">
        <v>160</v>
      </c>
      <c r="I19" t="s">
        <v>8181</v>
      </c>
      <c r="J19" t="s">
        <v>3588</v>
      </c>
    </row>
    <row r="20" spans="1:10" x14ac:dyDescent="0.25">
      <c r="A20" t="s">
        <v>7825</v>
      </c>
      <c r="B20" t="s">
        <v>3502</v>
      </c>
      <c r="C20" t="s">
        <v>3509</v>
      </c>
      <c r="D20" t="s">
        <v>7828</v>
      </c>
      <c r="E20" t="s">
        <v>7833</v>
      </c>
      <c r="F20" t="s">
        <v>38</v>
      </c>
      <c r="G20" t="s">
        <v>3634</v>
      </c>
      <c r="H20" t="s">
        <v>3669</v>
      </c>
      <c r="I20" t="s">
        <v>7826</v>
      </c>
      <c r="J20" t="s">
        <v>3577</v>
      </c>
    </row>
    <row r="21" spans="1:10" x14ac:dyDescent="0.25">
      <c r="A21" t="s">
        <v>3584</v>
      </c>
      <c r="B21" t="s">
        <v>3502</v>
      </c>
      <c r="C21" t="s">
        <v>3523</v>
      </c>
      <c r="D21" t="s">
        <v>3585</v>
      </c>
      <c r="E21" t="s">
        <v>3586</v>
      </c>
      <c r="F21" t="s">
        <v>2619</v>
      </c>
      <c r="I21" t="s">
        <v>3587</v>
      </c>
      <c r="J21" t="s">
        <v>3588</v>
      </c>
    </row>
    <row r="22" spans="1:10" x14ac:dyDescent="0.25">
      <c r="A22" t="s">
        <v>7866</v>
      </c>
      <c r="B22" t="s">
        <v>3514</v>
      </c>
      <c r="C22" t="s">
        <v>3523</v>
      </c>
      <c r="D22" t="s">
        <v>7867</v>
      </c>
      <c r="E22" t="s">
        <v>7870</v>
      </c>
      <c r="F22" t="s">
        <v>2619</v>
      </c>
      <c r="G22" t="s">
        <v>7868</v>
      </c>
      <c r="I22" t="s">
        <v>7869</v>
      </c>
      <c r="J22" t="s">
        <v>3577</v>
      </c>
    </row>
    <row r="23" spans="1:10" x14ac:dyDescent="0.25">
      <c r="A23" t="s">
        <v>3589</v>
      </c>
      <c r="B23" t="s">
        <v>41</v>
      </c>
      <c r="C23" t="s">
        <v>3509</v>
      </c>
      <c r="D23" t="s">
        <v>3590</v>
      </c>
      <c r="E23" t="s">
        <v>3591</v>
      </c>
      <c r="F23" t="s">
        <v>1649</v>
      </c>
      <c r="G23" t="s">
        <v>3592</v>
      </c>
      <c r="I23" t="s">
        <v>3593</v>
      </c>
      <c r="J23" t="s">
        <v>3577</v>
      </c>
    </row>
    <row r="24" spans="1:10" x14ac:dyDescent="0.25">
      <c r="A24" t="s">
        <v>7839</v>
      </c>
      <c r="B24" t="s">
        <v>41</v>
      </c>
      <c r="C24" t="s">
        <v>3523</v>
      </c>
      <c r="D24" t="s">
        <v>7840</v>
      </c>
      <c r="E24" t="s">
        <v>7847</v>
      </c>
      <c r="F24" t="s">
        <v>2136</v>
      </c>
      <c r="G24" t="s">
        <v>3675</v>
      </c>
      <c r="I24" t="s">
        <v>7839</v>
      </c>
      <c r="J24" t="s">
        <v>3582</v>
      </c>
    </row>
    <row r="25" spans="1:10" x14ac:dyDescent="0.25">
      <c r="A25" t="s">
        <v>131</v>
      </c>
      <c r="B25" t="s">
        <v>0</v>
      </c>
      <c r="C25" t="s">
        <v>3523</v>
      </c>
      <c r="D25" t="s">
        <v>3594</v>
      </c>
      <c r="E25" t="s">
        <v>3595</v>
      </c>
      <c r="F25" t="s">
        <v>90</v>
      </c>
      <c r="G25" t="s">
        <v>3596</v>
      </c>
      <c r="I25" t="s">
        <v>132</v>
      </c>
      <c r="J25" t="s">
        <v>3577</v>
      </c>
    </row>
    <row r="26" spans="1:10" x14ac:dyDescent="0.25">
      <c r="A26" t="s">
        <v>3597</v>
      </c>
      <c r="B26" t="s">
        <v>41</v>
      </c>
      <c r="C26" t="s">
        <v>3515</v>
      </c>
      <c r="D26" t="s">
        <v>7843</v>
      </c>
      <c r="E26" t="s">
        <v>3598</v>
      </c>
      <c r="F26" t="s">
        <v>2804</v>
      </c>
      <c r="G26" t="s">
        <v>3599</v>
      </c>
      <c r="I26" t="s">
        <v>3600</v>
      </c>
      <c r="J26" t="s">
        <v>3441</v>
      </c>
    </row>
    <row r="27" spans="1:10" x14ac:dyDescent="0.25">
      <c r="A27" t="s">
        <v>3601</v>
      </c>
      <c r="B27" t="s">
        <v>3514</v>
      </c>
      <c r="C27" t="s">
        <v>3523</v>
      </c>
      <c r="D27" t="s">
        <v>7613</v>
      </c>
      <c r="E27" t="s">
        <v>3602</v>
      </c>
      <c r="F27" t="s">
        <v>2619</v>
      </c>
      <c r="G27" t="s">
        <v>3603</v>
      </c>
      <c r="I27" t="s">
        <v>3604</v>
      </c>
      <c r="J27" t="s">
        <v>3545</v>
      </c>
    </row>
    <row r="28" spans="1:10" x14ac:dyDescent="0.25">
      <c r="A28" t="s">
        <v>7841</v>
      </c>
      <c r="B28" t="s">
        <v>3514</v>
      </c>
      <c r="C28" t="s">
        <v>3509</v>
      </c>
      <c r="D28" t="s">
        <v>7842</v>
      </c>
      <c r="E28" t="s">
        <v>7848</v>
      </c>
      <c r="F28" t="s">
        <v>2136</v>
      </c>
      <c r="G28" t="s">
        <v>3531</v>
      </c>
      <c r="I28" t="s">
        <v>7841</v>
      </c>
      <c r="J28" t="s">
        <v>3441</v>
      </c>
    </row>
    <row r="29" spans="1:10" x14ac:dyDescent="0.25">
      <c r="A29" t="s">
        <v>3605</v>
      </c>
      <c r="B29" t="s">
        <v>0</v>
      </c>
      <c r="C29" t="s">
        <v>3606</v>
      </c>
      <c r="D29" t="s">
        <v>3607</v>
      </c>
      <c r="E29" t="s">
        <v>3608</v>
      </c>
      <c r="F29" t="s">
        <v>160</v>
      </c>
      <c r="G29" t="s">
        <v>3531</v>
      </c>
      <c r="I29" t="s">
        <v>3609</v>
      </c>
      <c r="J29" t="s">
        <v>3577</v>
      </c>
    </row>
    <row r="30" spans="1:10" x14ac:dyDescent="0.25">
      <c r="A30" t="s">
        <v>3610</v>
      </c>
      <c r="B30" t="s">
        <v>3514</v>
      </c>
      <c r="C30" t="s">
        <v>3523</v>
      </c>
      <c r="D30" t="s">
        <v>3611</v>
      </c>
      <c r="E30" t="s">
        <v>3612</v>
      </c>
      <c r="F30" t="s">
        <v>497</v>
      </c>
      <c r="G30" t="s">
        <v>3542</v>
      </c>
      <c r="I30" t="s">
        <v>3610</v>
      </c>
      <c r="J30" t="s">
        <v>3582</v>
      </c>
    </row>
    <row r="31" spans="1:10" x14ac:dyDescent="0.25">
      <c r="A31" t="s">
        <v>3613</v>
      </c>
      <c r="B31" t="s">
        <v>3558</v>
      </c>
      <c r="C31" t="s">
        <v>3523</v>
      </c>
      <c r="D31" t="s">
        <v>3614</v>
      </c>
      <c r="E31" t="s">
        <v>3615</v>
      </c>
      <c r="F31" t="s">
        <v>38</v>
      </c>
      <c r="G31" t="s">
        <v>3616</v>
      </c>
      <c r="I31" t="s">
        <v>3617</v>
      </c>
      <c r="J31" t="s">
        <v>3562</v>
      </c>
    </row>
    <row r="32" spans="1:10" x14ac:dyDescent="0.25">
      <c r="A32" t="s">
        <v>3618</v>
      </c>
      <c r="B32" t="s">
        <v>3514</v>
      </c>
      <c r="C32" t="s">
        <v>3551</v>
      </c>
      <c r="D32" t="s">
        <v>3619</v>
      </c>
      <c r="E32" t="s">
        <v>3620</v>
      </c>
      <c r="F32" t="s">
        <v>160</v>
      </c>
      <c r="G32" t="s">
        <v>3621</v>
      </c>
      <c r="I32" t="s">
        <v>3622</v>
      </c>
      <c r="J32" t="s">
        <v>3556</v>
      </c>
    </row>
    <row r="33" spans="1:10" x14ac:dyDescent="0.25">
      <c r="A33" t="s">
        <v>7827</v>
      </c>
      <c r="B33" t="s">
        <v>3514</v>
      </c>
      <c r="C33" t="s">
        <v>3509</v>
      </c>
      <c r="D33" t="s">
        <v>7829</v>
      </c>
      <c r="E33" t="s">
        <v>7834</v>
      </c>
      <c r="F33" t="s">
        <v>38</v>
      </c>
      <c r="G33" t="s">
        <v>3846</v>
      </c>
      <c r="I33" t="s">
        <v>7830</v>
      </c>
      <c r="J33" t="s">
        <v>3577</v>
      </c>
    </row>
    <row r="34" spans="1:10" x14ac:dyDescent="0.25">
      <c r="A34" t="s">
        <v>3623</v>
      </c>
      <c r="B34" t="s">
        <v>41</v>
      </c>
      <c r="C34" t="s">
        <v>3523</v>
      </c>
      <c r="D34" t="s">
        <v>3624</v>
      </c>
      <c r="E34" t="s">
        <v>3625</v>
      </c>
      <c r="F34" t="s">
        <v>1649</v>
      </c>
      <c r="G34" t="s">
        <v>3626</v>
      </c>
      <c r="I34" t="s">
        <v>3627</v>
      </c>
      <c r="J34" t="s">
        <v>3520</v>
      </c>
    </row>
    <row r="35" spans="1:10" x14ac:dyDescent="0.25">
      <c r="A35" t="s">
        <v>3628</v>
      </c>
      <c r="B35" t="s">
        <v>41</v>
      </c>
      <c r="C35" t="s">
        <v>3515</v>
      </c>
      <c r="D35" t="s">
        <v>3629</v>
      </c>
      <c r="E35" t="s">
        <v>3630</v>
      </c>
      <c r="F35" t="s">
        <v>160</v>
      </c>
      <c r="G35" t="s">
        <v>264</v>
      </c>
      <c r="I35" t="s">
        <v>3628</v>
      </c>
      <c r="J35" t="s">
        <v>3441</v>
      </c>
    </row>
    <row r="36" spans="1:10" x14ac:dyDescent="0.25">
      <c r="A36" t="s">
        <v>3631</v>
      </c>
      <c r="B36" t="s">
        <v>3502</v>
      </c>
      <c r="C36" t="s">
        <v>3515</v>
      </c>
      <c r="D36" t="s">
        <v>3632</v>
      </c>
      <c r="E36" t="s">
        <v>3633</v>
      </c>
      <c r="F36" t="s">
        <v>90</v>
      </c>
      <c r="G36" t="s">
        <v>3634</v>
      </c>
      <c r="I36" t="s">
        <v>3631</v>
      </c>
      <c r="J36" t="s">
        <v>3441</v>
      </c>
    </row>
    <row r="37" spans="1:10" x14ac:dyDescent="0.25">
      <c r="A37" t="s">
        <v>3635</v>
      </c>
      <c r="B37" t="s">
        <v>3514</v>
      </c>
      <c r="C37" t="s">
        <v>3509</v>
      </c>
      <c r="D37" t="s">
        <v>3636</v>
      </c>
      <c r="E37" t="s">
        <v>3637</v>
      </c>
      <c r="F37" t="s">
        <v>90</v>
      </c>
      <c r="G37" t="s">
        <v>3638</v>
      </c>
      <c r="I37" t="s">
        <v>3639</v>
      </c>
      <c r="J37" t="s">
        <v>3441</v>
      </c>
    </row>
    <row r="38" spans="1:10" x14ac:dyDescent="0.25">
      <c r="A38" t="s">
        <v>3640</v>
      </c>
      <c r="B38" t="s">
        <v>3514</v>
      </c>
      <c r="C38" t="s">
        <v>3523</v>
      </c>
      <c r="D38" t="s">
        <v>3641</v>
      </c>
      <c r="E38" t="s">
        <v>3642</v>
      </c>
      <c r="F38" t="s">
        <v>493</v>
      </c>
      <c r="G38" t="s">
        <v>3643</v>
      </c>
      <c r="I38" t="s">
        <v>3644</v>
      </c>
      <c r="J38" t="s">
        <v>3582</v>
      </c>
    </row>
    <row r="39" spans="1:10" x14ac:dyDescent="0.25">
      <c r="A39" t="s">
        <v>3645</v>
      </c>
      <c r="B39" t="s">
        <v>41</v>
      </c>
      <c r="C39" t="s">
        <v>3579</v>
      </c>
      <c r="D39" t="s">
        <v>3646</v>
      </c>
      <c r="E39" t="s">
        <v>3647</v>
      </c>
      <c r="F39" t="s">
        <v>160</v>
      </c>
      <c r="G39" t="s">
        <v>3648</v>
      </c>
      <c r="I39" t="s">
        <v>3649</v>
      </c>
      <c r="J39" t="s">
        <v>3588</v>
      </c>
    </row>
    <row r="40" spans="1:10" x14ac:dyDescent="0.25">
      <c r="A40" t="s">
        <v>3650</v>
      </c>
      <c r="B40" t="s">
        <v>41</v>
      </c>
      <c r="C40" t="s">
        <v>3515</v>
      </c>
      <c r="D40" t="s">
        <v>3651</v>
      </c>
      <c r="E40" t="s">
        <v>3652</v>
      </c>
      <c r="F40" t="s">
        <v>160</v>
      </c>
      <c r="G40" t="s">
        <v>3653</v>
      </c>
      <c r="I40" t="s">
        <v>3654</v>
      </c>
      <c r="J40" t="s">
        <v>3588</v>
      </c>
    </row>
    <row r="41" spans="1:10" x14ac:dyDescent="0.25">
      <c r="A41" t="s">
        <v>3655</v>
      </c>
      <c r="B41" t="s">
        <v>41</v>
      </c>
      <c r="C41" t="s">
        <v>3656</v>
      </c>
      <c r="D41" t="s">
        <v>3657</v>
      </c>
      <c r="E41" t="s">
        <v>3658</v>
      </c>
      <c r="F41" t="s">
        <v>90</v>
      </c>
      <c r="G41" t="s">
        <v>3659</v>
      </c>
      <c r="I41" t="s">
        <v>3660</v>
      </c>
      <c r="J41" t="s">
        <v>3520</v>
      </c>
    </row>
    <row r="42" spans="1:10" x14ac:dyDescent="0.25">
      <c r="A42" t="s">
        <v>4745</v>
      </c>
      <c r="B42" t="s">
        <v>3502</v>
      </c>
      <c r="C42" t="s">
        <v>3515</v>
      </c>
      <c r="D42" t="s">
        <v>7371</v>
      </c>
      <c r="E42" t="s">
        <v>7376</v>
      </c>
      <c r="F42" t="s">
        <v>90</v>
      </c>
      <c r="G42" t="s">
        <v>4653</v>
      </c>
      <c r="I42" t="s">
        <v>4748</v>
      </c>
      <c r="J42" t="s">
        <v>3577</v>
      </c>
    </row>
    <row r="43" spans="1:10" x14ac:dyDescent="0.25">
      <c r="A43" t="s">
        <v>3661</v>
      </c>
      <c r="B43" t="s">
        <v>3558</v>
      </c>
      <c r="C43" t="s">
        <v>3523</v>
      </c>
      <c r="D43" t="s">
        <v>3662</v>
      </c>
      <c r="E43" t="s">
        <v>3663</v>
      </c>
      <c r="F43" t="s">
        <v>90</v>
      </c>
      <c r="G43" t="s">
        <v>3659</v>
      </c>
      <c r="I43" t="s">
        <v>3664</v>
      </c>
      <c r="J43" t="s">
        <v>3582</v>
      </c>
    </row>
    <row r="44" spans="1:10" x14ac:dyDescent="0.25">
      <c r="A44" t="s">
        <v>3665</v>
      </c>
      <c r="B44" t="s">
        <v>3514</v>
      </c>
      <c r="C44" t="s">
        <v>3523</v>
      </c>
      <c r="D44" t="s">
        <v>3666</v>
      </c>
      <c r="E44" t="s">
        <v>3667</v>
      </c>
      <c r="F44" t="s">
        <v>2619</v>
      </c>
      <c r="G44" t="s">
        <v>3668</v>
      </c>
      <c r="H44" t="s">
        <v>3669</v>
      </c>
      <c r="I44" t="s">
        <v>3670</v>
      </c>
      <c r="J44" t="s">
        <v>3577</v>
      </c>
    </row>
    <row r="45" spans="1:10" x14ac:dyDescent="0.25">
      <c r="A45" t="s">
        <v>3481</v>
      </c>
      <c r="B45" t="s">
        <v>3514</v>
      </c>
      <c r="C45" t="s">
        <v>3509</v>
      </c>
      <c r="D45" t="s">
        <v>3547</v>
      </c>
      <c r="E45" t="s">
        <v>3548</v>
      </c>
      <c r="F45" t="s">
        <v>2804</v>
      </c>
      <c r="G45" t="s">
        <v>3599</v>
      </c>
      <c r="I45" t="s">
        <v>3481</v>
      </c>
      <c r="J45" t="s">
        <v>3441</v>
      </c>
    </row>
    <row r="46" spans="1:10" x14ac:dyDescent="0.25">
      <c r="A46" t="s">
        <v>3671</v>
      </c>
      <c r="B46" t="s">
        <v>41</v>
      </c>
      <c r="C46" t="s">
        <v>3672</v>
      </c>
      <c r="D46" t="s">
        <v>3673</v>
      </c>
      <c r="E46" t="s">
        <v>3674</v>
      </c>
      <c r="F46" t="s">
        <v>2619</v>
      </c>
      <c r="G46" t="s">
        <v>3675</v>
      </c>
      <c r="H46" t="s">
        <v>3669</v>
      </c>
      <c r="I46" t="s">
        <v>3676</v>
      </c>
      <c r="J46" t="s">
        <v>3582</v>
      </c>
    </row>
    <row r="47" spans="1:10" x14ac:dyDescent="0.25">
      <c r="A47" t="s">
        <v>7844</v>
      </c>
      <c r="B47" t="s">
        <v>3502</v>
      </c>
      <c r="C47" t="s">
        <v>3523</v>
      </c>
      <c r="D47" t="s">
        <v>7845</v>
      </c>
      <c r="E47" t="s">
        <v>7849</v>
      </c>
      <c r="F47" t="s">
        <v>2136</v>
      </c>
      <c r="I47" t="s">
        <v>7846</v>
      </c>
      <c r="J47" t="s">
        <v>3441</v>
      </c>
    </row>
    <row r="48" spans="1:10" x14ac:dyDescent="0.25">
      <c r="A48" t="s">
        <v>7363</v>
      </c>
      <c r="B48" t="s">
        <v>3514</v>
      </c>
      <c r="C48" t="s">
        <v>3509</v>
      </c>
      <c r="D48" t="s">
        <v>7364</v>
      </c>
      <c r="E48" t="s">
        <v>7377</v>
      </c>
      <c r="F48" t="s">
        <v>38</v>
      </c>
      <c r="I48" t="s">
        <v>7365</v>
      </c>
      <c r="J48" t="s">
        <v>3556</v>
      </c>
    </row>
    <row r="49" spans="1:10" x14ac:dyDescent="0.25">
      <c r="A49" t="s">
        <v>7372</v>
      </c>
      <c r="B49" t="s">
        <v>3514</v>
      </c>
      <c r="C49" t="s">
        <v>3509</v>
      </c>
      <c r="D49" t="s">
        <v>7374</v>
      </c>
      <c r="E49" t="s">
        <v>7378</v>
      </c>
      <c r="F49" t="s">
        <v>38</v>
      </c>
      <c r="I49" t="s">
        <v>7373</v>
      </c>
      <c r="J49" t="s">
        <v>3977</v>
      </c>
    </row>
    <row r="50" spans="1:10" x14ac:dyDescent="0.25">
      <c r="A50" t="s">
        <v>3681</v>
      </c>
      <c r="B50" t="s">
        <v>3558</v>
      </c>
      <c r="C50" t="s">
        <v>3523</v>
      </c>
      <c r="D50" t="s">
        <v>3682</v>
      </c>
      <c r="E50" t="s">
        <v>3683</v>
      </c>
      <c r="F50" t="s">
        <v>90</v>
      </c>
      <c r="I50" t="s">
        <v>3684</v>
      </c>
      <c r="J50" t="s">
        <v>3582</v>
      </c>
    </row>
    <row r="51" spans="1:10" x14ac:dyDescent="0.25">
      <c r="A51" t="s">
        <v>3685</v>
      </c>
      <c r="B51" t="s">
        <v>3558</v>
      </c>
      <c r="C51" t="s">
        <v>3523</v>
      </c>
      <c r="D51" t="s">
        <v>3686</v>
      </c>
      <c r="E51" t="s">
        <v>3687</v>
      </c>
      <c r="F51" t="s">
        <v>90</v>
      </c>
      <c r="G51" t="s">
        <v>3688</v>
      </c>
      <c r="I51" t="s">
        <v>3689</v>
      </c>
      <c r="J51" t="s">
        <v>3562</v>
      </c>
    </row>
    <row r="52" spans="1:10" x14ac:dyDescent="0.25">
      <c r="A52" t="s">
        <v>3690</v>
      </c>
      <c r="B52" t="s">
        <v>3514</v>
      </c>
      <c r="C52" t="s">
        <v>3509</v>
      </c>
      <c r="D52" t="s">
        <v>3691</v>
      </c>
      <c r="E52" t="s">
        <v>3692</v>
      </c>
      <c r="F52" t="s">
        <v>497</v>
      </c>
      <c r="G52" t="s">
        <v>3693</v>
      </c>
      <c r="I52" t="s">
        <v>3690</v>
      </c>
      <c r="J52" t="s">
        <v>3520</v>
      </c>
    </row>
    <row r="53" spans="1:10" x14ac:dyDescent="0.25">
      <c r="A53" t="s">
        <v>3694</v>
      </c>
      <c r="B53" t="s">
        <v>3502</v>
      </c>
      <c r="C53" t="s">
        <v>3579</v>
      </c>
      <c r="D53" t="s">
        <v>3695</v>
      </c>
      <c r="E53" t="s">
        <v>3696</v>
      </c>
      <c r="F53" t="s">
        <v>1649</v>
      </c>
      <c r="G53" t="s">
        <v>3697</v>
      </c>
      <c r="I53" t="s">
        <v>3698</v>
      </c>
      <c r="J53" t="s">
        <v>3582</v>
      </c>
    </row>
    <row r="54" spans="1:10" x14ac:dyDescent="0.25">
      <c r="A54" t="s">
        <v>3699</v>
      </c>
      <c r="B54" t="s">
        <v>3514</v>
      </c>
      <c r="C54" t="s">
        <v>3503</v>
      </c>
      <c r="D54" t="s">
        <v>7614</v>
      </c>
      <c r="E54" t="s">
        <v>7637</v>
      </c>
      <c r="F54" t="s">
        <v>2619</v>
      </c>
      <c r="G54" t="s">
        <v>3700</v>
      </c>
      <c r="I54" t="s">
        <v>3701</v>
      </c>
      <c r="J54" t="s">
        <v>3538</v>
      </c>
    </row>
    <row r="55" spans="1:10" x14ac:dyDescent="0.25">
      <c r="A55" t="s">
        <v>3702</v>
      </c>
      <c r="B55" t="s">
        <v>3514</v>
      </c>
      <c r="C55" t="s">
        <v>3515</v>
      </c>
      <c r="D55" t="s">
        <v>3703</v>
      </c>
      <c r="E55" t="s">
        <v>3704</v>
      </c>
      <c r="F55" t="s">
        <v>160</v>
      </c>
      <c r="G55" t="s">
        <v>3688</v>
      </c>
      <c r="H55" t="s">
        <v>3705</v>
      </c>
      <c r="I55" t="s">
        <v>3702</v>
      </c>
      <c r="J55" t="s">
        <v>3706</v>
      </c>
    </row>
    <row r="56" spans="1:10" x14ac:dyDescent="0.25">
      <c r="A56" t="s">
        <v>3707</v>
      </c>
      <c r="B56" t="s">
        <v>3514</v>
      </c>
      <c r="C56" t="s">
        <v>3540</v>
      </c>
      <c r="D56" t="s">
        <v>3708</v>
      </c>
      <c r="E56" t="s">
        <v>3709</v>
      </c>
      <c r="F56" t="s">
        <v>160</v>
      </c>
      <c r="G56" t="s">
        <v>3710</v>
      </c>
      <c r="H56" t="s">
        <v>3543</v>
      </c>
      <c r="I56" t="s">
        <v>3711</v>
      </c>
      <c r="J56" t="s">
        <v>3520</v>
      </c>
    </row>
    <row r="57" spans="1:10" x14ac:dyDescent="0.25">
      <c r="A57" t="s">
        <v>3712</v>
      </c>
      <c r="B57" t="s">
        <v>3514</v>
      </c>
      <c r="C57" t="s">
        <v>3523</v>
      </c>
      <c r="D57" t="s">
        <v>3713</v>
      </c>
      <c r="E57" t="s">
        <v>3714</v>
      </c>
      <c r="F57" t="s">
        <v>2619</v>
      </c>
      <c r="H57" t="s">
        <v>3669</v>
      </c>
      <c r="I57" t="s">
        <v>3715</v>
      </c>
      <c r="J57" t="s">
        <v>3520</v>
      </c>
    </row>
    <row r="58" spans="1:10" x14ac:dyDescent="0.25">
      <c r="A58" t="s">
        <v>3716</v>
      </c>
      <c r="B58" t="s">
        <v>3514</v>
      </c>
      <c r="C58" t="s">
        <v>3509</v>
      </c>
      <c r="D58" t="s">
        <v>3717</v>
      </c>
      <c r="E58" t="s">
        <v>3718</v>
      </c>
      <c r="F58" t="s">
        <v>553</v>
      </c>
      <c r="G58" t="s">
        <v>3719</v>
      </c>
      <c r="I58" t="s">
        <v>3720</v>
      </c>
      <c r="J58" t="s">
        <v>3577</v>
      </c>
    </row>
    <row r="59" spans="1:10" x14ac:dyDescent="0.25">
      <c r="A59" t="s">
        <v>3721</v>
      </c>
      <c r="B59" t="s">
        <v>41</v>
      </c>
      <c r="C59" t="s">
        <v>3656</v>
      </c>
      <c r="D59" t="s">
        <v>3722</v>
      </c>
      <c r="E59" t="s">
        <v>3723</v>
      </c>
      <c r="F59" t="s">
        <v>90</v>
      </c>
      <c r="I59" t="s">
        <v>3721</v>
      </c>
      <c r="J59" t="s">
        <v>3520</v>
      </c>
    </row>
    <row r="60" spans="1:10" x14ac:dyDescent="0.25">
      <c r="A60" t="s">
        <v>7366</v>
      </c>
      <c r="B60" t="s">
        <v>3514</v>
      </c>
      <c r="C60" t="s">
        <v>3523</v>
      </c>
      <c r="D60" t="s">
        <v>7368</v>
      </c>
      <c r="E60" t="s">
        <v>7379</v>
      </c>
      <c r="F60" t="s">
        <v>90</v>
      </c>
      <c r="G60" t="s">
        <v>7370</v>
      </c>
      <c r="I60" t="s">
        <v>7367</v>
      </c>
      <c r="J60" t="s">
        <v>3588</v>
      </c>
    </row>
    <row r="61" spans="1:10" x14ac:dyDescent="0.25">
      <c r="A61" t="s">
        <v>3729</v>
      </c>
      <c r="B61" t="s">
        <v>41</v>
      </c>
      <c r="C61" t="s">
        <v>3672</v>
      </c>
      <c r="D61" t="s">
        <v>3730</v>
      </c>
      <c r="E61" t="s">
        <v>3731</v>
      </c>
      <c r="F61" t="s">
        <v>2619</v>
      </c>
      <c r="G61" t="s">
        <v>3732</v>
      </c>
      <c r="I61" t="s">
        <v>3733</v>
      </c>
      <c r="J61" t="s">
        <v>3577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65"/>
  <sheetViews>
    <sheetView topLeftCell="A13" workbookViewId="0">
      <selection activeCell="I10" sqref="I10"/>
    </sheetView>
  </sheetViews>
  <sheetFormatPr defaultRowHeight="15" x14ac:dyDescent="0.25"/>
  <cols>
    <col min="1" max="1" width="16.5703125" bestFit="1" customWidth="1"/>
    <col min="2" max="2" width="11.7109375" bestFit="1" customWidth="1"/>
    <col min="3" max="3" width="11.42578125" bestFit="1" customWidth="1"/>
    <col min="4" max="4" width="10.42578125" bestFit="1" customWidth="1"/>
    <col min="5" max="5" width="26.5703125" bestFit="1" customWidth="1"/>
    <col min="7" max="7" width="10.42578125" bestFit="1" customWidth="1"/>
    <col min="8" max="8" width="12.140625" bestFit="1" customWidth="1"/>
    <col min="9" max="9" width="49.28515625" bestFit="1" customWidth="1"/>
    <col min="10" max="10" width="49.42578125" bestFit="1" customWidth="1"/>
    <col min="11" max="11" width="16.140625" bestFit="1" customWidth="1"/>
    <col min="12" max="12" width="16.5703125" bestFit="1" customWidth="1"/>
  </cols>
  <sheetData>
    <row r="1" spans="1:14" x14ac:dyDescent="0.25">
      <c r="A1" t="s">
        <v>165</v>
      </c>
      <c r="B1" t="s">
        <v>167</v>
      </c>
      <c r="C1" t="s">
        <v>3734</v>
      </c>
      <c r="D1" t="s">
        <v>3735</v>
      </c>
      <c r="E1" t="s">
        <v>1</v>
      </c>
      <c r="F1" t="s">
        <v>3441</v>
      </c>
      <c r="G1" t="s">
        <v>3736</v>
      </c>
      <c r="H1" t="s">
        <v>3737</v>
      </c>
      <c r="I1" t="s">
        <v>3738</v>
      </c>
      <c r="J1" t="s">
        <v>3739</v>
      </c>
      <c r="K1" t="s">
        <v>171</v>
      </c>
      <c r="L1" t="s">
        <v>3740</v>
      </c>
      <c r="M1" t="s">
        <v>8062</v>
      </c>
      <c r="N1" t="s">
        <v>8039</v>
      </c>
    </row>
    <row r="2" spans="1:14" x14ac:dyDescent="0.25">
      <c r="A2" t="s">
        <v>3741</v>
      </c>
      <c r="B2" t="s">
        <v>176</v>
      </c>
      <c r="C2" t="s">
        <v>3742</v>
      </c>
      <c r="D2" t="s">
        <v>3743</v>
      </c>
      <c r="E2" t="s">
        <v>160</v>
      </c>
      <c r="F2">
        <v>1</v>
      </c>
      <c r="G2">
        <v>1</v>
      </c>
      <c r="H2" t="s">
        <v>3744</v>
      </c>
      <c r="I2" t="s">
        <v>8066</v>
      </c>
      <c r="J2" t="s">
        <v>3458</v>
      </c>
      <c r="K2" t="s">
        <v>3745</v>
      </c>
      <c r="L2" t="s">
        <v>3746</v>
      </c>
      <c r="M2" t="s">
        <v>8063</v>
      </c>
      <c r="N2" t="s">
        <v>4324</v>
      </c>
    </row>
    <row r="3" spans="1:14" x14ac:dyDescent="0.25">
      <c r="A3" t="s">
        <v>3747</v>
      </c>
      <c r="B3" t="s">
        <v>176</v>
      </c>
      <c r="C3" t="s">
        <v>3742</v>
      </c>
      <c r="D3" t="s">
        <v>3743</v>
      </c>
      <c r="E3" t="s">
        <v>497</v>
      </c>
      <c r="F3">
        <v>1</v>
      </c>
      <c r="G3">
        <v>1</v>
      </c>
      <c r="H3" t="s">
        <v>3744</v>
      </c>
      <c r="I3" t="s">
        <v>3748</v>
      </c>
      <c r="J3" t="s">
        <v>3458</v>
      </c>
      <c r="K3" t="s">
        <v>3749</v>
      </c>
      <c r="L3" t="s">
        <v>3506</v>
      </c>
      <c r="M3" t="s">
        <v>8063</v>
      </c>
    </row>
    <row r="4" spans="1:14" x14ac:dyDescent="0.25">
      <c r="A4" t="s">
        <v>7879</v>
      </c>
      <c r="B4" t="s">
        <v>176</v>
      </c>
      <c r="C4" t="s">
        <v>3742</v>
      </c>
      <c r="D4" t="s">
        <v>3743</v>
      </c>
      <c r="E4" t="s">
        <v>1046</v>
      </c>
      <c r="F4">
        <v>1</v>
      </c>
      <c r="G4">
        <v>1</v>
      </c>
      <c r="H4" t="s">
        <v>3751</v>
      </c>
      <c r="I4" t="s">
        <v>7880</v>
      </c>
      <c r="J4" t="s">
        <v>3458</v>
      </c>
      <c r="K4" t="s">
        <v>7879</v>
      </c>
      <c r="L4" t="s">
        <v>7882</v>
      </c>
      <c r="M4" t="s">
        <v>8063</v>
      </c>
    </row>
    <row r="5" spans="1:14" x14ac:dyDescent="0.25">
      <c r="A5" t="s">
        <v>7356</v>
      </c>
      <c r="B5" t="s">
        <v>176</v>
      </c>
      <c r="C5" t="s">
        <v>3742</v>
      </c>
      <c r="D5" t="s">
        <v>3743</v>
      </c>
      <c r="E5" t="s">
        <v>2173</v>
      </c>
      <c r="F5">
        <v>1</v>
      </c>
      <c r="G5">
        <v>1</v>
      </c>
      <c r="H5" t="s">
        <v>3751</v>
      </c>
      <c r="I5" t="s">
        <v>7357</v>
      </c>
      <c r="J5" t="s">
        <v>3458</v>
      </c>
      <c r="K5" t="s">
        <v>7356</v>
      </c>
      <c r="L5" t="s">
        <v>7358</v>
      </c>
      <c r="M5" t="s">
        <v>8063</v>
      </c>
    </row>
    <row r="6" spans="1:14" x14ac:dyDescent="0.25">
      <c r="A6" t="s">
        <v>3750</v>
      </c>
      <c r="B6" t="s">
        <v>176</v>
      </c>
      <c r="C6" t="s">
        <v>3742</v>
      </c>
      <c r="D6" t="s">
        <v>3743</v>
      </c>
      <c r="E6" t="s">
        <v>2619</v>
      </c>
      <c r="F6">
        <v>1</v>
      </c>
      <c r="G6">
        <v>1</v>
      </c>
      <c r="H6" t="s">
        <v>3751</v>
      </c>
      <c r="I6" t="s">
        <v>3752</v>
      </c>
      <c r="J6" t="s">
        <v>7445</v>
      </c>
      <c r="K6" t="s">
        <v>3753</v>
      </c>
      <c r="L6" t="s">
        <v>3675</v>
      </c>
      <c r="M6" t="s">
        <v>8063</v>
      </c>
    </row>
    <row r="7" spans="1:14" x14ac:dyDescent="0.25">
      <c r="A7" t="s">
        <v>3754</v>
      </c>
      <c r="B7" t="s">
        <v>176</v>
      </c>
      <c r="C7" t="s">
        <v>3742</v>
      </c>
      <c r="D7" t="s">
        <v>3743</v>
      </c>
      <c r="E7" t="s">
        <v>1046</v>
      </c>
      <c r="F7">
        <v>1</v>
      </c>
      <c r="G7">
        <v>1</v>
      </c>
      <c r="H7" t="s">
        <v>3755</v>
      </c>
      <c r="I7" t="s">
        <v>8059</v>
      </c>
      <c r="J7" t="s">
        <v>3458</v>
      </c>
      <c r="K7" t="s">
        <v>3756</v>
      </c>
      <c r="L7" t="s">
        <v>7881</v>
      </c>
      <c r="M7" t="s">
        <v>8063</v>
      </c>
    </row>
    <row r="8" spans="1:14" x14ac:dyDescent="0.25">
      <c r="A8" t="s">
        <v>3757</v>
      </c>
      <c r="B8" t="s">
        <v>176</v>
      </c>
      <c r="C8" t="s">
        <v>3742</v>
      </c>
      <c r="D8" t="s">
        <v>3743</v>
      </c>
      <c r="E8" t="s">
        <v>1752</v>
      </c>
      <c r="F8">
        <v>1</v>
      </c>
      <c r="G8">
        <v>1</v>
      </c>
      <c r="H8" t="s">
        <v>3751</v>
      </c>
      <c r="I8" t="s">
        <v>3758</v>
      </c>
      <c r="J8" t="s">
        <v>3458</v>
      </c>
      <c r="K8" t="s">
        <v>3759</v>
      </c>
      <c r="M8" t="s">
        <v>8063</v>
      </c>
    </row>
    <row r="9" spans="1:14" x14ac:dyDescent="0.25">
      <c r="A9" t="s">
        <v>3760</v>
      </c>
      <c r="B9" t="s">
        <v>176</v>
      </c>
      <c r="C9" t="s">
        <v>3742</v>
      </c>
      <c r="D9" t="s">
        <v>3743</v>
      </c>
      <c r="E9" t="s">
        <v>1294</v>
      </c>
      <c r="F9">
        <v>1</v>
      </c>
      <c r="G9">
        <v>1</v>
      </c>
      <c r="H9" t="s">
        <v>3744</v>
      </c>
      <c r="I9" t="s">
        <v>3761</v>
      </c>
      <c r="J9" t="s">
        <v>3458</v>
      </c>
      <c r="K9" t="s">
        <v>3760</v>
      </c>
      <c r="L9" t="s">
        <v>3762</v>
      </c>
      <c r="M9" t="s">
        <v>8063</v>
      </c>
    </row>
    <row r="10" spans="1:14" x14ac:dyDescent="0.25">
      <c r="A10" t="s">
        <v>5082</v>
      </c>
      <c r="B10" t="s">
        <v>176</v>
      </c>
      <c r="C10" t="s">
        <v>3742</v>
      </c>
      <c r="D10" t="s">
        <v>3743</v>
      </c>
      <c r="E10" t="s">
        <v>160</v>
      </c>
      <c r="F10">
        <v>1</v>
      </c>
      <c r="G10">
        <v>1</v>
      </c>
      <c r="H10" t="s">
        <v>3744</v>
      </c>
      <c r="I10" t="s">
        <v>7985</v>
      </c>
      <c r="J10" t="s">
        <v>3458</v>
      </c>
      <c r="K10" t="s">
        <v>5082</v>
      </c>
      <c r="M10" t="s">
        <v>8063</v>
      </c>
    </row>
    <row r="11" spans="1:14" x14ac:dyDescent="0.25">
      <c r="A11" t="s">
        <v>3763</v>
      </c>
      <c r="B11" t="s">
        <v>176</v>
      </c>
      <c r="C11" t="s">
        <v>3742</v>
      </c>
      <c r="D11" t="s">
        <v>3743</v>
      </c>
      <c r="E11" t="s">
        <v>2619</v>
      </c>
      <c r="F11">
        <v>1</v>
      </c>
      <c r="G11">
        <v>1</v>
      </c>
      <c r="H11" t="s">
        <v>3751</v>
      </c>
      <c r="I11" t="s">
        <v>3764</v>
      </c>
      <c r="J11" t="s">
        <v>7451</v>
      </c>
      <c r="K11" t="s">
        <v>3765</v>
      </c>
      <c r="M11" t="s">
        <v>8063</v>
      </c>
    </row>
    <row r="12" spans="1:14" x14ac:dyDescent="0.25">
      <c r="A12" t="s">
        <v>3766</v>
      </c>
      <c r="B12" t="s">
        <v>176</v>
      </c>
      <c r="C12" t="s">
        <v>3742</v>
      </c>
      <c r="D12" t="s">
        <v>3743</v>
      </c>
      <c r="E12" t="s">
        <v>360</v>
      </c>
      <c r="F12">
        <v>1</v>
      </c>
      <c r="G12">
        <v>1</v>
      </c>
      <c r="H12" t="s">
        <v>3744</v>
      </c>
      <c r="I12" t="s">
        <v>3767</v>
      </c>
      <c r="J12" t="s">
        <v>3458</v>
      </c>
      <c r="K12" t="s">
        <v>3768</v>
      </c>
      <c r="L12" t="s">
        <v>3762</v>
      </c>
      <c r="M12" t="s">
        <v>8063</v>
      </c>
    </row>
    <row r="13" spans="1:14" x14ac:dyDescent="0.25">
      <c r="A13" t="s">
        <v>3769</v>
      </c>
      <c r="B13" t="s">
        <v>176</v>
      </c>
      <c r="C13" t="s">
        <v>3742</v>
      </c>
      <c r="D13" t="s">
        <v>3743</v>
      </c>
      <c r="E13" t="s">
        <v>160</v>
      </c>
      <c r="F13">
        <v>1</v>
      </c>
      <c r="G13">
        <v>1</v>
      </c>
      <c r="H13" t="s">
        <v>3744</v>
      </c>
      <c r="I13" t="s">
        <v>8068</v>
      </c>
      <c r="J13" t="s">
        <v>3458</v>
      </c>
      <c r="K13" t="s">
        <v>3769</v>
      </c>
      <c r="L13" t="s">
        <v>3770</v>
      </c>
      <c r="M13" t="s">
        <v>8063</v>
      </c>
      <c r="N13" t="s">
        <v>4324</v>
      </c>
    </row>
    <row r="14" spans="1:14" x14ac:dyDescent="0.25">
      <c r="A14" t="s">
        <v>3771</v>
      </c>
      <c r="B14" t="s">
        <v>176</v>
      </c>
      <c r="C14" t="s">
        <v>3742</v>
      </c>
      <c r="D14" t="s">
        <v>3743</v>
      </c>
      <c r="E14" t="s">
        <v>2132</v>
      </c>
      <c r="F14">
        <v>1</v>
      </c>
      <c r="G14">
        <v>1</v>
      </c>
      <c r="H14" t="s">
        <v>3744</v>
      </c>
      <c r="I14" t="s">
        <v>3772</v>
      </c>
      <c r="J14" t="s">
        <v>3458</v>
      </c>
      <c r="K14" t="s">
        <v>3771</v>
      </c>
      <c r="L14" t="s">
        <v>3675</v>
      </c>
      <c r="M14" t="s">
        <v>8063</v>
      </c>
    </row>
    <row r="15" spans="1:14" x14ac:dyDescent="0.25">
      <c r="A15" t="s">
        <v>3773</v>
      </c>
      <c r="B15" t="s">
        <v>176</v>
      </c>
      <c r="C15" t="s">
        <v>3742</v>
      </c>
      <c r="D15" t="s">
        <v>3743</v>
      </c>
      <c r="E15" t="s">
        <v>1294</v>
      </c>
      <c r="F15">
        <v>1</v>
      </c>
      <c r="G15">
        <v>1</v>
      </c>
      <c r="H15" t="s">
        <v>3751</v>
      </c>
      <c r="I15" t="s">
        <v>3774</v>
      </c>
      <c r="J15" t="s">
        <v>3458</v>
      </c>
      <c r="K15" t="s">
        <v>3773</v>
      </c>
      <c r="L15" t="s">
        <v>458</v>
      </c>
      <c r="M15" t="s">
        <v>8063</v>
      </c>
    </row>
    <row r="16" spans="1:14" x14ac:dyDescent="0.25">
      <c r="A16" t="s">
        <v>3775</v>
      </c>
      <c r="B16" t="s">
        <v>176</v>
      </c>
      <c r="C16" t="s">
        <v>3776</v>
      </c>
      <c r="D16" t="s">
        <v>3743</v>
      </c>
      <c r="E16" t="s">
        <v>2619</v>
      </c>
      <c r="F16">
        <v>1</v>
      </c>
      <c r="G16">
        <v>2</v>
      </c>
      <c r="H16" t="s">
        <v>3744</v>
      </c>
      <c r="I16" t="s">
        <v>8065</v>
      </c>
      <c r="J16" t="s">
        <v>7437</v>
      </c>
      <c r="K16" t="s">
        <v>3775</v>
      </c>
      <c r="L16" t="s">
        <v>3762</v>
      </c>
      <c r="M16" t="s">
        <v>8063</v>
      </c>
      <c r="N16" t="s">
        <v>4330</v>
      </c>
    </row>
    <row r="17" spans="1:14" x14ac:dyDescent="0.25">
      <c r="A17" t="s">
        <v>3777</v>
      </c>
      <c r="B17" t="s">
        <v>176</v>
      </c>
      <c r="C17" t="s">
        <v>3776</v>
      </c>
      <c r="D17" t="s">
        <v>3743</v>
      </c>
      <c r="E17" t="s">
        <v>2132</v>
      </c>
      <c r="F17">
        <v>1</v>
      </c>
      <c r="G17">
        <v>2</v>
      </c>
      <c r="H17" t="s">
        <v>3744</v>
      </c>
      <c r="I17" t="s">
        <v>3778</v>
      </c>
      <c r="J17" t="s">
        <v>3458</v>
      </c>
      <c r="K17" t="s">
        <v>3777</v>
      </c>
      <c r="L17" t="s">
        <v>3506</v>
      </c>
      <c r="M17" t="s">
        <v>8063</v>
      </c>
    </row>
    <row r="18" spans="1:14" x14ac:dyDescent="0.25">
      <c r="A18" t="s">
        <v>3779</v>
      </c>
      <c r="B18" t="s">
        <v>176</v>
      </c>
      <c r="C18" t="s">
        <v>3776</v>
      </c>
      <c r="D18" t="s">
        <v>3743</v>
      </c>
      <c r="E18" t="s">
        <v>2619</v>
      </c>
      <c r="F18">
        <v>1</v>
      </c>
      <c r="G18">
        <v>2</v>
      </c>
      <c r="H18" t="s">
        <v>3751</v>
      </c>
      <c r="I18" t="s">
        <v>3780</v>
      </c>
      <c r="J18" t="s">
        <v>3458</v>
      </c>
      <c r="K18" t="s">
        <v>3781</v>
      </c>
      <c r="L18" t="s">
        <v>3782</v>
      </c>
      <c r="M18" t="s">
        <v>8063</v>
      </c>
    </row>
    <row r="19" spans="1:14" x14ac:dyDescent="0.25">
      <c r="A19" t="s">
        <v>3783</v>
      </c>
      <c r="B19" t="s">
        <v>176</v>
      </c>
      <c r="C19" t="s">
        <v>3776</v>
      </c>
      <c r="D19" t="s">
        <v>3743</v>
      </c>
      <c r="E19" t="s">
        <v>160</v>
      </c>
      <c r="F19">
        <v>1</v>
      </c>
      <c r="G19">
        <v>2</v>
      </c>
      <c r="H19" t="s">
        <v>3744</v>
      </c>
      <c r="I19" t="s">
        <v>3784</v>
      </c>
      <c r="J19" t="s">
        <v>7455</v>
      </c>
      <c r="K19" t="s">
        <v>3785</v>
      </c>
      <c r="L19" t="s">
        <v>3675</v>
      </c>
      <c r="M19" t="s">
        <v>8063</v>
      </c>
    </row>
    <row r="20" spans="1:14" x14ac:dyDescent="0.25">
      <c r="A20" t="s">
        <v>7885</v>
      </c>
      <c r="B20" t="s">
        <v>176</v>
      </c>
      <c r="C20" t="s">
        <v>3776</v>
      </c>
      <c r="D20" t="s">
        <v>3743</v>
      </c>
      <c r="E20" t="s">
        <v>1046</v>
      </c>
      <c r="F20">
        <v>1</v>
      </c>
      <c r="G20">
        <v>2</v>
      </c>
      <c r="H20" t="s">
        <v>3751</v>
      </c>
      <c r="I20" t="s">
        <v>7886</v>
      </c>
      <c r="J20" t="s">
        <v>3458</v>
      </c>
      <c r="K20" t="s">
        <v>7885</v>
      </c>
      <c r="L20" t="s">
        <v>3807</v>
      </c>
      <c r="M20" t="s">
        <v>8063</v>
      </c>
    </row>
    <row r="21" spans="1:14" x14ac:dyDescent="0.25">
      <c r="A21" t="s">
        <v>7883</v>
      </c>
      <c r="B21" t="s">
        <v>176</v>
      </c>
      <c r="C21" t="s">
        <v>3776</v>
      </c>
      <c r="D21" t="s">
        <v>3743</v>
      </c>
      <c r="E21" t="s">
        <v>1046</v>
      </c>
      <c r="F21">
        <v>1</v>
      </c>
      <c r="G21">
        <v>2</v>
      </c>
      <c r="H21" t="s">
        <v>3751</v>
      </c>
      <c r="I21" t="s">
        <v>8089</v>
      </c>
      <c r="J21" t="s">
        <v>3458</v>
      </c>
      <c r="K21" t="s">
        <v>7884</v>
      </c>
      <c r="L21" t="s">
        <v>7882</v>
      </c>
      <c r="M21" t="s">
        <v>8063</v>
      </c>
      <c r="N21" t="s">
        <v>4322</v>
      </c>
    </row>
    <row r="22" spans="1:14" x14ac:dyDescent="0.25">
      <c r="A22" t="s">
        <v>3786</v>
      </c>
      <c r="B22" t="s">
        <v>176</v>
      </c>
      <c r="C22" t="s">
        <v>3776</v>
      </c>
      <c r="D22" t="s">
        <v>3787</v>
      </c>
      <c r="E22" t="s">
        <v>360</v>
      </c>
      <c r="F22">
        <v>1</v>
      </c>
      <c r="G22">
        <v>2</v>
      </c>
      <c r="H22" t="s">
        <v>3744</v>
      </c>
      <c r="I22" t="s">
        <v>8057</v>
      </c>
      <c r="J22" t="s">
        <v>3458</v>
      </c>
      <c r="K22" t="s">
        <v>3788</v>
      </c>
      <c r="L22" t="s">
        <v>3762</v>
      </c>
      <c r="M22" t="s">
        <v>8063</v>
      </c>
      <c r="N22" t="s">
        <v>4322</v>
      </c>
    </row>
    <row r="23" spans="1:14" x14ac:dyDescent="0.25">
      <c r="A23" t="s">
        <v>3789</v>
      </c>
      <c r="B23" t="s">
        <v>176</v>
      </c>
      <c r="C23" t="s">
        <v>3790</v>
      </c>
      <c r="D23" t="s">
        <v>3743</v>
      </c>
      <c r="E23" t="s">
        <v>2619</v>
      </c>
      <c r="F23">
        <v>1</v>
      </c>
      <c r="G23">
        <v>3</v>
      </c>
      <c r="H23" t="s">
        <v>3751</v>
      </c>
      <c r="I23" t="s">
        <v>7434</v>
      </c>
      <c r="J23" t="s">
        <v>7436</v>
      </c>
      <c r="K23" t="s">
        <v>3789</v>
      </c>
      <c r="M23" t="s">
        <v>8063</v>
      </c>
    </row>
    <row r="24" spans="1:14" x14ac:dyDescent="0.25">
      <c r="A24" t="s">
        <v>3791</v>
      </c>
      <c r="B24" t="s">
        <v>176</v>
      </c>
      <c r="C24" t="s">
        <v>3790</v>
      </c>
      <c r="D24" t="s">
        <v>3792</v>
      </c>
      <c r="E24" t="s">
        <v>1294</v>
      </c>
      <c r="F24">
        <v>1</v>
      </c>
      <c r="G24">
        <v>3</v>
      </c>
      <c r="H24" t="s">
        <v>3744</v>
      </c>
      <c r="I24" t="s">
        <v>3793</v>
      </c>
      <c r="J24" t="s">
        <v>3458</v>
      </c>
      <c r="K24" t="s">
        <v>3794</v>
      </c>
      <c r="L24" t="s">
        <v>3795</v>
      </c>
      <c r="M24" t="s">
        <v>8063</v>
      </c>
    </row>
    <row r="25" spans="1:14" x14ac:dyDescent="0.25">
      <c r="A25" t="s">
        <v>3796</v>
      </c>
      <c r="B25" t="s">
        <v>176</v>
      </c>
      <c r="C25" t="s">
        <v>3790</v>
      </c>
      <c r="D25" t="s">
        <v>3743</v>
      </c>
      <c r="E25" t="s">
        <v>1294</v>
      </c>
      <c r="F25">
        <v>1</v>
      </c>
      <c r="G25">
        <v>3</v>
      </c>
      <c r="H25" t="s">
        <v>3751</v>
      </c>
      <c r="I25" t="s">
        <v>3797</v>
      </c>
      <c r="J25" t="s">
        <v>7428</v>
      </c>
      <c r="K25" t="s">
        <v>3798</v>
      </c>
      <c r="M25" t="s">
        <v>8063</v>
      </c>
    </row>
    <row r="26" spans="1:14" x14ac:dyDescent="0.25">
      <c r="A26" t="s">
        <v>3799</v>
      </c>
      <c r="B26" t="s">
        <v>176</v>
      </c>
      <c r="C26" t="s">
        <v>3790</v>
      </c>
      <c r="D26" t="s">
        <v>3800</v>
      </c>
      <c r="E26" t="s">
        <v>360</v>
      </c>
      <c r="F26">
        <v>1</v>
      </c>
      <c r="G26">
        <v>3</v>
      </c>
      <c r="H26" t="s">
        <v>3744</v>
      </c>
      <c r="I26" t="s">
        <v>8058</v>
      </c>
      <c r="J26" t="s">
        <v>3458</v>
      </c>
      <c r="K26" t="s">
        <v>3801</v>
      </c>
      <c r="L26" t="s">
        <v>3762</v>
      </c>
      <c r="M26" t="s">
        <v>8063</v>
      </c>
      <c r="N26" t="s">
        <v>4324</v>
      </c>
    </row>
    <row r="27" spans="1:14" x14ac:dyDescent="0.25">
      <c r="A27" t="s">
        <v>3802</v>
      </c>
      <c r="B27" t="s">
        <v>182</v>
      </c>
      <c r="C27" t="s">
        <v>3742</v>
      </c>
      <c r="D27" t="s">
        <v>3743</v>
      </c>
      <c r="E27" t="s">
        <v>90</v>
      </c>
      <c r="F27">
        <v>1</v>
      </c>
      <c r="G27">
        <v>1</v>
      </c>
      <c r="H27" t="s">
        <v>3751</v>
      </c>
      <c r="I27" t="s">
        <v>3803</v>
      </c>
      <c r="J27" t="s">
        <v>5262</v>
      </c>
      <c r="K27" t="s">
        <v>3802</v>
      </c>
      <c r="M27" t="s">
        <v>8063</v>
      </c>
    </row>
    <row r="28" spans="1:14" x14ac:dyDescent="0.25">
      <c r="A28" t="s">
        <v>3804</v>
      </c>
      <c r="B28" t="s">
        <v>182</v>
      </c>
      <c r="C28" t="s">
        <v>3742</v>
      </c>
      <c r="D28" t="s">
        <v>3743</v>
      </c>
      <c r="E28" t="s">
        <v>90</v>
      </c>
      <c r="F28">
        <v>1</v>
      </c>
      <c r="G28">
        <v>1</v>
      </c>
      <c r="H28" t="s">
        <v>3751</v>
      </c>
      <c r="I28" t="s">
        <v>3805</v>
      </c>
      <c r="J28" t="s">
        <v>3458</v>
      </c>
      <c r="K28" t="s">
        <v>3806</v>
      </c>
      <c r="L28" t="s">
        <v>3807</v>
      </c>
      <c r="M28" t="s">
        <v>8063</v>
      </c>
    </row>
    <row r="29" spans="1:14" x14ac:dyDescent="0.25">
      <c r="A29" t="s">
        <v>3808</v>
      </c>
      <c r="B29" t="s">
        <v>182</v>
      </c>
      <c r="C29" t="s">
        <v>3742</v>
      </c>
      <c r="D29" t="s">
        <v>3743</v>
      </c>
      <c r="E29" t="s">
        <v>960</v>
      </c>
      <c r="F29">
        <v>1</v>
      </c>
      <c r="G29">
        <v>1</v>
      </c>
      <c r="H29" t="s">
        <v>3751</v>
      </c>
      <c r="I29" t="s">
        <v>3809</v>
      </c>
      <c r="J29" t="s">
        <v>3458</v>
      </c>
      <c r="K29" t="s">
        <v>3810</v>
      </c>
      <c r="L29" t="s">
        <v>3811</v>
      </c>
      <c r="M29" t="s">
        <v>8063</v>
      </c>
    </row>
    <row r="30" spans="1:14" x14ac:dyDescent="0.25">
      <c r="A30" t="s">
        <v>3812</v>
      </c>
      <c r="B30" t="s">
        <v>182</v>
      </c>
      <c r="C30" t="s">
        <v>3742</v>
      </c>
      <c r="D30" t="s">
        <v>3743</v>
      </c>
      <c r="E30" t="s">
        <v>960</v>
      </c>
      <c r="F30">
        <v>1</v>
      </c>
      <c r="G30">
        <v>1</v>
      </c>
      <c r="H30" t="s">
        <v>3751</v>
      </c>
      <c r="I30" t="s">
        <v>3813</v>
      </c>
      <c r="J30" t="s">
        <v>7454</v>
      </c>
      <c r="K30" t="s">
        <v>3814</v>
      </c>
      <c r="L30" t="s">
        <v>3815</v>
      </c>
      <c r="M30" t="s">
        <v>8063</v>
      </c>
    </row>
    <row r="31" spans="1:14" x14ac:dyDescent="0.25">
      <c r="A31" t="s">
        <v>3816</v>
      </c>
      <c r="B31" t="s">
        <v>182</v>
      </c>
      <c r="C31" t="s">
        <v>3742</v>
      </c>
      <c r="D31" t="s">
        <v>3743</v>
      </c>
      <c r="E31" t="s">
        <v>38</v>
      </c>
      <c r="F31">
        <v>1</v>
      </c>
      <c r="G31">
        <v>1</v>
      </c>
      <c r="H31" t="s">
        <v>3751</v>
      </c>
      <c r="I31" t="s">
        <v>3817</v>
      </c>
      <c r="J31" t="s">
        <v>3458</v>
      </c>
      <c r="K31" t="s">
        <v>3818</v>
      </c>
      <c r="L31" t="s">
        <v>3819</v>
      </c>
      <c r="M31" t="s">
        <v>8063</v>
      </c>
    </row>
    <row r="32" spans="1:14" x14ac:dyDescent="0.25">
      <c r="A32" t="s">
        <v>3820</v>
      </c>
      <c r="B32" t="s">
        <v>182</v>
      </c>
      <c r="C32" t="s">
        <v>3742</v>
      </c>
      <c r="D32" t="s">
        <v>3743</v>
      </c>
      <c r="E32" t="s">
        <v>38</v>
      </c>
      <c r="F32">
        <v>1</v>
      </c>
      <c r="G32">
        <v>1</v>
      </c>
      <c r="H32" t="s">
        <v>3751</v>
      </c>
      <c r="I32" t="s">
        <v>3821</v>
      </c>
      <c r="J32" t="s">
        <v>3458</v>
      </c>
      <c r="K32" t="s">
        <v>3822</v>
      </c>
      <c r="L32" t="s">
        <v>3823</v>
      </c>
      <c r="M32" t="s">
        <v>8063</v>
      </c>
    </row>
    <row r="33" spans="1:14" x14ac:dyDescent="0.25">
      <c r="A33" t="s">
        <v>3824</v>
      </c>
      <c r="B33" t="s">
        <v>182</v>
      </c>
      <c r="C33" t="s">
        <v>3742</v>
      </c>
      <c r="D33" t="s">
        <v>3792</v>
      </c>
      <c r="E33" t="s">
        <v>90</v>
      </c>
      <c r="F33">
        <v>1</v>
      </c>
      <c r="G33">
        <v>1</v>
      </c>
      <c r="H33" t="s">
        <v>3744</v>
      </c>
      <c r="I33" t="s">
        <v>3825</v>
      </c>
      <c r="J33" t="s">
        <v>7427</v>
      </c>
      <c r="K33" t="s">
        <v>3826</v>
      </c>
      <c r="L33" t="s">
        <v>3827</v>
      </c>
      <c r="M33" t="s">
        <v>8063</v>
      </c>
    </row>
    <row r="34" spans="1:14" x14ac:dyDescent="0.25">
      <c r="A34" t="s">
        <v>3828</v>
      </c>
      <c r="B34" t="s">
        <v>182</v>
      </c>
      <c r="C34" t="s">
        <v>3776</v>
      </c>
      <c r="D34" t="s">
        <v>3743</v>
      </c>
      <c r="E34" t="s">
        <v>90</v>
      </c>
      <c r="F34">
        <v>1</v>
      </c>
      <c r="G34">
        <v>2</v>
      </c>
      <c r="H34" t="s">
        <v>3744</v>
      </c>
      <c r="I34" t="s">
        <v>3829</v>
      </c>
      <c r="J34" t="s">
        <v>3458</v>
      </c>
      <c r="K34" t="s">
        <v>3830</v>
      </c>
      <c r="M34" t="s">
        <v>8063</v>
      </c>
    </row>
    <row r="35" spans="1:14" x14ac:dyDescent="0.25">
      <c r="A35" t="s">
        <v>3831</v>
      </c>
      <c r="B35" t="s">
        <v>182</v>
      </c>
      <c r="C35" t="s">
        <v>3776</v>
      </c>
      <c r="D35" t="s">
        <v>3743</v>
      </c>
      <c r="E35" t="s">
        <v>90</v>
      </c>
      <c r="F35">
        <v>1</v>
      </c>
      <c r="G35">
        <v>2</v>
      </c>
      <c r="H35" t="s">
        <v>3832</v>
      </c>
      <c r="I35" t="s">
        <v>8093</v>
      </c>
      <c r="J35" t="s">
        <v>3458</v>
      </c>
      <c r="K35" t="s">
        <v>3831</v>
      </c>
      <c r="M35" t="s">
        <v>8064</v>
      </c>
    </row>
    <row r="36" spans="1:14" x14ac:dyDescent="0.25">
      <c r="A36" t="s">
        <v>3833</v>
      </c>
      <c r="B36" t="s">
        <v>182</v>
      </c>
      <c r="C36" t="s">
        <v>3776</v>
      </c>
      <c r="D36" t="s">
        <v>3743</v>
      </c>
      <c r="E36" t="s">
        <v>38</v>
      </c>
      <c r="F36">
        <v>1</v>
      </c>
      <c r="G36">
        <v>2</v>
      </c>
      <c r="H36" t="s">
        <v>3751</v>
      </c>
      <c r="I36" t="s">
        <v>3834</v>
      </c>
      <c r="J36" t="s">
        <v>7464</v>
      </c>
      <c r="K36" t="s">
        <v>3835</v>
      </c>
      <c r="M36" t="s">
        <v>8063</v>
      </c>
    </row>
    <row r="37" spans="1:14" x14ac:dyDescent="0.25">
      <c r="A37" t="s">
        <v>3836</v>
      </c>
      <c r="B37" t="s">
        <v>182</v>
      </c>
      <c r="C37" t="s">
        <v>3790</v>
      </c>
      <c r="D37" t="s">
        <v>3743</v>
      </c>
      <c r="E37" t="s">
        <v>90</v>
      </c>
      <c r="F37">
        <v>1</v>
      </c>
      <c r="G37">
        <v>3</v>
      </c>
      <c r="H37" t="s">
        <v>3832</v>
      </c>
      <c r="I37" t="s">
        <v>8082</v>
      </c>
      <c r="J37" t="s">
        <v>7410</v>
      </c>
      <c r="K37" t="s">
        <v>3836</v>
      </c>
      <c r="M37" t="s">
        <v>8064</v>
      </c>
    </row>
    <row r="38" spans="1:14" x14ac:dyDescent="0.25">
      <c r="A38" t="s">
        <v>3837</v>
      </c>
      <c r="B38" t="s">
        <v>182</v>
      </c>
      <c r="C38" t="s">
        <v>3790</v>
      </c>
      <c r="D38" t="s">
        <v>3792</v>
      </c>
      <c r="E38" t="s">
        <v>90</v>
      </c>
      <c r="F38">
        <v>1</v>
      </c>
      <c r="G38">
        <v>3</v>
      </c>
      <c r="H38" t="s">
        <v>3838</v>
      </c>
      <c r="I38" t="s">
        <v>3839</v>
      </c>
      <c r="J38" t="s">
        <v>7422</v>
      </c>
      <c r="K38" t="s">
        <v>3837</v>
      </c>
      <c r="M38" t="s">
        <v>8063</v>
      </c>
    </row>
    <row r="39" spans="1:14" x14ac:dyDescent="0.25">
      <c r="A39" t="s">
        <v>3840</v>
      </c>
      <c r="B39" t="s">
        <v>222</v>
      </c>
      <c r="C39" t="s">
        <v>3742</v>
      </c>
      <c r="D39" t="s">
        <v>3743</v>
      </c>
      <c r="E39" t="s">
        <v>1649</v>
      </c>
      <c r="F39">
        <v>1</v>
      </c>
      <c r="G39">
        <v>1</v>
      </c>
      <c r="H39" t="s">
        <v>3744</v>
      </c>
      <c r="I39" t="s">
        <v>3841</v>
      </c>
      <c r="J39" t="s">
        <v>7438</v>
      </c>
      <c r="K39" t="s">
        <v>3840</v>
      </c>
      <c r="M39" t="s">
        <v>8063</v>
      </c>
    </row>
    <row r="40" spans="1:14" x14ac:dyDescent="0.25">
      <c r="A40" t="s">
        <v>7700</v>
      </c>
      <c r="B40" t="s">
        <v>222</v>
      </c>
      <c r="C40" t="s">
        <v>3742</v>
      </c>
      <c r="D40" t="s">
        <v>3743</v>
      </c>
      <c r="E40" t="s">
        <v>1649</v>
      </c>
      <c r="F40">
        <v>1</v>
      </c>
      <c r="G40">
        <v>1</v>
      </c>
      <c r="H40" t="s">
        <v>3751</v>
      </c>
      <c r="I40" t="s">
        <v>7701</v>
      </c>
      <c r="J40" t="s">
        <v>3458</v>
      </c>
      <c r="K40" t="s">
        <v>7702</v>
      </c>
      <c r="L40" t="s">
        <v>7703</v>
      </c>
      <c r="M40" t="s">
        <v>8063</v>
      </c>
    </row>
    <row r="41" spans="1:14" x14ac:dyDescent="0.25">
      <c r="A41" t="s">
        <v>3842</v>
      </c>
      <c r="B41" t="s">
        <v>222</v>
      </c>
      <c r="C41" t="s">
        <v>3742</v>
      </c>
      <c r="D41" t="s">
        <v>3743</v>
      </c>
      <c r="E41" t="s">
        <v>1201</v>
      </c>
      <c r="F41">
        <v>1</v>
      </c>
      <c r="G41">
        <v>1</v>
      </c>
      <c r="H41" t="s">
        <v>3744</v>
      </c>
      <c r="I41" t="s">
        <v>8067</v>
      </c>
      <c r="J41" t="s">
        <v>3458</v>
      </c>
      <c r="K41" t="s">
        <v>3842</v>
      </c>
      <c r="L41" t="s">
        <v>3843</v>
      </c>
      <c r="M41" t="s">
        <v>8063</v>
      </c>
      <c r="N41" t="s">
        <v>4324</v>
      </c>
    </row>
    <row r="42" spans="1:14" x14ac:dyDescent="0.25">
      <c r="A42" t="s">
        <v>7439</v>
      </c>
      <c r="B42" t="s">
        <v>222</v>
      </c>
      <c r="C42" t="s">
        <v>3742</v>
      </c>
      <c r="D42" t="s">
        <v>3743</v>
      </c>
      <c r="E42" t="s">
        <v>1649</v>
      </c>
      <c r="F42">
        <v>1</v>
      </c>
      <c r="G42">
        <v>1</v>
      </c>
      <c r="H42" t="s">
        <v>3744</v>
      </c>
      <c r="I42" t="s">
        <v>7440</v>
      </c>
      <c r="J42" t="s">
        <v>3458</v>
      </c>
      <c r="K42" t="s">
        <v>7439</v>
      </c>
      <c r="L42" t="s">
        <v>7441</v>
      </c>
      <c r="M42" t="s">
        <v>8063</v>
      </c>
    </row>
    <row r="43" spans="1:14" x14ac:dyDescent="0.25">
      <c r="A43" t="s">
        <v>3844</v>
      </c>
      <c r="B43" t="s">
        <v>222</v>
      </c>
      <c r="C43" t="s">
        <v>3742</v>
      </c>
      <c r="D43" t="s">
        <v>3743</v>
      </c>
      <c r="E43" t="s">
        <v>501</v>
      </c>
      <c r="F43">
        <v>1</v>
      </c>
      <c r="G43">
        <v>1</v>
      </c>
      <c r="H43" t="s">
        <v>3755</v>
      </c>
      <c r="I43" t="s">
        <v>3845</v>
      </c>
      <c r="J43" t="s">
        <v>3458</v>
      </c>
      <c r="K43" t="s">
        <v>3844</v>
      </c>
      <c r="L43" t="s">
        <v>3846</v>
      </c>
      <c r="M43" t="s">
        <v>8063</v>
      </c>
    </row>
    <row r="44" spans="1:14" x14ac:dyDescent="0.25">
      <c r="A44" t="s">
        <v>7689</v>
      </c>
      <c r="B44" t="s">
        <v>222</v>
      </c>
      <c r="C44" t="s">
        <v>3776</v>
      </c>
      <c r="D44" t="s">
        <v>3743</v>
      </c>
      <c r="E44" t="s">
        <v>1649</v>
      </c>
      <c r="F44">
        <v>1</v>
      </c>
      <c r="G44">
        <v>2</v>
      </c>
      <c r="H44" t="s">
        <v>3744</v>
      </c>
      <c r="I44" t="s">
        <v>7690</v>
      </c>
      <c r="J44" t="s">
        <v>3458</v>
      </c>
      <c r="K44" t="s">
        <v>7691</v>
      </c>
      <c r="L44" t="s">
        <v>7692</v>
      </c>
      <c r="M44" t="s">
        <v>8063</v>
      </c>
    </row>
    <row r="45" spans="1:14" x14ac:dyDescent="0.25">
      <c r="A45" t="s">
        <v>7980</v>
      </c>
      <c r="B45" t="s">
        <v>222</v>
      </c>
      <c r="C45" t="s">
        <v>3776</v>
      </c>
      <c r="D45" t="s">
        <v>3743</v>
      </c>
      <c r="E45" t="s">
        <v>1649</v>
      </c>
      <c r="F45">
        <v>1</v>
      </c>
      <c r="G45">
        <v>2</v>
      </c>
      <c r="H45" t="s">
        <v>3838</v>
      </c>
      <c r="I45" t="s">
        <v>7981</v>
      </c>
      <c r="J45" t="s">
        <v>7984</v>
      </c>
      <c r="K45" t="s">
        <v>7983</v>
      </c>
      <c r="M45" t="s">
        <v>8063</v>
      </c>
    </row>
    <row r="46" spans="1:14" x14ac:dyDescent="0.25">
      <c r="A46" t="s">
        <v>7969</v>
      </c>
      <c r="B46" t="s">
        <v>222</v>
      </c>
      <c r="C46" t="s">
        <v>3776</v>
      </c>
      <c r="D46" t="s">
        <v>3743</v>
      </c>
      <c r="E46" t="s">
        <v>1649</v>
      </c>
      <c r="F46">
        <v>1</v>
      </c>
      <c r="G46">
        <v>2</v>
      </c>
      <c r="H46" t="s">
        <v>3755</v>
      </c>
      <c r="I46" t="s">
        <v>7970</v>
      </c>
      <c r="J46" t="s">
        <v>3458</v>
      </c>
      <c r="K46" t="s">
        <v>7969</v>
      </c>
      <c r="L46" t="s">
        <v>7982</v>
      </c>
      <c r="M46" t="s">
        <v>8063</v>
      </c>
    </row>
    <row r="47" spans="1:14" x14ac:dyDescent="0.25">
      <c r="A47" t="s">
        <v>3847</v>
      </c>
      <c r="B47" t="s">
        <v>222</v>
      </c>
      <c r="C47" t="s">
        <v>3776</v>
      </c>
      <c r="D47" t="s">
        <v>3743</v>
      </c>
      <c r="E47" t="s">
        <v>1649</v>
      </c>
      <c r="F47">
        <v>1</v>
      </c>
      <c r="G47">
        <v>2</v>
      </c>
      <c r="H47" t="s">
        <v>3751</v>
      </c>
      <c r="I47" t="s">
        <v>3848</v>
      </c>
      <c r="J47" t="s">
        <v>7409</v>
      </c>
      <c r="K47" t="s">
        <v>3847</v>
      </c>
      <c r="M47" t="s">
        <v>8063</v>
      </c>
    </row>
    <row r="48" spans="1:14" x14ac:dyDescent="0.25">
      <c r="A48" t="s">
        <v>3849</v>
      </c>
      <c r="B48" t="s">
        <v>222</v>
      </c>
      <c r="C48" t="s">
        <v>3776</v>
      </c>
      <c r="D48" t="s">
        <v>3743</v>
      </c>
      <c r="E48" t="s">
        <v>1649</v>
      </c>
      <c r="F48">
        <v>1</v>
      </c>
      <c r="G48">
        <v>2</v>
      </c>
      <c r="H48" t="s">
        <v>3751</v>
      </c>
      <c r="I48" t="s">
        <v>3850</v>
      </c>
      <c r="J48" t="s">
        <v>7405</v>
      </c>
      <c r="K48" t="s">
        <v>3851</v>
      </c>
      <c r="L48" t="s">
        <v>3819</v>
      </c>
      <c r="M48" t="s">
        <v>8063</v>
      </c>
    </row>
    <row r="49" spans="1:13" x14ac:dyDescent="0.25">
      <c r="A49" t="s">
        <v>3852</v>
      </c>
      <c r="B49" t="s">
        <v>222</v>
      </c>
      <c r="C49" t="s">
        <v>3776</v>
      </c>
      <c r="D49" t="s">
        <v>3787</v>
      </c>
      <c r="E49" t="s">
        <v>501</v>
      </c>
      <c r="F49">
        <v>1</v>
      </c>
      <c r="G49">
        <v>2</v>
      </c>
      <c r="H49" t="s">
        <v>3751</v>
      </c>
      <c r="I49" t="s">
        <v>3853</v>
      </c>
      <c r="J49" t="s">
        <v>7402</v>
      </c>
      <c r="K49" t="s">
        <v>3852</v>
      </c>
      <c r="M49" t="s">
        <v>8063</v>
      </c>
    </row>
    <row r="50" spans="1:13" x14ac:dyDescent="0.25">
      <c r="A50" t="s">
        <v>3854</v>
      </c>
      <c r="B50" t="s">
        <v>222</v>
      </c>
      <c r="C50" t="s">
        <v>3776</v>
      </c>
      <c r="D50" t="s">
        <v>3743</v>
      </c>
      <c r="E50" t="s">
        <v>1649</v>
      </c>
      <c r="F50">
        <v>1</v>
      </c>
      <c r="G50">
        <v>2</v>
      </c>
      <c r="H50" t="s">
        <v>3744</v>
      </c>
      <c r="I50" t="s">
        <v>3855</v>
      </c>
      <c r="J50" t="s">
        <v>3458</v>
      </c>
      <c r="K50" t="s">
        <v>3854</v>
      </c>
      <c r="L50" t="s">
        <v>3856</v>
      </c>
      <c r="M50" t="s">
        <v>8063</v>
      </c>
    </row>
    <row r="51" spans="1:13" x14ac:dyDescent="0.25">
      <c r="A51" t="s">
        <v>3857</v>
      </c>
      <c r="B51" t="s">
        <v>222</v>
      </c>
      <c r="C51" t="s">
        <v>3776</v>
      </c>
      <c r="D51" t="s">
        <v>3743</v>
      </c>
      <c r="E51" t="s">
        <v>1649</v>
      </c>
      <c r="F51">
        <v>1</v>
      </c>
      <c r="G51">
        <v>2</v>
      </c>
      <c r="H51" t="s">
        <v>3751</v>
      </c>
      <c r="I51" t="s">
        <v>3858</v>
      </c>
      <c r="J51" t="s">
        <v>7685</v>
      </c>
      <c r="K51" t="s">
        <v>3857</v>
      </c>
      <c r="L51" t="s">
        <v>3859</v>
      </c>
      <c r="M51" t="s">
        <v>8063</v>
      </c>
    </row>
    <row r="52" spans="1:13" x14ac:dyDescent="0.25">
      <c r="A52" t="s">
        <v>3860</v>
      </c>
      <c r="B52" t="s">
        <v>222</v>
      </c>
      <c r="C52" t="s">
        <v>3776</v>
      </c>
      <c r="D52" t="s">
        <v>3743</v>
      </c>
      <c r="E52" t="s">
        <v>1649</v>
      </c>
      <c r="F52">
        <v>1</v>
      </c>
      <c r="G52">
        <v>2</v>
      </c>
      <c r="H52" t="s">
        <v>3751</v>
      </c>
      <c r="I52" t="s">
        <v>3861</v>
      </c>
      <c r="J52" t="s">
        <v>3458</v>
      </c>
      <c r="K52" t="s">
        <v>3862</v>
      </c>
      <c r="L52" t="s">
        <v>3863</v>
      </c>
      <c r="M52" t="s">
        <v>8063</v>
      </c>
    </row>
    <row r="53" spans="1:13" x14ac:dyDescent="0.25">
      <c r="A53" t="s">
        <v>3864</v>
      </c>
      <c r="B53" t="s">
        <v>222</v>
      </c>
      <c r="C53" t="s">
        <v>3776</v>
      </c>
      <c r="D53" t="s">
        <v>3743</v>
      </c>
      <c r="E53" t="s">
        <v>1129</v>
      </c>
      <c r="F53">
        <v>1</v>
      </c>
      <c r="G53">
        <v>2</v>
      </c>
      <c r="H53" t="s">
        <v>3838</v>
      </c>
      <c r="I53" t="s">
        <v>3865</v>
      </c>
      <c r="J53" t="s">
        <v>3458</v>
      </c>
      <c r="K53" t="s">
        <v>3864</v>
      </c>
      <c r="M53" t="s">
        <v>8063</v>
      </c>
    </row>
    <row r="54" spans="1:13" x14ac:dyDescent="0.25">
      <c r="A54" t="s">
        <v>3866</v>
      </c>
      <c r="B54" t="s">
        <v>222</v>
      </c>
      <c r="C54" t="s">
        <v>3790</v>
      </c>
      <c r="D54" t="s">
        <v>3743</v>
      </c>
      <c r="E54" t="s">
        <v>501</v>
      </c>
      <c r="F54">
        <v>1</v>
      </c>
      <c r="G54">
        <v>3</v>
      </c>
      <c r="H54" t="s">
        <v>3838</v>
      </c>
      <c r="I54" t="s">
        <v>3867</v>
      </c>
      <c r="J54" t="s">
        <v>7465</v>
      </c>
      <c r="K54" t="s">
        <v>3868</v>
      </c>
      <c r="M54" t="s">
        <v>8063</v>
      </c>
    </row>
    <row r="55" spans="1:13" x14ac:dyDescent="0.25">
      <c r="A55" t="s">
        <v>7974</v>
      </c>
      <c r="B55" t="s">
        <v>222</v>
      </c>
      <c r="C55" t="s">
        <v>3790</v>
      </c>
      <c r="D55" t="s">
        <v>3743</v>
      </c>
      <c r="E55" t="s">
        <v>1649</v>
      </c>
      <c r="F55">
        <v>1</v>
      </c>
      <c r="G55">
        <v>3</v>
      </c>
      <c r="H55" t="s">
        <v>3744</v>
      </c>
      <c r="I55" t="s">
        <v>7977</v>
      </c>
      <c r="J55" t="s">
        <v>7975</v>
      </c>
      <c r="K55" t="s">
        <v>7979</v>
      </c>
      <c r="L55" t="s">
        <v>7978</v>
      </c>
      <c r="M55" t="s">
        <v>8063</v>
      </c>
    </row>
    <row r="56" spans="1:13" x14ac:dyDescent="0.25">
      <c r="A56" t="s">
        <v>3869</v>
      </c>
      <c r="B56" t="s">
        <v>222</v>
      </c>
      <c r="C56" t="s">
        <v>3790</v>
      </c>
      <c r="D56" t="s">
        <v>3743</v>
      </c>
      <c r="E56" t="s">
        <v>1649</v>
      </c>
      <c r="F56">
        <v>1</v>
      </c>
      <c r="G56">
        <v>3</v>
      </c>
      <c r="H56" t="s">
        <v>3751</v>
      </c>
      <c r="I56" t="s">
        <v>3870</v>
      </c>
      <c r="J56" t="s">
        <v>7684</v>
      </c>
      <c r="K56" t="s">
        <v>3871</v>
      </c>
      <c r="L56" t="s">
        <v>3872</v>
      </c>
      <c r="M56" t="s">
        <v>8063</v>
      </c>
    </row>
    <row r="57" spans="1:13" x14ac:dyDescent="0.25">
      <c r="A57" t="s">
        <v>1168</v>
      </c>
      <c r="B57" t="s">
        <v>222</v>
      </c>
      <c r="C57" t="s">
        <v>3910</v>
      </c>
      <c r="D57" t="s">
        <v>3743</v>
      </c>
      <c r="E57" t="s">
        <v>1649</v>
      </c>
      <c r="F57">
        <v>1</v>
      </c>
      <c r="G57">
        <v>4</v>
      </c>
      <c r="H57" t="s">
        <v>3751</v>
      </c>
      <c r="I57" t="s">
        <v>7693</v>
      </c>
      <c r="J57" t="s">
        <v>7699</v>
      </c>
      <c r="K57" t="s">
        <v>1168</v>
      </c>
      <c r="L57" t="s">
        <v>458</v>
      </c>
      <c r="M57" t="s">
        <v>8063</v>
      </c>
    </row>
    <row r="58" spans="1:13" x14ac:dyDescent="0.25">
      <c r="A58" t="s">
        <v>7971</v>
      </c>
      <c r="B58" t="s">
        <v>222</v>
      </c>
      <c r="C58" t="s">
        <v>3910</v>
      </c>
      <c r="D58" t="s">
        <v>3743</v>
      </c>
      <c r="E58" t="s">
        <v>1649</v>
      </c>
      <c r="F58">
        <v>1</v>
      </c>
      <c r="G58">
        <v>4</v>
      </c>
      <c r="H58" t="s">
        <v>3744</v>
      </c>
      <c r="I58" t="s">
        <v>7972</v>
      </c>
      <c r="J58" t="s">
        <v>3458</v>
      </c>
      <c r="K58" t="s">
        <v>7973</v>
      </c>
      <c r="L58" t="s">
        <v>3863</v>
      </c>
      <c r="M58" t="s">
        <v>8063</v>
      </c>
    </row>
    <row r="59" spans="1:13" x14ac:dyDescent="0.25">
      <c r="A59" t="s">
        <v>7894</v>
      </c>
      <c r="B59" t="s">
        <v>179</v>
      </c>
      <c r="C59" t="s">
        <v>3742</v>
      </c>
      <c r="D59" t="s">
        <v>3743</v>
      </c>
      <c r="E59" t="s">
        <v>1795</v>
      </c>
      <c r="F59">
        <v>1</v>
      </c>
      <c r="G59">
        <v>1</v>
      </c>
      <c r="H59" t="s">
        <v>3832</v>
      </c>
      <c r="I59" t="s">
        <v>8083</v>
      </c>
      <c r="J59" t="s">
        <v>3458</v>
      </c>
      <c r="K59" t="s">
        <v>7895</v>
      </c>
      <c r="M59" t="s">
        <v>8064</v>
      </c>
    </row>
    <row r="60" spans="1:13" x14ac:dyDescent="0.25">
      <c r="A60" t="s">
        <v>3873</v>
      </c>
      <c r="B60" t="s">
        <v>179</v>
      </c>
      <c r="C60" t="s">
        <v>3742</v>
      </c>
      <c r="D60" t="s">
        <v>3743</v>
      </c>
      <c r="E60" t="s">
        <v>1795</v>
      </c>
      <c r="F60">
        <v>1</v>
      </c>
      <c r="G60">
        <v>1</v>
      </c>
      <c r="H60" t="s">
        <v>3838</v>
      </c>
      <c r="I60" t="s">
        <v>3874</v>
      </c>
      <c r="J60" t="s">
        <v>7466</v>
      </c>
      <c r="K60" t="s">
        <v>3873</v>
      </c>
      <c r="M60" t="s">
        <v>8063</v>
      </c>
    </row>
    <row r="61" spans="1:13" x14ac:dyDescent="0.25">
      <c r="A61" t="s">
        <v>7686</v>
      </c>
      <c r="B61" t="s">
        <v>179</v>
      </c>
      <c r="C61" t="s">
        <v>3742</v>
      </c>
      <c r="D61" t="s">
        <v>3743</v>
      </c>
      <c r="E61" t="s">
        <v>689</v>
      </c>
      <c r="F61">
        <v>1</v>
      </c>
      <c r="G61">
        <v>1</v>
      </c>
      <c r="H61" t="s">
        <v>3744</v>
      </c>
      <c r="I61" t="s">
        <v>7687</v>
      </c>
      <c r="J61" t="s">
        <v>3458</v>
      </c>
      <c r="K61" t="s">
        <v>7686</v>
      </c>
      <c r="L61" t="s">
        <v>7688</v>
      </c>
      <c r="M61" t="s">
        <v>8063</v>
      </c>
    </row>
    <row r="62" spans="1:13" x14ac:dyDescent="0.25">
      <c r="A62" t="s">
        <v>3875</v>
      </c>
      <c r="B62" t="s">
        <v>179</v>
      </c>
      <c r="C62" t="s">
        <v>3776</v>
      </c>
      <c r="D62" t="s">
        <v>3743</v>
      </c>
      <c r="E62" t="s">
        <v>1795</v>
      </c>
      <c r="F62">
        <v>1</v>
      </c>
      <c r="G62">
        <v>2</v>
      </c>
      <c r="H62" t="s">
        <v>3832</v>
      </c>
      <c r="I62" t="s">
        <v>8084</v>
      </c>
      <c r="J62" t="s">
        <v>7397</v>
      </c>
      <c r="K62" t="s">
        <v>3876</v>
      </c>
      <c r="M62" t="s">
        <v>8064</v>
      </c>
    </row>
    <row r="63" spans="1:13" x14ac:dyDescent="0.25">
      <c r="A63" t="s">
        <v>3877</v>
      </c>
      <c r="B63" t="s">
        <v>179</v>
      </c>
      <c r="C63" t="s">
        <v>3776</v>
      </c>
      <c r="D63" t="s">
        <v>3743</v>
      </c>
      <c r="E63" t="s">
        <v>1795</v>
      </c>
      <c r="F63">
        <v>1</v>
      </c>
      <c r="G63">
        <v>2</v>
      </c>
      <c r="H63" t="s">
        <v>3751</v>
      </c>
      <c r="I63" t="s">
        <v>3878</v>
      </c>
      <c r="J63" t="s">
        <v>7398</v>
      </c>
      <c r="K63" t="s">
        <v>3877</v>
      </c>
      <c r="M63" t="s">
        <v>8063</v>
      </c>
    </row>
    <row r="64" spans="1:13" x14ac:dyDescent="0.25">
      <c r="A64" t="s">
        <v>7891</v>
      </c>
      <c r="B64" t="s">
        <v>179</v>
      </c>
      <c r="C64" t="s">
        <v>3790</v>
      </c>
      <c r="D64" t="s">
        <v>3743</v>
      </c>
      <c r="E64" t="s">
        <v>553</v>
      </c>
      <c r="F64">
        <v>1</v>
      </c>
      <c r="G64">
        <v>3</v>
      </c>
      <c r="H64" t="s">
        <v>3751</v>
      </c>
      <c r="I64" t="s">
        <v>7892</v>
      </c>
      <c r="J64" t="s">
        <v>3458</v>
      </c>
      <c r="K64" t="s">
        <v>7893</v>
      </c>
      <c r="L64" t="s">
        <v>3819</v>
      </c>
      <c r="M64" t="s">
        <v>8063</v>
      </c>
    </row>
    <row r="65" spans="1:13" x14ac:dyDescent="0.25">
      <c r="A65" t="s">
        <v>3879</v>
      </c>
      <c r="B65" t="s">
        <v>179</v>
      </c>
      <c r="C65" t="s">
        <v>3790</v>
      </c>
      <c r="D65" t="s">
        <v>3743</v>
      </c>
      <c r="E65" t="s">
        <v>1795</v>
      </c>
      <c r="F65">
        <v>1</v>
      </c>
      <c r="G65">
        <v>3</v>
      </c>
      <c r="H65" t="s">
        <v>3751</v>
      </c>
      <c r="I65" t="s">
        <v>3880</v>
      </c>
      <c r="J65" t="s">
        <v>3458</v>
      </c>
      <c r="K65" t="s">
        <v>3879</v>
      </c>
      <c r="M65" t="s">
        <v>8063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8"/>
  <sheetViews>
    <sheetView workbookViewId="0">
      <selection activeCell="I2" sqref="I2"/>
    </sheetView>
  </sheetViews>
  <sheetFormatPr defaultRowHeight="15" x14ac:dyDescent="0.25"/>
  <cols>
    <col min="1" max="1" width="20" bestFit="1" customWidth="1"/>
    <col min="2" max="2" width="11.7109375" bestFit="1" customWidth="1"/>
    <col min="3" max="4" width="11.28515625" customWidth="1"/>
    <col min="5" max="5" width="26.5703125" bestFit="1" customWidth="1"/>
    <col min="7" max="7" width="10.28515625" customWidth="1"/>
    <col min="8" max="8" width="12" customWidth="1"/>
    <col min="9" max="9" width="57.5703125" bestFit="1" customWidth="1"/>
    <col min="10" max="10" width="37.5703125" bestFit="1" customWidth="1"/>
    <col min="11" max="11" width="31.42578125" bestFit="1" customWidth="1"/>
    <col min="12" max="12" width="16.5703125" bestFit="1" customWidth="1"/>
    <col min="13" max="13" width="23.85546875" bestFit="1" customWidth="1"/>
  </cols>
  <sheetData>
    <row r="1" spans="1:15" x14ac:dyDescent="0.25">
      <c r="A1" t="s">
        <v>165</v>
      </c>
      <c r="B1" t="s">
        <v>167</v>
      </c>
      <c r="C1" t="s">
        <v>3734</v>
      </c>
      <c r="D1" t="s">
        <v>3735</v>
      </c>
      <c r="E1" t="s">
        <v>1</v>
      </c>
      <c r="F1" t="s">
        <v>3441</v>
      </c>
      <c r="G1" t="s">
        <v>3736</v>
      </c>
      <c r="H1" t="s">
        <v>3737</v>
      </c>
      <c r="I1" t="s">
        <v>3738</v>
      </c>
      <c r="J1" t="s">
        <v>3739</v>
      </c>
      <c r="K1" t="s">
        <v>171</v>
      </c>
      <c r="L1" t="s">
        <v>3740</v>
      </c>
      <c r="M1" t="s">
        <v>7468</v>
      </c>
      <c r="N1" t="s">
        <v>8062</v>
      </c>
      <c r="O1" t="s">
        <v>8039</v>
      </c>
    </row>
    <row r="2" spans="1:15" x14ac:dyDescent="0.25">
      <c r="A2" t="s">
        <v>3881</v>
      </c>
      <c r="B2" t="s">
        <v>176</v>
      </c>
      <c r="C2" t="s">
        <v>3742</v>
      </c>
      <c r="D2" t="s">
        <v>3792</v>
      </c>
      <c r="E2" t="s">
        <v>1046</v>
      </c>
      <c r="F2">
        <v>1</v>
      </c>
      <c r="G2">
        <v>3</v>
      </c>
      <c r="H2" t="s">
        <v>3755</v>
      </c>
      <c r="I2" t="s">
        <v>8088</v>
      </c>
      <c r="J2" t="s">
        <v>7449</v>
      </c>
      <c r="K2" t="s">
        <v>3881</v>
      </c>
      <c r="L2" t="s">
        <v>3882</v>
      </c>
      <c r="N2" t="s">
        <v>8063</v>
      </c>
    </row>
    <row r="3" spans="1:15" x14ac:dyDescent="0.25">
      <c r="A3" t="s">
        <v>3883</v>
      </c>
      <c r="B3" t="s">
        <v>176</v>
      </c>
      <c r="C3" t="s">
        <v>3742</v>
      </c>
      <c r="D3" t="s">
        <v>3792</v>
      </c>
      <c r="E3" t="s">
        <v>1752</v>
      </c>
      <c r="F3">
        <v>1</v>
      </c>
      <c r="G3">
        <v>3</v>
      </c>
      <c r="H3" t="s">
        <v>3744</v>
      </c>
      <c r="I3" t="s">
        <v>3884</v>
      </c>
      <c r="J3" t="s">
        <v>3458</v>
      </c>
      <c r="K3" t="s">
        <v>3885</v>
      </c>
      <c r="L3" t="s">
        <v>3886</v>
      </c>
      <c r="N3" t="s">
        <v>8063</v>
      </c>
    </row>
    <row r="4" spans="1:15" x14ac:dyDescent="0.25">
      <c r="A4" t="s">
        <v>3887</v>
      </c>
      <c r="B4" t="s">
        <v>176</v>
      </c>
      <c r="C4" t="s">
        <v>3742</v>
      </c>
      <c r="D4" t="s">
        <v>3792</v>
      </c>
      <c r="E4" t="s">
        <v>2132</v>
      </c>
      <c r="F4">
        <v>1</v>
      </c>
      <c r="G4">
        <v>3</v>
      </c>
      <c r="H4" t="s">
        <v>3838</v>
      </c>
      <c r="I4" t="s">
        <v>3888</v>
      </c>
      <c r="J4" t="s">
        <v>7380</v>
      </c>
      <c r="K4" t="s">
        <v>3887</v>
      </c>
      <c r="N4" t="s">
        <v>8063</v>
      </c>
    </row>
    <row r="5" spans="1:15" x14ac:dyDescent="0.25">
      <c r="A5" t="s">
        <v>3889</v>
      </c>
      <c r="B5" t="s">
        <v>176</v>
      </c>
      <c r="C5" t="s">
        <v>3742</v>
      </c>
      <c r="D5" t="s">
        <v>3743</v>
      </c>
      <c r="E5" t="s">
        <v>160</v>
      </c>
      <c r="F5">
        <v>1</v>
      </c>
      <c r="G5">
        <v>3</v>
      </c>
      <c r="H5" t="s">
        <v>3832</v>
      </c>
      <c r="I5" t="s">
        <v>8085</v>
      </c>
      <c r="J5" t="s">
        <v>7457</v>
      </c>
      <c r="K5" t="s">
        <v>3889</v>
      </c>
      <c r="N5" t="s">
        <v>8064</v>
      </c>
    </row>
    <row r="6" spans="1:15" x14ac:dyDescent="0.25">
      <c r="A6" t="s">
        <v>7359</v>
      </c>
      <c r="B6" t="s">
        <v>176</v>
      </c>
      <c r="C6" t="s">
        <v>3742</v>
      </c>
      <c r="D6" t="s">
        <v>3792</v>
      </c>
      <c r="E6" t="s">
        <v>2173</v>
      </c>
      <c r="F6">
        <v>1</v>
      </c>
      <c r="G6">
        <v>3</v>
      </c>
      <c r="H6" t="s">
        <v>3751</v>
      </c>
      <c r="I6" t="s">
        <v>7360</v>
      </c>
      <c r="J6" t="s">
        <v>3458</v>
      </c>
      <c r="K6" t="s">
        <v>7359</v>
      </c>
      <c r="L6" t="s">
        <v>4570</v>
      </c>
      <c r="N6" t="s">
        <v>8063</v>
      </c>
    </row>
    <row r="7" spans="1:15" x14ac:dyDescent="0.25">
      <c r="A7" t="s">
        <v>3890</v>
      </c>
      <c r="B7" t="s">
        <v>176</v>
      </c>
      <c r="C7" t="s">
        <v>3742</v>
      </c>
      <c r="D7" t="s">
        <v>3792</v>
      </c>
      <c r="E7" t="s">
        <v>2619</v>
      </c>
      <c r="F7">
        <v>1</v>
      </c>
      <c r="G7">
        <v>3</v>
      </c>
      <c r="H7" t="s">
        <v>3744</v>
      </c>
      <c r="I7" t="s">
        <v>3891</v>
      </c>
      <c r="J7" t="s">
        <v>7459</v>
      </c>
      <c r="K7" t="s">
        <v>3892</v>
      </c>
      <c r="N7" t="s">
        <v>8063</v>
      </c>
    </row>
    <row r="8" spans="1:15" x14ac:dyDescent="0.25">
      <c r="A8" t="s">
        <v>3893</v>
      </c>
      <c r="B8" t="s">
        <v>176</v>
      </c>
      <c r="C8" t="s">
        <v>3742</v>
      </c>
      <c r="D8" t="s">
        <v>3743</v>
      </c>
      <c r="E8" t="s">
        <v>1294</v>
      </c>
      <c r="F8">
        <v>1</v>
      </c>
      <c r="G8">
        <v>3</v>
      </c>
      <c r="H8" t="s">
        <v>3755</v>
      </c>
      <c r="I8" t="s">
        <v>3894</v>
      </c>
      <c r="J8" t="s">
        <v>3458</v>
      </c>
      <c r="K8" t="s">
        <v>3893</v>
      </c>
      <c r="N8" t="s">
        <v>8063</v>
      </c>
    </row>
    <row r="9" spans="1:15" x14ac:dyDescent="0.25">
      <c r="A9" t="s">
        <v>3895</v>
      </c>
      <c r="B9" t="s">
        <v>176</v>
      </c>
      <c r="C9" t="s">
        <v>3742</v>
      </c>
      <c r="D9" t="s">
        <v>3743</v>
      </c>
      <c r="E9" t="s">
        <v>160</v>
      </c>
      <c r="F9">
        <v>1</v>
      </c>
      <c r="G9">
        <v>3</v>
      </c>
      <c r="H9" t="s">
        <v>3838</v>
      </c>
      <c r="I9" t="s">
        <v>3896</v>
      </c>
      <c r="J9" t="s">
        <v>3458</v>
      </c>
      <c r="K9" t="s">
        <v>3895</v>
      </c>
      <c r="N9" t="s">
        <v>8063</v>
      </c>
    </row>
    <row r="10" spans="1:15" x14ac:dyDescent="0.25">
      <c r="A10" t="s">
        <v>7904</v>
      </c>
      <c r="B10" t="s">
        <v>176</v>
      </c>
      <c r="C10" t="s">
        <v>3742</v>
      </c>
      <c r="D10" t="s">
        <v>3743</v>
      </c>
      <c r="E10" t="s">
        <v>2619</v>
      </c>
      <c r="F10">
        <v>1</v>
      </c>
      <c r="G10">
        <v>3</v>
      </c>
      <c r="H10" t="s">
        <v>3751</v>
      </c>
      <c r="I10" t="s">
        <v>7905</v>
      </c>
      <c r="J10" t="s">
        <v>3458</v>
      </c>
      <c r="K10" t="s">
        <v>7906</v>
      </c>
      <c r="N10" t="s">
        <v>8063</v>
      </c>
    </row>
    <row r="11" spans="1:15" x14ac:dyDescent="0.25">
      <c r="A11" t="s">
        <v>3897</v>
      </c>
      <c r="B11" t="s">
        <v>176</v>
      </c>
      <c r="C11" t="s">
        <v>3776</v>
      </c>
      <c r="D11" t="s">
        <v>3898</v>
      </c>
      <c r="E11" t="s">
        <v>1294</v>
      </c>
      <c r="F11">
        <v>1</v>
      </c>
      <c r="G11">
        <v>5</v>
      </c>
      <c r="H11" t="s">
        <v>3755</v>
      </c>
      <c r="I11" t="s">
        <v>3899</v>
      </c>
      <c r="J11" t="s">
        <v>3458</v>
      </c>
      <c r="K11" t="s">
        <v>3897</v>
      </c>
      <c r="N11" t="s">
        <v>8063</v>
      </c>
    </row>
    <row r="12" spans="1:15" x14ac:dyDescent="0.25">
      <c r="A12" t="s">
        <v>3900</v>
      </c>
      <c r="B12" t="s">
        <v>176</v>
      </c>
      <c r="C12" t="s">
        <v>3776</v>
      </c>
      <c r="D12" t="s">
        <v>3743</v>
      </c>
      <c r="E12" t="s">
        <v>160</v>
      </c>
      <c r="F12">
        <v>1</v>
      </c>
      <c r="G12">
        <v>5</v>
      </c>
      <c r="H12" t="s">
        <v>3751</v>
      </c>
      <c r="I12" t="s">
        <v>3901</v>
      </c>
      <c r="J12" t="s">
        <v>3458</v>
      </c>
      <c r="K12" t="s">
        <v>3902</v>
      </c>
      <c r="N12" t="s">
        <v>8063</v>
      </c>
    </row>
    <row r="13" spans="1:15" x14ac:dyDescent="0.25">
      <c r="A13" t="s">
        <v>7887</v>
      </c>
      <c r="B13" t="s">
        <v>176</v>
      </c>
      <c r="C13" t="s">
        <v>3776</v>
      </c>
      <c r="D13" t="s">
        <v>3743</v>
      </c>
      <c r="E13" t="s">
        <v>1046</v>
      </c>
      <c r="F13">
        <v>1</v>
      </c>
      <c r="G13">
        <v>5</v>
      </c>
      <c r="H13" t="s">
        <v>3751</v>
      </c>
      <c r="I13" t="s">
        <v>7888</v>
      </c>
      <c r="J13" t="s">
        <v>3458</v>
      </c>
      <c r="K13" t="s">
        <v>7889</v>
      </c>
      <c r="L13" t="s">
        <v>7890</v>
      </c>
      <c r="N13" t="s">
        <v>8063</v>
      </c>
    </row>
    <row r="14" spans="1:15" x14ac:dyDescent="0.25">
      <c r="A14" t="s">
        <v>3903</v>
      </c>
      <c r="B14" t="s">
        <v>176</v>
      </c>
      <c r="C14" t="s">
        <v>3776</v>
      </c>
      <c r="D14" t="s">
        <v>3743</v>
      </c>
      <c r="E14" t="s">
        <v>1029</v>
      </c>
      <c r="F14">
        <v>1</v>
      </c>
      <c r="G14">
        <v>5</v>
      </c>
      <c r="H14" t="s">
        <v>3751</v>
      </c>
      <c r="I14" t="s">
        <v>3904</v>
      </c>
      <c r="J14" t="s">
        <v>7447</v>
      </c>
      <c r="K14" t="s">
        <v>3905</v>
      </c>
      <c r="N14" t="s">
        <v>8063</v>
      </c>
    </row>
    <row r="15" spans="1:15" x14ac:dyDescent="0.25">
      <c r="A15" t="s">
        <v>3906</v>
      </c>
      <c r="B15" t="s">
        <v>176</v>
      </c>
      <c r="C15" t="s">
        <v>3776</v>
      </c>
      <c r="D15" t="s">
        <v>3743</v>
      </c>
      <c r="E15" t="s">
        <v>1298</v>
      </c>
      <c r="F15">
        <v>1</v>
      </c>
      <c r="G15">
        <v>5</v>
      </c>
      <c r="H15" t="s">
        <v>3751</v>
      </c>
      <c r="I15" t="s">
        <v>3907</v>
      </c>
      <c r="J15" t="s">
        <v>3458</v>
      </c>
      <c r="K15" t="s">
        <v>3906</v>
      </c>
      <c r="N15" t="s">
        <v>8063</v>
      </c>
    </row>
    <row r="16" spans="1:15" x14ac:dyDescent="0.25">
      <c r="A16" t="s">
        <v>7902</v>
      </c>
      <c r="B16" t="s">
        <v>176</v>
      </c>
      <c r="C16" t="s">
        <v>3776</v>
      </c>
      <c r="D16" t="s">
        <v>7903</v>
      </c>
      <c r="E16" t="s">
        <v>1046</v>
      </c>
      <c r="F16">
        <v>1</v>
      </c>
      <c r="G16">
        <v>5</v>
      </c>
      <c r="H16" t="s">
        <v>3751</v>
      </c>
      <c r="I16" t="s">
        <v>7901</v>
      </c>
      <c r="J16" t="s">
        <v>3458</v>
      </c>
      <c r="K16" t="s">
        <v>7902</v>
      </c>
      <c r="N16" t="s">
        <v>8063</v>
      </c>
    </row>
    <row r="17" spans="1:14" x14ac:dyDescent="0.25">
      <c r="A17" t="s">
        <v>3468</v>
      </c>
      <c r="B17" t="s">
        <v>176</v>
      </c>
      <c r="C17" t="s">
        <v>3790</v>
      </c>
      <c r="D17" t="s">
        <v>3743</v>
      </c>
      <c r="E17" t="s">
        <v>160</v>
      </c>
      <c r="F17">
        <v>1</v>
      </c>
      <c r="G17">
        <v>7</v>
      </c>
      <c r="H17" t="s">
        <v>3744</v>
      </c>
      <c r="I17" t="s">
        <v>3908</v>
      </c>
      <c r="J17" t="s">
        <v>3458</v>
      </c>
      <c r="K17" t="s">
        <v>3468</v>
      </c>
      <c r="N17" t="s">
        <v>8063</v>
      </c>
    </row>
    <row r="18" spans="1:14" x14ac:dyDescent="0.25">
      <c r="A18" t="s">
        <v>3909</v>
      </c>
      <c r="B18" t="s">
        <v>176</v>
      </c>
      <c r="C18" t="s">
        <v>3910</v>
      </c>
      <c r="D18" t="s">
        <v>3787</v>
      </c>
      <c r="E18" t="s">
        <v>1046</v>
      </c>
      <c r="F18">
        <v>1</v>
      </c>
      <c r="G18">
        <v>9</v>
      </c>
      <c r="H18" t="s">
        <v>3744</v>
      </c>
      <c r="I18" t="s">
        <v>3911</v>
      </c>
      <c r="J18" t="s">
        <v>3458</v>
      </c>
      <c r="K18" t="s">
        <v>3909</v>
      </c>
      <c r="L18" t="s">
        <v>3762</v>
      </c>
      <c r="N18" t="s">
        <v>8063</v>
      </c>
    </row>
    <row r="19" spans="1:14" x14ac:dyDescent="0.25">
      <c r="A19" t="s">
        <v>7907</v>
      </c>
      <c r="B19" t="s">
        <v>176</v>
      </c>
      <c r="C19" t="s">
        <v>3910</v>
      </c>
      <c r="D19" t="s">
        <v>3792</v>
      </c>
      <c r="E19" t="s">
        <v>709</v>
      </c>
      <c r="F19">
        <v>1</v>
      </c>
      <c r="G19">
        <v>9</v>
      </c>
      <c r="H19" t="s">
        <v>3751</v>
      </c>
      <c r="I19" t="s">
        <v>7908</v>
      </c>
      <c r="J19" t="s">
        <v>3458</v>
      </c>
      <c r="K19" t="s">
        <v>7909</v>
      </c>
      <c r="N19" t="s">
        <v>8063</v>
      </c>
    </row>
    <row r="20" spans="1:14" x14ac:dyDescent="0.25">
      <c r="A20" t="s">
        <v>7897</v>
      </c>
      <c r="B20" t="s">
        <v>182</v>
      </c>
      <c r="C20" t="s">
        <v>3742</v>
      </c>
      <c r="D20" t="s">
        <v>3743</v>
      </c>
      <c r="E20" t="s">
        <v>90</v>
      </c>
      <c r="F20">
        <v>1</v>
      </c>
      <c r="G20">
        <v>3</v>
      </c>
      <c r="H20" t="s">
        <v>3751</v>
      </c>
      <c r="I20" t="s">
        <v>7896</v>
      </c>
      <c r="J20" t="s">
        <v>3458</v>
      </c>
      <c r="K20" t="s">
        <v>7898</v>
      </c>
      <c r="N20" t="s">
        <v>8063</v>
      </c>
    </row>
    <row r="21" spans="1:14" x14ac:dyDescent="0.25">
      <c r="A21" t="s">
        <v>3912</v>
      </c>
      <c r="B21" t="s">
        <v>182</v>
      </c>
      <c r="C21" t="s">
        <v>3742</v>
      </c>
      <c r="D21" t="s">
        <v>3792</v>
      </c>
      <c r="E21" t="s">
        <v>90</v>
      </c>
      <c r="F21">
        <v>1</v>
      </c>
      <c r="G21">
        <v>3</v>
      </c>
      <c r="H21" t="s">
        <v>3751</v>
      </c>
      <c r="I21" t="s">
        <v>3913</v>
      </c>
      <c r="J21" t="s">
        <v>3458</v>
      </c>
      <c r="K21" t="s">
        <v>3914</v>
      </c>
      <c r="N21" t="s">
        <v>8063</v>
      </c>
    </row>
    <row r="22" spans="1:14" x14ac:dyDescent="0.25">
      <c r="A22" t="s">
        <v>3915</v>
      </c>
      <c r="B22" t="s">
        <v>182</v>
      </c>
      <c r="C22" t="s">
        <v>3742</v>
      </c>
      <c r="D22" t="s">
        <v>3743</v>
      </c>
      <c r="E22" t="s">
        <v>38</v>
      </c>
      <c r="F22">
        <v>1</v>
      </c>
      <c r="G22">
        <v>3</v>
      </c>
      <c r="H22" t="s">
        <v>3751</v>
      </c>
      <c r="I22" t="s">
        <v>3916</v>
      </c>
      <c r="J22" t="s">
        <v>7412</v>
      </c>
      <c r="K22" t="s">
        <v>3915</v>
      </c>
      <c r="N22" t="s">
        <v>8063</v>
      </c>
    </row>
    <row r="23" spans="1:14" x14ac:dyDescent="0.25">
      <c r="A23" t="s">
        <v>3917</v>
      </c>
      <c r="B23" t="s">
        <v>182</v>
      </c>
      <c r="C23" t="s">
        <v>3776</v>
      </c>
      <c r="D23" t="s">
        <v>3743</v>
      </c>
      <c r="E23" t="s">
        <v>353</v>
      </c>
      <c r="F23">
        <v>1</v>
      </c>
      <c r="G23">
        <v>5</v>
      </c>
      <c r="H23" t="s">
        <v>3832</v>
      </c>
      <c r="I23" t="s">
        <v>8078</v>
      </c>
      <c r="J23" t="s">
        <v>3458</v>
      </c>
      <c r="K23" t="s">
        <v>3918</v>
      </c>
      <c r="N23" t="s">
        <v>8064</v>
      </c>
    </row>
    <row r="24" spans="1:14" x14ac:dyDescent="0.25">
      <c r="A24" t="s">
        <v>3919</v>
      </c>
      <c r="B24" t="s">
        <v>182</v>
      </c>
      <c r="C24" t="s">
        <v>3776</v>
      </c>
      <c r="D24" t="s">
        <v>3743</v>
      </c>
      <c r="E24" t="s">
        <v>353</v>
      </c>
      <c r="F24">
        <v>1</v>
      </c>
      <c r="G24">
        <v>5</v>
      </c>
      <c r="H24" t="s">
        <v>3832</v>
      </c>
      <c r="I24" t="s">
        <v>8081</v>
      </c>
      <c r="J24" t="s">
        <v>3458</v>
      </c>
      <c r="K24" t="s">
        <v>3920</v>
      </c>
      <c r="N24" t="s">
        <v>8064</v>
      </c>
    </row>
    <row r="25" spans="1:14" x14ac:dyDescent="0.25">
      <c r="A25" t="s">
        <v>3921</v>
      </c>
      <c r="B25" t="s">
        <v>182</v>
      </c>
      <c r="C25" t="s">
        <v>3776</v>
      </c>
      <c r="D25" t="s">
        <v>3743</v>
      </c>
      <c r="E25" t="s">
        <v>353</v>
      </c>
      <c r="F25">
        <v>1</v>
      </c>
      <c r="G25">
        <v>5</v>
      </c>
      <c r="H25" t="s">
        <v>3832</v>
      </c>
      <c r="I25" t="s">
        <v>8079</v>
      </c>
      <c r="J25" t="s">
        <v>3458</v>
      </c>
      <c r="K25" t="s">
        <v>3922</v>
      </c>
      <c r="N25" t="s">
        <v>8064</v>
      </c>
    </row>
    <row r="26" spans="1:14" x14ac:dyDescent="0.25">
      <c r="A26" t="s">
        <v>3923</v>
      </c>
      <c r="B26" t="s">
        <v>182</v>
      </c>
      <c r="C26" t="s">
        <v>3776</v>
      </c>
      <c r="D26" t="s">
        <v>3792</v>
      </c>
      <c r="E26" t="s">
        <v>38</v>
      </c>
      <c r="F26">
        <v>1</v>
      </c>
      <c r="G26">
        <v>5</v>
      </c>
      <c r="H26" t="s">
        <v>3744</v>
      </c>
      <c r="I26" t="s">
        <v>3924</v>
      </c>
      <c r="J26" t="s">
        <v>7463</v>
      </c>
      <c r="K26" t="s">
        <v>3925</v>
      </c>
      <c r="N26" t="s">
        <v>8063</v>
      </c>
    </row>
    <row r="27" spans="1:14" x14ac:dyDescent="0.25">
      <c r="A27" t="s">
        <v>3926</v>
      </c>
      <c r="B27" t="s">
        <v>182</v>
      </c>
      <c r="C27" t="s">
        <v>3776</v>
      </c>
      <c r="D27" t="s">
        <v>3743</v>
      </c>
      <c r="E27" t="s">
        <v>353</v>
      </c>
      <c r="F27">
        <v>1</v>
      </c>
      <c r="G27">
        <v>5</v>
      </c>
      <c r="H27" t="s">
        <v>3832</v>
      </c>
      <c r="I27" t="s">
        <v>8080</v>
      </c>
      <c r="J27" t="s">
        <v>3458</v>
      </c>
      <c r="K27" t="s">
        <v>3927</v>
      </c>
      <c r="N27" t="s">
        <v>8064</v>
      </c>
    </row>
    <row r="28" spans="1:14" x14ac:dyDescent="0.25">
      <c r="A28" t="s">
        <v>3928</v>
      </c>
      <c r="B28" t="s">
        <v>182</v>
      </c>
      <c r="C28" t="s">
        <v>3790</v>
      </c>
      <c r="D28" t="s">
        <v>3743</v>
      </c>
      <c r="E28" t="s">
        <v>353</v>
      </c>
      <c r="F28">
        <v>1</v>
      </c>
      <c r="G28">
        <v>7</v>
      </c>
      <c r="H28" t="s">
        <v>3832</v>
      </c>
      <c r="I28" t="s">
        <v>8094</v>
      </c>
      <c r="J28" t="s">
        <v>3458</v>
      </c>
      <c r="K28" t="s">
        <v>3930</v>
      </c>
      <c r="N28" t="s">
        <v>8064</v>
      </c>
    </row>
    <row r="29" spans="1:14" x14ac:dyDescent="0.25">
      <c r="A29" t="s">
        <v>7899</v>
      </c>
      <c r="B29" t="s">
        <v>182</v>
      </c>
      <c r="C29" t="s">
        <v>3790</v>
      </c>
      <c r="D29" t="s">
        <v>3743</v>
      </c>
      <c r="E29" t="s">
        <v>353</v>
      </c>
      <c r="F29">
        <v>1</v>
      </c>
      <c r="G29">
        <v>7</v>
      </c>
      <c r="H29" t="s">
        <v>3832</v>
      </c>
      <c r="I29" t="s">
        <v>8086</v>
      </c>
      <c r="J29" t="s">
        <v>3458</v>
      </c>
      <c r="K29" t="s">
        <v>7900</v>
      </c>
      <c r="N29" t="s">
        <v>8064</v>
      </c>
    </row>
    <row r="30" spans="1:14" x14ac:dyDescent="0.25">
      <c r="A30" t="s">
        <v>3931</v>
      </c>
      <c r="B30" t="s">
        <v>182</v>
      </c>
      <c r="C30" t="s">
        <v>3790</v>
      </c>
      <c r="D30" t="s">
        <v>3743</v>
      </c>
      <c r="E30" t="s">
        <v>90</v>
      </c>
      <c r="F30">
        <v>1</v>
      </c>
      <c r="G30">
        <v>7</v>
      </c>
      <c r="H30" t="s">
        <v>3832</v>
      </c>
      <c r="I30" t="s">
        <v>3932</v>
      </c>
      <c r="J30" t="s">
        <v>7433</v>
      </c>
      <c r="K30" t="s">
        <v>3933</v>
      </c>
      <c r="N30" t="s">
        <v>8064</v>
      </c>
    </row>
    <row r="31" spans="1:14" x14ac:dyDescent="0.25">
      <c r="A31" t="s">
        <v>3934</v>
      </c>
      <c r="B31" t="s">
        <v>182</v>
      </c>
      <c r="C31" t="s">
        <v>3910</v>
      </c>
      <c r="D31" t="s">
        <v>3792</v>
      </c>
      <c r="E31" t="s">
        <v>90</v>
      </c>
      <c r="F31">
        <v>1</v>
      </c>
      <c r="G31">
        <v>9</v>
      </c>
      <c r="H31" t="s">
        <v>3751</v>
      </c>
      <c r="I31" t="s">
        <v>3935</v>
      </c>
      <c r="J31" t="s">
        <v>7460</v>
      </c>
      <c r="K31" t="s">
        <v>3936</v>
      </c>
      <c r="N31" t="s">
        <v>8063</v>
      </c>
    </row>
    <row r="32" spans="1:14" x14ac:dyDescent="0.25">
      <c r="A32" t="s">
        <v>3937</v>
      </c>
      <c r="B32" t="s">
        <v>222</v>
      </c>
      <c r="C32" t="s">
        <v>3742</v>
      </c>
      <c r="D32" t="s">
        <v>3792</v>
      </c>
      <c r="E32" t="s">
        <v>1129</v>
      </c>
      <c r="F32">
        <v>1</v>
      </c>
      <c r="G32">
        <v>3</v>
      </c>
      <c r="H32" t="s">
        <v>3744</v>
      </c>
      <c r="I32" t="s">
        <v>3938</v>
      </c>
      <c r="J32" t="s">
        <v>3458</v>
      </c>
      <c r="K32" t="s">
        <v>3939</v>
      </c>
      <c r="L32" t="s">
        <v>3770</v>
      </c>
      <c r="N32" t="s">
        <v>8063</v>
      </c>
    </row>
    <row r="33" spans="1:14" x14ac:dyDescent="0.25">
      <c r="A33" t="s">
        <v>3940</v>
      </c>
      <c r="B33" t="s">
        <v>222</v>
      </c>
      <c r="C33" t="s">
        <v>3742</v>
      </c>
      <c r="D33" t="s">
        <v>3743</v>
      </c>
      <c r="E33" t="s">
        <v>501</v>
      </c>
      <c r="F33">
        <v>1</v>
      </c>
      <c r="G33">
        <v>3</v>
      </c>
      <c r="H33" t="s">
        <v>3751</v>
      </c>
      <c r="I33" t="s">
        <v>3941</v>
      </c>
      <c r="J33" t="s">
        <v>7454</v>
      </c>
      <c r="K33" t="s">
        <v>3940</v>
      </c>
      <c r="L33" t="s">
        <v>3675</v>
      </c>
      <c r="N33" t="s">
        <v>8063</v>
      </c>
    </row>
    <row r="34" spans="1:14" x14ac:dyDescent="0.25">
      <c r="A34" t="s">
        <v>3942</v>
      </c>
      <c r="B34" t="s">
        <v>222</v>
      </c>
      <c r="C34" t="s">
        <v>3742</v>
      </c>
      <c r="D34" t="s">
        <v>3743</v>
      </c>
      <c r="E34" t="s">
        <v>1649</v>
      </c>
      <c r="F34">
        <v>1</v>
      </c>
      <c r="G34">
        <v>3</v>
      </c>
      <c r="H34" t="s">
        <v>3751</v>
      </c>
      <c r="I34" t="s">
        <v>3943</v>
      </c>
      <c r="J34" t="s">
        <v>3458</v>
      </c>
      <c r="K34" t="s">
        <v>3942</v>
      </c>
      <c r="L34" t="s">
        <v>3863</v>
      </c>
      <c r="N34" t="s">
        <v>8063</v>
      </c>
    </row>
    <row r="35" spans="1:14" x14ac:dyDescent="0.25">
      <c r="A35" t="s">
        <v>3944</v>
      </c>
      <c r="B35" t="s">
        <v>222</v>
      </c>
      <c r="C35" t="s">
        <v>3742</v>
      </c>
      <c r="D35" t="s">
        <v>3792</v>
      </c>
      <c r="E35" t="s">
        <v>501</v>
      </c>
      <c r="F35">
        <v>1</v>
      </c>
      <c r="G35">
        <v>3</v>
      </c>
      <c r="H35" t="s">
        <v>3755</v>
      </c>
      <c r="I35" t="s">
        <v>3945</v>
      </c>
      <c r="J35" t="s">
        <v>3458</v>
      </c>
      <c r="K35" t="s">
        <v>3944</v>
      </c>
      <c r="L35" t="s">
        <v>3846</v>
      </c>
      <c r="N35" t="s">
        <v>8063</v>
      </c>
    </row>
    <row r="36" spans="1:14" x14ac:dyDescent="0.25">
      <c r="A36" t="s">
        <v>3946</v>
      </c>
      <c r="B36" t="s">
        <v>222</v>
      </c>
      <c r="C36" t="s">
        <v>3742</v>
      </c>
      <c r="D36" t="s">
        <v>3743</v>
      </c>
      <c r="E36" t="s">
        <v>1649</v>
      </c>
      <c r="F36">
        <v>1</v>
      </c>
      <c r="G36">
        <v>3</v>
      </c>
      <c r="H36" t="s">
        <v>3751</v>
      </c>
      <c r="I36" t="s">
        <v>3947</v>
      </c>
      <c r="J36" t="s">
        <v>7446</v>
      </c>
      <c r="K36" t="s">
        <v>3946</v>
      </c>
      <c r="L36" t="s">
        <v>3863</v>
      </c>
      <c r="N36" t="s">
        <v>8063</v>
      </c>
    </row>
    <row r="37" spans="1:14" x14ac:dyDescent="0.25">
      <c r="A37" t="s">
        <v>3948</v>
      </c>
      <c r="B37" t="s">
        <v>222</v>
      </c>
      <c r="C37" t="s">
        <v>3742</v>
      </c>
      <c r="D37" t="s">
        <v>3743</v>
      </c>
      <c r="E37" t="s">
        <v>501</v>
      </c>
      <c r="F37">
        <v>1</v>
      </c>
      <c r="G37">
        <v>3</v>
      </c>
      <c r="H37" t="s">
        <v>3744</v>
      </c>
      <c r="I37" t="s">
        <v>3949</v>
      </c>
      <c r="J37" t="s">
        <v>3458</v>
      </c>
      <c r="K37" t="s">
        <v>3950</v>
      </c>
      <c r="N37" t="s">
        <v>8063</v>
      </c>
    </row>
    <row r="38" spans="1:14" x14ac:dyDescent="0.25">
      <c r="A38" t="s">
        <v>7911</v>
      </c>
      <c r="B38" t="s">
        <v>222</v>
      </c>
      <c r="C38" t="s">
        <v>3776</v>
      </c>
      <c r="D38" t="s">
        <v>3787</v>
      </c>
      <c r="E38" t="s">
        <v>1649</v>
      </c>
      <c r="F38">
        <v>1</v>
      </c>
      <c r="G38">
        <v>5</v>
      </c>
      <c r="H38" t="s">
        <v>3751</v>
      </c>
      <c r="I38" t="s">
        <v>7912</v>
      </c>
      <c r="J38" t="s">
        <v>3458</v>
      </c>
      <c r="K38" t="s">
        <v>7910</v>
      </c>
      <c r="L38" t="s">
        <v>7913</v>
      </c>
      <c r="N38" t="s">
        <v>8063</v>
      </c>
    </row>
    <row r="39" spans="1:14" x14ac:dyDescent="0.25">
      <c r="A39" t="s">
        <v>3951</v>
      </c>
      <c r="B39" t="s">
        <v>222</v>
      </c>
      <c r="C39" t="s">
        <v>3776</v>
      </c>
      <c r="D39" t="s">
        <v>3743</v>
      </c>
      <c r="E39" t="s">
        <v>1649</v>
      </c>
      <c r="F39">
        <v>1</v>
      </c>
      <c r="G39">
        <v>5</v>
      </c>
      <c r="H39" t="s">
        <v>3751</v>
      </c>
      <c r="I39" t="s">
        <v>3952</v>
      </c>
      <c r="J39" t="s">
        <v>3458</v>
      </c>
      <c r="K39" t="s">
        <v>3951</v>
      </c>
      <c r="N39" t="s">
        <v>8063</v>
      </c>
    </row>
    <row r="40" spans="1:14" x14ac:dyDescent="0.25">
      <c r="A40" t="s">
        <v>7429</v>
      </c>
      <c r="B40" t="s">
        <v>222</v>
      </c>
      <c r="C40" t="s">
        <v>3776</v>
      </c>
      <c r="D40" t="s">
        <v>3792</v>
      </c>
      <c r="E40" t="s">
        <v>1649</v>
      </c>
      <c r="F40">
        <v>1</v>
      </c>
      <c r="G40">
        <v>5</v>
      </c>
      <c r="H40" t="s">
        <v>7469</v>
      </c>
      <c r="I40" t="s">
        <v>8095</v>
      </c>
      <c r="J40" t="s">
        <v>7458</v>
      </c>
      <c r="K40" t="s">
        <v>7470</v>
      </c>
      <c r="L40" t="s">
        <v>3863</v>
      </c>
      <c r="M40">
        <v>3</v>
      </c>
      <c r="N40" t="s">
        <v>8063</v>
      </c>
    </row>
    <row r="41" spans="1:14" x14ac:dyDescent="0.25">
      <c r="A41" t="s">
        <v>3953</v>
      </c>
      <c r="B41" t="s">
        <v>222</v>
      </c>
      <c r="C41" t="s">
        <v>3776</v>
      </c>
      <c r="D41" t="s">
        <v>3898</v>
      </c>
      <c r="E41" t="s">
        <v>1649</v>
      </c>
      <c r="F41">
        <v>1</v>
      </c>
      <c r="G41">
        <v>5</v>
      </c>
      <c r="H41" t="s">
        <v>3755</v>
      </c>
      <c r="I41" t="s">
        <v>3954</v>
      </c>
      <c r="J41" t="s">
        <v>7463</v>
      </c>
      <c r="K41" t="s">
        <v>3955</v>
      </c>
      <c r="N41" t="s">
        <v>8063</v>
      </c>
    </row>
    <row r="42" spans="1:14" x14ac:dyDescent="0.25">
      <c r="A42" t="s">
        <v>3956</v>
      </c>
      <c r="B42" t="s">
        <v>222</v>
      </c>
      <c r="C42" t="s">
        <v>3776</v>
      </c>
      <c r="D42" t="s">
        <v>3743</v>
      </c>
      <c r="E42" t="s">
        <v>1649</v>
      </c>
      <c r="F42">
        <v>1</v>
      </c>
      <c r="G42">
        <v>5</v>
      </c>
      <c r="H42" t="s">
        <v>3751</v>
      </c>
      <c r="I42" t="s">
        <v>3957</v>
      </c>
      <c r="J42" t="s">
        <v>3458</v>
      </c>
      <c r="K42" t="s">
        <v>3956</v>
      </c>
      <c r="L42" t="s">
        <v>3863</v>
      </c>
      <c r="N42" t="s">
        <v>8063</v>
      </c>
    </row>
    <row r="43" spans="1:14" x14ac:dyDescent="0.25">
      <c r="A43" t="s">
        <v>3958</v>
      </c>
      <c r="B43" t="s">
        <v>222</v>
      </c>
      <c r="C43" t="s">
        <v>3790</v>
      </c>
      <c r="D43" t="s">
        <v>3959</v>
      </c>
      <c r="E43" t="s">
        <v>1649</v>
      </c>
      <c r="F43">
        <v>1</v>
      </c>
      <c r="G43">
        <v>7</v>
      </c>
      <c r="H43" t="s">
        <v>3838</v>
      </c>
      <c r="I43" t="s">
        <v>3960</v>
      </c>
      <c r="J43" t="s">
        <v>7380</v>
      </c>
      <c r="K43" t="s">
        <v>3961</v>
      </c>
      <c r="N43" t="s">
        <v>8063</v>
      </c>
    </row>
    <row r="44" spans="1:14" x14ac:dyDescent="0.25">
      <c r="A44" t="s">
        <v>3962</v>
      </c>
      <c r="B44" t="s">
        <v>222</v>
      </c>
      <c r="C44" t="s">
        <v>3790</v>
      </c>
      <c r="D44" t="s">
        <v>3792</v>
      </c>
      <c r="E44" t="s">
        <v>1649</v>
      </c>
      <c r="F44">
        <v>1</v>
      </c>
      <c r="G44">
        <v>7</v>
      </c>
      <c r="H44" t="s">
        <v>3755</v>
      </c>
      <c r="I44" t="s">
        <v>3963</v>
      </c>
      <c r="J44" t="s">
        <v>7450</v>
      </c>
      <c r="K44" t="s">
        <v>3964</v>
      </c>
      <c r="N44" t="s">
        <v>8063</v>
      </c>
    </row>
    <row r="45" spans="1:14" x14ac:dyDescent="0.25">
      <c r="A45" t="s">
        <v>3965</v>
      </c>
      <c r="B45" t="s">
        <v>222</v>
      </c>
      <c r="C45" t="s">
        <v>3910</v>
      </c>
      <c r="D45" t="s">
        <v>3792</v>
      </c>
      <c r="E45" t="s">
        <v>1649</v>
      </c>
      <c r="F45">
        <v>1</v>
      </c>
      <c r="G45">
        <v>9</v>
      </c>
      <c r="H45" t="s">
        <v>3744</v>
      </c>
      <c r="I45" t="s">
        <v>8069</v>
      </c>
      <c r="J45" t="s">
        <v>3458</v>
      </c>
      <c r="K45" t="s">
        <v>3966</v>
      </c>
      <c r="L45" t="s">
        <v>3967</v>
      </c>
      <c r="N45" t="s">
        <v>8063</v>
      </c>
    </row>
    <row r="46" spans="1:14" x14ac:dyDescent="0.25">
      <c r="A46" t="s">
        <v>3968</v>
      </c>
      <c r="B46" t="s">
        <v>179</v>
      </c>
      <c r="C46" t="s">
        <v>3742</v>
      </c>
      <c r="D46" t="s">
        <v>3743</v>
      </c>
      <c r="E46" t="s">
        <v>689</v>
      </c>
      <c r="F46">
        <v>1</v>
      </c>
      <c r="G46">
        <v>3</v>
      </c>
      <c r="H46" t="s">
        <v>3832</v>
      </c>
      <c r="I46" t="s">
        <v>8074</v>
      </c>
      <c r="J46" t="s">
        <v>3458</v>
      </c>
      <c r="K46" t="s">
        <v>3968</v>
      </c>
      <c r="N46" t="s">
        <v>8064</v>
      </c>
    </row>
    <row r="47" spans="1:14" x14ac:dyDescent="0.25">
      <c r="A47" t="s">
        <v>3969</v>
      </c>
      <c r="B47" t="s">
        <v>179</v>
      </c>
      <c r="C47" t="s">
        <v>3776</v>
      </c>
      <c r="D47" t="s">
        <v>3743</v>
      </c>
      <c r="E47" t="s">
        <v>689</v>
      </c>
      <c r="F47">
        <v>1</v>
      </c>
      <c r="G47">
        <v>5</v>
      </c>
      <c r="H47" t="s">
        <v>3832</v>
      </c>
      <c r="I47" t="s">
        <v>8074</v>
      </c>
      <c r="J47" t="s">
        <v>3458</v>
      </c>
      <c r="K47" t="s">
        <v>3970</v>
      </c>
      <c r="N47" t="s">
        <v>8064</v>
      </c>
    </row>
    <row r="48" spans="1:14" x14ac:dyDescent="0.25">
      <c r="A48" t="s">
        <v>3971</v>
      </c>
      <c r="B48" t="s">
        <v>179</v>
      </c>
      <c r="C48" t="s">
        <v>3790</v>
      </c>
      <c r="D48" t="s">
        <v>3787</v>
      </c>
      <c r="E48" t="s">
        <v>2154</v>
      </c>
      <c r="F48">
        <v>1</v>
      </c>
      <c r="G48">
        <v>7</v>
      </c>
      <c r="H48" t="s">
        <v>3744</v>
      </c>
      <c r="I48" t="s">
        <v>3972</v>
      </c>
      <c r="J48" t="s">
        <v>7456</v>
      </c>
      <c r="K48" t="s">
        <v>3971</v>
      </c>
      <c r="N48" t="s">
        <v>8063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6431A-FC6F-43F5-B441-36BD0E81D795}">
  <dimension ref="A1:E32"/>
  <sheetViews>
    <sheetView workbookViewId="0">
      <selection activeCell="D54" sqref="D54"/>
    </sheetView>
  </sheetViews>
  <sheetFormatPr defaultRowHeight="15" x14ac:dyDescent="0.25"/>
  <cols>
    <col min="1" max="1" width="16.42578125" bestFit="1" customWidth="1"/>
    <col min="2" max="2" width="10.7109375" bestFit="1" customWidth="1"/>
    <col min="3" max="3" width="20.140625" bestFit="1" customWidth="1"/>
    <col min="4" max="4" width="215.28515625" bestFit="1" customWidth="1"/>
    <col min="5" max="5" width="44.140625" bestFit="1" customWidth="1"/>
  </cols>
  <sheetData>
    <row r="1" spans="1:5" x14ac:dyDescent="0.25">
      <c r="A1" t="s">
        <v>165</v>
      </c>
      <c r="B1" t="s">
        <v>167</v>
      </c>
      <c r="C1" t="s">
        <v>7383</v>
      </c>
      <c r="D1" t="s">
        <v>3453</v>
      </c>
      <c r="E1" t="s">
        <v>3496</v>
      </c>
    </row>
    <row r="2" spans="1:5" x14ac:dyDescent="0.25">
      <c r="A2" t="s">
        <v>7442</v>
      </c>
      <c r="B2" t="s">
        <v>7413</v>
      </c>
      <c r="C2" t="s">
        <v>7444</v>
      </c>
      <c r="D2" t="s">
        <v>7443</v>
      </c>
      <c r="E2" t="s">
        <v>8003</v>
      </c>
    </row>
    <row r="3" spans="1:5" x14ac:dyDescent="0.25">
      <c r="A3" t="s">
        <v>7471</v>
      </c>
      <c r="B3" t="s">
        <v>3680</v>
      </c>
      <c r="C3" t="s">
        <v>3458</v>
      </c>
      <c r="D3" t="s">
        <v>7472</v>
      </c>
      <c r="E3" t="s">
        <v>8004</v>
      </c>
    </row>
    <row r="4" spans="1:5" x14ac:dyDescent="0.25">
      <c r="A4" t="s">
        <v>7432</v>
      </c>
      <c r="B4" t="s">
        <v>3983</v>
      </c>
      <c r="C4" t="s">
        <v>7396</v>
      </c>
      <c r="D4" t="s">
        <v>7435</v>
      </c>
      <c r="E4" t="s">
        <v>8005</v>
      </c>
    </row>
    <row r="5" spans="1:5" x14ac:dyDescent="0.25">
      <c r="A5" t="s">
        <v>7402</v>
      </c>
      <c r="B5" t="s">
        <v>5286</v>
      </c>
      <c r="C5" t="s">
        <v>7391</v>
      </c>
      <c r="D5" t="s">
        <v>7404</v>
      </c>
      <c r="E5" t="s">
        <v>8006</v>
      </c>
    </row>
    <row r="6" spans="1:5" x14ac:dyDescent="0.25">
      <c r="A6" t="s">
        <v>7397</v>
      </c>
      <c r="B6" t="s">
        <v>5722</v>
      </c>
      <c r="C6" t="s">
        <v>7390</v>
      </c>
      <c r="D6" t="s">
        <v>7411</v>
      </c>
      <c r="E6" t="s">
        <v>8007</v>
      </c>
    </row>
    <row r="7" spans="1:5" x14ac:dyDescent="0.25">
      <c r="A7" t="s">
        <v>7448</v>
      </c>
      <c r="B7" t="s">
        <v>5722</v>
      </c>
      <c r="C7" t="s">
        <v>3458</v>
      </c>
      <c r="D7" t="s">
        <v>7462</v>
      </c>
      <c r="E7" t="s">
        <v>8008</v>
      </c>
    </row>
    <row r="8" spans="1:5" x14ac:dyDescent="0.25">
      <c r="A8" t="s">
        <v>7694</v>
      </c>
      <c r="B8" t="s">
        <v>5722</v>
      </c>
      <c r="C8" t="s">
        <v>7695</v>
      </c>
      <c r="D8" t="s">
        <v>7696</v>
      </c>
      <c r="E8" t="s">
        <v>8009</v>
      </c>
    </row>
    <row r="9" spans="1:5" x14ac:dyDescent="0.25">
      <c r="A9" t="s">
        <v>7697</v>
      </c>
      <c r="B9" t="s">
        <v>7384</v>
      </c>
      <c r="C9" t="s">
        <v>7386</v>
      </c>
      <c r="D9" t="s">
        <v>7698</v>
      </c>
      <c r="E9" t="s">
        <v>8010</v>
      </c>
    </row>
    <row r="10" spans="1:5" x14ac:dyDescent="0.25">
      <c r="A10" t="s">
        <v>5202</v>
      </c>
      <c r="B10" t="s">
        <v>7413</v>
      </c>
      <c r="C10" t="s">
        <v>7390</v>
      </c>
      <c r="D10" t="s">
        <v>7414</v>
      </c>
      <c r="E10" t="s">
        <v>8011</v>
      </c>
    </row>
    <row r="11" spans="1:5" x14ac:dyDescent="0.25">
      <c r="A11" t="s">
        <v>7388</v>
      </c>
      <c r="B11" t="s">
        <v>7389</v>
      </c>
      <c r="C11" t="s">
        <v>3458</v>
      </c>
      <c r="D11" t="s">
        <v>7421</v>
      </c>
      <c r="E11" t="s">
        <v>8012</v>
      </c>
    </row>
    <row r="12" spans="1:5" x14ac:dyDescent="0.25">
      <c r="A12" t="s">
        <v>1322</v>
      </c>
      <c r="B12" t="s">
        <v>3983</v>
      </c>
      <c r="C12" t="s">
        <v>7391</v>
      </c>
      <c r="D12" t="s">
        <v>7419</v>
      </c>
      <c r="E12" t="s">
        <v>8013</v>
      </c>
    </row>
    <row r="13" spans="1:5" x14ac:dyDescent="0.25">
      <c r="A13" t="s">
        <v>7410</v>
      </c>
      <c r="B13" t="s">
        <v>5722</v>
      </c>
      <c r="C13" t="s">
        <v>7390</v>
      </c>
      <c r="D13" t="s">
        <v>7473</v>
      </c>
      <c r="E13" t="s">
        <v>8014</v>
      </c>
    </row>
    <row r="14" spans="1:5" x14ac:dyDescent="0.25">
      <c r="A14" t="s">
        <v>7425</v>
      </c>
      <c r="B14" t="s">
        <v>7413</v>
      </c>
      <c r="C14" t="s">
        <v>3458</v>
      </c>
      <c r="D14" t="s">
        <v>7426</v>
      </c>
      <c r="E14" t="s">
        <v>8015</v>
      </c>
    </row>
    <row r="15" spans="1:5" x14ac:dyDescent="0.25">
      <c r="A15" t="s">
        <v>7423</v>
      </c>
      <c r="B15" t="s">
        <v>7384</v>
      </c>
      <c r="C15" t="s">
        <v>7386</v>
      </c>
      <c r="D15" t="s">
        <v>7424</v>
      </c>
      <c r="E15" t="s">
        <v>8016</v>
      </c>
    </row>
    <row r="16" spans="1:5" x14ac:dyDescent="0.25">
      <c r="A16" t="s">
        <v>7406</v>
      </c>
      <c r="B16" t="s">
        <v>3680</v>
      </c>
      <c r="C16" t="s">
        <v>3458</v>
      </c>
      <c r="D16" t="s">
        <v>7408</v>
      </c>
      <c r="E16" t="s">
        <v>8017</v>
      </c>
    </row>
    <row r="17" spans="1:5" x14ac:dyDescent="0.25">
      <c r="A17" t="s">
        <v>7452</v>
      </c>
      <c r="B17" t="s">
        <v>5722</v>
      </c>
      <c r="C17" t="s">
        <v>7396</v>
      </c>
      <c r="D17" t="s">
        <v>7453</v>
      </c>
      <c r="E17" t="s">
        <v>8018</v>
      </c>
    </row>
    <row r="18" spans="1:5" x14ac:dyDescent="0.25">
      <c r="A18" t="s">
        <v>7398</v>
      </c>
      <c r="B18" t="s">
        <v>3983</v>
      </c>
      <c r="C18" t="s">
        <v>3458</v>
      </c>
      <c r="D18" t="s">
        <v>7416</v>
      </c>
      <c r="E18" t="s">
        <v>8019</v>
      </c>
    </row>
    <row r="19" spans="1:5" x14ac:dyDescent="0.25">
      <c r="A19" t="s">
        <v>7412</v>
      </c>
      <c r="B19" t="s">
        <v>5722</v>
      </c>
      <c r="C19" t="s">
        <v>3458</v>
      </c>
      <c r="D19" t="s">
        <v>7474</v>
      </c>
      <c r="E19" t="s">
        <v>8020</v>
      </c>
    </row>
    <row r="20" spans="1:5" x14ac:dyDescent="0.25">
      <c r="A20" t="s">
        <v>7394</v>
      </c>
      <c r="B20" t="s">
        <v>5286</v>
      </c>
      <c r="C20" t="s">
        <v>7396</v>
      </c>
      <c r="D20" t="s">
        <v>7395</v>
      </c>
      <c r="E20" t="s">
        <v>8021</v>
      </c>
    </row>
    <row r="21" spans="1:5" x14ac:dyDescent="0.25">
      <c r="A21" t="s">
        <v>7387</v>
      </c>
      <c r="B21" t="s">
        <v>7384</v>
      </c>
      <c r="C21" t="s">
        <v>7390</v>
      </c>
      <c r="D21" t="s">
        <v>7418</v>
      </c>
      <c r="E21" t="s">
        <v>8022</v>
      </c>
    </row>
    <row r="22" spans="1:5" x14ac:dyDescent="0.25">
      <c r="A22" t="s">
        <v>7385</v>
      </c>
      <c r="B22" t="s">
        <v>7384</v>
      </c>
      <c r="C22" t="s">
        <v>7386</v>
      </c>
      <c r="D22" t="s">
        <v>7420</v>
      </c>
      <c r="E22" t="s">
        <v>8023</v>
      </c>
    </row>
    <row r="23" spans="1:5" x14ac:dyDescent="0.25">
      <c r="A23" t="s">
        <v>7401</v>
      </c>
      <c r="B23" t="s">
        <v>3680</v>
      </c>
      <c r="C23" t="s">
        <v>3458</v>
      </c>
      <c r="D23" t="s">
        <v>7415</v>
      </c>
      <c r="E23" t="s">
        <v>8024</v>
      </c>
    </row>
    <row r="24" spans="1:5" x14ac:dyDescent="0.25">
      <c r="A24" t="s">
        <v>5449</v>
      </c>
      <c r="B24" t="s">
        <v>5722</v>
      </c>
      <c r="C24" t="s">
        <v>7382</v>
      </c>
      <c r="D24" t="s">
        <v>7407</v>
      </c>
      <c r="E24" t="s">
        <v>8025</v>
      </c>
    </row>
    <row r="25" spans="1:5" x14ac:dyDescent="0.25">
      <c r="A25" t="s">
        <v>5262</v>
      </c>
      <c r="B25" t="s">
        <v>5286</v>
      </c>
      <c r="C25" t="s">
        <v>3458</v>
      </c>
      <c r="D25" t="s">
        <v>7403</v>
      </c>
      <c r="E25" t="s">
        <v>8026</v>
      </c>
    </row>
    <row r="26" spans="1:5" x14ac:dyDescent="0.25">
      <c r="A26" t="s">
        <v>7450</v>
      </c>
      <c r="B26" t="s">
        <v>5722</v>
      </c>
      <c r="C26" t="s">
        <v>3458</v>
      </c>
      <c r="D26" t="s">
        <v>7461</v>
      </c>
      <c r="E26" t="s">
        <v>8027</v>
      </c>
    </row>
    <row r="27" spans="1:5" x14ac:dyDescent="0.25">
      <c r="A27" t="s">
        <v>5276</v>
      </c>
      <c r="B27" t="s">
        <v>7413</v>
      </c>
      <c r="C27" t="s">
        <v>7386</v>
      </c>
      <c r="D27" t="s">
        <v>7393</v>
      </c>
      <c r="E27" t="s">
        <v>8028</v>
      </c>
    </row>
    <row r="28" spans="1:5" x14ac:dyDescent="0.25">
      <c r="A28" t="s">
        <v>7392</v>
      </c>
      <c r="B28" t="s">
        <v>3983</v>
      </c>
      <c r="C28" t="s">
        <v>7391</v>
      </c>
      <c r="D28" t="s">
        <v>7417</v>
      </c>
      <c r="E28" t="s">
        <v>8029</v>
      </c>
    </row>
    <row r="29" spans="1:5" x14ac:dyDescent="0.25">
      <c r="A29" t="s">
        <v>7400</v>
      </c>
      <c r="B29" t="s">
        <v>5286</v>
      </c>
      <c r="C29" t="s">
        <v>7399</v>
      </c>
      <c r="D29" t="s">
        <v>7475</v>
      </c>
      <c r="E29" t="s">
        <v>8030</v>
      </c>
    </row>
    <row r="30" spans="1:5" x14ac:dyDescent="0.25">
      <c r="A30" t="s">
        <v>7380</v>
      </c>
      <c r="B30" t="s">
        <v>3680</v>
      </c>
      <c r="C30" t="s">
        <v>3458</v>
      </c>
      <c r="D30" t="s">
        <v>7381</v>
      </c>
      <c r="E30" t="s">
        <v>8031</v>
      </c>
    </row>
    <row r="31" spans="1:5" x14ac:dyDescent="0.25">
      <c r="A31" t="s">
        <v>7430</v>
      </c>
      <c r="B31" t="s">
        <v>7413</v>
      </c>
      <c r="C31" t="s">
        <v>7390</v>
      </c>
      <c r="D31" t="s">
        <v>7431</v>
      </c>
      <c r="E31" t="s">
        <v>8032</v>
      </c>
    </row>
    <row r="32" spans="1:5" x14ac:dyDescent="0.25">
      <c r="A32" t="s">
        <v>7975</v>
      </c>
      <c r="B32" t="s">
        <v>7413</v>
      </c>
      <c r="C32" t="s">
        <v>3458</v>
      </c>
      <c r="D32" t="s">
        <v>7976</v>
      </c>
      <c r="E32" t="s">
        <v>8033</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8"/>
  <sheetViews>
    <sheetView workbookViewId="0">
      <selection activeCell="F13" sqref="F13"/>
    </sheetView>
  </sheetViews>
  <sheetFormatPr defaultRowHeight="15" x14ac:dyDescent="0.25"/>
  <cols>
    <col min="1" max="1" width="9.28515625" bestFit="1" customWidth="1"/>
    <col min="2" max="2" width="7.42578125" customWidth="1"/>
    <col min="3" max="3" width="15.42578125" bestFit="1" customWidth="1"/>
    <col min="4" max="4" width="102.85546875" bestFit="1" customWidth="1"/>
    <col min="5" max="5" width="18.7109375" customWidth="1"/>
    <col min="6" max="6" width="75.28515625" bestFit="1" customWidth="1"/>
    <col min="7" max="7" width="18.140625" customWidth="1"/>
    <col min="8" max="8" width="43.5703125" bestFit="1" customWidth="1"/>
    <col min="9" max="9" width="15" bestFit="1" customWidth="1"/>
    <col min="10" max="10" width="13.42578125" bestFit="1" customWidth="1"/>
    <col min="11" max="11" width="22.42578125" bestFit="1" customWidth="1"/>
    <col min="12" max="12" width="11.7109375" bestFit="1" customWidth="1"/>
    <col min="13" max="13" width="9.28515625" bestFit="1" customWidth="1"/>
  </cols>
  <sheetData>
    <row r="1" spans="1:13" x14ac:dyDescent="0.25">
      <c r="A1" t="s">
        <v>165</v>
      </c>
      <c r="B1" t="s">
        <v>167</v>
      </c>
      <c r="C1" t="s">
        <v>1</v>
      </c>
      <c r="D1" t="s">
        <v>3973</v>
      </c>
      <c r="E1" t="s">
        <v>3974</v>
      </c>
      <c r="F1" t="s">
        <v>3975</v>
      </c>
      <c r="G1" t="s">
        <v>3976</v>
      </c>
      <c r="H1" t="s">
        <v>3977</v>
      </c>
      <c r="I1" t="s">
        <v>3978</v>
      </c>
      <c r="J1" t="s">
        <v>3979</v>
      </c>
      <c r="K1" t="s">
        <v>3980</v>
      </c>
      <c r="L1" t="s">
        <v>3981</v>
      </c>
      <c r="M1" t="s">
        <v>7</v>
      </c>
    </row>
    <row r="2" spans="1:13" x14ac:dyDescent="0.25">
      <c r="A2" t="s">
        <v>4002</v>
      </c>
      <c r="B2" t="s">
        <v>3992</v>
      </c>
      <c r="C2" t="s">
        <v>501</v>
      </c>
      <c r="D2" t="s">
        <v>8096</v>
      </c>
      <c r="E2" t="s">
        <v>4003</v>
      </c>
      <c r="F2" t="s">
        <v>8097</v>
      </c>
      <c r="G2" t="s">
        <v>4004</v>
      </c>
      <c r="H2" t="s">
        <v>4005</v>
      </c>
      <c r="I2" t="s">
        <v>3996</v>
      </c>
      <c r="J2" t="s">
        <v>187</v>
      </c>
      <c r="K2" t="s">
        <v>4006</v>
      </c>
      <c r="L2" t="s">
        <v>4007</v>
      </c>
      <c r="M2" t="s">
        <v>4002</v>
      </c>
    </row>
    <row r="3" spans="1:13" x14ac:dyDescent="0.25">
      <c r="A3" t="s">
        <v>3999</v>
      </c>
      <c r="B3" t="s">
        <v>3983</v>
      </c>
      <c r="C3" t="s">
        <v>90</v>
      </c>
      <c r="D3" t="s">
        <v>8098</v>
      </c>
      <c r="E3" t="s">
        <v>7480</v>
      </c>
      <c r="F3" t="s">
        <v>8099</v>
      </c>
      <c r="G3" t="s">
        <v>7481</v>
      </c>
      <c r="H3" t="s">
        <v>4000</v>
      </c>
      <c r="I3" t="s">
        <v>3458</v>
      </c>
      <c r="J3" t="s">
        <v>187</v>
      </c>
      <c r="K3" t="s">
        <v>4001</v>
      </c>
      <c r="L3" t="s">
        <v>3986</v>
      </c>
      <c r="M3" t="s">
        <v>3999</v>
      </c>
    </row>
    <row r="4" spans="1:13" x14ac:dyDescent="0.25">
      <c r="A4" t="s">
        <v>3991</v>
      </c>
      <c r="B4" t="s">
        <v>3992</v>
      </c>
      <c r="C4" t="s">
        <v>1649</v>
      </c>
      <c r="D4" t="s">
        <v>8100</v>
      </c>
      <c r="E4" t="s">
        <v>3993</v>
      </c>
      <c r="F4" t="s">
        <v>8101</v>
      </c>
      <c r="G4" t="s">
        <v>3994</v>
      </c>
      <c r="H4" t="s">
        <v>3995</v>
      </c>
      <c r="I4" t="s">
        <v>3996</v>
      </c>
      <c r="J4" t="s">
        <v>3997</v>
      </c>
      <c r="K4" t="s">
        <v>3998</v>
      </c>
      <c r="L4" t="s">
        <v>3986</v>
      </c>
      <c r="M4" t="s">
        <v>3991</v>
      </c>
    </row>
    <row r="5" spans="1:13" x14ac:dyDescent="0.25">
      <c r="A5" t="s">
        <v>3987</v>
      </c>
      <c r="B5" t="s">
        <v>3983</v>
      </c>
      <c r="C5" t="s">
        <v>1649</v>
      </c>
      <c r="D5" t="s">
        <v>8034</v>
      </c>
      <c r="E5" t="s">
        <v>3988</v>
      </c>
      <c r="F5" t="s">
        <v>8102</v>
      </c>
      <c r="G5" t="s">
        <v>8103</v>
      </c>
      <c r="H5" t="s">
        <v>3989</v>
      </c>
      <c r="I5" t="s">
        <v>3458</v>
      </c>
      <c r="J5" t="s">
        <v>187</v>
      </c>
      <c r="K5" t="s">
        <v>3990</v>
      </c>
      <c r="L5" t="s">
        <v>3986</v>
      </c>
      <c r="M5" t="s">
        <v>3987</v>
      </c>
    </row>
    <row r="6" spans="1:13" x14ac:dyDescent="0.25">
      <c r="A6" t="s">
        <v>3982</v>
      </c>
      <c r="B6" t="s">
        <v>3983</v>
      </c>
      <c r="C6" t="s">
        <v>90</v>
      </c>
      <c r="D6" t="s">
        <v>7675</v>
      </c>
      <c r="E6" t="s">
        <v>7482</v>
      </c>
      <c r="F6" t="s">
        <v>8104</v>
      </c>
      <c r="G6" t="s">
        <v>7483</v>
      </c>
      <c r="H6" t="s">
        <v>3984</v>
      </c>
      <c r="I6" t="s">
        <v>3458</v>
      </c>
      <c r="J6" t="s">
        <v>187</v>
      </c>
      <c r="K6" t="s">
        <v>3985</v>
      </c>
      <c r="L6" t="s">
        <v>3986</v>
      </c>
      <c r="M6" t="s">
        <v>3982</v>
      </c>
    </row>
    <row r="7" spans="1:13" x14ac:dyDescent="0.25">
      <c r="A7" t="s">
        <v>5151</v>
      </c>
      <c r="B7" t="s">
        <v>3992</v>
      </c>
      <c r="C7" t="s">
        <v>1649</v>
      </c>
      <c r="D7" t="s">
        <v>8105</v>
      </c>
      <c r="E7" t="s">
        <v>7638</v>
      </c>
      <c r="F7" t="s">
        <v>8106</v>
      </c>
      <c r="G7" t="s">
        <v>7639</v>
      </c>
      <c r="H7" t="s">
        <v>7620</v>
      </c>
      <c r="I7" t="s">
        <v>7621</v>
      </c>
      <c r="J7" t="s">
        <v>187</v>
      </c>
      <c r="K7" t="s">
        <v>7640</v>
      </c>
      <c r="L7" t="s">
        <v>3986</v>
      </c>
      <c r="M7" t="s">
        <v>5151</v>
      </c>
    </row>
    <row r="8" spans="1:13" x14ac:dyDescent="0.25">
      <c r="A8" t="s">
        <v>5280</v>
      </c>
      <c r="B8" t="s">
        <v>3992</v>
      </c>
      <c r="C8" t="s">
        <v>90</v>
      </c>
      <c r="D8" t="s">
        <v>7641</v>
      </c>
      <c r="E8" t="s">
        <v>7642</v>
      </c>
      <c r="F8" t="s">
        <v>7704</v>
      </c>
      <c r="G8" t="s">
        <v>7643</v>
      </c>
      <c r="H8" t="s">
        <v>7618</v>
      </c>
      <c r="I8" t="s">
        <v>7617</v>
      </c>
      <c r="J8" t="s">
        <v>187</v>
      </c>
      <c r="K8" t="s">
        <v>7644</v>
      </c>
      <c r="L8" t="s">
        <v>3986</v>
      </c>
      <c r="M8" t="s">
        <v>5280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L17"/>
  <sheetViews>
    <sheetView workbookViewId="0">
      <selection activeCell="J22" sqref="J22"/>
    </sheetView>
  </sheetViews>
  <sheetFormatPr defaultRowHeight="15" x14ac:dyDescent="0.25"/>
  <cols>
    <col min="1" max="1" width="23.140625" bestFit="1" customWidth="1"/>
    <col min="2" max="2" width="18.7109375" bestFit="1" customWidth="1"/>
    <col min="3" max="3" width="6.7109375" bestFit="1" customWidth="1"/>
    <col min="4" max="4" width="9.42578125" bestFit="1" customWidth="1"/>
    <col min="5" max="5" width="15" bestFit="1" customWidth="1"/>
    <col min="6" max="6" width="9.42578125" customWidth="1"/>
    <col min="7" max="7" width="11.85546875" customWidth="1"/>
    <col min="8" max="8" width="7.7109375" customWidth="1"/>
    <col min="9" max="9" width="10.7109375" customWidth="1"/>
    <col min="10" max="10" width="9.85546875" customWidth="1"/>
    <col min="11" max="11" width="11.28515625" customWidth="1"/>
    <col min="12" max="12" width="14.140625" customWidth="1"/>
    <col min="13" max="13" width="14.42578125" customWidth="1"/>
    <col min="14" max="14" width="14.7109375" customWidth="1"/>
    <col min="15" max="15" width="11.42578125" customWidth="1"/>
    <col min="16" max="16" width="11" bestFit="1" customWidth="1"/>
    <col min="17" max="17" width="10.5703125" customWidth="1"/>
    <col min="18" max="18" width="10.85546875" customWidth="1"/>
    <col min="19" max="19" width="15.42578125" bestFit="1" customWidth="1"/>
    <col min="20" max="20" width="9.7109375" customWidth="1"/>
    <col min="21" max="21" width="10.5703125" customWidth="1"/>
    <col min="22" max="23" width="10.85546875" customWidth="1"/>
    <col min="24" max="24" width="9.7109375" customWidth="1"/>
    <col min="25" max="25" width="10.5703125" customWidth="1"/>
    <col min="26" max="26" width="10.85546875" customWidth="1"/>
    <col min="27" max="27" width="11.7109375" customWidth="1"/>
    <col min="28" max="28" width="11" bestFit="1" customWidth="1"/>
    <col min="29" max="29" width="10.85546875" customWidth="1"/>
    <col min="30" max="30" width="11" customWidth="1"/>
  </cols>
  <sheetData>
    <row r="1" spans="1:38" x14ac:dyDescent="0.25">
      <c r="A1" t="s">
        <v>0</v>
      </c>
      <c r="B1" t="s">
        <v>1</v>
      </c>
      <c r="C1" t="s">
        <v>2</v>
      </c>
      <c r="D1" t="s">
        <v>3</v>
      </c>
      <c r="E1" t="s">
        <v>4</v>
      </c>
      <c r="F1" t="s">
        <v>5</v>
      </c>
      <c r="G1" t="s">
        <v>6</v>
      </c>
      <c r="H1" t="s">
        <v>7</v>
      </c>
      <c r="I1" t="s">
        <v>8</v>
      </c>
      <c r="J1" t="s">
        <v>7778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row>
    <row r="2" spans="1:38" x14ac:dyDescent="0.25">
      <c r="A2" t="s">
        <v>37</v>
      </c>
      <c r="B2" t="s">
        <v>38</v>
      </c>
      <c r="C2" t="s">
        <v>39</v>
      </c>
      <c r="F2" t="s">
        <v>40</v>
      </c>
      <c r="G2" t="s">
        <v>41</v>
      </c>
      <c r="H2" t="s">
        <v>42</v>
      </c>
      <c r="I2" t="s">
        <v>43</v>
      </c>
      <c r="O2" t="s">
        <v>44</v>
      </c>
      <c r="P2" t="s">
        <v>45</v>
      </c>
      <c r="Q2" t="s">
        <v>46</v>
      </c>
      <c r="R2" t="s">
        <v>47</v>
      </c>
      <c r="S2" t="s">
        <v>48</v>
      </c>
      <c r="T2" t="s">
        <v>49</v>
      </c>
      <c r="U2" t="s">
        <v>50</v>
      </c>
      <c r="V2" t="s">
        <v>51</v>
      </c>
      <c r="W2" t="s">
        <v>52</v>
      </c>
      <c r="Y2" t="s">
        <v>53</v>
      </c>
      <c r="Z2" t="s">
        <v>54</v>
      </c>
      <c r="AA2" t="s">
        <v>55</v>
      </c>
      <c r="AC2" t="s">
        <v>56</v>
      </c>
      <c r="AD2" t="s">
        <v>57</v>
      </c>
    </row>
    <row r="3" spans="1:38" x14ac:dyDescent="0.25">
      <c r="A3" t="s">
        <v>159</v>
      </c>
      <c r="B3" t="s">
        <v>160</v>
      </c>
      <c r="C3" t="s">
        <v>39</v>
      </c>
      <c r="E3" t="s">
        <v>161</v>
      </c>
      <c r="F3" t="s">
        <v>40</v>
      </c>
      <c r="G3" t="s">
        <v>41</v>
      </c>
      <c r="H3" t="s">
        <v>162</v>
      </c>
      <c r="O3" t="s">
        <v>163</v>
      </c>
      <c r="P3" t="s">
        <v>45</v>
      </c>
      <c r="R3" t="s">
        <v>164</v>
      </c>
      <c r="S3" t="s">
        <v>99</v>
      </c>
      <c r="V3" t="s">
        <v>101</v>
      </c>
    </row>
    <row r="4" spans="1:38" x14ac:dyDescent="0.25">
      <c r="A4" t="s">
        <v>58</v>
      </c>
      <c r="B4" t="s">
        <v>38</v>
      </c>
      <c r="C4" t="s">
        <v>39</v>
      </c>
      <c r="F4" t="s">
        <v>40</v>
      </c>
      <c r="G4" t="s">
        <v>41</v>
      </c>
      <c r="H4" t="s">
        <v>59</v>
      </c>
      <c r="I4" t="s">
        <v>60</v>
      </c>
      <c r="K4" t="s">
        <v>61</v>
      </c>
      <c r="L4" t="s">
        <v>62</v>
      </c>
      <c r="O4" t="s">
        <v>63</v>
      </c>
      <c r="R4" t="s">
        <v>64</v>
      </c>
      <c r="S4" t="s">
        <v>65</v>
      </c>
      <c r="V4" t="s">
        <v>66</v>
      </c>
      <c r="W4" t="s">
        <v>67</v>
      </c>
      <c r="Z4" t="s">
        <v>68</v>
      </c>
    </row>
    <row r="5" spans="1:38" x14ac:dyDescent="0.25">
      <c r="A5" t="s">
        <v>131</v>
      </c>
      <c r="B5" t="s">
        <v>90</v>
      </c>
      <c r="C5" t="s">
        <v>39</v>
      </c>
      <c r="F5" t="s">
        <v>40</v>
      </c>
      <c r="G5" t="s">
        <v>41</v>
      </c>
      <c r="H5" t="s">
        <v>132</v>
      </c>
      <c r="I5" t="s">
        <v>133</v>
      </c>
      <c r="O5" t="s">
        <v>134</v>
      </c>
      <c r="P5" t="s">
        <v>45</v>
      </c>
      <c r="Q5" t="s">
        <v>135</v>
      </c>
      <c r="R5" t="s">
        <v>136</v>
      </c>
      <c r="S5" t="s">
        <v>99</v>
      </c>
      <c r="U5" t="s">
        <v>137</v>
      </c>
      <c r="V5" t="s">
        <v>138</v>
      </c>
      <c r="W5" t="s">
        <v>139</v>
      </c>
      <c r="Y5" t="s">
        <v>140</v>
      </c>
      <c r="Z5" t="s">
        <v>141</v>
      </c>
      <c r="AA5" t="s">
        <v>142</v>
      </c>
      <c r="AC5" t="s">
        <v>143</v>
      </c>
      <c r="AD5" t="s">
        <v>144</v>
      </c>
      <c r="AE5" t="s">
        <v>145</v>
      </c>
      <c r="AG5" t="s">
        <v>146</v>
      </c>
      <c r="AH5" t="s">
        <v>147</v>
      </c>
    </row>
    <row r="6" spans="1:38" x14ac:dyDescent="0.25">
      <c r="A6" t="s">
        <v>7795</v>
      </c>
      <c r="B6" t="s">
        <v>2698</v>
      </c>
      <c r="C6" t="s">
        <v>39</v>
      </c>
      <c r="F6" t="s">
        <v>40</v>
      </c>
      <c r="G6" t="s">
        <v>41</v>
      </c>
      <c r="H6" t="s">
        <v>7796</v>
      </c>
      <c r="O6" t="s">
        <v>7797</v>
      </c>
      <c r="R6" t="s">
        <v>7798</v>
      </c>
      <c r="S6" t="s">
        <v>99</v>
      </c>
      <c r="V6" t="s">
        <v>101</v>
      </c>
    </row>
    <row r="7" spans="1:38" x14ac:dyDescent="0.25">
      <c r="A7" t="s">
        <v>102</v>
      </c>
      <c r="B7" t="s">
        <v>38</v>
      </c>
      <c r="C7" t="s">
        <v>39</v>
      </c>
      <c r="F7" t="s">
        <v>40</v>
      </c>
      <c r="G7" t="s">
        <v>41</v>
      </c>
      <c r="H7" t="s">
        <v>103</v>
      </c>
      <c r="I7" t="s">
        <v>104</v>
      </c>
      <c r="O7" t="s">
        <v>105</v>
      </c>
      <c r="Q7" t="s">
        <v>106</v>
      </c>
      <c r="R7" t="s">
        <v>107</v>
      </c>
      <c r="S7" t="s">
        <v>108</v>
      </c>
      <c r="U7" t="s">
        <v>109</v>
      </c>
      <c r="V7" t="s">
        <v>110</v>
      </c>
    </row>
    <row r="8" spans="1:38" x14ac:dyDescent="0.25">
      <c r="A8" t="s">
        <v>111</v>
      </c>
      <c r="B8" t="s">
        <v>38</v>
      </c>
      <c r="C8" t="s">
        <v>39</v>
      </c>
      <c r="E8" t="s">
        <v>112</v>
      </c>
      <c r="F8" t="s">
        <v>40</v>
      </c>
      <c r="G8" t="s">
        <v>41</v>
      </c>
      <c r="H8" t="s">
        <v>113</v>
      </c>
      <c r="I8" t="s">
        <v>114</v>
      </c>
      <c r="O8" t="s">
        <v>115</v>
      </c>
      <c r="Q8" t="s">
        <v>116</v>
      </c>
      <c r="R8" t="s">
        <v>117</v>
      </c>
      <c r="S8" t="s">
        <v>118</v>
      </c>
      <c r="U8" t="s">
        <v>119</v>
      </c>
      <c r="V8" t="s">
        <v>120</v>
      </c>
    </row>
    <row r="9" spans="1:38" x14ac:dyDescent="0.25">
      <c r="A9" t="s">
        <v>7792</v>
      </c>
      <c r="B9" t="s">
        <v>2698</v>
      </c>
      <c r="C9" t="s">
        <v>39</v>
      </c>
      <c r="F9" t="s">
        <v>40</v>
      </c>
      <c r="G9" t="s">
        <v>3502</v>
      </c>
      <c r="H9" t="s">
        <v>7793</v>
      </c>
      <c r="J9" t="s">
        <v>7794</v>
      </c>
      <c r="O9" t="s">
        <v>99</v>
      </c>
      <c r="R9" t="s">
        <v>101</v>
      </c>
    </row>
    <row r="10" spans="1:38" x14ac:dyDescent="0.25">
      <c r="A10" t="s">
        <v>79</v>
      </c>
      <c r="B10" t="s">
        <v>38</v>
      </c>
      <c r="C10" t="s">
        <v>39</v>
      </c>
      <c r="E10" t="s">
        <v>80</v>
      </c>
      <c r="F10" t="s">
        <v>40</v>
      </c>
      <c r="G10" t="s">
        <v>41</v>
      </c>
      <c r="H10" t="s">
        <v>81</v>
      </c>
      <c r="I10" t="s">
        <v>82</v>
      </c>
      <c r="O10" t="s">
        <v>83</v>
      </c>
      <c r="Q10" t="s">
        <v>84</v>
      </c>
      <c r="R10" t="s">
        <v>85</v>
      </c>
      <c r="S10" t="s">
        <v>86</v>
      </c>
      <c r="U10" t="s">
        <v>87</v>
      </c>
      <c r="V10" t="s">
        <v>88</v>
      </c>
    </row>
    <row r="11" spans="1:38" x14ac:dyDescent="0.25">
      <c r="A11" t="s">
        <v>7779</v>
      </c>
      <c r="B11" t="s">
        <v>38</v>
      </c>
      <c r="C11" t="s">
        <v>39</v>
      </c>
      <c r="E11" t="s">
        <v>7780</v>
      </c>
      <c r="F11" t="s">
        <v>40</v>
      </c>
      <c r="G11" t="s">
        <v>41</v>
      </c>
      <c r="H11" t="s">
        <v>7781</v>
      </c>
      <c r="I11" t="s">
        <v>7782</v>
      </c>
      <c r="O11" t="s">
        <v>7783</v>
      </c>
      <c r="Q11" t="s">
        <v>7784</v>
      </c>
      <c r="R11" t="s">
        <v>7785</v>
      </c>
      <c r="S11" t="s">
        <v>7786</v>
      </c>
      <c r="U11" t="s">
        <v>7787</v>
      </c>
      <c r="V11" t="s">
        <v>7788</v>
      </c>
      <c r="W11" t="s">
        <v>7789</v>
      </c>
      <c r="Y11" t="s">
        <v>7790</v>
      </c>
      <c r="Z11" t="s">
        <v>7791</v>
      </c>
    </row>
    <row r="12" spans="1:38" x14ac:dyDescent="0.25">
      <c r="A12" t="s">
        <v>148</v>
      </c>
      <c r="B12" t="s">
        <v>38</v>
      </c>
      <c r="C12" t="s">
        <v>39</v>
      </c>
      <c r="E12" t="s">
        <v>149</v>
      </c>
      <c r="F12" t="s">
        <v>40</v>
      </c>
      <c r="G12" t="s">
        <v>41</v>
      </c>
      <c r="H12" t="s">
        <v>150</v>
      </c>
      <c r="I12" t="s">
        <v>151</v>
      </c>
      <c r="O12" t="s">
        <v>152</v>
      </c>
      <c r="Q12" t="s">
        <v>153</v>
      </c>
      <c r="R12" t="s">
        <v>154</v>
      </c>
      <c r="S12" t="s">
        <v>155</v>
      </c>
      <c r="U12" t="s">
        <v>153</v>
      </c>
      <c r="V12" t="s">
        <v>156</v>
      </c>
      <c r="W12" t="s">
        <v>157</v>
      </c>
      <c r="Y12" t="s">
        <v>153</v>
      </c>
      <c r="Z12" t="s">
        <v>158</v>
      </c>
    </row>
    <row r="13" spans="1:38" x14ac:dyDescent="0.25">
      <c r="A13" t="s">
        <v>89</v>
      </c>
      <c r="B13" t="s">
        <v>90</v>
      </c>
      <c r="C13" t="s">
        <v>39</v>
      </c>
      <c r="F13" t="s">
        <v>40</v>
      </c>
      <c r="G13" t="s">
        <v>41</v>
      </c>
      <c r="H13" t="s">
        <v>91</v>
      </c>
      <c r="I13" t="s">
        <v>92</v>
      </c>
      <c r="M13" t="s">
        <v>93</v>
      </c>
      <c r="N13" t="s">
        <v>94</v>
      </c>
      <c r="O13" t="s">
        <v>95</v>
      </c>
      <c r="P13" t="s">
        <v>45</v>
      </c>
      <c r="R13" t="s">
        <v>96</v>
      </c>
      <c r="S13" t="s">
        <v>97</v>
      </c>
      <c r="T13" t="s">
        <v>49</v>
      </c>
      <c r="V13" t="s">
        <v>98</v>
      </c>
      <c r="W13" t="s">
        <v>99</v>
      </c>
      <c r="Y13" t="s">
        <v>100</v>
      </c>
      <c r="Z13" t="s">
        <v>101</v>
      </c>
    </row>
    <row r="14" spans="1:38" x14ac:dyDescent="0.25">
      <c r="A14" t="s">
        <v>7809</v>
      </c>
      <c r="B14" t="s">
        <v>90</v>
      </c>
      <c r="C14" t="s">
        <v>39</v>
      </c>
      <c r="E14" t="s">
        <v>7810</v>
      </c>
      <c r="F14" t="s">
        <v>40</v>
      </c>
      <c r="G14" t="s">
        <v>41</v>
      </c>
      <c r="H14" t="s">
        <v>7811</v>
      </c>
      <c r="I14" t="s">
        <v>7812</v>
      </c>
      <c r="O14" t="s">
        <v>7813</v>
      </c>
      <c r="Q14" t="s">
        <v>7814</v>
      </c>
      <c r="R14" t="s">
        <v>7815</v>
      </c>
      <c r="S14" t="s">
        <v>7816</v>
      </c>
      <c r="U14" t="s">
        <v>7814</v>
      </c>
      <c r="V14" t="s">
        <v>7817</v>
      </c>
      <c r="W14" t="s">
        <v>7818</v>
      </c>
      <c r="Y14" t="s">
        <v>7814</v>
      </c>
      <c r="Z14" t="s">
        <v>7819</v>
      </c>
      <c r="AA14" t="s">
        <v>99</v>
      </c>
      <c r="AC14" t="s">
        <v>7820</v>
      </c>
      <c r="AD14" t="s">
        <v>101</v>
      </c>
    </row>
    <row r="15" spans="1:38" x14ac:dyDescent="0.25">
      <c r="A15" t="s">
        <v>69</v>
      </c>
      <c r="B15" t="s">
        <v>38</v>
      </c>
      <c r="C15" t="s">
        <v>39</v>
      </c>
      <c r="E15" t="s">
        <v>70</v>
      </c>
      <c r="F15" t="s">
        <v>40</v>
      </c>
      <c r="G15" t="s">
        <v>41</v>
      </c>
      <c r="H15" t="s">
        <v>71</v>
      </c>
      <c r="I15" t="s">
        <v>72</v>
      </c>
      <c r="O15" t="s">
        <v>73</v>
      </c>
      <c r="Q15" t="s">
        <v>74</v>
      </c>
      <c r="R15" t="s">
        <v>75</v>
      </c>
      <c r="S15" t="s">
        <v>76</v>
      </c>
      <c r="U15" t="s">
        <v>77</v>
      </c>
      <c r="V15" t="s">
        <v>78</v>
      </c>
    </row>
    <row r="16" spans="1:38" x14ac:dyDescent="0.25">
      <c r="A16" t="s">
        <v>7799</v>
      </c>
      <c r="B16" t="s">
        <v>90</v>
      </c>
      <c r="C16" t="s">
        <v>39</v>
      </c>
      <c r="E16" t="s">
        <v>7800</v>
      </c>
      <c r="F16" t="s">
        <v>40</v>
      </c>
      <c r="G16" t="s">
        <v>41</v>
      </c>
      <c r="H16" t="s">
        <v>7801</v>
      </c>
      <c r="I16" t="s">
        <v>7802</v>
      </c>
      <c r="O16" t="s">
        <v>7786</v>
      </c>
      <c r="Q16" t="s">
        <v>7803</v>
      </c>
      <c r="R16" t="s">
        <v>7788</v>
      </c>
      <c r="S16" t="s">
        <v>7783</v>
      </c>
      <c r="U16" t="s">
        <v>7804</v>
      </c>
      <c r="V16" t="s">
        <v>7785</v>
      </c>
      <c r="W16" t="s">
        <v>7805</v>
      </c>
      <c r="Y16" t="s">
        <v>7806</v>
      </c>
      <c r="Z16" t="s">
        <v>7807</v>
      </c>
      <c r="AA16" t="s">
        <v>5722</v>
      </c>
      <c r="AC16" t="s">
        <v>7808</v>
      </c>
      <c r="AD16" t="s">
        <v>101</v>
      </c>
    </row>
    <row r="17" spans="1:22" x14ac:dyDescent="0.25">
      <c r="A17" t="s">
        <v>121</v>
      </c>
      <c r="B17" t="s">
        <v>38</v>
      </c>
      <c r="C17" t="s">
        <v>39</v>
      </c>
      <c r="E17" t="s">
        <v>122</v>
      </c>
      <c r="F17" t="s">
        <v>40</v>
      </c>
      <c r="G17" t="s">
        <v>41</v>
      </c>
      <c r="H17" t="s">
        <v>123</v>
      </c>
      <c r="I17" t="s">
        <v>124</v>
      </c>
      <c r="O17" t="s">
        <v>125</v>
      </c>
      <c r="Q17" t="s">
        <v>126</v>
      </c>
      <c r="R17" t="s">
        <v>127</v>
      </c>
      <c r="S17" t="s">
        <v>128</v>
      </c>
      <c r="U17" t="s">
        <v>129</v>
      </c>
      <c r="V17" t="s">
        <v>130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AB4BB-97B5-4320-8C75-98AFFAFD1C9B}">
  <dimension ref="A1:I21"/>
  <sheetViews>
    <sheetView workbookViewId="0">
      <selection activeCell="F15" sqref="F15"/>
    </sheetView>
  </sheetViews>
  <sheetFormatPr defaultRowHeight="15" x14ac:dyDescent="0.25"/>
  <cols>
    <col min="1" max="1" width="20" bestFit="1" customWidth="1"/>
    <col min="2" max="2" width="11.140625" bestFit="1" customWidth="1"/>
    <col min="3" max="3" width="7.5703125" bestFit="1" customWidth="1"/>
    <col min="4" max="4" width="90.140625" bestFit="1" customWidth="1"/>
    <col min="5" max="5" width="63" bestFit="1" customWidth="1"/>
    <col min="6" max="6" width="37.28515625" customWidth="1"/>
    <col min="7" max="7" width="26.5703125" bestFit="1" customWidth="1"/>
    <col min="8" max="8" width="17.85546875" bestFit="1" customWidth="1"/>
    <col min="9" max="9" width="27.85546875" bestFit="1" customWidth="1"/>
  </cols>
  <sheetData>
    <row r="1" spans="1:9" x14ac:dyDescent="0.25">
      <c r="A1" t="s">
        <v>165</v>
      </c>
      <c r="B1" t="s">
        <v>6</v>
      </c>
      <c r="C1" t="s">
        <v>167</v>
      </c>
      <c r="D1" t="s">
        <v>3453</v>
      </c>
      <c r="E1" t="s">
        <v>3496</v>
      </c>
      <c r="F1" t="s">
        <v>170</v>
      </c>
      <c r="G1" t="s">
        <v>1</v>
      </c>
      <c r="H1" t="s">
        <v>7</v>
      </c>
      <c r="I1" t="s">
        <v>7493</v>
      </c>
    </row>
    <row r="2" spans="1:9" x14ac:dyDescent="0.25">
      <c r="A2" t="s">
        <v>7525</v>
      </c>
      <c r="B2" t="s">
        <v>3514</v>
      </c>
      <c r="C2" t="s">
        <v>4508</v>
      </c>
      <c r="D2" t="s">
        <v>7526</v>
      </c>
      <c r="E2" t="s">
        <v>7536</v>
      </c>
      <c r="G2" t="s">
        <v>2619</v>
      </c>
      <c r="H2" t="s">
        <v>7537</v>
      </c>
      <c r="I2" t="s">
        <v>7508</v>
      </c>
    </row>
    <row r="3" spans="1:9" x14ac:dyDescent="0.25">
      <c r="A3" t="s">
        <v>7504</v>
      </c>
      <c r="B3" t="s">
        <v>3514</v>
      </c>
      <c r="C3" t="s">
        <v>4508</v>
      </c>
      <c r="D3" t="s">
        <v>7506</v>
      </c>
      <c r="E3" t="s">
        <v>7530</v>
      </c>
      <c r="F3" t="s">
        <v>8310</v>
      </c>
      <c r="G3" t="s">
        <v>160</v>
      </c>
      <c r="H3" t="s">
        <v>7505</v>
      </c>
      <c r="I3" t="s">
        <v>7495</v>
      </c>
    </row>
    <row r="4" spans="1:9" x14ac:dyDescent="0.25">
      <c r="A4" t="s">
        <v>7509</v>
      </c>
      <c r="B4" t="s">
        <v>3502</v>
      </c>
      <c r="C4" t="s">
        <v>4508</v>
      </c>
      <c r="D4" t="s">
        <v>7510</v>
      </c>
      <c r="E4" t="s">
        <v>7531</v>
      </c>
      <c r="F4" t="s">
        <v>8311</v>
      </c>
      <c r="G4" t="s">
        <v>160</v>
      </c>
      <c r="H4" t="s">
        <v>7514</v>
      </c>
      <c r="I4" t="s">
        <v>7508</v>
      </c>
    </row>
    <row r="5" spans="1:9" x14ac:dyDescent="0.25">
      <c r="A5" t="s">
        <v>7511</v>
      </c>
      <c r="B5" t="s">
        <v>3502</v>
      </c>
      <c r="C5" t="s">
        <v>4508</v>
      </c>
      <c r="D5" t="s">
        <v>7512</v>
      </c>
      <c r="E5" t="s">
        <v>7532</v>
      </c>
      <c r="F5" t="s">
        <v>8311</v>
      </c>
      <c r="G5" t="s">
        <v>160</v>
      </c>
      <c r="H5" t="s">
        <v>7513</v>
      </c>
      <c r="I5" t="s">
        <v>7508</v>
      </c>
    </row>
    <row r="6" spans="1:9" x14ac:dyDescent="0.25">
      <c r="A6" t="s">
        <v>7515</v>
      </c>
      <c r="B6" t="s">
        <v>3502</v>
      </c>
      <c r="C6" t="s">
        <v>4508</v>
      </c>
      <c r="D6" t="s">
        <v>7517</v>
      </c>
      <c r="E6" t="s">
        <v>7533</v>
      </c>
      <c r="F6" t="s">
        <v>8311</v>
      </c>
      <c r="G6" t="s">
        <v>160</v>
      </c>
      <c r="H6" t="s">
        <v>7516</v>
      </c>
      <c r="I6" t="s">
        <v>7508</v>
      </c>
    </row>
    <row r="7" spans="1:9" x14ac:dyDescent="0.25">
      <c r="A7" t="s">
        <v>7521</v>
      </c>
      <c r="B7" t="s">
        <v>3502</v>
      </c>
      <c r="C7" t="s">
        <v>4508</v>
      </c>
      <c r="D7" t="s">
        <v>7522</v>
      </c>
      <c r="E7" t="s">
        <v>7535</v>
      </c>
      <c r="G7" t="s">
        <v>2619</v>
      </c>
      <c r="H7" t="s">
        <v>7523</v>
      </c>
      <c r="I7" t="s">
        <v>7524</v>
      </c>
    </row>
    <row r="8" spans="1:9" x14ac:dyDescent="0.25">
      <c r="A8" t="s">
        <v>3521</v>
      </c>
      <c r="B8" t="s">
        <v>3502</v>
      </c>
      <c r="C8" t="s">
        <v>3523</v>
      </c>
      <c r="D8" t="s">
        <v>8236</v>
      </c>
      <c r="E8" t="s">
        <v>8187</v>
      </c>
      <c r="G8" t="s">
        <v>90</v>
      </c>
      <c r="H8" t="s">
        <v>3521</v>
      </c>
      <c r="I8" t="s">
        <v>7494</v>
      </c>
    </row>
    <row r="9" spans="1:9" x14ac:dyDescent="0.25">
      <c r="A9" t="s">
        <v>8177</v>
      </c>
      <c r="B9" t="s">
        <v>3502</v>
      </c>
      <c r="C9" t="s">
        <v>3523</v>
      </c>
      <c r="D9" t="s">
        <v>8235</v>
      </c>
      <c r="E9" t="s">
        <v>8188</v>
      </c>
      <c r="F9" t="s">
        <v>8312</v>
      </c>
      <c r="G9" t="s">
        <v>353</v>
      </c>
      <c r="H9" t="s">
        <v>8177</v>
      </c>
      <c r="I9" t="s">
        <v>7507</v>
      </c>
    </row>
    <row r="10" spans="1:9" x14ac:dyDescent="0.25">
      <c r="A10" t="s">
        <v>8152</v>
      </c>
      <c r="B10" t="s">
        <v>41</v>
      </c>
      <c r="C10" t="s">
        <v>3523</v>
      </c>
      <c r="D10" t="s">
        <v>8234</v>
      </c>
      <c r="E10" t="s">
        <v>8189</v>
      </c>
      <c r="F10" t="s">
        <v>8312</v>
      </c>
      <c r="G10" t="s">
        <v>353</v>
      </c>
      <c r="H10" t="s">
        <v>8153</v>
      </c>
      <c r="I10" t="s">
        <v>7507</v>
      </c>
    </row>
    <row r="11" spans="1:9" x14ac:dyDescent="0.25">
      <c r="A11" t="s">
        <v>7713</v>
      </c>
      <c r="B11" t="s">
        <v>3502</v>
      </c>
      <c r="C11" t="s">
        <v>3523</v>
      </c>
      <c r="D11" t="s">
        <v>8233</v>
      </c>
      <c r="E11" t="s">
        <v>8190</v>
      </c>
      <c r="G11" t="s">
        <v>90</v>
      </c>
      <c r="H11" t="s">
        <v>7714</v>
      </c>
      <c r="I11" t="s">
        <v>7715</v>
      </c>
    </row>
    <row r="12" spans="1:9" x14ac:dyDescent="0.25">
      <c r="A12" t="s">
        <v>8168</v>
      </c>
      <c r="B12" t="s">
        <v>41</v>
      </c>
      <c r="C12" t="s">
        <v>4508</v>
      </c>
      <c r="D12" t="s">
        <v>8169</v>
      </c>
      <c r="E12" t="s">
        <v>8191</v>
      </c>
      <c r="F12" t="s">
        <v>8310</v>
      </c>
      <c r="G12" t="s">
        <v>160</v>
      </c>
      <c r="H12" t="s">
        <v>8170</v>
      </c>
      <c r="I12" t="s">
        <v>7495</v>
      </c>
    </row>
    <row r="13" spans="1:9" x14ac:dyDescent="0.25">
      <c r="A13" t="s">
        <v>7499</v>
      </c>
      <c r="B13" t="s">
        <v>3514</v>
      </c>
      <c r="C13" t="s">
        <v>4508</v>
      </c>
      <c r="D13" t="s">
        <v>8107</v>
      </c>
      <c r="E13" t="s">
        <v>8108</v>
      </c>
      <c r="F13" t="s">
        <v>8310</v>
      </c>
      <c r="G13" t="s">
        <v>160</v>
      </c>
      <c r="H13" t="s">
        <v>7500</v>
      </c>
      <c r="I13" t="s">
        <v>7495</v>
      </c>
    </row>
    <row r="14" spans="1:9" x14ac:dyDescent="0.25">
      <c r="A14" t="s">
        <v>7518</v>
      </c>
      <c r="B14" t="s">
        <v>3502</v>
      </c>
      <c r="C14" t="s">
        <v>4508</v>
      </c>
      <c r="D14" t="s">
        <v>7519</v>
      </c>
      <c r="E14" t="s">
        <v>7534</v>
      </c>
      <c r="F14" t="s">
        <v>8311</v>
      </c>
      <c r="G14" t="s">
        <v>2619</v>
      </c>
      <c r="H14" t="s">
        <v>7520</v>
      </c>
      <c r="I14" t="s">
        <v>7508</v>
      </c>
    </row>
    <row r="15" spans="1:9" x14ac:dyDescent="0.25">
      <c r="A15" t="s">
        <v>3677</v>
      </c>
      <c r="B15" t="s">
        <v>3514</v>
      </c>
      <c r="C15" t="s">
        <v>4508</v>
      </c>
      <c r="D15" t="s">
        <v>3678</v>
      </c>
      <c r="E15" t="s">
        <v>7527</v>
      </c>
      <c r="F15" t="s">
        <v>8312</v>
      </c>
      <c r="G15" t="s">
        <v>353</v>
      </c>
      <c r="H15" t="s">
        <v>3679</v>
      </c>
      <c r="I15" t="s">
        <v>7507</v>
      </c>
    </row>
    <row r="16" spans="1:9" x14ac:dyDescent="0.25">
      <c r="A16" t="s">
        <v>8178</v>
      </c>
      <c r="B16" t="s">
        <v>3514</v>
      </c>
      <c r="C16" t="s">
        <v>3523</v>
      </c>
      <c r="D16" t="s">
        <v>8230</v>
      </c>
      <c r="E16" t="s">
        <v>8192</v>
      </c>
      <c r="F16" t="s">
        <v>8312</v>
      </c>
      <c r="G16" t="s">
        <v>353</v>
      </c>
      <c r="H16" t="s">
        <v>8178</v>
      </c>
      <c r="I16" t="s">
        <v>7507</v>
      </c>
    </row>
    <row r="17" spans="1:9" x14ac:dyDescent="0.25">
      <c r="A17" t="s">
        <v>8184</v>
      </c>
      <c r="B17" t="s">
        <v>3514</v>
      </c>
      <c r="C17" t="s">
        <v>3523</v>
      </c>
      <c r="D17" t="s">
        <v>8231</v>
      </c>
      <c r="E17" t="s">
        <v>8193</v>
      </c>
      <c r="F17" t="s">
        <v>8312</v>
      </c>
      <c r="G17" t="s">
        <v>353</v>
      </c>
      <c r="H17" t="s">
        <v>8185</v>
      </c>
      <c r="I17" t="s">
        <v>7507</v>
      </c>
    </row>
    <row r="18" spans="1:9" x14ac:dyDescent="0.25">
      <c r="A18" t="s">
        <v>8182</v>
      </c>
      <c r="B18" t="s">
        <v>3514</v>
      </c>
      <c r="C18" t="s">
        <v>3523</v>
      </c>
      <c r="D18" t="s">
        <v>8232</v>
      </c>
      <c r="E18" t="s">
        <v>8194</v>
      </c>
      <c r="F18" t="s">
        <v>8312</v>
      </c>
      <c r="G18" t="s">
        <v>353</v>
      </c>
      <c r="H18" t="s">
        <v>8183</v>
      </c>
      <c r="I18" t="s">
        <v>7507</v>
      </c>
    </row>
    <row r="19" spans="1:9" x14ac:dyDescent="0.25">
      <c r="A19" t="s">
        <v>7496</v>
      </c>
      <c r="B19" t="s">
        <v>41</v>
      </c>
      <c r="C19" t="s">
        <v>4508</v>
      </c>
      <c r="D19" t="s">
        <v>4153</v>
      </c>
      <c r="E19" t="s">
        <v>4154</v>
      </c>
      <c r="F19" t="s">
        <v>8310</v>
      </c>
      <c r="G19" t="s">
        <v>160</v>
      </c>
      <c r="H19" t="s">
        <v>7528</v>
      </c>
      <c r="I19" t="s">
        <v>7495</v>
      </c>
    </row>
    <row r="20" spans="1:9" x14ac:dyDescent="0.25">
      <c r="A20" t="s">
        <v>7497</v>
      </c>
      <c r="B20" t="s">
        <v>41</v>
      </c>
      <c r="C20" t="s">
        <v>4508</v>
      </c>
      <c r="D20" t="s">
        <v>4208</v>
      </c>
      <c r="E20" t="s">
        <v>4209</v>
      </c>
      <c r="F20" t="s">
        <v>8310</v>
      </c>
      <c r="G20" t="s">
        <v>160</v>
      </c>
      <c r="H20" t="s">
        <v>7498</v>
      </c>
      <c r="I20" t="s">
        <v>7495</v>
      </c>
    </row>
    <row r="21" spans="1:9" x14ac:dyDescent="0.25">
      <c r="A21" t="s">
        <v>7501</v>
      </c>
      <c r="B21" t="s">
        <v>41</v>
      </c>
      <c r="C21" t="s">
        <v>4508</v>
      </c>
      <c r="D21" t="s">
        <v>7503</v>
      </c>
      <c r="E21" t="s">
        <v>7529</v>
      </c>
      <c r="F21" t="s">
        <v>8310</v>
      </c>
      <c r="G21" t="s">
        <v>160</v>
      </c>
      <c r="H21" t="s">
        <v>7502</v>
      </c>
      <c r="I21" t="s">
        <v>7495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40"/>
  <sheetViews>
    <sheetView workbookViewId="0">
      <selection activeCell="H12" sqref="H12"/>
    </sheetView>
  </sheetViews>
  <sheetFormatPr defaultRowHeight="15" x14ac:dyDescent="0.25"/>
  <cols>
    <col min="1" max="1" width="26.7109375" bestFit="1" customWidth="1"/>
    <col min="2" max="2" width="8.5703125" bestFit="1" customWidth="1"/>
    <col min="3" max="3" width="13.140625" bestFit="1" customWidth="1"/>
    <col min="4" max="4" width="13.140625" customWidth="1"/>
    <col min="5" max="5" width="85.140625" bestFit="1" customWidth="1"/>
    <col min="6" max="6" width="67.42578125" bestFit="1" customWidth="1"/>
    <col min="7" max="7" width="7.140625" bestFit="1" customWidth="1"/>
    <col min="8" max="8" width="13.28515625" bestFit="1" customWidth="1"/>
    <col min="9" max="9" width="8.7109375" customWidth="1"/>
    <col min="11" max="11" width="25.5703125" bestFit="1" customWidth="1"/>
    <col min="14" max="14" width="20.140625" bestFit="1" customWidth="1"/>
    <col min="15" max="15" width="8.5703125" bestFit="1" customWidth="1"/>
  </cols>
  <sheetData>
    <row r="1" spans="1:15" x14ac:dyDescent="0.25">
      <c r="A1" t="s">
        <v>4008</v>
      </c>
      <c r="B1" t="s">
        <v>1</v>
      </c>
      <c r="C1" t="s">
        <v>4009</v>
      </c>
      <c r="D1" t="s">
        <v>6</v>
      </c>
      <c r="E1" t="s">
        <v>3453</v>
      </c>
      <c r="F1" t="s">
        <v>3496</v>
      </c>
      <c r="G1" t="s">
        <v>170</v>
      </c>
      <c r="H1" t="s">
        <v>171</v>
      </c>
      <c r="I1" t="s">
        <v>4010</v>
      </c>
      <c r="K1" t="s">
        <v>4011</v>
      </c>
      <c r="L1" t="s">
        <v>1</v>
      </c>
      <c r="N1" t="s">
        <v>4012</v>
      </c>
      <c r="O1" t="s">
        <v>1</v>
      </c>
    </row>
    <row r="2" spans="1:15" x14ac:dyDescent="0.25">
      <c r="A2" t="s">
        <v>4013</v>
      </c>
      <c r="B2" t="s">
        <v>2154</v>
      </c>
      <c r="C2" t="s">
        <v>4014</v>
      </c>
      <c r="D2" t="s">
        <v>41</v>
      </c>
      <c r="E2" t="s">
        <v>4015</v>
      </c>
      <c r="F2" t="s">
        <v>4016</v>
      </c>
      <c r="K2" t="s">
        <v>4017</v>
      </c>
      <c r="L2" t="s">
        <v>1795</v>
      </c>
      <c r="N2" t="s">
        <v>4018</v>
      </c>
      <c r="O2" t="s">
        <v>2154</v>
      </c>
    </row>
    <row r="3" spans="1:15" x14ac:dyDescent="0.25">
      <c r="A3" t="s">
        <v>4019</v>
      </c>
      <c r="B3" t="s">
        <v>1284</v>
      </c>
      <c r="C3" t="s">
        <v>4014</v>
      </c>
      <c r="D3" t="s">
        <v>3514</v>
      </c>
      <c r="E3" t="s">
        <v>4020</v>
      </c>
      <c r="F3" t="s">
        <v>4021</v>
      </c>
      <c r="H3" t="s">
        <v>4022</v>
      </c>
      <c r="K3" t="s">
        <v>4023</v>
      </c>
      <c r="L3" t="s">
        <v>1795</v>
      </c>
      <c r="N3" t="s">
        <v>4024</v>
      </c>
      <c r="O3" t="s">
        <v>2154</v>
      </c>
    </row>
    <row r="4" spans="1:15" x14ac:dyDescent="0.25">
      <c r="A4" t="s">
        <v>4025</v>
      </c>
      <c r="B4" t="s">
        <v>2154</v>
      </c>
      <c r="C4" t="s">
        <v>4014</v>
      </c>
      <c r="D4" t="s">
        <v>3514</v>
      </c>
      <c r="E4" t="s">
        <v>4026</v>
      </c>
      <c r="F4" t="s">
        <v>4027</v>
      </c>
      <c r="K4" t="s">
        <v>4028</v>
      </c>
      <c r="L4" t="s">
        <v>1795</v>
      </c>
      <c r="N4" t="s">
        <v>4029</v>
      </c>
      <c r="O4" t="s">
        <v>2154</v>
      </c>
    </row>
    <row r="5" spans="1:15" x14ac:dyDescent="0.25">
      <c r="A5" t="s">
        <v>4030</v>
      </c>
      <c r="B5" t="s">
        <v>2154</v>
      </c>
      <c r="C5" t="s">
        <v>4031</v>
      </c>
      <c r="D5" t="s">
        <v>41</v>
      </c>
      <c r="E5" t="s">
        <v>4032</v>
      </c>
      <c r="F5" t="s">
        <v>4033</v>
      </c>
      <c r="H5" t="s">
        <v>4034</v>
      </c>
      <c r="I5" t="s">
        <v>7476</v>
      </c>
      <c r="K5" t="s">
        <v>4035</v>
      </c>
      <c r="L5" t="s">
        <v>1795</v>
      </c>
      <c r="N5" t="s">
        <v>4036</v>
      </c>
      <c r="O5" t="s">
        <v>2154</v>
      </c>
    </row>
    <row r="6" spans="1:15" x14ac:dyDescent="0.25">
      <c r="A6" t="s">
        <v>4037</v>
      </c>
      <c r="B6" t="s">
        <v>2154</v>
      </c>
      <c r="C6" t="s">
        <v>4031</v>
      </c>
      <c r="D6" t="s">
        <v>3514</v>
      </c>
      <c r="E6" t="s">
        <v>7619</v>
      </c>
      <c r="F6" t="s">
        <v>4038</v>
      </c>
      <c r="K6" t="s">
        <v>4039</v>
      </c>
      <c r="L6" t="s">
        <v>1795</v>
      </c>
      <c r="N6" t="s">
        <v>4040</v>
      </c>
      <c r="O6" t="s">
        <v>2154</v>
      </c>
    </row>
    <row r="7" spans="1:15" x14ac:dyDescent="0.25">
      <c r="A7" t="s">
        <v>4041</v>
      </c>
      <c r="B7" t="s">
        <v>2154</v>
      </c>
      <c r="C7" t="s">
        <v>4042</v>
      </c>
      <c r="D7" t="s">
        <v>41</v>
      </c>
      <c r="E7" t="s">
        <v>4043</v>
      </c>
      <c r="F7" t="s">
        <v>4044</v>
      </c>
      <c r="H7" t="s">
        <v>4045</v>
      </c>
      <c r="K7" t="s">
        <v>4046</v>
      </c>
      <c r="L7" t="s">
        <v>1795</v>
      </c>
      <c r="N7" t="s">
        <v>4047</v>
      </c>
      <c r="O7" t="s">
        <v>2154</v>
      </c>
    </row>
    <row r="8" spans="1:15" x14ac:dyDescent="0.25">
      <c r="A8" t="s">
        <v>4048</v>
      </c>
      <c r="B8" t="s">
        <v>1284</v>
      </c>
      <c r="C8" t="s">
        <v>4014</v>
      </c>
      <c r="D8" t="s">
        <v>3514</v>
      </c>
      <c r="E8" t="s">
        <v>4049</v>
      </c>
      <c r="F8" t="s">
        <v>4050</v>
      </c>
      <c r="G8" t="s">
        <v>8220</v>
      </c>
      <c r="K8" t="s">
        <v>4051</v>
      </c>
      <c r="L8" t="s">
        <v>1795</v>
      </c>
      <c r="N8" t="s">
        <v>4052</v>
      </c>
      <c r="O8" t="s">
        <v>2154</v>
      </c>
    </row>
    <row r="9" spans="1:15" x14ac:dyDescent="0.25">
      <c r="A9" t="s">
        <v>4053</v>
      </c>
      <c r="B9" t="s">
        <v>2154</v>
      </c>
      <c r="C9" t="s">
        <v>4031</v>
      </c>
      <c r="D9" t="s">
        <v>3502</v>
      </c>
      <c r="E9" t="s">
        <v>4054</v>
      </c>
      <c r="F9" t="s">
        <v>4055</v>
      </c>
      <c r="K9" t="s">
        <v>4056</v>
      </c>
      <c r="L9" t="s">
        <v>1795</v>
      </c>
      <c r="N9" t="s">
        <v>4057</v>
      </c>
      <c r="O9" t="s">
        <v>2154</v>
      </c>
    </row>
    <row r="10" spans="1:15" x14ac:dyDescent="0.25">
      <c r="K10" t="s">
        <v>4058</v>
      </c>
      <c r="L10" t="s">
        <v>1795</v>
      </c>
      <c r="N10" t="s">
        <v>4059</v>
      </c>
      <c r="O10" t="s">
        <v>2154</v>
      </c>
    </row>
    <row r="11" spans="1:15" x14ac:dyDescent="0.25">
      <c r="K11" t="s">
        <v>4060</v>
      </c>
      <c r="L11" t="s">
        <v>1795</v>
      </c>
      <c r="N11" t="s">
        <v>4061</v>
      </c>
      <c r="O11" t="s">
        <v>2154</v>
      </c>
    </row>
    <row r="12" spans="1:15" x14ac:dyDescent="0.25">
      <c r="K12" t="s">
        <v>4062</v>
      </c>
      <c r="L12" t="s">
        <v>1795</v>
      </c>
      <c r="N12" t="s">
        <v>4063</v>
      </c>
      <c r="O12" t="s">
        <v>2154</v>
      </c>
    </row>
    <row r="13" spans="1:15" x14ac:dyDescent="0.25">
      <c r="K13" t="s">
        <v>4064</v>
      </c>
      <c r="L13" t="s">
        <v>1795</v>
      </c>
      <c r="N13" t="s">
        <v>4065</v>
      </c>
      <c r="O13" t="s">
        <v>2154</v>
      </c>
    </row>
    <row r="14" spans="1:15" x14ac:dyDescent="0.25">
      <c r="K14" t="s">
        <v>4066</v>
      </c>
      <c r="L14" t="s">
        <v>1795</v>
      </c>
      <c r="N14" t="s">
        <v>4067</v>
      </c>
      <c r="O14" t="s">
        <v>2154</v>
      </c>
    </row>
    <row r="15" spans="1:15" x14ac:dyDescent="0.25">
      <c r="K15" t="s">
        <v>4068</v>
      </c>
      <c r="L15" t="s">
        <v>1795</v>
      </c>
      <c r="N15" t="s">
        <v>4069</v>
      </c>
      <c r="O15" t="s">
        <v>2154</v>
      </c>
    </row>
    <row r="16" spans="1:15" x14ac:dyDescent="0.25">
      <c r="K16" t="s">
        <v>4070</v>
      </c>
      <c r="L16" t="s">
        <v>1795</v>
      </c>
      <c r="N16" t="s">
        <v>4071</v>
      </c>
      <c r="O16" t="s">
        <v>2154</v>
      </c>
    </row>
    <row r="17" spans="11:15" x14ac:dyDescent="0.25">
      <c r="K17" t="s">
        <v>4072</v>
      </c>
      <c r="L17" t="s">
        <v>1795</v>
      </c>
      <c r="N17" t="s">
        <v>4073</v>
      </c>
      <c r="O17" t="s">
        <v>2154</v>
      </c>
    </row>
    <row r="18" spans="11:15" x14ac:dyDescent="0.25">
      <c r="K18" t="s">
        <v>4074</v>
      </c>
      <c r="L18" t="s">
        <v>1795</v>
      </c>
      <c r="N18" t="s">
        <v>4075</v>
      </c>
      <c r="O18" t="s">
        <v>2154</v>
      </c>
    </row>
    <row r="19" spans="11:15" x14ac:dyDescent="0.25">
      <c r="K19" t="s">
        <v>4076</v>
      </c>
      <c r="L19" t="s">
        <v>1795</v>
      </c>
      <c r="N19" t="s">
        <v>4077</v>
      </c>
      <c r="O19" t="s">
        <v>2154</v>
      </c>
    </row>
    <row r="20" spans="11:15" x14ac:dyDescent="0.25">
      <c r="K20" t="s">
        <v>4078</v>
      </c>
      <c r="L20" t="s">
        <v>1795</v>
      </c>
      <c r="N20" t="s">
        <v>4079</v>
      </c>
      <c r="O20" t="s">
        <v>2154</v>
      </c>
    </row>
    <row r="21" spans="11:15" x14ac:dyDescent="0.25">
      <c r="K21" t="s">
        <v>4080</v>
      </c>
      <c r="L21" t="s">
        <v>1795</v>
      </c>
      <c r="N21" t="s">
        <v>4081</v>
      </c>
      <c r="O21" t="s">
        <v>2154</v>
      </c>
    </row>
    <row r="22" spans="11:15" x14ac:dyDescent="0.25">
      <c r="K22" t="s">
        <v>4082</v>
      </c>
      <c r="L22" t="s">
        <v>1795</v>
      </c>
      <c r="N22" t="s">
        <v>4083</v>
      </c>
      <c r="O22" t="s">
        <v>2154</v>
      </c>
    </row>
    <row r="23" spans="11:15" x14ac:dyDescent="0.25">
      <c r="K23" t="s">
        <v>4084</v>
      </c>
      <c r="L23" t="s">
        <v>1795</v>
      </c>
      <c r="N23" t="s">
        <v>4085</v>
      </c>
      <c r="O23" t="s">
        <v>2154</v>
      </c>
    </row>
    <row r="24" spans="11:15" x14ac:dyDescent="0.25">
      <c r="K24" t="s">
        <v>4086</v>
      </c>
      <c r="L24" t="s">
        <v>1795</v>
      </c>
      <c r="N24" t="s">
        <v>4087</v>
      </c>
      <c r="O24" t="s">
        <v>2154</v>
      </c>
    </row>
    <row r="25" spans="11:15" x14ac:dyDescent="0.25">
      <c r="K25" t="s">
        <v>4088</v>
      </c>
      <c r="L25" t="s">
        <v>1795</v>
      </c>
      <c r="N25" t="s">
        <v>4089</v>
      </c>
      <c r="O25" t="s">
        <v>2154</v>
      </c>
    </row>
    <row r="26" spans="11:15" x14ac:dyDescent="0.25">
      <c r="K26" t="s">
        <v>4090</v>
      </c>
      <c r="L26" t="s">
        <v>1795</v>
      </c>
      <c r="N26" t="s">
        <v>4091</v>
      </c>
      <c r="O26" t="s">
        <v>2154</v>
      </c>
    </row>
    <row r="27" spans="11:15" x14ac:dyDescent="0.25">
      <c r="K27" t="s">
        <v>4092</v>
      </c>
      <c r="L27" t="s">
        <v>2866</v>
      </c>
      <c r="N27" t="s">
        <v>4093</v>
      </c>
      <c r="O27" t="s">
        <v>2154</v>
      </c>
    </row>
    <row r="28" spans="11:15" x14ac:dyDescent="0.25">
      <c r="K28" t="s">
        <v>4094</v>
      </c>
      <c r="L28" t="s">
        <v>2866</v>
      </c>
      <c r="N28" t="s">
        <v>4095</v>
      </c>
      <c r="O28" t="s">
        <v>2154</v>
      </c>
    </row>
    <row r="29" spans="11:15" x14ac:dyDescent="0.25">
      <c r="K29" t="s">
        <v>4096</v>
      </c>
      <c r="L29" t="s">
        <v>2866</v>
      </c>
      <c r="N29" t="s">
        <v>4097</v>
      </c>
      <c r="O29" t="s">
        <v>2154</v>
      </c>
    </row>
    <row r="30" spans="11:15" x14ac:dyDescent="0.25">
      <c r="K30" t="s">
        <v>4098</v>
      </c>
      <c r="L30" t="s">
        <v>2866</v>
      </c>
      <c r="N30" t="s">
        <v>4099</v>
      </c>
      <c r="O30" t="s">
        <v>2154</v>
      </c>
    </row>
    <row r="31" spans="11:15" x14ac:dyDescent="0.25">
      <c r="K31" t="s">
        <v>4100</v>
      </c>
      <c r="L31" t="s">
        <v>2866</v>
      </c>
      <c r="N31" t="s">
        <v>4101</v>
      </c>
      <c r="O31" t="s">
        <v>2154</v>
      </c>
    </row>
    <row r="32" spans="11:15" x14ac:dyDescent="0.25">
      <c r="K32" t="s">
        <v>4102</v>
      </c>
      <c r="L32" t="s">
        <v>2866</v>
      </c>
      <c r="N32" t="s">
        <v>4103</v>
      </c>
      <c r="O32" t="s">
        <v>2154</v>
      </c>
    </row>
    <row r="33" spans="11:15" x14ac:dyDescent="0.25">
      <c r="K33" t="s">
        <v>4104</v>
      </c>
      <c r="L33" t="s">
        <v>2866</v>
      </c>
      <c r="N33" t="s">
        <v>4105</v>
      </c>
      <c r="O33" t="s">
        <v>2154</v>
      </c>
    </row>
    <row r="34" spans="11:15" x14ac:dyDescent="0.25">
      <c r="K34" t="s">
        <v>4106</v>
      </c>
      <c r="L34" t="s">
        <v>2866</v>
      </c>
      <c r="N34" t="s">
        <v>4107</v>
      </c>
      <c r="O34" t="s">
        <v>2154</v>
      </c>
    </row>
    <row r="35" spans="11:15" x14ac:dyDescent="0.25">
      <c r="K35" t="s">
        <v>4108</v>
      </c>
      <c r="L35" t="s">
        <v>2866</v>
      </c>
      <c r="N35" t="s">
        <v>4109</v>
      </c>
      <c r="O35" t="s">
        <v>2154</v>
      </c>
    </row>
    <row r="36" spans="11:15" x14ac:dyDescent="0.25">
      <c r="K36" t="s">
        <v>4074</v>
      </c>
      <c r="L36" t="s">
        <v>2866</v>
      </c>
      <c r="N36" t="s">
        <v>4110</v>
      </c>
      <c r="O36" t="s">
        <v>2154</v>
      </c>
    </row>
    <row r="37" spans="11:15" x14ac:dyDescent="0.25">
      <c r="K37" t="s">
        <v>4111</v>
      </c>
      <c r="L37" t="s">
        <v>2866</v>
      </c>
      <c r="N37" t="s">
        <v>4112</v>
      </c>
      <c r="O37" t="s">
        <v>2154</v>
      </c>
    </row>
    <row r="38" spans="11:15" x14ac:dyDescent="0.25">
      <c r="N38" t="s">
        <v>4113</v>
      </c>
      <c r="O38" t="s">
        <v>2154</v>
      </c>
    </row>
    <row r="39" spans="11:15" x14ac:dyDescent="0.25">
      <c r="N39" t="s">
        <v>4114</v>
      </c>
      <c r="O39" t="s">
        <v>2154</v>
      </c>
    </row>
    <row r="40" spans="11:15" x14ac:dyDescent="0.25">
      <c r="N40" t="s">
        <v>4115</v>
      </c>
      <c r="O40" t="s">
        <v>2154</v>
      </c>
    </row>
  </sheetData>
  <pageMargins left="0.7" right="0.7" top="0.75" bottom="0.75" header="0.3" footer="0.3"/>
  <tableParts count="3">
    <tablePart r:id="rId1"/>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1"/>
  <sheetViews>
    <sheetView workbookViewId="0">
      <selection activeCell="C2" sqref="C2"/>
    </sheetView>
  </sheetViews>
  <sheetFormatPr defaultRowHeight="15" x14ac:dyDescent="0.25"/>
  <cols>
    <col min="1" max="1" width="14.28515625" bestFit="1" customWidth="1"/>
    <col min="2" max="2" width="13.140625" bestFit="1" customWidth="1"/>
    <col min="3" max="3" width="85.140625" bestFit="1" customWidth="1"/>
    <col min="4" max="4" width="29.85546875" bestFit="1" customWidth="1"/>
    <col min="5" max="5" width="65" bestFit="1" customWidth="1"/>
    <col min="6" max="6" width="38.140625" customWidth="1"/>
    <col min="7" max="7" width="61" bestFit="1" customWidth="1"/>
  </cols>
  <sheetData>
    <row r="1" spans="1:7" x14ac:dyDescent="0.25">
      <c r="A1" t="s">
        <v>165</v>
      </c>
      <c r="B1" t="s">
        <v>4009</v>
      </c>
      <c r="C1" t="s">
        <v>3453</v>
      </c>
      <c r="D1" t="s">
        <v>3496</v>
      </c>
      <c r="E1" t="s">
        <v>4116</v>
      </c>
      <c r="F1" t="s">
        <v>4117</v>
      </c>
      <c r="G1" t="s">
        <v>4010</v>
      </c>
    </row>
    <row r="2" spans="1:7" x14ac:dyDescent="0.25">
      <c r="A2" t="s">
        <v>4130</v>
      </c>
      <c r="B2" t="s">
        <v>4031</v>
      </c>
      <c r="C2" t="s">
        <v>8287</v>
      </c>
      <c r="D2" t="s">
        <v>4131</v>
      </c>
      <c r="E2" t="s">
        <v>8288</v>
      </c>
      <c r="F2" t="s">
        <v>4132</v>
      </c>
    </row>
    <row r="3" spans="1:7" x14ac:dyDescent="0.25">
      <c r="A3" t="s">
        <v>4022</v>
      </c>
      <c r="B3" t="s">
        <v>4014</v>
      </c>
      <c r="C3" t="s">
        <v>7734</v>
      </c>
      <c r="D3" t="s">
        <v>7735</v>
      </c>
      <c r="E3" t="s">
        <v>4157</v>
      </c>
      <c r="F3" t="s">
        <v>4158</v>
      </c>
    </row>
    <row r="4" spans="1:7" x14ac:dyDescent="0.25">
      <c r="A4" t="s">
        <v>4141</v>
      </c>
      <c r="B4" t="s">
        <v>4014</v>
      </c>
      <c r="C4" t="s">
        <v>4142</v>
      </c>
      <c r="D4" t="s">
        <v>4143</v>
      </c>
      <c r="E4" t="s">
        <v>4144</v>
      </c>
      <c r="F4" t="s">
        <v>4145</v>
      </c>
      <c r="G4" t="s">
        <v>4146</v>
      </c>
    </row>
    <row r="5" spans="1:7" x14ac:dyDescent="0.25">
      <c r="A5" t="s">
        <v>4152</v>
      </c>
      <c r="B5" t="s">
        <v>4031</v>
      </c>
      <c r="C5" t="s">
        <v>4153</v>
      </c>
      <c r="D5" t="s">
        <v>4154</v>
      </c>
      <c r="E5" t="s">
        <v>4155</v>
      </c>
      <c r="F5" t="s">
        <v>4156</v>
      </c>
    </row>
    <row r="6" spans="1:7" x14ac:dyDescent="0.25">
      <c r="A6" t="s">
        <v>4147</v>
      </c>
      <c r="B6" t="s">
        <v>4031</v>
      </c>
      <c r="C6" t="s">
        <v>4148</v>
      </c>
      <c r="D6" t="s">
        <v>4149</v>
      </c>
      <c r="E6" t="s">
        <v>4150</v>
      </c>
      <c r="F6" t="s">
        <v>4151</v>
      </c>
    </row>
    <row r="7" spans="1:7" x14ac:dyDescent="0.25">
      <c r="A7" t="s">
        <v>4136</v>
      </c>
      <c r="B7" t="s">
        <v>4014</v>
      </c>
      <c r="C7" t="s">
        <v>4137</v>
      </c>
      <c r="D7" t="s">
        <v>4138</v>
      </c>
      <c r="E7" t="s">
        <v>4139</v>
      </c>
      <c r="F7" t="s">
        <v>4140</v>
      </c>
    </row>
    <row r="8" spans="1:7" x14ac:dyDescent="0.25">
      <c r="A8" t="s">
        <v>4133</v>
      </c>
      <c r="B8" t="s">
        <v>4031</v>
      </c>
      <c r="C8" t="s">
        <v>3629</v>
      </c>
      <c r="D8" t="s">
        <v>4134</v>
      </c>
      <c r="E8" t="s">
        <v>3632</v>
      </c>
      <c r="F8" t="s">
        <v>4135</v>
      </c>
    </row>
    <row r="9" spans="1:7" x14ac:dyDescent="0.25">
      <c r="A9" t="s">
        <v>4122</v>
      </c>
      <c r="B9" t="s">
        <v>4014</v>
      </c>
      <c r="C9" t="s">
        <v>4123</v>
      </c>
      <c r="D9" t="s">
        <v>4124</v>
      </c>
      <c r="E9" t="s">
        <v>4125</v>
      </c>
      <c r="F9" t="s">
        <v>4126</v>
      </c>
    </row>
    <row r="10" spans="1:7" x14ac:dyDescent="0.25">
      <c r="A10" t="s">
        <v>4118</v>
      </c>
      <c r="B10" t="s">
        <v>4031</v>
      </c>
      <c r="C10" t="s">
        <v>3570</v>
      </c>
      <c r="D10" t="s">
        <v>4119</v>
      </c>
      <c r="E10" t="s">
        <v>4120</v>
      </c>
      <c r="F10" t="s">
        <v>4121</v>
      </c>
    </row>
    <row r="11" spans="1:7" x14ac:dyDescent="0.25">
      <c r="A11" t="s">
        <v>4127</v>
      </c>
      <c r="B11" t="s">
        <v>4042</v>
      </c>
      <c r="C11" t="s">
        <v>4043</v>
      </c>
      <c r="D11" t="s">
        <v>4044</v>
      </c>
      <c r="E11" t="s">
        <v>4128</v>
      </c>
      <c r="F11" t="s">
        <v>4129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6"/>
  <sheetViews>
    <sheetView workbookViewId="0">
      <selection activeCell="H3" sqref="H3"/>
    </sheetView>
  </sheetViews>
  <sheetFormatPr defaultRowHeight="15" x14ac:dyDescent="0.25"/>
  <cols>
    <col min="1" max="1" width="23.42578125" bestFit="1" customWidth="1"/>
    <col min="2" max="2" width="11.140625" bestFit="1" customWidth="1"/>
    <col min="3" max="3" width="13" customWidth="1"/>
    <col min="4" max="4" width="61" bestFit="1" customWidth="1"/>
    <col min="5" max="5" width="45" customWidth="1"/>
    <col min="6" max="6" width="92.42578125" bestFit="1" customWidth="1"/>
    <col min="7" max="7" width="49.42578125" customWidth="1"/>
    <col min="8" max="8" width="11.140625" bestFit="1" customWidth="1"/>
    <col min="9" max="9" width="26.42578125" customWidth="1"/>
    <col min="10" max="10" width="17.85546875" bestFit="1" customWidth="1"/>
  </cols>
  <sheetData>
    <row r="1" spans="1:10" x14ac:dyDescent="0.25">
      <c r="A1" t="s">
        <v>165</v>
      </c>
      <c r="B1" t="s">
        <v>6</v>
      </c>
      <c r="C1" t="s">
        <v>4009</v>
      </c>
      <c r="D1" t="s">
        <v>3973</v>
      </c>
      <c r="E1" t="s">
        <v>3974</v>
      </c>
      <c r="F1" t="s">
        <v>4159</v>
      </c>
      <c r="G1" t="s">
        <v>4160</v>
      </c>
      <c r="H1" t="s">
        <v>170</v>
      </c>
      <c r="I1" t="s">
        <v>3497</v>
      </c>
      <c r="J1" t="s">
        <v>171</v>
      </c>
    </row>
    <row r="2" spans="1:10" x14ac:dyDescent="0.25">
      <c r="A2" t="s">
        <v>4161</v>
      </c>
      <c r="B2" t="s">
        <v>41</v>
      </c>
      <c r="C2" t="s">
        <v>4014</v>
      </c>
      <c r="D2" t="s">
        <v>7744</v>
      </c>
      <c r="E2" t="s">
        <v>7745</v>
      </c>
      <c r="F2" t="s">
        <v>7746</v>
      </c>
      <c r="G2" t="s">
        <v>7747</v>
      </c>
      <c r="H2" t="s">
        <v>8220</v>
      </c>
      <c r="I2" t="s">
        <v>90</v>
      </c>
      <c r="J2" t="s">
        <v>4162</v>
      </c>
    </row>
    <row r="3" spans="1:10" x14ac:dyDescent="0.25">
      <c r="A3" t="s">
        <v>4163</v>
      </c>
      <c r="B3" t="s">
        <v>41</v>
      </c>
      <c r="C3" t="s">
        <v>4031</v>
      </c>
      <c r="D3" t="s">
        <v>4153</v>
      </c>
      <c r="E3" t="s">
        <v>4154</v>
      </c>
      <c r="F3" t="s">
        <v>4164</v>
      </c>
      <c r="G3" t="s">
        <v>4165</v>
      </c>
      <c r="I3" t="s">
        <v>90</v>
      </c>
      <c r="J3" t="s">
        <v>4166</v>
      </c>
    </row>
    <row r="4" spans="1:10" x14ac:dyDescent="0.25">
      <c r="A4" t="s">
        <v>4167</v>
      </c>
      <c r="B4" t="s">
        <v>41</v>
      </c>
      <c r="C4" t="s">
        <v>4031</v>
      </c>
      <c r="D4" t="s">
        <v>4168</v>
      </c>
      <c r="E4" t="s">
        <v>4169</v>
      </c>
      <c r="F4" t="s">
        <v>4170</v>
      </c>
      <c r="G4" t="s">
        <v>4171</v>
      </c>
      <c r="I4" t="s">
        <v>90</v>
      </c>
      <c r="J4" t="s">
        <v>4172</v>
      </c>
    </row>
    <row r="5" spans="1:10" x14ac:dyDescent="0.25">
      <c r="A5" t="s">
        <v>4173</v>
      </c>
      <c r="B5" t="s">
        <v>41</v>
      </c>
      <c r="C5" t="s">
        <v>4031</v>
      </c>
      <c r="D5" t="s">
        <v>4174</v>
      </c>
      <c r="E5" t="s">
        <v>4175</v>
      </c>
      <c r="F5" t="s">
        <v>4176</v>
      </c>
      <c r="G5" t="s">
        <v>4177</v>
      </c>
      <c r="I5" t="s">
        <v>90</v>
      </c>
      <c r="J5" t="s">
        <v>4178</v>
      </c>
    </row>
    <row r="6" spans="1:10" x14ac:dyDescent="0.25">
      <c r="A6" t="s">
        <v>4179</v>
      </c>
      <c r="B6" t="s">
        <v>3502</v>
      </c>
      <c r="C6" t="s">
        <v>4031</v>
      </c>
      <c r="D6" t="s">
        <v>3629</v>
      </c>
      <c r="E6" t="s">
        <v>4134</v>
      </c>
      <c r="F6" t="s">
        <v>4180</v>
      </c>
      <c r="G6" t="s">
        <v>4181</v>
      </c>
      <c r="I6" t="s">
        <v>90</v>
      </c>
      <c r="J6" t="s">
        <v>4182</v>
      </c>
    </row>
    <row r="7" spans="1:10" x14ac:dyDescent="0.25">
      <c r="A7" t="s">
        <v>4183</v>
      </c>
      <c r="B7" t="s">
        <v>41</v>
      </c>
      <c r="C7" t="s">
        <v>4031</v>
      </c>
      <c r="D7" t="s">
        <v>4184</v>
      </c>
      <c r="E7" t="s">
        <v>4185</v>
      </c>
      <c r="F7" t="s">
        <v>4186</v>
      </c>
      <c r="G7" t="s">
        <v>4187</v>
      </c>
      <c r="I7" t="s">
        <v>90</v>
      </c>
      <c r="J7" t="s">
        <v>4188</v>
      </c>
    </row>
    <row r="8" spans="1:10" x14ac:dyDescent="0.25">
      <c r="A8" t="s">
        <v>4189</v>
      </c>
      <c r="B8" t="s">
        <v>41</v>
      </c>
      <c r="C8" t="s">
        <v>4031</v>
      </c>
      <c r="D8" t="s">
        <v>4190</v>
      </c>
      <c r="E8" t="s">
        <v>4191</v>
      </c>
      <c r="F8" t="s">
        <v>4192</v>
      </c>
      <c r="G8" t="s">
        <v>4193</v>
      </c>
      <c r="I8" t="s">
        <v>90</v>
      </c>
      <c r="J8" t="s">
        <v>4194</v>
      </c>
    </row>
    <row r="9" spans="1:10" x14ac:dyDescent="0.25">
      <c r="A9" t="s">
        <v>4195</v>
      </c>
      <c r="B9" t="s">
        <v>41</v>
      </c>
      <c r="C9" t="s">
        <v>4014</v>
      </c>
      <c r="D9" t="s">
        <v>4196</v>
      </c>
      <c r="E9" t="s">
        <v>4197</v>
      </c>
      <c r="F9" t="s">
        <v>4198</v>
      </c>
      <c r="G9" t="s">
        <v>4199</v>
      </c>
      <c r="I9" t="s">
        <v>90</v>
      </c>
      <c r="J9" t="s">
        <v>4200</v>
      </c>
    </row>
    <row r="10" spans="1:10" x14ac:dyDescent="0.25">
      <c r="A10" t="s">
        <v>4201</v>
      </c>
      <c r="B10" t="s">
        <v>3514</v>
      </c>
      <c r="C10" t="s">
        <v>4031</v>
      </c>
      <c r="D10" t="s">
        <v>4202</v>
      </c>
      <c r="E10" t="s">
        <v>4203</v>
      </c>
      <c r="F10" t="s">
        <v>4204</v>
      </c>
      <c r="G10" t="s">
        <v>4205</v>
      </c>
      <c r="I10" t="s">
        <v>38</v>
      </c>
      <c r="J10" t="s">
        <v>4206</v>
      </c>
    </row>
    <row r="11" spans="1:10" x14ac:dyDescent="0.25">
      <c r="A11" t="s">
        <v>4207</v>
      </c>
      <c r="B11" t="s">
        <v>41</v>
      </c>
      <c r="C11" t="s">
        <v>4031</v>
      </c>
      <c r="D11" t="s">
        <v>4208</v>
      </c>
      <c r="E11" t="s">
        <v>4209</v>
      </c>
      <c r="F11" t="s">
        <v>4210</v>
      </c>
      <c r="G11" t="s">
        <v>4211</v>
      </c>
      <c r="I11" t="s">
        <v>2154</v>
      </c>
      <c r="J11" t="s">
        <v>3458</v>
      </c>
    </row>
    <row r="12" spans="1:10" x14ac:dyDescent="0.25">
      <c r="A12" t="s">
        <v>4212</v>
      </c>
      <c r="B12" t="s">
        <v>3502</v>
      </c>
      <c r="C12" t="s">
        <v>4031</v>
      </c>
      <c r="D12" t="s">
        <v>4213</v>
      </c>
      <c r="E12" t="s">
        <v>4214</v>
      </c>
      <c r="F12" t="s">
        <v>3458</v>
      </c>
      <c r="G12" t="s">
        <v>4215</v>
      </c>
      <c r="I12" t="s">
        <v>2154</v>
      </c>
      <c r="J12" t="s">
        <v>3458</v>
      </c>
    </row>
    <row r="13" spans="1:10" x14ac:dyDescent="0.25">
      <c r="A13" t="s">
        <v>4216</v>
      </c>
      <c r="B13" t="s">
        <v>3502</v>
      </c>
      <c r="C13" t="s">
        <v>4031</v>
      </c>
      <c r="D13" t="s">
        <v>4217</v>
      </c>
      <c r="E13" t="s">
        <v>4218</v>
      </c>
      <c r="F13" t="s">
        <v>4219</v>
      </c>
      <c r="G13" t="s">
        <v>4220</v>
      </c>
      <c r="I13" t="s">
        <v>2154</v>
      </c>
      <c r="J13" t="s">
        <v>3458</v>
      </c>
    </row>
    <row r="14" spans="1:10" x14ac:dyDescent="0.25">
      <c r="A14" t="s">
        <v>4221</v>
      </c>
      <c r="B14" t="s">
        <v>3514</v>
      </c>
      <c r="C14" t="s">
        <v>4031</v>
      </c>
      <c r="D14" t="s">
        <v>4222</v>
      </c>
      <c r="E14" t="s">
        <v>4223</v>
      </c>
      <c r="F14" t="s">
        <v>4224</v>
      </c>
      <c r="G14" t="s">
        <v>4225</v>
      </c>
      <c r="I14" t="s">
        <v>2154</v>
      </c>
      <c r="J14" t="s">
        <v>3458</v>
      </c>
    </row>
    <row r="15" spans="1:10" x14ac:dyDescent="0.25">
      <c r="A15" t="s">
        <v>4226</v>
      </c>
      <c r="B15" t="s">
        <v>41</v>
      </c>
      <c r="C15" t="s">
        <v>4014</v>
      </c>
      <c r="D15" t="s">
        <v>4196</v>
      </c>
      <c r="E15" t="s">
        <v>4197</v>
      </c>
      <c r="F15" t="s">
        <v>4227</v>
      </c>
      <c r="G15" t="s">
        <v>4228</v>
      </c>
      <c r="I15" t="s">
        <v>256</v>
      </c>
      <c r="J15" t="s">
        <v>3458</v>
      </c>
    </row>
    <row r="16" spans="1:10" x14ac:dyDescent="0.25">
      <c r="A16" t="s">
        <v>4229</v>
      </c>
      <c r="B16" t="s">
        <v>3514</v>
      </c>
      <c r="C16" t="s">
        <v>4042</v>
      </c>
      <c r="D16" t="s">
        <v>4230</v>
      </c>
      <c r="E16" t="s">
        <v>4215</v>
      </c>
      <c r="F16" t="s">
        <v>4230</v>
      </c>
      <c r="G16" t="s">
        <v>4215</v>
      </c>
      <c r="I16" t="s">
        <v>256</v>
      </c>
      <c r="J16" t="s">
        <v>3458</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8FD01-E49F-4137-96C0-65F4222F6DEB}">
  <dimension ref="A1:J13"/>
  <sheetViews>
    <sheetView workbookViewId="0">
      <selection activeCell="I5" sqref="I5"/>
    </sheetView>
  </sheetViews>
  <sheetFormatPr defaultRowHeight="15" x14ac:dyDescent="0.25"/>
  <cols>
    <col min="1" max="1" width="23" bestFit="1" customWidth="1"/>
    <col min="2" max="2" width="11.140625" bestFit="1" customWidth="1"/>
    <col min="3" max="3" width="8.5703125" bestFit="1" customWidth="1"/>
    <col min="4" max="4" width="13.140625" bestFit="1" customWidth="1"/>
    <col min="5" max="5" width="15.28515625" bestFit="1" customWidth="1"/>
    <col min="6" max="6" width="10.28515625" bestFit="1" customWidth="1"/>
    <col min="7" max="7" width="70.85546875" bestFit="1" customWidth="1"/>
    <col min="8" max="8" width="45.5703125" bestFit="1" customWidth="1"/>
    <col min="9" max="9" width="7.140625" bestFit="1" customWidth="1"/>
  </cols>
  <sheetData>
    <row r="1" spans="1:10" x14ac:dyDescent="0.25">
      <c r="A1" t="s">
        <v>165</v>
      </c>
      <c r="B1" t="s">
        <v>6</v>
      </c>
      <c r="C1" t="s">
        <v>1</v>
      </c>
      <c r="D1" t="s">
        <v>4009</v>
      </c>
      <c r="E1" t="s">
        <v>167</v>
      </c>
      <c r="F1" t="s">
        <v>7627</v>
      </c>
      <c r="G1" t="s">
        <v>3453</v>
      </c>
      <c r="H1" t="s">
        <v>3496</v>
      </c>
      <c r="I1" t="s">
        <v>170</v>
      </c>
      <c r="J1" t="s">
        <v>171</v>
      </c>
    </row>
    <row r="2" spans="1:10" x14ac:dyDescent="0.25">
      <c r="A2" t="s">
        <v>7661</v>
      </c>
      <c r="B2" t="s">
        <v>3514</v>
      </c>
      <c r="C2" t="s">
        <v>2154</v>
      </c>
      <c r="D2" t="s">
        <v>4031</v>
      </c>
      <c r="E2" t="s">
        <v>7633</v>
      </c>
      <c r="F2">
        <v>2</v>
      </c>
      <c r="G2" t="s">
        <v>7669</v>
      </c>
      <c r="H2" t="s">
        <v>7676</v>
      </c>
      <c r="J2" t="s">
        <v>3458</v>
      </c>
    </row>
    <row r="3" spans="1:10" x14ac:dyDescent="0.25">
      <c r="A3" t="s">
        <v>7636</v>
      </c>
      <c r="B3" t="s">
        <v>3502</v>
      </c>
      <c r="C3" t="s">
        <v>1795</v>
      </c>
      <c r="D3" t="s">
        <v>4014</v>
      </c>
      <c r="E3" t="s">
        <v>7632</v>
      </c>
      <c r="F3">
        <v>4</v>
      </c>
      <c r="G3" t="s">
        <v>7635</v>
      </c>
      <c r="H3" t="s">
        <v>4027</v>
      </c>
      <c r="J3" t="s">
        <v>3458</v>
      </c>
    </row>
    <row r="4" spans="1:10" x14ac:dyDescent="0.25">
      <c r="A4" t="s">
        <v>7663</v>
      </c>
      <c r="B4" t="s">
        <v>3725</v>
      </c>
      <c r="C4" t="s">
        <v>1795</v>
      </c>
      <c r="D4" t="s">
        <v>4031</v>
      </c>
      <c r="E4" t="s">
        <v>7633</v>
      </c>
      <c r="F4">
        <v>1</v>
      </c>
      <c r="G4" t="s">
        <v>7671</v>
      </c>
      <c r="H4" t="s">
        <v>7677</v>
      </c>
      <c r="J4" t="s">
        <v>3458</v>
      </c>
    </row>
    <row r="5" spans="1:10" x14ac:dyDescent="0.25">
      <c r="A5" t="s">
        <v>7634</v>
      </c>
      <c r="B5" t="s">
        <v>3502</v>
      </c>
      <c r="C5" t="s">
        <v>2154</v>
      </c>
      <c r="D5" t="s">
        <v>4031</v>
      </c>
      <c r="E5" t="s">
        <v>7633</v>
      </c>
      <c r="F5">
        <v>3</v>
      </c>
      <c r="G5" t="s">
        <v>7665</v>
      </c>
      <c r="H5" t="s">
        <v>7646</v>
      </c>
      <c r="I5" t="s">
        <v>8221</v>
      </c>
      <c r="J5" t="s">
        <v>3458</v>
      </c>
    </row>
    <row r="6" spans="1:10" x14ac:dyDescent="0.25">
      <c r="A6" t="s">
        <v>7659</v>
      </c>
      <c r="B6" t="s">
        <v>41</v>
      </c>
      <c r="C6" t="s">
        <v>2154</v>
      </c>
      <c r="D6" t="s">
        <v>4014</v>
      </c>
      <c r="E6" t="s">
        <v>7633</v>
      </c>
      <c r="F6">
        <v>3</v>
      </c>
      <c r="G6" t="s">
        <v>7667</v>
      </c>
      <c r="H6" t="s">
        <v>7678</v>
      </c>
      <c r="J6" t="s">
        <v>3458</v>
      </c>
    </row>
    <row r="7" spans="1:10" x14ac:dyDescent="0.25">
      <c r="A7" t="s">
        <v>7658</v>
      </c>
      <c r="B7" t="s">
        <v>41</v>
      </c>
      <c r="C7" t="s">
        <v>2154</v>
      </c>
      <c r="D7" t="s">
        <v>4014</v>
      </c>
      <c r="E7" t="s">
        <v>7633</v>
      </c>
      <c r="F7">
        <v>3</v>
      </c>
      <c r="G7" t="s">
        <v>7666</v>
      </c>
      <c r="H7" t="s">
        <v>7679</v>
      </c>
      <c r="J7" t="s">
        <v>3458</v>
      </c>
    </row>
    <row r="8" spans="1:10" x14ac:dyDescent="0.25">
      <c r="A8" t="s">
        <v>7660</v>
      </c>
      <c r="B8" t="s">
        <v>41</v>
      </c>
      <c r="C8" t="s">
        <v>2154</v>
      </c>
      <c r="D8" t="s">
        <v>4031</v>
      </c>
      <c r="E8" t="s">
        <v>7633</v>
      </c>
      <c r="F8">
        <v>2</v>
      </c>
      <c r="G8" t="s">
        <v>7668</v>
      </c>
      <c r="H8" t="s">
        <v>7680</v>
      </c>
      <c r="J8" t="s">
        <v>3458</v>
      </c>
    </row>
    <row r="9" spans="1:10" x14ac:dyDescent="0.25">
      <c r="A9" t="s">
        <v>7631</v>
      </c>
      <c r="B9" t="s">
        <v>41</v>
      </c>
      <c r="C9" t="s">
        <v>2154</v>
      </c>
      <c r="D9" t="s">
        <v>4042</v>
      </c>
      <c r="E9" t="s">
        <v>3450</v>
      </c>
      <c r="F9">
        <v>4</v>
      </c>
      <c r="G9" t="s">
        <v>4230</v>
      </c>
      <c r="H9" t="s">
        <v>101</v>
      </c>
      <c r="J9" t="s">
        <v>3458</v>
      </c>
    </row>
    <row r="10" spans="1:10" x14ac:dyDescent="0.25">
      <c r="A10" t="s">
        <v>7673</v>
      </c>
      <c r="B10" t="s">
        <v>3514</v>
      </c>
      <c r="C10" t="s">
        <v>490</v>
      </c>
      <c r="D10" t="s">
        <v>4042</v>
      </c>
      <c r="E10" t="s">
        <v>7633</v>
      </c>
      <c r="F10">
        <v>2</v>
      </c>
      <c r="G10" t="s">
        <v>7674</v>
      </c>
      <c r="H10" t="s">
        <v>7681</v>
      </c>
      <c r="J10" t="s">
        <v>3458</v>
      </c>
    </row>
    <row r="11" spans="1:10" x14ac:dyDescent="0.25">
      <c r="A11" t="s">
        <v>7662</v>
      </c>
      <c r="B11" t="s">
        <v>3502</v>
      </c>
      <c r="C11" t="s">
        <v>2154</v>
      </c>
      <c r="D11" t="s">
        <v>4031</v>
      </c>
      <c r="E11" t="s">
        <v>7633</v>
      </c>
      <c r="F11">
        <v>3</v>
      </c>
      <c r="G11" t="s">
        <v>7670</v>
      </c>
      <c r="H11" t="s">
        <v>7682</v>
      </c>
      <c r="J11" t="s">
        <v>3458</v>
      </c>
    </row>
    <row r="12" spans="1:10" x14ac:dyDescent="0.25">
      <c r="A12" t="s">
        <v>7664</v>
      </c>
      <c r="B12" t="s">
        <v>3502</v>
      </c>
      <c r="C12" t="s">
        <v>2154</v>
      </c>
      <c r="D12" t="s">
        <v>4031</v>
      </c>
      <c r="E12" t="s">
        <v>7633</v>
      </c>
      <c r="F12">
        <v>3</v>
      </c>
      <c r="G12" t="s">
        <v>7672</v>
      </c>
      <c r="H12" t="s">
        <v>7683</v>
      </c>
      <c r="J12" t="s">
        <v>3458</v>
      </c>
    </row>
    <row r="13" spans="1:10" x14ac:dyDescent="0.25">
      <c r="A13" t="s">
        <v>3724</v>
      </c>
      <c r="B13" t="s">
        <v>3725</v>
      </c>
      <c r="C13" t="s">
        <v>1795</v>
      </c>
      <c r="D13" t="s">
        <v>4031</v>
      </c>
      <c r="E13" t="s">
        <v>7632</v>
      </c>
      <c r="F13">
        <v>1</v>
      </c>
      <c r="G13" t="s">
        <v>3726</v>
      </c>
      <c r="H13" t="s">
        <v>7645</v>
      </c>
      <c r="J13" t="s">
        <v>3458</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9E5EF-163F-49CD-B8B7-DD9A79FA572B}">
  <dimension ref="A1:I19"/>
  <sheetViews>
    <sheetView workbookViewId="0">
      <selection activeCell="A10" sqref="A10"/>
    </sheetView>
  </sheetViews>
  <sheetFormatPr defaultRowHeight="15" x14ac:dyDescent="0.25"/>
  <cols>
    <col min="1" max="1" width="17.5703125" bestFit="1" customWidth="1"/>
    <col min="2" max="2" width="11.140625" bestFit="1" customWidth="1"/>
    <col min="3" max="3" width="6.85546875" bestFit="1" customWidth="1"/>
    <col min="4" max="4" width="8.28515625" bestFit="1" customWidth="1"/>
    <col min="5" max="5" width="113" bestFit="1" customWidth="1"/>
    <col min="6" max="6" width="61.85546875" bestFit="1" customWidth="1"/>
    <col min="7" max="7" width="21" bestFit="1" customWidth="1"/>
    <col min="8" max="8" width="26.5703125" bestFit="1" customWidth="1"/>
    <col min="9" max="9" width="17" bestFit="1" customWidth="1"/>
    <col min="11" max="11" width="18" customWidth="1"/>
  </cols>
  <sheetData>
    <row r="1" spans="1:9" x14ac:dyDescent="0.25">
      <c r="A1" t="s">
        <v>165</v>
      </c>
      <c r="B1" t="s">
        <v>6</v>
      </c>
      <c r="C1" t="s">
        <v>3735</v>
      </c>
      <c r="D1" t="s">
        <v>167</v>
      </c>
      <c r="E1" t="s">
        <v>3453</v>
      </c>
      <c r="F1" t="s">
        <v>3496</v>
      </c>
      <c r="G1" t="s">
        <v>3740</v>
      </c>
      <c r="H1" t="s">
        <v>1</v>
      </c>
      <c r="I1" t="s">
        <v>7</v>
      </c>
    </row>
    <row r="2" spans="1:9" x14ac:dyDescent="0.25">
      <c r="A2" t="s">
        <v>8156</v>
      </c>
      <c r="B2" t="s">
        <v>41</v>
      </c>
      <c r="C2" t="s">
        <v>3743</v>
      </c>
      <c r="D2" t="s">
        <v>3523</v>
      </c>
      <c r="E2" t="s">
        <v>8223</v>
      </c>
      <c r="F2" t="s">
        <v>8195</v>
      </c>
      <c r="G2" t="s">
        <v>8159</v>
      </c>
      <c r="H2" t="s">
        <v>160</v>
      </c>
      <c r="I2" t="s">
        <v>8157</v>
      </c>
    </row>
    <row r="3" spans="1:9" x14ac:dyDescent="0.25">
      <c r="A3" t="s">
        <v>8212</v>
      </c>
      <c r="B3" t="s">
        <v>3514</v>
      </c>
      <c r="C3" t="s">
        <v>3898</v>
      </c>
      <c r="D3" t="s">
        <v>8222</v>
      </c>
      <c r="E3" t="s">
        <v>8237</v>
      </c>
      <c r="F3" t="s">
        <v>8279</v>
      </c>
      <c r="G3" t="s">
        <v>4621</v>
      </c>
      <c r="H3" t="s">
        <v>344</v>
      </c>
      <c r="I3" t="s">
        <v>8212</v>
      </c>
    </row>
    <row r="4" spans="1:9" x14ac:dyDescent="0.25">
      <c r="A4" t="s">
        <v>8154</v>
      </c>
      <c r="B4" t="s">
        <v>3514</v>
      </c>
      <c r="C4" t="s">
        <v>3743</v>
      </c>
      <c r="D4" t="s">
        <v>3523</v>
      </c>
      <c r="E4" t="s">
        <v>8224</v>
      </c>
      <c r="F4" t="s">
        <v>8196</v>
      </c>
      <c r="G4" t="s">
        <v>4653</v>
      </c>
      <c r="H4" t="s">
        <v>160</v>
      </c>
      <c r="I4" t="s">
        <v>8155</v>
      </c>
    </row>
    <row r="5" spans="1:9" x14ac:dyDescent="0.25">
      <c r="A5" t="s">
        <v>8217</v>
      </c>
      <c r="B5" t="s">
        <v>3514</v>
      </c>
      <c r="C5" t="s">
        <v>3787</v>
      </c>
      <c r="D5" t="s">
        <v>8222</v>
      </c>
      <c r="E5" t="s">
        <v>8238</v>
      </c>
      <c r="F5" t="s">
        <v>8280</v>
      </c>
      <c r="G5" t="s">
        <v>4621</v>
      </c>
      <c r="H5" t="s">
        <v>344</v>
      </c>
      <c r="I5" t="s">
        <v>8217</v>
      </c>
    </row>
    <row r="6" spans="1:9" x14ac:dyDescent="0.25">
      <c r="A6" t="s">
        <v>8161</v>
      </c>
      <c r="B6" t="s">
        <v>3514</v>
      </c>
      <c r="C6" t="s">
        <v>3743</v>
      </c>
      <c r="D6" t="s">
        <v>3523</v>
      </c>
      <c r="E6" t="s">
        <v>8281</v>
      </c>
      <c r="F6" t="s">
        <v>8197</v>
      </c>
      <c r="G6" t="s">
        <v>4653</v>
      </c>
      <c r="H6" t="s">
        <v>2619</v>
      </c>
      <c r="I6" t="s">
        <v>8162</v>
      </c>
    </row>
    <row r="7" spans="1:9" x14ac:dyDescent="0.25">
      <c r="A7" t="s">
        <v>8215</v>
      </c>
      <c r="B7" t="s">
        <v>3502</v>
      </c>
      <c r="C7" t="s">
        <v>3787</v>
      </c>
      <c r="D7" t="s">
        <v>8222</v>
      </c>
      <c r="E7" t="s">
        <v>8239</v>
      </c>
      <c r="F7" t="s">
        <v>8282</v>
      </c>
      <c r="G7" t="s">
        <v>8216</v>
      </c>
      <c r="H7" t="s">
        <v>344</v>
      </c>
      <c r="I7" t="s">
        <v>8215</v>
      </c>
    </row>
    <row r="8" spans="1:9" x14ac:dyDescent="0.25">
      <c r="A8" t="s">
        <v>8158</v>
      </c>
      <c r="B8" t="s">
        <v>3502</v>
      </c>
      <c r="C8" t="s">
        <v>3743</v>
      </c>
      <c r="D8" t="s">
        <v>3523</v>
      </c>
      <c r="E8" t="s">
        <v>8225</v>
      </c>
      <c r="F8" t="s">
        <v>8198</v>
      </c>
      <c r="G8" t="s">
        <v>4653</v>
      </c>
      <c r="H8" t="s">
        <v>160</v>
      </c>
      <c r="I8" t="s">
        <v>8160</v>
      </c>
    </row>
    <row r="9" spans="1:9" x14ac:dyDescent="0.25">
      <c r="A9" t="s">
        <v>8213</v>
      </c>
      <c r="B9" t="s">
        <v>3502</v>
      </c>
      <c r="C9" t="s">
        <v>3743</v>
      </c>
      <c r="D9" t="s">
        <v>8222</v>
      </c>
      <c r="E9" t="s">
        <v>8240</v>
      </c>
      <c r="F9" t="s">
        <v>8283</v>
      </c>
      <c r="G9" t="s">
        <v>8214</v>
      </c>
      <c r="H9" t="s">
        <v>344</v>
      </c>
      <c r="I9" t="s">
        <v>8213</v>
      </c>
    </row>
    <row r="10" spans="1:9" x14ac:dyDescent="0.25">
      <c r="A10" t="s">
        <v>4589</v>
      </c>
      <c r="B10" t="s">
        <v>3502</v>
      </c>
      <c r="C10" t="s">
        <v>3743</v>
      </c>
      <c r="D10" t="s">
        <v>3523</v>
      </c>
      <c r="E10" t="s">
        <v>8299</v>
      </c>
      <c r="F10" t="s">
        <v>8326</v>
      </c>
      <c r="G10" t="s">
        <v>4805</v>
      </c>
      <c r="H10" t="s">
        <v>2804</v>
      </c>
      <c r="I10" t="s">
        <v>4589</v>
      </c>
    </row>
    <row r="11" spans="1:9" x14ac:dyDescent="0.25">
      <c r="A11" t="s">
        <v>8171</v>
      </c>
      <c r="B11" t="s">
        <v>3514</v>
      </c>
      <c r="C11" t="s">
        <v>3743</v>
      </c>
      <c r="D11" t="s">
        <v>3523</v>
      </c>
      <c r="E11" t="s">
        <v>8226</v>
      </c>
      <c r="F11" t="s">
        <v>8199</v>
      </c>
      <c r="H11" t="s">
        <v>2619</v>
      </c>
      <c r="I11" t="s">
        <v>8172</v>
      </c>
    </row>
    <row r="12" spans="1:9" x14ac:dyDescent="0.25">
      <c r="A12" t="s">
        <v>4618</v>
      </c>
      <c r="B12" t="s">
        <v>41</v>
      </c>
      <c r="C12" t="s">
        <v>3898</v>
      </c>
      <c r="D12" t="s">
        <v>8222</v>
      </c>
      <c r="E12" t="s">
        <v>8241</v>
      </c>
      <c r="F12" t="s">
        <v>8284</v>
      </c>
      <c r="G12" t="s">
        <v>8260</v>
      </c>
      <c r="H12" t="s">
        <v>344</v>
      </c>
      <c r="I12" t="s">
        <v>4618</v>
      </c>
    </row>
    <row r="13" spans="1:9" x14ac:dyDescent="0.25">
      <c r="A13" t="s">
        <v>8175</v>
      </c>
      <c r="B13" t="s">
        <v>41</v>
      </c>
      <c r="C13" t="s">
        <v>3743</v>
      </c>
      <c r="D13" t="s">
        <v>3523</v>
      </c>
      <c r="E13" t="s">
        <v>4434</v>
      </c>
      <c r="F13" t="s">
        <v>8200</v>
      </c>
      <c r="H13" t="s">
        <v>160</v>
      </c>
      <c r="I13" t="s">
        <v>8176</v>
      </c>
    </row>
    <row r="14" spans="1:9" x14ac:dyDescent="0.25">
      <c r="A14" t="s">
        <v>8167</v>
      </c>
      <c r="B14" t="s">
        <v>41</v>
      </c>
      <c r="C14" t="s">
        <v>3743</v>
      </c>
      <c r="D14" t="s">
        <v>3523</v>
      </c>
      <c r="E14" t="s">
        <v>8285</v>
      </c>
      <c r="F14" t="s">
        <v>8201</v>
      </c>
      <c r="H14" t="s">
        <v>2619</v>
      </c>
      <c r="I14" t="s">
        <v>8167</v>
      </c>
    </row>
    <row r="15" spans="1:9" x14ac:dyDescent="0.25">
      <c r="A15" t="s">
        <v>8173</v>
      </c>
      <c r="B15" t="s">
        <v>41</v>
      </c>
      <c r="C15" t="s">
        <v>3743</v>
      </c>
      <c r="D15" t="s">
        <v>3523</v>
      </c>
      <c r="E15" t="s">
        <v>8227</v>
      </c>
      <c r="F15" t="s">
        <v>8202</v>
      </c>
      <c r="H15" t="s">
        <v>160</v>
      </c>
      <c r="I15" t="s">
        <v>8174</v>
      </c>
    </row>
    <row r="16" spans="1:9" x14ac:dyDescent="0.25">
      <c r="A16" t="s">
        <v>4706</v>
      </c>
      <c r="B16" t="s">
        <v>3514</v>
      </c>
      <c r="C16" t="s">
        <v>3743</v>
      </c>
      <c r="D16" t="s">
        <v>3523</v>
      </c>
      <c r="E16" t="s">
        <v>3570</v>
      </c>
      <c r="F16" t="s">
        <v>3571</v>
      </c>
      <c r="H16" t="s">
        <v>160</v>
      </c>
      <c r="I16" t="s">
        <v>4708</v>
      </c>
    </row>
    <row r="17" spans="1:9" x14ac:dyDescent="0.25">
      <c r="A17" t="s">
        <v>8163</v>
      </c>
      <c r="B17" t="s">
        <v>3514</v>
      </c>
      <c r="C17" t="s">
        <v>3743</v>
      </c>
      <c r="D17" t="s">
        <v>3523</v>
      </c>
      <c r="E17" t="s">
        <v>8228</v>
      </c>
      <c r="F17" t="s">
        <v>3667</v>
      </c>
      <c r="G17" t="s">
        <v>4653</v>
      </c>
      <c r="H17" t="s">
        <v>2619</v>
      </c>
      <c r="I17" t="s">
        <v>8164</v>
      </c>
    </row>
    <row r="18" spans="1:9" x14ac:dyDescent="0.25">
      <c r="A18" t="s">
        <v>4912</v>
      </c>
      <c r="B18" t="s">
        <v>41</v>
      </c>
      <c r="C18" t="s">
        <v>3743</v>
      </c>
      <c r="D18" t="s">
        <v>3523</v>
      </c>
      <c r="E18" t="s">
        <v>8259</v>
      </c>
      <c r="F18" t="s">
        <v>8286</v>
      </c>
      <c r="G18" t="s">
        <v>8261</v>
      </c>
      <c r="H18" t="s">
        <v>344</v>
      </c>
      <c r="I18" t="s">
        <v>4912</v>
      </c>
    </row>
    <row r="19" spans="1:9" x14ac:dyDescent="0.25">
      <c r="A19" t="s">
        <v>8165</v>
      </c>
      <c r="B19" t="s">
        <v>3502</v>
      </c>
      <c r="C19" t="s">
        <v>3743</v>
      </c>
      <c r="D19" t="s">
        <v>3523</v>
      </c>
      <c r="E19" t="s">
        <v>8229</v>
      </c>
      <c r="F19" t="s">
        <v>3510</v>
      </c>
      <c r="G19" t="s">
        <v>3688</v>
      </c>
      <c r="H19" t="s">
        <v>2619</v>
      </c>
      <c r="I19" t="s">
        <v>8166</v>
      </c>
    </row>
  </sheetData>
  <phoneticPr fontId="9"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0B870-B2B1-400C-981F-52D3B1B768AB}">
  <dimension ref="A1:N11"/>
  <sheetViews>
    <sheetView workbookViewId="0">
      <selection activeCell="F17" sqref="F17"/>
    </sheetView>
  </sheetViews>
  <sheetFormatPr defaultRowHeight="15" x14ac:dyDescent="0.25"/>
  <cols>
    <col min="1" max="1" width="17.7109375" bestFit="1" customWidth="1"/>
    <col min="2" max="2" width="11.140625" bestFit="1" customWidth="1"/>
    <col min="4" max="4" width="10.28515625" bestFit="1" customWidth="1"/>
    <col min="6" max="6" width="17.85546875" bestFit="1" customWidth="1"/>
    <col min="7" max="7" width="7.5703125" bestFit="1" customWidth="1"/>
    <col min="8" max="8" width="51.5703125" bestFit="1" customWidth="1"/>
    <col min="9" max="10" width="36.140625" bestFit="1" customWidth="1"/>
    <col min="12" max="12" width="13.42578125" bestFit="1" customWidth="1"/>
    <col min="13" max="13" width="17.85546875" bestFit="1" customWidth="1"/>
    <col min="14" max="14" width="16.7109375" bestFit="1" customWidth="1"/>
  </cols>
  <sheetData>
    <row r="1" spans="1:14" x14ac:dyDescent="0.25">
      <c r="A1" t="s">
        <v>165</v>
      </c>
      <c r="B1" t="s">
        <v>6</v>
      </c>
      <c r="C1" t="s">
        <v>3735</v>
      </c>
      <c r="D1" t="s">
        <v>8246</v>
      </c>
      <c r="E1" t="s">
        <v>8247</v>
      </c>
      <c r="F1" t="s">
        <v>3496</v>
      </c>
      <c r="G1" t="s">
        <v>167</v>
      </c>
      <c r="H1" t="s">
        <v>3523</v>
      </c>
      <c r="I1" t="s">
        <v>8289</v>
      </c>
      <c r="J1" t="s">
        <v>3738</v>
      </c>
      <c r="K1" t="s">
        <v>8219</v>
      </c>
      <c r="L1" t="s">
        <v>3740</v>
      </c>
      <c r="M1" t="s">
        <v>1</v>
      </c>
      <c r="N1" t="s">
        <v>7</v>
      </c>
    </row>
    <row r="2" spans="1:14" x14ac:dyDescent="0.25">
      <c r="A2" t="s">
        <v>8318</v>
      </c>
      <c r="B2" t="s">
        <v>3502</v>
      </c>
      <c r="C2" t="s">
        <v>3792</v>
      </c>
      <c r="D2" t="s">
        <v>8248</v>
      </c>
      <c r="E2" t="s">
        <v>8205</v>
      </c>
      <c r="F2" t="s">
        <v>8267</v>
      </c>
      <c r="G2" t="s">
        <v>5442</v>
      </c>
      <c r="H2" t="s">
        <v>8319</v>
      </c>
      <c r="I2" t="s">
        <v>8327</v>
      </c>
      <c r="J2" t="s">
        <v>8316</v>
      </c>
      <c r="K2">
        <v>3</v>
      </c>
      <c r="L2" t="s">
        <v>3531</v>
      </c>
      <c r="M2" t="s">
        <v>2804</v>
      </c>
      <c r="N2" t="s">
        <v>8320</v>
      </c>
    </row>
    <row r="3" spans="1:14" x14ac:dyDescent="0.25">
      <c r="A3" t="s">
        <v>8265</v>
      </c>
      <c r="B3" t="s">
        <v>3502</v>
      </c>
      <c r="C3" t="s">
        <v>8266</v>
      </c>
      <c r="D3" t="s">
        <v>8248</v>
      </c>
      <c r="E3" t="s">
        <v>8270</v>
      </c>
      <c r="F3" t="s">
        <v>8307</v>
      </c>
      <c r="G3" t="s">
        <v>5442</v>
      </c>
      <c r="H3" t="s">
        <v>8268</v>
      </c>
      <c r="I3" t="s">
        <v>8290</v>
      </c>
      <c r="J3" t="s">
        <v>8245</v>
      </c>
      <c r="K3">
        <v>3</v>
      </c>
      <c r="M3" t="s">
        <v>344</v>
      </c>
      <c r="N3" t="s">
        <v>8269</v>
      </c>
    </row>
    <row r="4" spans="1:14" x14ac:dyDescent="0.25">
      <c r="A4" t="s">
        <v>8244</v>
      </c>
      <c r="B4" t="s">
        <v>3514</v>
      </c>
      <c r="C4" t="s">
        <v>3898</v>
      </c>
      <c r="D4" t="s">
        <v>8248</v>
      </c>
      <c r="E4" t="s">
        <v>3898</v>
      </c>
      <c r="F4" t="s">
        <v>8249</v>
      </c>
      <c r="G4" t="s">
        <v>5442</v>
      </c>
      <c r="H4" t="s">
        <v>8252</v>
      </c>
      <c r="I4" t="s">
        <v>8291</v>
      </c>
      <c r="J4" t="s">
        <v>8245</v>
      </c>
      <c r="K4">
        <v>3</v>
      </c>
      <c r="M4" t="s">
        <v>344</v>
      </c>
      <c r="N4" t="s">
        <v>8250</v>
      </c>
    </row>
    <row r="5" spans="1:14" x14ac:dyDescent="0.25">
      <c r="A5" t="s">
        <v>6832</v>
      </c>
      <c r="B5" t="s">
        <v>3502</v>
      </c>
      <c r="C5" t="s">
        <v>3787</v>
      </c>
      <c r="D5" t="s">
        <v>8273</v>
      </c>
      <c r="E5" t="s">
        <v>8274</v>
      </c>
      <c r="F5" t="s">
        <v>8267</v>
      </c>
      <c r="G5" t="s">
        <v>5449</v>
      </c>
      <c r="H5" t="s">
        <v>8292</v>
      </c>
      <c r="I5" t="s">
        <v>8293</v>
      </c>
      <c r="J5" t="s">
        <v>8275</v>
      </c>
      <c r="K5">
        <v>3</v>
      </c>
      <c r="M5" t="s">
        <v>1046</v>
      </c>
      <c r="N5" t="s">
        <v>8278</v>
      </c>
    </row>
    <row r="6" spans="1:14" x14ac:dyDescent="0.25">
      <c r="A6" t="s">
        <v>8300</v>
      </c>
      <c r="B6" t="s">
        <v>3514</v>
      </c>
      <c r="C6" t="s">
        <v>3743</v>
      </c>
      <c r="D6" t="s">
        <v>8301</v>
      </c>
      <c r="E6" t="s">
        <v>3743</v>
      </c>
      <c r="F6" t="s">
        <v>8249</v>
      </c>
      <c r="G6" t="s">
        <v>5449</v>
      </c>
      <c r="H6" t="s">
        <v>8314</v>
      </c>
      <c r="I6" t="s">
        <v>8328</v>
      </c>
      <c r="J6" t="s">
        <v>8302</v>
      </c>
      <c r="K6">
        <v>3</v>
      </c>
      <c r="L6" t="s">
        <v>8304</v>
      </c>
      <c r="M6" t="s">
        <v>2804</v>
      </c>
      <c r="N6" t="s">
        <v>8303</v>
      </c>
    </row>
    <row r="7" spans="1:14" x14ac:dyDescent="0.25">
      <c r="A7" t="s">
        <v>4693</v>
      </c>
      <c r="B7" t="s">
        <v>41</v>
      </c>
      <c r="C7" t="s">
        <v>3787</v>
      </c>
      <c r="D7" t="s">
        <v>8273</v>
      </c>
      <c r="E7" t="s">
        <v>8274</v>
      </c>
      <c r="F7" t="s">
        <v>8249</v>
      </c>
      <c r="G7" t="s">
        <v>5449</v>
      </c>
      <c r="H7" t="s">
        <v>3458</v>
      </c>
      <c r="J7" t="s">
        <v>8275</v>
      </c>
      <c r="K7">
        <v>3</v>
      </c>
      <c r="M7" t="s">
        <v>1046</v>
      </c>
      <c r="N7" t="s">
        <v>4696</v>
      </c>
    </row>
    <row r="8" spans="1:14" x14ac:dyDescent="0.25">
      <c r="A8" t="s">
        <v>8251</v>
      </c>
      <c r="B8" t="s">
        <v>3502</v>
      </c>
      <c r="C8" t="s">
        <v>3898</v>
      </c>
      <c r="D8" t="s">
        <v>8248</v>
      </c>
      <c r="E8" t="s">
        <v>3898</v>
      </c>
      <c r="F8" t="s">
        <v>8249</v>
      </c>
      <c r="G8" t="s">
        <v>5442</v>
      </c>
      <c r="H8" t="s">
        <v>8253</v>
      </c>
      <c r="I8" t="s">
        <v>8294</v>
      </c>
      <c r="J8" t="s">
        <v>8255</v>
      </c>
      <c r="K8">
        <v>3</v>
      </c>
      <c r="M8" t="s">
        <v>344</v>
      </c>
      <c r="N8" t="s">
        <v>8254</v>
      </c>
    </row>
    <row r="9" spans="1:14" x14ac:dyDescent="0.25">
      <c r="A9" t="s">
        <v>8305</v>
      </c>
      <c r="B9" t="s">
        <v>3502</v>
      </c>
      <c r="C9" t="s">
        <v>3743</v>
      </c>
      <c r="D9" t="s">
        <v>8301</v>
      </c>
      <c r="E9" t="s">
        <v>8274</v>
      </c>
      <c r="F9" t="s">
        <v>8249</v>
      </c>
      <c r="G9" t="s">
        <v>5449</v>
      </c>
      <c r="H9" t="s">
        <v>8314</v>
      </c>
      <c r="I9" t="s">
        <v>8328</v>
      </c>
      <c r="J9" t="s">
        <v>8302</v>
      </c>
      <c r="K9">
        <v>3</v>
      </c>
      <c r="L9" t="s">
        <v>8304</v>
      </c>
      <c r="M9" t="s">
        <v>2804</v>
      </c>
      <c r="N9" t="s">
        <v>8306</v>
      </c>
    </row>
    <row r="10" spans="1:14" x14ac:dyDescent="0.25">
      <c r="A10" t="s">
        <v>8315</v>
      </c>
      <c r="B10" t="s">
        <v>41</v>
      </c>
      <c r="C10" t="s">
        <v>3792</v>
      </c>
      <c r="D10" t="s">
        <v>8248</v>
      </c>
      <c r="E10" t="s">
        <v>8266</v>
      </c>
      <c r="F10" t="s">
        <v>8249</v>
      </c>
      <c r="G10" t="s">
        <v>5442</v>
      </c>
      <c r="H10" t="s">
        <v>3458</v>
      </c>
      <c r="J10" t="s">
        <v>8316</v>
      </c>
      <c r="K10">
        <v>3</v>
      </c>
      <c r="M10" t="s">
        <v>2804</v>
      </c>
      <c r="N10" t="s">
        <v>8315</v>
      </c>
    </row>
    <row r="11" spans="1:14" x14ac:dyDescent="0.25">
      <c r="A11" t="s">
        <v>8256</v>
      </c>
      <c r="B11" t="s">
        <v>41</v>
      </c>
      <c r="C11" t="s">
        <v>3898</v>
      </c>
      <c r="D11" t="s">
        <v>8248</v>
      </c>
      <c r="E11" t="s">
        <v>3898</v>
      </c>
      <c r="F11" t="s">
        <v>8249</v>
      </c>
      <c r="G11" t="s">
        <v>5442</v>
      </c>
      <c r="H11" t="s">
        <v>3458</v>
      </c>
      <c r="J11" t="s">
        <v>8258</v>
      </c>
      <c r="K11">
        <v>3</v>
      </c>
      <c r="L11" t="s">
        <v>3688</v>
      </c>
      <c r="M11" t="s">
        <v>344</v>
      </c>
      <c r="N11" t="s">
        <v>8257</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CC783-DF68-4A03-8CD0-D8E5B5CE87BA}">
  <dimension ref="A1:D7"/>
  <sheetViews>
    <sheetView workbookViewId="0">
      <selection activeCell="A8" sqref="A8"/>
    </sheetView>
  </sheetViews>
  <sheetFormatPr defaultRowHeight="15" x14ac:dyDescent="0.25"/>
  <cols>
    <col min="1" max="1" width="17.7109375" bestFit="1" customWidth="1"/>
    <col min="2" max="2" width="35" bestFit="1" customWidth="1"/>
    <col min="3" max="3" width="40.7109375" bestFit="1" customWidth="1"/>
    <col min="4" max="4" width="14.7109375" bestFit="1" customWidth="1"/>
    <col min="5" max="5" width="6.140625" bestFit="1" customWidth="1"/>
    <col min="6" max="6" width="6.42578125" bestFit="1" customWidth="1"/>
  </cols>
  <sheetData>
    <row r="1" spans="1:4" x14ac:dyDescent="0.25">
      <c r="A1" t="s">
        <v>165</v>
      </c>
      <c r="B1" t="s">
        <v>6829</v>
      </c>
      <c r="C1" t="s">
        <v>6830</v>
      </c>
      <c r="D1" t="s">
        <v>8263</v>
      </c>
    </row>
    <row r="2" spans="1:4" x14ac:dyDescent="0.25">
      <c r="A2" t="s">
        <v>8265</v>
      </c>
      <c r="B2" t="s">
        <v>8244</v>
      </c>
      <c r="C2" t="s">
        <v>8271</v>
      </c>
      <c r="D2" t="s">
        <v>8272</v>
      </c>
    </row>
    <row r="3" spans="1:4" x14ac:dyDescent="0.25">
      <c r="A3" t="s">
        <v>8244</v>
      </c>
      <c r="B3" t="s">
        <v>8256</v>
      </c>
      <c r="C3" t="s">
        <v>8262</v>
      </c>
      <c r="D3" t="s">
        <v>8272</v>
      </c>
    </row>
    <row r="4" spans="1:4" x14ac:dyDescent="0.25">
      <c r="A4" t="s">
        <v>6832</v>
      </c>
      <c r="B4" t="s">
        <v>4693</v>
      </c>
      <c r="C4" t="s">
        <v>8277</v>
      </c>
      <c r="D4" t="s">
        <v>8276</v>
      </c>
    </row>
    <row r="5" spans="1:4" x14ac:dyDescent="0.25">
      <c r="A5" t="s">
        <v>8251</v>
      </c>
      <c r="B5" t="s">
        <v>8244</v>
      </c>
      <c r="C5" t="s">
        <v>8264</v>
      </c>
      <c r="D5" t="s">
        <v>8272</v>
      </c>
    </row>
    <row r="6" spans="1:4" x14ac:dyDescent="0.25">
      <c r="A6" t="s">
        <v>8305</v>
      </c>
      <c r="B6" t="s">
        <v>8300</v>
      </c>
      <c r="C6" t="s">
        <v>4589</v>
      </c>
      <c r="D6" t="s">
        <v>8276</v>
      </c>
    </row>
    <row r="7" spans="1:4" x14ac:dyDescent="0.25">
      <c r="A7" t="s">
        <v>8318</v>
      </c>
      <c r="B7" t="s">
        <v>8315</v>
      </c>
      <c r="C7" t="s">
        <v>8317</v>
      </c>
      <c r="D7" t="s">
        <v>8276</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99CA9-ADE7-4742-A65A-8B2760E943AF}">
  <dimension ref="A1:G6"/>
  <sheetViews>
    <sheetView workbookViewId="0">
      <selection activeCell="D17" sqref="D17"/>
    </sheetView>
  </sheetViews>
  <sheetFormatPr defaultRowHeight="15" x14ac:dyDescent="0.25"/>
  <cols>
    <col min="1" max="1" width="15.7109375" bestFit="1" customWidth="1"/>
    <col min="2" max="2" width="11.140625" bestFit="1" customWidth="1"/>
    <col min="4" max="4" width="144" bestFit="1" customWidth="1"/>
    <col min="5" max="5" width="132.140625" bestFit="1" customWidth="1"/>
    <col min="6" max="6" width="15.7109375" bestFit="1" customWidth="1"/>
    <col min="7" max="7" width="15.28515625" bestFit="1" customWidth="1"/>
  </cols>
  <sheetData>
    <row r="1" spans="1:7" x14ac:dyDescent="0.25">
      <c r="A1" t="s">
        <v>165</v>
      </c>
      <c r="B1" t="s">
        <v>6</v>
      </c>
      <c r="C1" t="s">
        <v>3735</v>
      </c>
      <c r="D1" t="s">
        <v>3453</v>
      </c>
      <c r="E1" t="s">
        <v>3496</v>
      </c>
      <c r="F1" t="s">
        <v>1</v>
      </c>
      <c r="G1" t="s">
        <v>7</v>
      </c>
    </row>
    <row r="2" spans="1:7" x14ac:dyDescent="0.25">
      <c r="A2" t="s">
        <v>7866</v>
      </c>
      <c r="B2" t="s">
        <v>41</v>
      </c>
      <c r="C2" t="s">
        <v>3787</v>
      </c>
      <c r="D2" t="s">
        <v>8242</v>
      </c>
      <c r="E2" t="s">
        <v>8295</v>
      </c>
      <c r="F2" t="s">
        <v>344</v>
      </c>
      <c r="G2" t="s">
        <v>7869</v>
      </c>
    </row>
    <row r="3" spans="1:7" x14ac:dyDescent="0.25">
      <c r="A3" t="s">
        <v>8218</v>
      </c>
      <c r="B3" t="s">
        <v>3502</v>
      </c>
      <c r="C3" t="s">
        <v>7903</v>
      </c>
      <c r="D3" t="s">
        <v>8243</v>
      </c>
      <c r="E3" t="s">
        <v>8296</v>
      </c>
      <c r="F3" t="s">
        <v>344</v>
      </c>
      <c r="G3" t="s">
        <v>8218</v>
      </c>
    </row>
    <row r="4" spans="1:7" x14ac:dyDescent="0.25">
      <c r="A4" t="s">
        <v>8209</v>
      </c>
      <c r="B4" t="s">
        <v>41</v>
      </c>
      <c r="C4" t="s">
        <v>3792</v>
      </c>
      <c r="D4" t="s">
        <v>3458</v>
      </c>
      <c r="E4" t="s">
        <v>3458</v>
      </c>
      <c r="F4" t="s">
        <v>344</v>
      </c>
      <c r="G4" t="s">
        <v>8210</v>
      </c>
    </row>
    <row r="5" spans="1:7" x14ac:dyDescent="0.25">
      <c r="A5" t="s">
        <v>8203</v>
      </c>
      <c r="B5" t="s">
        <v>3502</v>
      </c>
      <c r="C5" t="s">
        <v>8205</v>
      </c>
      <c r="D5" t="s">
        <v>8206</v>
      </c>
      <c r="E5" t="s">
        <v>8211</v>
      </c>
      <c r="F5" t="s">
        <v>344</v>
      </c>
      <c r="G5" t="s">
        <v>8207</v>
      </c>
    </row>
    <row r="6" spans="1:7" x14ac:dyDescent="0.25">
      <c r="A6" t="s">
        <v>8204</v>
      </c>
      <c r="B6" t="s">
        <v>3514</v>
      </c>
      <c r="C6" t="s">
        <v>3743</v>
      </c>
      <c r="D6" t="s">
        <v>7467</v>
      </c>
      <c r="E6" t="s">
        <v>3510</v>
      </c>
      <c r="F6" t="s">
        <v>344</v>
      </c>
      <c r="G6" t="s">
        <v>8208</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3"/>
  <sheetViews>
    <sheetView workbookViewId="0">
      <selection activeCell="A3" sqref="A3"/>
    </sheetView>
  </sheetViews>
  <sheetFormatPr defaultRowHeight="15" x14ac:dyDescent="0.25"/>
  <cols>
    <col min="1" max="1" width="23.140625" bestFit="1" customWidth="1"/>
    <col min="2" max="2" width="26.5703125" bestFit="1" customWidth="1"/>
    <col min="3" max="3" width="6.85546875" bestFit="1" customWidth="1"/>
    <col min="4" max="4" width="22.28515625" bestFit="1" customWidth="1"/>
    <col min="6" max="6" width="7.7109375" bestFit="1" customWidth="1"/>
    <col min="7" max="7" width="9.85546875" bestFit="1" customWidth="1"/>
    <col min="8" max="8" width="9.42578125" bestFit="1" customWidth="1"/>
    <col min="9" max="9" width="15" bestFit="1" customWidth="1"/>
    <col min="10" max="10" width="9.28515625" customWidth="1"/>
    <col min="11" max="11" width="9.85546875" bestFit="1" customWidth="1"/>
    <col min="12" max="12" width="21" customWidth="1"/>
    <col min="13" max="13" width="13.7109375" bestFit="1" customWidth="1"/>
    <col min="14" max="14" width="10.7109375" bestFit="1" customWidth="1"/>
    <col min="15" max="15" width="10.85546875" customWidth="1"/>
    <col min="16" max="16" width="10.140625" customWidth="1"/>
    <col min="17" max="17" width="9.7109375" customWidth="1"/>
    <col min="18" max="18" width="10.5703125" customWidth="1"/>
    <col min="19" max="19" width="10.85546875" customWidth="1"/>
    <col min="20" max="20" width="10.140625" customWidth="1"/>
    <col min="21" max="21" width="9.7109375" customWidth="1"/>
    <col min="22" max="22" width="10.5703125" customWidth="1"/>
    <col min="23" max="23" width="10.85546875" customWidth="1"/>
    <col min="24" max="24" width="10.140625" customWidth="1"/>
    <col min="25" max="25" width="9.7109375" customWidth="1"/>
    <col min="26" max="26" width="10.5703125" customWidth="1"/>
    <col min="27" max="27" width="10.85546875" customWidth="1"/>
    <col min="28" max="28" width="10.140625" customWidth="1"/>
    <col min="29" max="29" width="9.7109375" customWidth="1"/>
    <col min="30" max="30" width="10.5703125" customWidth="1"/>
    <col min="31" max="31" width="10.85546875" customWidth="1"/>
    <col min="32" max="32" width="10.140625" customWidth="1"/>
    <col min="33" max="33" width="9.7109375" customWidth="1"/>
    <col min="34" max="34" width="10.5703125" customWidth="1"/>
    <col min="35" max="35" width="10.85546875" customWidth="1"/>
    <col min="36" max="36" width="10.140625" customWidth="1"/>
    <col min="37" max="37" width="9.7109375" customWidth="1"/>
  </cols>
  <sheetData>
    <row r="1" spans="1:37" x14ac:dyDescent="0.25">
      <c r="A1" t="s">
        <v>165</v>
      </c>
      <c r="B1" t="s">
        <v>1</v>
      </c>
      <c r="C1" t="s">
        <v>3740</v>
      </c>
      <c r="D1" t="s">
        <v>7</v>
      </c>
      <c r="E1" t="s">
        <v>6</v>
      </c>
      <c r="F1" t="s">
        <v>4231</v>
      </c>
      <c r="G1" t="s">
        <v>4232</v>
      </c>
      <c r="H1" t="s">
        <v>3</v>
      </c>
      <c r="I1" t="s">
        <v>4</v>
      </c>
      <c r="J1" t="s">
        <v>5</v>
      </c>
      <c r="K1" t="s">
        <v>8</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25">
      <c r="A2" t="s">
        <v>4233</v>
      </c>
      <c r="B2" t="s">
        <v>160</v>
      </c>
      <c r="C2" t="s">
        <v>4234</v>
      </c>
      <c r="D2" t="s">
        <v>4235</v>
      </c>
      <c r="E2" t="s">
        <v>41</v>
      </c>
      <c r="L2" t="s">
        <v>4236</v>
      </c>
      <c r="N2" t="s">
        <v>4237</v>
      </c>
      <c r="O2" t="s">
        <v>49</v>
      </c>
      <c r="Q2" t="s">
        <v>4238</v>
      </c>
      <c r="R2" t="s">
        <v>3538</v>
      </c>
      <c r="U2" t="s">
        <v>4239</v>
      </c>
    </row>
    <row r="3" spans="1:37" x14ac:dyDescent="0.25">
      <c r="A3" t="s">
        <v>4240</v>
      </c>
      <c r="B3" t="s">
        <v>2619</v>
      </c>
      <c r="C3" t="s">
        <v>4234</v>
      </c>
      <c r="D3" t="s">
        <v>4241</v>
      </c>
      <c r="E3" t="s">
        <v>41</v>
      </c>
      <c r="G3" t="s">
        <v>187</v>
      </c>
      <c r="N3" t="s">
        <v>4242</v>
      </c>
      <c r="O3" t="s">
        <v>49</v>
      </c>
      <c r="Q3" t="s">
        <v>4243</v>
      </c>
      <c r="R3" t="s">
        <v>3538</v>
      </c>
      <c r="U3" t="s">
        <v>4244</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
  <sheetViews>
    <sheetView workbookViewId="0">
      <selection activeCell="F14" sqref="F14"/>
    </sheetView>
  </sheetViews>
  <sheetFormatPr defaultRowHeight="15" x14ac:dyDescent="0.25"/>
  <cols>
    <col min="1" max="1" width="15.7109375" bestFit="1" customWidth="1"/>
    <col min="2" max="2" width="14.5703125" bestFit="1" customWidth="1"/>
    <col min="3" max="3" width="35" bestFit="1" customWidth="1"/>
    <col min="4" max="4" width="14" bestFit="1" customWidth="1"/>
    <col min="6" max="6" width="15" bestFit="1" customWidth="1"/>
  </cols>
  <sheetData>
    <row r="1" spans="1:6" x14ac:dyDescent="0.25">
      <c r="A1" t="s">
        <v>4245</v>
      </c>
      <c r="B1" t="s">
        <v>1</v>
      </c>
      <c r="C1" t="s">
        <v>4246</v>
      </c>
      <c r="D1" t="s">
        <v>4247</v>
      </c>
      <c r="E1" t="s">
        <v>4248</v>
      </c>
      <c r="F1" t="s">
        <v>7</v>
      </c>
    </row>
    <row r="2" spans="1:6" x14ac:dyDescent="0.25">
      <c r="A2" t="s">
        <v>4249</v>
      </c>
      <c r="B2" t="s">
        <v>90</v>
      </c>
      <c r="C2" t="s">
        <v>4250</v>
      </c>
      <c r="D2" t="s">
        <v>4251</v>
      </c>
      <c r="E2" t="s">
        <v>3458</v>
      </c>
      <c r="F2" t="s">
        <v>4252</v>
      </c>
    </row>
    <row r="3" spans="1:6" x14ac:dyDescent="0.25">
      <c r="A3" t="s">
        <v>4253</v>
      </c>
      <c r="B3" t="s">
        <v>38</v>
      </c>
      <c r="C3" t="s">
        <v>4254</v>
      </c>
      <c r="D3" t="s">
        <v>4251</v>
      </c>
      <c r="E3">
        <v>3</v>
      </c>
      <c r="F3" t="s">
        <v>4253</v>
      </c>
    </row>
    <row r="4" spans="1:6" x14ac:dyDescent="0.25">
      <c r="A4" t="s">
        <v>4255</v>
      </c>
      <c r="B4" t="s">
        <v>38</v>
      </c>
      <c r="C4" t="s">
        <v>4256</v>
      </c>
      <c r="D4" t="s">
        <v>4251</v>
      </c>
      <c r="E4">
        <v>3</v>
      </c>
      <c r="F4" t="s">
        <v>4257</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
  <sheetViews>
    <sheetView workbookViewId="0">
      <selection activeCell="C11" sqref="C11"/>
    </sheetView>
  </sheetViews>
  <sheetFormatPr defaultRowHeight="15" x14ac:dyDescent="0.25"/>
  <cols>
    <col min="1" max="1" width="9.7109375" bestFit="1" customWidth="1"/>
    <col min="2" max="2" width="60.28515625" bestFit="1" customWidth="1"/>
    <col min="3" max="3" width="69" bestFit="1" customWidth="1"/>
    <col min="4" max="4" width="40" bestFit="1" customWidth="1"/>
    <col min="5" max="5" width="14.85546875" bestFit="1" customWidth="1"/>
    <col min="6" max="6" width="9.7109375" bestFit="1" customWidth="1"/>
  </cols>
  <sheetData>
    <row r="1" spans="1:6" x14ac:dyDescent="0.25">
      <c r="A1" t="s">
        <v>165</v>
      </c>
      <c r="B1" t="s">
        <v>3453</v>
      </c>
      <c r="C1" t="s">
        <v>3496</v>
      </c>
      <c r="D1" t="s">
        <v>4258</v>
      </c>
      <c r="E1" t="s">
        <v>4259</v>
      </c>
      <c r="F1" t="s">
        <v>4260</v>
      </c>
    </row>
    <row r="2" spans="1:6" x14ac:dyDescent="0.25">
      <c r="A2" t="s">
        <v>4261</v>
      </c>
      <c r="B2" t="s">
        <v>4262</v>
      </c>
      <c r="C2" t="s">
        <v>4263</v>
      </c>
      <c r="E2" t="s">
        <v>4264</v>
      </c>
      <c r="F2" t="s">
        <v>4261</v>
      </c>
    </row>
    <row r="3" spans="1:6" x14ac:dyDescent="0.25">
      <c r="A3" t="s">
        <v>7612</v>
      </c>
      <c r="B3" t="s">
        <v>7615</v>
      </c>
      <c r="C3" t="s">
        <v>7647</v>
      </c>
      <c r="E3" t="s">
        <v>7616</v>
      </c>
      <c r="F3" t="s">
        <v>7612</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workbookViewId="0">
      <selection activeCell="A3" sqref="A3"/>
    </sheetView>
  </sheetViews>
  <sheetFormatPr defaultRowHeight="15" x14ac:dyDescent="0.25"/>
  <cols>
    <col min="1" max="1" width="9.7109375" bestFit="1" customWidth="1"/>
    <col min="2" max="2" width="10" bestFit="1" customWidth="1"/>
    <col min="3" max="3" width="74.28515625" bestFit="1" customWidth="1"/>
    <col min="4" max="4" width="23.42578125" bestFit="1" customWidth="1"/>
    <col min="5" max="5" width="34" bestFit="1" customWidth="1"/>
    <col min="6" max="6" width="9.140625" bestFit="1" customWidth="1"/>
    <col min="7" max="7" width="9.7109375" bestFit="1" customWidth="1"/>
  </cols>
  <sheetData>
    <row r="1" spans="1:7" x14ac:dyDescent="0.25">
      <c r="A1" t="s">
        <v>165</v>
      </c>
      <c r="B1" t="s">
        <v>167</v>
      </c>
      <c r="C1" t="s">
        <v>3453</v>
      </c>
      <c r="D1" t="s">
        <v>3496</v>
      </c>
      <c r="E1" t="s">
        <v>4258</v>
      </c>
      <c r="F1" t="s">
        <v>3441</v>
      </c>
      <c r="G1" t="s">
        <v>4260</v>
      </c>
    </row>
    <row r="2" spans="1:7" x14ac:dyDescent="0.25">
      <c r="A2" t="s">
        <v>4265</v>
      </c>
      <c r="B2" t="s">
        <v>4266</v>
      </c>
      <c r="C2" t="s">
        <v>4267</v>
      </c>
      <c r="D2" t="s">
        <v>4268</v>
      </c>
      <c r="E2" t="s">
        <v>4269</v>
      </c>
      <c r="F2">
        <v>1</v>
      </c>
      <c r="G2" t="s">
        <v>4265</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J145"/>
  <sheetViews>
    <sheetView topLeftCell="A118" workbookViewId="0">
      <selection activeCell="H146" sqref="H146"/>
    </sheetView>
  </sheetViews>
  <sheetFormatPr defaultRowHeight="15" x14ac:dyDescent="0.25"/>
  <cols>
    <col min="1" max="1" width="76" bestFit="1" customWidth="1"/>
    <col min="2" max="2" width="10.5703125" bestFit="1" customWidth="1"/>
    <col min="3" max="3" width="11.42578125" bestFit="1" customWidth="1"/>
    <col min="4" max="4" width="14.85546875" bestFit="1" customWidth="1"/>
    <col min="5" max="5" width="20" bestFit="1" customWidth="1"/>
    <col min="6" max="6" width="15" bestFit="1" customWidth="1"/>
    <col min="7" max="7" width="10.7109375" bestFit="1" customWidth="1"/>
    <col min="8" max="8" width="12.5703125" bestFit="1" customWidth="1"/>
  </cols>
  <sheetData>
    <row r="1" spans="1:10" x14ac:dyDescent="0.25">
      <c r="A1" t="s">
        <v>3738</v>
      </c>
      <c r="B1" t="s">
        <v>167</v>
      </c>
      <c r="C1" t="s">
        <v>3734</v>
      </c>
      <c r="D1" t="s">
        <v>8035</v>
      </c>
      <c r="E1" t="s">
        <v>8036</v>
      </c>
      <c r="F1" t="s">
        <v>8037</v>
      </c>
      <c r="G1" t="s">
        <v>8038</v>
      </c>
      <c r="H1" t="s">
        <v>8062</v>
      </c>
      <c r="I1" t="s">
        <v>8039</v>
      </c>
      <c r="J1" t="s">
        <v>170</v>
      </c>
    </row>
    <row r="2" spans="1:10" x14ac:dyDescent="0.25">
      <c r="A2" t="s">
        <v>3896</v>
      </c>
      <c r="B2" t="s">
        <v>3838</v>
      </c>
      <c r="C2" t="s">
        <v>3742</v>
      </c>
      <c r="D2" t="s">
        <v>8042</v>
      </c>
      <c r="E2" t="s">
        <v>3895</v>
      </c>
      <c r="G2" t="s">
        <v>8041</v>
      </c>
      <c r="H2" t="s">
        <v>8063</v>
      </c>
    </row>
    <row r="3" spans="1:10" x14ac:dyDescent="0.25">
      <c r="A3" t="s">
        <v>8056</v>
      </c>
      <c r="D3" t="s">
        <v>6459</v>
      </c>
      <c r="E3" t="s">
        <v>5280</v>
      </c>
      <c r="F3" t="s">
        <v>8052</v>
      </c>
      <c r="G3" t="s">
        <v>8053</v>
      </c>
      <c r="H3" t="s">
        <v>8064</v>
      </c>
    </row>
    <row r="4" spans="1:10" x14ac:dyDescent="0.25">
      <c r="A4" t="s">
        <v>3486</v>
      </c>
      <c r="D4" t="s">
        <v>8050</v>
      </c>
      <c r="E4" t="s">
        <v>3485</v>
      </c>
      <c r="G4" t="s">
        <v>8041</v>
      </c>
      <c r="H4" t="s">
        <v>8064</v>
      </c>
    </row>
    <row r="5" spans="1:10" x14ac:dyDescent="0.25">
      <c r="A5" t="s">
        <v>7888</v>
      </c>
      <c r="B5" t="s">
        <v>3751</v>
      </c>
      <c r="C5" t="s">
        <v>3776</v>
      </c>
      <c r="D5" t="s">
        <v>8042</v>
      </c>
      <c r="E5" t="s">
        <v>7887</v>
      </c>
      <c r="G5" t="s">
        <v>8041</v>
      </c>
      <c r="H5" t="s">
        <v>8063</v>
      </c>
    </row>
    <row r="6" spans="1:10" x14ac:dyDescent="0.25">
      <c r="A6" t="s">
        <v>8060</v>
      </c>
      <c r="D6" t="s">
        <v>6459</v>
      </c>
      <c r="E6" t="s">
        <v>5151</v>
      </c>
      <c r="F6" t="s">
        <v>8052</v>
      </c>
      <c r="G6" t="s">
        <v>8053</v>
      </c>
      <c r="H6" t="s">
        <v>8064</v>
      </c>
    </row>
    <row r="7" spans="1:10" x14ac:dyDescent="0.25">
      <c r="A7" t="s">
        <v>8061</v>
      </c>
      <c r="D7" t="s">
        <v>6459</v>
      </c>
      <c r="E7" t="s">
        <v>4002</v>
      </c>
      <c r="F7" t="s">
        <v>8052</v>
      </c>
      <c r="G7" t="s">
        <v>8053</v>
      </c>
      <c r="H7" t="s">
        <v>8064</v>
      </c>
    </row>
    <row r="8" spans="1:10" x14ac:dyDescent="0.25">
      <c r="A8" t="s">
        <v>3932</v>
      </c>
      <c r="B8" t="s">
        <v>3832</v>
      </c>
      <c r="C8" t="s">
        <v>3790</v>
      </c>
      <c r="D8" t="s">
        <v>8042</v>
      </c>
      <c r="E8" t="s">
        <v>3931</v>
      </c>
      <c r="G8" t="s">
        <v>8041</v>
      </c>
      <c r="H8" t="s">
        <v>8064</v>
      </c>
    </row>
    <row r="9" spans="1:10" x14ac:dyDescent="0.25">
      <c r="A9" t="s">
        <v>8090</v>
      </c>
      <c r="D9" t="s">
        <v>6459</v>
      </c>
      <c r="E9" t="s">
        <v>3991</v>
      </c>
      <c r="F9" t="s">
        <v>8052</v>
      </c>
      <c r="G9" t="s">
        <v>8053</v>
      </c>
      <c r="H9" t="s">
        <v>8064</v>
      </c>
    </row>
    <row r="10" spans="1:10" x14ac:dyDescent="0.25">
      <c r="A10" t="s">
        <v>3954</v>
      </c>
      <c r="B10" t="s">
        <v>3755</v>
      </c>
      <c r="C10" t="s">
        <v>3776</v>
      </c>
      <c r="D10" t="s">
        <v>8042</v>
      </c>
      <c r="E10" t="s">
        <v>3953</v>
      </c>
      <c r="G10" t="s">
        <v>8041</v>
      </c>
      <c r="H10" t="s">
        <v>8063</v>
      </c>
    </row>
    <row r="11" spans="1:10" x14ac:dyDescent="0.25">
      <c r="A11" t="s">
        <v>3878</v>
      </c>
      <c r="B11" t="s">
        <v>3751</v>
      </c>
      <c r="C11" t="s">
        <v>3776</v>
      </c>
      <c r="D11" t="s">
        <v>8040</v>
      </c>
      <c r="E11" t="s">
        <v>3877</v>
      </c>
      <c r="G11" t="s">
        <v>8041</v>
      </c>
      <c r="H11" t="s">
        <v>8063</v>
      </c>
    </row>
    <row r="12" spans="1:10" x14ac:dyDescent="0.25">
      <c r="A12" t="s">
        <v>3880</v>
      </c>
      <c r="B12" t="s">
        <v>3751</v>
      </c>
      <c r="C12" t="s">
        <v>3790</v>
      </c>
      <c r="D12" t="s">
        <v>8040</v>
      </c>
      <c r="E12" t="s">
        <v>3879</v>
      </c>
      <c r="G12" t="s">
        <v>8041</v>
      </c>
      <c r="H12" t="s">
        <v>8063</v>
      </c>
    </row>
    <row r="13" spans="1:10" x14ac:dyDescent="0.25">
      <c r="A13" t="s">
        <v>3858</v>
      </c>
      <c r="B13" t="s">
        <v>3751</v>
      </c>
      <c r="C13" t="s">
        <v>3776</v>
      </c>
      <c r="D13" t="s">
        <v>8040</v>
      </c>
      <c r="E13" t="s">
        <v>3857</v>
      </c>
      <c r="G13" t="s">
        <v>8041</v>
      </c>
      <c r="H13" t="s">
        <v>8063</v>
      </c>
    </row>
    <row r="14" spans="1:10" x14ac:dyDescent="0.25">
      <c r="A14" t="s">
        <v>3904</v>
      </c>
      <c r="B14" t="s">
        <v>3751</v>
      </c>
      <c r="C14" t="s">
        <v>3776</v>
      </c>
      <c r="D14" t="s">
        <v>8042</v>
      </c>
      <c r="E14" t="s">
        <v>3903</v>
      </c>
      <c r="G14" t="s">
        <v>8041</v>
      </c>
      <c r="H14" t="s">
        <v>8063</v>
      </c>
    </row>
    <row r="15" spans="1:10" x14ac:dyDescent="0.25">
      <c r="A15" t="s">
        <v>7434</v>
      </c>
      <c r="B15" t="s">
        <v>3751</v>
      </c>
      <c r="C15" t="s">
        <v>3790</v>
      </c>
      <c r="D15" t="s">
        <v>8040</v>
      </c>
      <c r="E15" t="s">
        <v>3789</v>
      </c>
      <c r="G15" t="s">
        <v>8041</v>
      </c>
      <c r="H15" t="s">
        <v>8063</v>
      </c>
    </row>
    <row r="16" spans="1:10" x14ac:dyDescent="0.25">
      <c r="A16" t="s">
        <v>3853</v>
      </c>
      <c r="B16" t="s">
        <v>3751</v>
      </c>
      <c r="C16" t="s">
        <v>3776</v>
      </c>
      <c r="D16" t="s">
        <v>8040</v>
      </c>
      <c r="E16" t="s">
        <v>3852</v>
      </c>
      <c r="G16" t="s">
        <v>8041</v>
      </c>
      <c r="H16" t="s">
        <v>8063</v>
      </c>
    </row>
    <row r="17" spans="1:9" x14ac:dyDescent="0.25">
      <c r="A17" t="s">
        <v>3901</v>
      </c>
      <c r="B17" t="s">
        <v>3751</v>
      </c>
      <c r="C17" t="s">
        <v>3776</v>
      </c>
      <c r="D17" t="s">
        <v>8042</v>
      </c>
      <c r="E17" t="s">
        <v>3900</v>
      </c>
      <c r="G17" t="s">
        <v>8041</v>
      </c>
      <c r="H17" t="s">
        <v>8063</v>
      </c>
    </row>
    <row r="18" spans="1:9" x14ac:dyDescent="0.25">
      <c r="A18" t="s">
        <v>3861</v>
      </c>
      <c r="B18" t="s">
        <v>3751</v>
      </c>
      <c r="C18" t="s">
        <v>3776</v>
      </c>
      <c r="D18" t="s">
        <v>8040</v>
      </c>
      <c r="E18" t="s">
        <v>3860</v>
      </c>
      <c r="G18" t="s">
        <v>8041</v>
      </c>
      <c r="H18" t="s">
        <v>8063</v>
      </c>
    </row>
    <row r="19" spans="1:9" x14ac:dyDescent="0.25">
      <c r="A19" t="s">
        <v>8070</v>
      </c>
      <c r="D19" t="s">
        <v>8050</v>
      </c>
      <c r="E19" t="s">
        <v>3472</v>
      </c>
      <c r="G19" t="s">
        <v>8041</v>
      </c>
      <c r="H19" t="s">
        <v>8064</v>
      </c>
    </row>
    <row r="20" spans="1:9" x14ac:dyDescent="0.25">
      <c r="A20" t="s">
        <v>3924</v>
      </c>
      <c r="B20" t="s">
        <v>3744</v>
      </c>
      <c r="C20" t="s">
        <v>3776</v>
      </c>
      <c r="D20" t="s">
        <v>8042</v>
      </c>
      <c r="E20" t="s">
        <v>8043</v>
      </c>
      <c r="G20" t="s">
        <v>8041</v>
      </c>
      <c r="H20" t="s">
        <v>8063</v>
      </c>
    </row>
    <row r="21" spans="1:9" x14ac:dyDescent="0.25">
      <c r="A21" t="s">
        <v>8071</v>
      </c>
      <c r="D21" t="s">
        <v>8050</v>
      </c>
      <c r="E21" t="s">
        <v>3475</v>
      </c>
      <c r="G21" t="s">
        <v>8041</v>
      </c>
      <c r="H21" t="s">
        <v>8064</v>
      </c>
    </row>
    <row r="22" spans="1:9" x14ac:dyDescent="0.25">
      <c r="A22" t="s">
        <v>3834</v>
      </c>
      <c r="B22" t="s">
        <v>3751</v>
      </c>
      <c r="C22" t="s">
        <v>3776</v>
      </c>
      <c r="D22" t="s">
        <v>8040</v>
      </c>
      <c r="E22" t="s">
        <v>3833</v>
      </c>
      <c r="G22" t="s">
        <v>8041</v>
      </c>
      <c r="H22" t="s">
        <v>8063</v>
      </c>
    </row>
    <row r="23" spans="1:9" x14ac:dyDescent="0.25">
      <c r="A23" t="s">
        <v>3894</v>
      </c>
      <c r="B23" t="s">
        <v>3755</v>
      </c>
      <c r="C23" t="s">
        <v>3742</v>
      </c>
      <c r="D23" t="s">
        <v>8042</v>
      </c>
      <c r="E23" t="s">
        <v>3893</v>
      </c>
      <c r="G23" t="s">
        <v>8041</v>
      </c>
      <c r="H23" t="s">
        <v>8063</v>
      </c>
    </row>
    <row r="24" spans="1:9" x14ac:dyDescent="0.25">
      <c r="A24" t="s">
        <v>8066</v>
      </c>
      <c r="B24" t="s">
        <v>3744</v>
      </c>
      <c r="C24" t="s">
        <v>3742</v>
      </c>
      <c r="D24" t="s">
        <v>8040</v>
      </c>
      <c r="E24" t="s">
        <v>3741</v>
      </c>
      <c r="G24" t="s">
        <v>8041</v>
      </c>
      <c r="H24" t="s">
        <v>8063</v>
      </c>
      <c r="I24">
        <v>3</v>
      </c>
    </row>
    <row r="25" spans="1:9" x14ac:dyDescent="0.25">
      <c r="A25" t="s">
        <v>8067</v>
      </c>
      <c r="B25" t="s">
        <v>3744</v>
      </c>
      <c r="C25" t="s">
        <v>3742</v>
      </c>
      <c r="D25" t="s">
        <v>8040</v>
      </c>
      <c r="E25" t="s">
        <v>3842</v>
      </c>
      <c r="G25" t="s">
        <v>8041</v>
      </c>
      <c r="H25" t="s">
        <v>8063</v>
      </c>
      <c r="I25">
        <v>3</v>
      </c>
    </row>
    <row r="26" spans="1:9" x14ac:dyDescent="0.25">
      <c r="A26" t="s">
        <v>8065</v>
      </c>
      <c r="B26" t="s">
        <v>3744</v>
      </c>
      <c r="C26" t="s">
        <v>3776</v>
      </c>
      <c r="D26" t="s">
        <v>8040</v>
      </c>
      <c r="E26" t="s">
        <v>3775</v>
      </c>
      <c r="G26" t="s">
        <v>8041</v>
      </c>
      <c r="H26" t="s">
        <v>8063</v>
      </c>
      <c r="I26">
        <v>5</v>
      </c>
    </row>
    <row r="27" spans="1:9" x14ac:dyDescent="0.25">
      <c r="A27" t="s">
        <v>8068</v>
      </c>
      <c r="B27" t="s">
        <v>3744</v>
      </c>
      <c r="C27" t="s">
        <v>3742</v>
      </c>
      <c r="D27" t="s">
        <v>8040</v>
      </c>
      <c r="E27" t="s">
        <v>3769</v>
      </c>
      <c r="G27" t="s">
        <v>8041</v>
      </c>
      <c r="H27" t="s">
        <v>8063</v>
      </c>
      <c r="I27">
        <v>3</v>
      </c>
    </row>
    <row r="28" spans="1:9" x14ac:dyDescent="0.25">
      <c r="A28" t="s">
        <v>3938</v>
      </c>
      <c r="B28" t="s">
        <v>3744</v>
      </c>
      <c r="C28" t="s">
        <v>3742</v>
      </c>
      <c r="D28" t="s">
        <v>8042</v>
      </c>
      <c r="E28" t="s">
        <v>3937</v>
      </c>
      <c r="G28" t="s">
        <v>8041</v>
      </c>
      <c r="H28" t="s">
        <v>8063</v>
      </c>
    </row>
    <row r="29" spans="1:9" x14ac:dyDescent="0.25">
      <c r="A29" t="s">
        <v>3778</v>
      </c>
      <c r="B29" t="s">
        <v>3744</v>
      </c>
      <c r="C29" t="s">
        <v>3776</v>
      </c>
      <c r="D29" t="s">
        <v>8040</v>
      </c>
      <c r="E29" t="s">
        <v>3777</v>
      </c>
      <c r="G29" t="s">
        <v>8041</v>
      </c>
      <c r="H29" t="s">
        <v>8063</v>
      </c>
    </row>
    <row r="30" spans="1:9" x14ac:dyDescent="0.25">
      <c r="A30" t="s">
        <v>3949</v>
      </c>
      <c r="B30" t="s">
        <v>3744</v>
      </c>
      <c r="C30" t="s">
        <v>3742</v>
      </c>
      <c r="D30" t="s">
        <v>8042</v>
      </c>
      <c r="E30" t="s">
        <v>3948</v>
      </c>
      <c r="G30" t="s">
        <v>8041</v>
      </c>
      <c r="H30" t="s">
        <v>8063</v>
      </c>
    </row>
    <row r="31" spans="1:9" x14ac:dyDescent="0.25">
      <c r="A31" t="s">
        <v>7985</v>
      </c>
      <c r="B31" t="s">
        <v>3744</v>
      </c>
      <c r="C31" t="s">
        <v>3742</v>
      </c>
      <c r="D31" t="s">
        <v>8040</v>
      </c>
      <c r="E31" t="s">
        <v>5082</v>
      </c>
      <c r="G31" t="s">
        <v>8041</v>
      </c>
      <c r="H31" t="s">
        <v>8063</v>
      </c>
    </row>
    <row r="32" spans="1:9" x14ac:dyDescent="0.25">
      <c r="A32" t="s">
        <v>3793</v>
      </c>
      <c r="B32" t="s">
        <v>3744</v>
      </c>
      <c r="C32" t="s">
        <v>3790</v>
      </c>
      <c r="D32" t="s">
        <v>8040</v>
      </c>
      <c r="E32" t="s">
        <v>3791</v>
      </c>
      <c r="G32" t="s">
        <v>8041</v>
      </c>
      <c r="H32" t="s">
        <v>8063</v>
      </c>
    </row>
    <row r="33" spans="1:9" x14ac:dyDescent="0.25">
      <c r="A33" t="s">
        <v>3911</v>
      </c>
      <c r="B33" t="s">
        <v>3744</v>
      </c>
      <c r="C33" t="s">
        <v>3910</v>
      </c>
      <c r="D33" t="s">
        <v>8042</v>
      </c>
      <c r="E33" t="s">
        <v>3909</v>
      </c>
      <c r="G33" t="s">
        <v>8041</v>
      </c>
      <c r="H33" t="s">
        <v>8063</v>
      </c>
    </row>
    <row r="34" spans="1:9" x14ac:dyDescent="0.25">
      <c r="A34" t="s">
        <v>7690</v>
      </c>
      <c r="B34" t="s">
        <v>3744</v>
      </c>
      <c r="C34" t="s">
        <v>3776</v>
      </c>
      <c r="D34" t="s">
        <v>8040</v>
      </c>
      <c r="E34" t="s">
        <v>7689</v>
      </c>
      <c r="G34" t="s">
        <v>8041</v>
      </c>
      <c r="H34" t="s">
        <v>8063</v>
      </c>
    </row>
    <row r="35" spans="1:9" x14ac:dyDescent="0.25">
      <c r="A35" t="s">
        <v>3855</v>
      </c>
      <c r="B35" t="s">
        <v>3744</v>
      </c>
      <c r="C35" t="s">
        <v>3776</v>
      </c>
      <c r="D35" t="s">
        <v>8040</v>
      </c>
      <c r="E35" t="s">
        <v>3854</v>
      </c>
      <c r="G35" t="s">
        <v>8041</v>
      </c>
      <c r="H35" t="s">
        <v>8063</v>
      </c>
    </row>
    <row r="36" spans="1:9" x14ac:dyDescent="0.25">
      <c r="A36" t="s">
        <v>8048</v>
      </c>
      <c r="B36" t="s">
        <v>3744</v>
      </c>
      <c r="C36" t="s">
        <v>3776</v>
      </c>
      <c r="D36" t="s">
        <v>8042</v>
      </c>
      <c r="E36" t="s">
        <v>7429</v>
      </c>
      <c r="F36" t="s">
        <v>8049</v>
      </c>
      <c r="G36" t="s">
        <v>8041</v>
      </c>
      <c r="H36" t="s">
        <v>8063</v>
      </c>
    </row>
    <row r="37" spans="1:9" x14ac:dyDescent="0.25">
      <c r="A37" t="s">
        <v>7977</v>
      </c>
      <c r="B37" t="s">
        <v>3744</v>
      </c>
      <c r="C37" t="s">
        <v>3790</v>
      </c>
      <c r="D37" t="s">
        <v>8040</v>
      </c>
      <c r="E37" t="s">
        <v>7974</v>
      </c>
      <c r="G37" t="s">
        <v>8041</v>
      </c>
      <c r="H37" t="s">
        <v>8063</v>
      </c>
    </row>
    <row r="38" spans="1:9" x14ac:dyDescent="0.25">
      <c r="A38" t="s">
        <v>3767</v>
      </c>
      <c r="B38" t="s">
        <v>3744</v>
      </c>
      <c r="C38" t="s">
        <v>3742</v>
      </c>
      <c r="D38" t="s">
        <v>8040</v>
      </c>
      <c r="E38" t="s">
        <v>3766</v>
      </c>
      <c r="G38" t="s">
        <v>8041</v>
      </c>
      <c r="H38" t="s">
        <v>8063</v>
      </c>
    </row>
    <row r="39" spans="1:9" x14ac:dyDescent="0.25">
      <c r="A39" t="s">
        <v>8057</v>
      </c>
      <c r="B39" t="s">
        <v>3744</v>
      </c>
      <c r="C39" t="s">
        <v>3776</v>
      </c>
      <c r="D39" t="s">
        <v>8040</v>
      </c>
      <c r="E39" t="s">
        <v>3786</v>
      </c>
      <c r="G39" t="s">
        <v>8041</v>
      </c>
      <c r="H39" t="s">
        <v>8063</v>
      </c>
      <c r="I39">
        <v>2</v>
      </c>
    </row>
    <row r="40" spans="1:9" x14ac:dyDescent="0.25">
      <c r="A40" t="s">
        <v>8058</v>
      </c>
      <c r="B40" t="s">
        <v>3744</v>
      </c>
      <c r="C40" t="s">
        <v>3790</v>
      </c>
      <c r="D40" t="s">
        <v>8040</v>
      </c>
      <c r="E40" t="s">
        <v>3799</v>
      </c>
      <c r="G40" t="s">
        <v>8041</v>
      </c>
      <c r="H40" t="s">
        <v>8063</v>
      </c>
      <c r="I40">
        <v>3</v>
      </c>
    </row>
    <row r="41" spans="1:9" x14ac:dyDescent="0.25">
      <c r="A41" t="s">
        <v>3761</v>
      </c>
      <c r="B41" t="s">
        <v>3744</v>
      </c>
      <c r="C41" t="s">
        <v>3742</v>
      </c>
      <c r="D41" t="s">
        <v>8040</v>
      </c>
      <c r="E41" t="s">
        <v>3760</v>
      </c>
      <c r="G41" t="s">
        <v>8041</v>
      </c>
      <c r="H41" t="s">
        <v>8063</v>
      </c>
    </row>
    <row r="42" spans="1:9" x14ac:dyDescent="0.25">
      <c r="A42" t="s">
        <v>3772</v>
      </c>
      <c r="B42" t="s">
        <v>3744</v>
      </c>
      <c r="C42" t="s">
        <v>3742</v>
      </c>
      <c r="D42" t="s">
        <v>8040</v>
      </c>
      <c r="E42" t="s">
        <v>3771</v>
      </c>
      <c r="G42" t="s">
        <v>8041</v>
      </c>
      <c r="H42" t="s">
        <v>8063</v>
      </c>
    </row>
    <row r="43" spans="1:9" x14ac:dyDescent="0.25">
      <c r="A43" t="s">
        <v>3884</v>
      </c>
      <c r="B43" t="s">
        <v>3744</v>
      </c>
      <c r="C43" t="s">
        <v>3742</v>
      </c>
      <c r="D43" t="s">
        <v>8042</v>
      </c>
      <c r="E43" t="s">
        <v>3883</v>
      </c>
      <c r="G43" t="s">
        <v>8041</v>
      </c>
      <c r="H43" t="s">
        <v>8063</v>
      </c>
    </row>
    <row r="44" spans="1:9" x14ac:dyDescent="0.25">
      <c r="A44" t="s">
        <v>7972</v>
      </c>
      <c r="B44" t="s">
        <v>3744</v>
      </c>
      <c r="C44" t="s">
        <v>3910</v>
      </c>
      <c r="D44" t="s">
        <v>8040</v>
      </c>
      <c r="E44" t="s">
        <v>7971</v>
      </c>
      <c r="G44" t="s">
        <v>8041</v>
      </c>
      <c r="H44" t="s">
        <v>8063</v>
      </c>
    </row>
    <row r="45" spans="1:9" x14ac:dyDescent="0.25">
      <c r="A45" t="s">
        <v>3748</v>
      </c>
      <c r="B45" t="s">
        <v>3744</v>
      </c>
      <c r="C45" t="s">
        <v>3742</v>
      </c>
      <c r="D45" t="s">
        <v>8040</v>
      </c>
      <c r="E45" t="s">
        <v>3747</v>
      </c>
      <c r="G45" t="s">
        <v>8041</v>
      </c>
      <c r="H45" t="s">
        <v>8063</v>
      </c>
    </row>
    <row r="46" spans="1:9" x14ac:dyDescent="0.25">
      <c r="A46" t="s">
        <v>7687</v>
      </c>
      <c r="B46" t="s">
        <v>3744</v>
      </c>
      <c r="C46" t="s">
        <v>3742</v>
      </c>
      <c r="D46" t="s">
        <v>8040</v>
      </c>
      <c r="E46" t="s">
        <v>7686</v>
      </c>
      <c r="G46" t="s">
        <v>8041</v>
      </c>
      <c r="H46" t="s">
        <v>8063</v>
      </c>
    </row>
    <row r="47" spans="1:9" x14ac:dyDescent="0.25">
      <c r="A47" t="s">
        <v>3829</v>
      </c>
      <c r="B47" t="s">
        <v>3744</v>
      </c>
      <c r="C47" t="s">
        <v>3776</v>
      </c>
      <c r="D47" t="s">
        <v>8040</v>
      </c>
      <c r="E47" t="s">
        <v>3828</v>
      </c>
      <c r="G47" t="s">
        <v>8041</v>
      </c>
      <c r="H47" t="s">
        <v>8063</v>
      </c>
    </row>
    <row r="48" spans="1:9" x14ac:dyDescent="0.25">
      <c r="A48" t="s">
        <v>3825</v>
      </c>
      <c r="B48" t="s">
        <v>3744</v>
      </c>
      <c r="C48" t="s">
        <v>3742</v>
      </c>
      <c r="D48" t="s">
        <v>8040</v>
      </c>
      <c r="E48" t="s">
        <v>3824</v>
      </c>
      <c r="G48" t="s">
        <v>8041</v>
      </c>
      <c r="H48" t="s">
        <v>8063</v>
      </c>
    </row>
    <row r="49" spans="1:8" x14ac:dyDescent="0.25">
      <c r="A49" t="s">
        <v>3784</v>
      </c>
      <c r="B49" t="s">
        <v>3744</v>
      </c>
      <c r="C49" t="s">
        <v>3776</v>
      </c>
      <c r="D49" t="s">
        <v>8040</v>
      </c>
      <c r="E49" t="s">
        <v>3783</v>
      </c>
      <c r="G49" t="s">
        <v>8041</v>
      </c>
      <c r="H49" t="s">
        <v>8063</v>
      </c>
    </row>
    <row r="50" spans="1:8" x14ac:dyDescent="0.25">
      <c r="A50" t="s">
        <v>7440</v>
      </c>
      <c r="B50" t="s">
        <v>3744</v>
      </c>
      <c r="C50" t="s">
        <v>3742</v>
      </c>
      <c r="D50" t="s">
        <v>8040</v>
      </c>
      <c r="E50" t="s">
        <v>7439</v>
      </c>
      <c r="G50" t="s">
        <v>8041</v>
      </c>
      <c r="H50" t="s">
        <v>8063</v>
      </c>
    </row>
    <row r="51" spans="1:8" x14ac:dyDescent="0.25">
      <c r="A51" t="s">
        <v>3891</v>
      </c>
      <c r="B51" t="s">
        <v>3744</v>
      </c>
      <c r="C51" t="s">
        <v>3742</v>
      </c>
      <c r="D51" t="s">
        <v>8042</v>
      </c>
      <c r="E51" t="s">
        <v>3890</v>
      </c>
      <c r="G51" t="s">
        <v>8041</v>
      </c>
      <c r="H51" t="s">
        <v>8063</v>
      </c>
    </row>
    <row r="52" spans="1:8" x14ac:dyDescent="0.25">
      <c r="A52" t="s">
        <v>3908</v>
      </c>
      <c r="B52" t="s">
        <v>3744</v>
      </c>
      <c r="C52" t="s">
        <v>3790</v>
      </c>
      <c r="D52" t="s">
        <v>8042</v>
      </c>
      <c r="E52" t="s">
        <v>3468</v>
      </c>
      <c r="G52" t="s">
        <v>8041</v>
      </c>
      <c r="H52" t="s">
        <v>8063</v>
      </c>
    </row>
    <row r="53" spans="1:8" x14ac:dyDescent="0.25">
      <c r="A53" t="s">
        <v>7701</v>
      </c>
      <c r="B53" t="s">
        <v>3751</v>
      </c>
      <c r="C53" t="s">
        <v>3742</v>
      </c>
      <c r="D53" t="s">
        <v>8040</v>
      </c>
      <c r="E53" t="s">
        <v>7700</v>
      </c>
      <c r="G53" t="s">
        <v>8041</v>
      </c>
      <c r="H53" t="s">
        <v>8063</v>
      </c>
    </row>
    <row r="54" spans="1:8" x14ac:dyDescent="0.25">
      <c r="A54" t="s">
        <v>7357</v>
      </c>
      <c r="B54" t="s">
        <v>3751</v>
      </c>
      <c r="C54" t="s">
        <v>3742</v>
      </c>
      <c r="D54" t="s">
        <v>8040</v>
      </c>
      <c r="E54" t="s">
        <v>7356</v>
      </c>
      <c r="G54" t="s">
        <v>8041</v>
      </c>
      <c r="H54" t="s">
        <v>8063</v>
      </c>
    </row>
    <row r="55" spans="1:8" x14ac:dyDescent="0.25">
      <c r="A55" t="s">
        <v>7901</v>
      </c>
      <c r="B55" t="s">
        <v>3751</v>
      </c>
      <c r="C55" t="s">
        <v>3776</v>
      </c>
      <c r="D55" t="s">
        <v>8042</v>
      </c>
      <c r="E55" t="s">
        <v>7902</v>
      </c>
      <c r="G55" t="s">
        <v>8041</v>
      </c>
      <c r="H55" t="s">
        <v>8063</v>
      </c>
    </row>
    <row r="56" spans="1:8" x14ac:dyDescent="0.25">
      <c r="A56" t="s">
        <v>3758</v>
      </c>
      <c r="B56" t="s">
        <v>3751</v>
      </c>
      <c r="C56" t="s">
        <v>3742</v>
      </c>
      <c r="D56" t="s">
        <v>8040</v>
      </c>
      <c r="E56" t="s">
        <v>3757</v>
      </c>
      <c r="G56" t="s">
        <v>8041</v>
      </c>
      <c r="H56" t="s">
        <v>8063</v>
      </c>
    </row>
    <row r="57" spans="1:8" x14ac:dyDescent="0.25">
      <c r="A57" t="s">
        <v>3841</v>
      </c>
      <c r="B57" t="s">
        <v>3744</v>
      </c>
      <c r="C57" t="s">
        <v>3742</v>
      </c>
      <c r="D57" t="s">
        <v>8040</v>
      </c>
      <c r="E57" t="s">
        <v>3840</v>
      </c>
      <c r="G57" t="s">
        <v>8041</v>
      </c>
      <c r="H57" t="s">
        <v>8063</v>
      </c>
    </row>
    <row r="58" spans="1:8" x14ac:dyDescent="0.25">
      <c r="A58" t="s">
        <v>8078</v>
      </c>
      <c r="B58" t="s">
        <v>3832</v>
      </c>
      <c r="C58" t="s">
        <v>3776</v>
      </c>
      <c r="D58" t="s">
        <v>8042</v>
      </c>
      <c r="E58" t="s">
        <v>3917</v>
      </c>
      <c r="G58" t="s">
        <v>8041</v>
      </c>
      <c r="H58" t="s">
        <v>8064</v>
      </c>
    </row>
    <row r="59" spans="1:8" x14ac:dyDescent="0.25">
      <c r="A59" t="s">
        <v>8079</v>
      </c>
      <c r="B59" t="s">
        <v>3832</v>
      </c>
      <c r="C59" t="s">
        <v>3776</v>
      </c>
      <c r="D59" t="s">
        <v>8042</v>
      </c>
      <c r="E59" t="s">
        <v>3921</v>
      </c>
      <c r="G59" t="s">
        <v>8041</v>
      </c>
      <c r="H59" t="s">
        <v>8064</v>
      </c>
    </row>
    <row r="60" spans="1:8" x14ac:dyDescent="0.25">
      <c r="A60" t="s">
        <v>8080</v>
      </c>
      <c r="B60" t="s">
        <v>3832</v>
      </c>
      <c r="C60" t="s">
        <v>3776</v>
      </c>
      <c r="D60" t="s">
        <v>8042</v>
      </c>
      <c r="E60" t="s">
        <v>3926</v>
      </c>
      <c r="G60" t="s">
        <v>8041</v>
      </c>
      <c r="H60" t="s">
        <v>8064</v>
      </c>
    </row>
    <row r="61" spans="1:8" x14ac:dyDescent="0.25">
      <c r="A61" t="s">
        <v>8081</v>
      </c>
      <c r="B61" t="s">
        <v>3832</v>
      </c>
      <c r="C61" t="s">
        <v>3776</v>
      </c>
      <c r="D61" t="s">
        <v>8042</v>
      </c>
      <c r="E61" t="s">
        <v>3919</v>
      </c>
      <c r="G61" t="s">
        <v>8041</v>
      </c>
      <c r="H61" t="s">
        <v>8064</v>
      </c>
    </row>
    <row r="62" spans="1:8" x14ac:dyDescent="0.25">
      <c r="A62" t="s">
        <v>8082</v>
      </c>
      <c r="B62" t="s">
        <v>3832</v>
      </c>
      <c r="C62" t="s">
        <v>3790</v>
      </c>
      <c r="D62" t="s">
        <v>8040</v>
      </c>
      <c r="E62" t="s">
        <v>3836</v>
      </c>
      <c r="G62" t="s">
        <v>8041</v>
      </c>
      <c r="H62" t="s">
        <v>8064</v>
      </c>
    </row>
    <row r="63" spans="1:8" x14ac:dyDescent="0.25">
      <c r="A63" t="s">
        <v>8083</v>
      </c>
      <c r="B63" t="s">
        <v>3832</v>
      </c>
      <c r="C63" t="s">
        <v>3742</v>
      </c>
      <c r="D63" t="s">
        <v>8040</v>
      </c>
      <c r="E63" t="s">
        <v>7894</v>
      </c>
      <c r="G63" t="s">
        <v>8041</v>
      </c>
      <c r="H63" t="s">
        <v>8064</v>
      </c>
    </row>
    <row r="64" spans="1:8" x14ac:dyDescent="0.25">
      <c r="A64" t="s">
        <v>8084</v>
      </c>
      <c r="B64" t="s">
        <v>3832</v>
      </c>
      <c r="C64" t="s">
        <v>3776</v>
      </c>
      <c r="D64" t="s">
        <v>8040</v>
      </c>
      <c r="E64" t="s">
        <v>3875</v>
      </c>
      <c r="G64" t="s">
        <v>8041</v>
      </c>
      <c r="H64" t="s">
        <v>8064</v>
      </c>
    </row>
    <row r="65" spans="1:8" x14ac:dyDescent="0.25">
      <c r="A65" t="s">
        <v>8085</v>
      </c>
      <c r="B65" t="s">
        <v>3832</v>
      </c>
      <c r="C65" t="s">
        <v>3742</v>
      </c>
      <c r="D65" t="s">
        <v>8042</v>
      </c>
      <c r="E65" t="s">
        <v>3889</v>
      </c>
      <c r="G65" t="s">
        <v>8041</v>
      </c>
      <c r="H65" t="s">
        <v>8064</v>
      </c>
    </row>
    <row r="66" spans="1:8" x14ac:dyDescent="0.25">
      <c r="A66" t="s">
        <v>8044</v>
      </c>
      <c r="B66" t="s">
        <v>3751</v>
      </c>
      <c r="C66" t="s">
        <v>3776</v>
      </c>
      <c r="D66" t="s">
        <v>8042</v>
      </c>
      <c r="E66" t="s">
        <v>7429</v>
      </c>
      <c r="F66" t="s">
        <v>8045</v>
      </c>
      <c r="G66" t="s">
        <v>8041</v>
      </c>
      <c r="H66" t="s">
        <v>8063</v>
      </c>
    </row>
    <row r="67" spans="1:8" x14ac:dyDescent="0.25">
      <c r="A67" t="s">
        <v>7912</v>
      </c>
      <c r="B67" t="s">
        <v>3751</v>
      </c>
      <c r="C67" t="s">
        <v>3776</v>
      </c>
      <c r="D67" t="s">
        <v>8042</v>
      </c>
      <c r="E67" t="s">
        <v>7911</v>
      </c>
      <c r="G67" t="s">
        <v>8041</v>
      </c>
      <c r="H67" t="s">
        <v>8063</v>
      </c>
    </row>
    <row r="68" spans="1:8" x14ac:dyDescent="0.25">
      <c r="A68" t="s">
        <v>7908</v>
      </c>
      <c r="B68" t="s">
        <v>3751</v>
      </c>
      <c r="C68" t="s">
        <v>3910</v>
      </c>
      <c r="D68" t="s">
        <v>8042</v>
      </c>
      <c r="E68" t="s">
        <v>7907</v>
      </c>
      <c r="G68" t="s">
        <v>8041</v>
      </c>
      <c r="H68" t="s">
        <v>8063</v>
      </c>
    </row>
    <row r="69" spans="1:8" x14ac:dyDescent="0.25">
      <c r="A69" t="s">
        <v>7970</v>
      </c>
      <c r="B69" t="s">
        <v>3755</v>
      </c>
      <c r="C69" t="s">
        <v>3776</v>
      </c>
      <c r="D69" t="s">
        <v>8040</v>
      </c>
      <c r="E69" t="s">
        <v>7969</v>
      </c>
      <c r="G69" t="s">
        <v>8041</v>
      </c>
      <c r="H69" t="s">
        <v>8063</v>
      </c>
    </row>
    <row r="70" spans="1:8" x14ac:dyDescent="0.25">
      <c r="A70" t="s">
        <v>3865</v>
      </c>
      <c r="B70" t="s">
        <v>3838</v>
      </c>
      <c r="C70" t="s">
        <v>3776</v>
      </c>
      <c r="D70" t="s">
        <v>8040</v>
      </c>
      <c r="E70" t="s">
        <v>3864</v>
      </c>
      <c r="G70" t="s">
        <v>8041</v>
      </c>
      <c r="H70" t="s">
        <v>8063</v>
      </c>
    </row>
    <row r="71" spans="1:8" x14ac:dyDescent="0.25">
      <c r="A71" t="s">
        <v>3952</v>
      </c>
      <c r="B71" t="s">
        <v>3751</v>
      </c>
      <c r="C71" t="s">
        <v>3776</v>
      </c>
      <c r="D71" t="s">
        <v>8042</v>
      </c>
      <c r="E71" t="s">
        <v>3951</v>
      </c>
      <c r="G71" t="s">
        <v>8041</v>
      </c>
      <c r="H71" t="s">
        <v>8063</v>
      </c>
    </row>
    <row r="72" spans="1:8" x14ac:dyDescent="0.25">
      <c r="A72" t="s">
        <v>3809</v>
      </c>
      <c r="B72" t="s">
        <v>3751</v>
      </c>
      <c r="C72" t="s">
        <v>3742</v>
      </c>
      <c r="D72" t="s">
        <v>8040</v>
      </c>
      <c r="E72" t="s">
        <v>3808</v>
      </c>
      <c r="G72" t="s">
        <v>8041</v>
      </c>
      <c r="H72" t="s">
        <v>8063</v>
      </c>
    </row>
    <row r="73" spans="1:8" x14ac:dyDescent="0.25">
      <c r="A73" t="s">
        <v>7892</v>
      </c>
      <c r="B73" t="s">
        <v>3751</v>
      </c>
      <c r="C73" t="s">
        <v>3790</v>
      </c>
      <c r="D73" t="s">
        <v>8040</v>
      </c>
      <c r="E73" t="s">
        <v>7891</v>
      </c>
      <c r="G73" t="s">
        <v>8041</v>
      </c>
      <c r="H73" t="s">
        <v>8063</v>
      </c>
    </row>
    <row r="74" spans="1:8" x14ac:dyDescent="0.25">
      <c r="A74" t="s">
        <v>3957</v>
      </c>
      <c r="B74" t="s">
        <v>3751</v>
      </c>
      <c r="C74" t="s">
        <v>3776</v>
      </c>
      <c r="D74" t="s">
        <v>8042</v>
      </c>
      <c r="E74" t="s">
        <v>3956</v>
      </c>
      <c r="G74" t="s">
        <v>8041</v>
      </c>
      <c r="H74" t="s">
        <v>8063</v>
      </c>
    </row>
    <row r="75" spans="1:8" x14ac:dyDescent="0.25">
      <c r="A75" t="s">
        <v>8072</v>
      </c>
      <c r="D75" t="s">
        <v>8050</v>
      </c>
      <c r="E75" t="s">
        <v>3488</v>
      </c>
      <c r="G75" t="s">
        <v>8041</v>
      </c>
      <c r="H75" t="s">
        <v>8064</v>
      </c>
    </row>
    <row r="76" spans="1:8" x14ac:dyDescent="0.25">
      <c r="A76" t="s">
        <v>3805</v>
      </c>
      <c r="B76" t="s">
        <v>3751</v>
      </c>
      <c r="C76" t="s">
        <v>3742</v>
      </c>
      <c r="D76" t="s">
        <v>8040</v>
      </c>
      <c r="E76" t="s">
        <v>3804</v>
      </c>
      <c r="G76" t="s">
        <v>8041</v>
      </c>
      <c r="H76" t="s">
        <v>8063</v>
      </c>
    </row>
    <row r="77" spans="1:8" x14ac:dyDescent="0.25">
      <c r="A77" t="s">
        <v>3867</v>
      </c>
      <c r="B77" t="s">
        <v>3838</v>
      </c>
      <c r="C77" t="s">
        <v>3790</v>
      </c>
      <c r="D77" t="s">
        <v>8040</v>
      </c>
      <c r="E77" t="s">
        <v>3866</v>
      </c>
      <c r="G77" t="s">
        <v>8041</v>
      </c>
      <c r="H77" t="s">
        <v>8063</v>
      </c>
    </row>
    <row r="78" spans="1:8" x14ac:dyDescent="0.25">
      <c r="A78" t="s">
        <v>3935</v>
      </c>
      <c r="B78" t="s">
        <v>3751</v>
      </c>
      <c r="C78" t="s">
        <v>3910</v>
      </c>
      <c r="D78" t="s">
        <v>8042</v>
      </c>
      <c r="E78" t="s">
        <v>3934</v>
      </c>
      <c r="G78" t="s">
        <v>8041</v>
      </c>
      <c r="H78" t="s">
        <v>8063</v>
      </c>
    </row>
    <row r="79" spans="1:8" x14ac:dyDescent="0.25">
      <c r="A79" t="s">
        <v>3960</v>
      </c>
      <c r="B79" t="s">
        <v>3838</v>
      </c>
      <c r="C79" t="s">
        <v>3790</v>
      </c>
      <c r="D79" t="s">
        <v>8042</v>
      </c>
      <c r="E79" t="s">
        <v>3958</v>
      </c>
      <c r="G79" t="s">
        <v>8041</v>
      </c>
      <c r="H79" t="s">
        <v>8063</v>
      </c>
    </row>
    <row r="80" spans="1:8" x14ac:dyDescent="0.25">
      <c r="A80" t="s">
        <v>3913</v>
      </c>
      <c r="B80" t="s">
        <v>3751</v>
      </c>
      <c r="C80" t="s">
        <v>3742</v>
      </c>
      <c r="D80" t="s">
        <v>8042</v>
      </c>
      <c r="E80" t="s">
        <v>3914</v>
      </c>
      <c r="G80" t="s">
        <v>8041</v>
      </c>
      <c r="H80" t="s">
        <v>8063</v>
      </c>
    </row>
    <row r="81" spans="1:8" x14ac:dyDescent="0.25">
      <c r="A81" t="s">
        <v>3774</v>
      </c>
      <c r="B81" t="s">
        <v>3751</v>
      </c>
      <c r="C81" t="s">
        <v>3742</v>
      </c>
      <c r="D81" t="s">
        <v>8040</v>
      </c>
      <c r="E81" t="s">
        <v>3773</v>
      </c>
      <c r="G81" t="s">
        <v>8041</v>
      </c>
      <c r="H81" t="s">
        <v>8063</v>
      </c>
    </row>
    <row r="82" spans="1:8" x14ac:dyDescent="0.25">
      <c r="A82" t="s">
        <v>3943</v>
      </c>
      <c r="B82" t="s">
        <v>3751</v>
      </c>
      <c r="C82" t="s">
        <v>3742</v>
      </c>
      <c r="D82" t="s">
        <v>8042</v>
      </c>
      <c r="E82" t="s">
        <v>3942</v>
      </c>
      <c r="G82" t="s">
        <v>8041</v>
      </c>
      <c r="H82" t="s">
        <v>8063</v>
      </c>
    </row>
    <row r="83" spans="1:8" x14ac:dyDescent="0.25">
      <c r="A83" t="s">
        <v>3797</v>
      </c>
      <c r="B83" t="s">
        <v>3751</v>
      </c>
      <c r="C83" t="s">
        <v>3790</v>
      </c>
      <c r="D83" t="s">
        <v>8040</v>
      </c>
      <c r="E83" t="s">
        <v>3796</v>
      </c>
      <c r="G83" t="s">
        <v>8041</v>
      </c>
      <c r="H83" t="s">
        <v>8063</v>
      </c>
    </row>
    <row r="84" spans="1:8" x14ac:dyDescent="0.25">
      <c r="A84" t="s">
        <v>8054</v>
      </c>
      <c r="D84" t="s">
        <v>6459</v>
      </c>
      <c r="E84" t="s">
        <v>3987</v>
      </c>
      <c r="F84" t="s">
        <v>8052</v>
      </c>
      <c r="G84" t="s">
        <v>8053</v>
      </c>
      <c r="H84" t="s">
        <v>8064</v>
      </c>
    </row>
    <row r="85" spans="1:8" x14ac:dyDescent="0.25">
      <c r="A85" t="s">
        <v>8055</v>
      </c>
      <c r="D85" t="s">
        <v>6459</v>
      </c>
      <c r="E85" t="s">
        <v>3982</v>
      </c>
      <c r="F85" t="s">
        <v>8052</v>
      </c>
      <c r="G85" t="s">
        <v>8053</v>
      </c>
      <c r="H85" t="s">
        <v>8064</v>
      </c>
    </row>
    <row r="86" spans="1:8" x14ac:dyDescent="0.25">
      <c r="A86" t="s">
        <v>8091</v>
      </c>
      <c r="D86" t="s">
        <v>6459</v>
      </c>
      <c r="E86" t="s">
        <v>3999</v>
      </c>
      <c r="F86" t="s">
        <v>8052</v>
      </c>
      <c r="G86" t="s">
        <v>8053</v>
      </c>
      <c r="H86" t="s">
        <v>8064</v>
      </c>
    </row>
    <row r="87" spans="1:8" x14ac:dyDescent="0.25">
      <c r="A87" t="s">
        <v>8069</v>
      </c>
      <c r="B87" t="s">
        <v>3744</v>
      </c>
      <c r="C87" t="s">
        <v>3910</v>
      </c>
      <c r="D87" t="s">
        <v>8042</v>
      </c>
      <c r="E87" t="s">
        <v>3965</v>
      </c>
      <c r="G87" t="s">
        <v>8041</v>
      </c>
      <c r="H87" t="s">
        <v>8063</v>
      </c>
    </row>
    <row r="88" spans="1:8" x14ac:dyDescent="0.25">
      <c r="A88" t="s">
        <v>8297</v>
      </c>
      <c r="D88" t="s">
        <v>8050</v>
      </c>
      <c r="E88" t="s">
        <v>3455</v>
      </c>
      <c r="G88" t="s">
        <v>8041</v>
      </c>
      <c r="H88" t="s">
        <v>8064</v>
      </c>
    </row>
    <row r="89" spans="1:8" x14ac:dyDescent="0.25">
      <c r="A89" t="s">
        <v>3941</v>
      </c>
      <c r="B89" t="s">
        <v>3751</v>
      </c>
      <c r="C89" t="s">
        <v>3742</v>
      </c>
      <c r="D89" t="s">
        <v>8042</v>
      </c>
      <c r="E89" t="s">
        <v>3940</v>
      </c>
      <c r="G89" t="s">
        <v>8041</v>
      </c>
      <c r="H89" t="s">
        <v>8063</v>
      </c>
    </row>
    <row r="90" spans="1:8" x14ac:dyDescent="0.25">
      <c r="A90" t="s">
        <v>8076</v>
      </c>
      <c r="D90" t="s">
        <v>8050</v>
      </c>
      <c r="E90" t="s">
        <v>3464</v>
      </c>
      <c r="G90" t="s">
        <v>8041</v>
      </c>
      <c r="H90" t="s">
        <v>8064</v>
      </c>
    </row>
    <row r="91" spans="1:8" x14ac:dyDescent="0.25">
      <c r="A91" t="s">
        <v>8075</v>
      </c>
      <c r="D91" t="s">
        <v>8050</v>
      </c>
      <c r="E91" t="s">
        <v>3483</v>
      </c>
      <c r="G91" t="s">
        <v>8041</v>
      </c>
      <c r="H91" t="s">
        <v>8064</v>
      </c>
    </row>
    <row r="92" spans="1:8" x14ac:dyDescent="0.25">
      <c r="A92" t="s">
        <v>8074</v>
      </c>
      <c r="B92" t="s">
        <v>3832</v>
      </c>
      <c r="C92" t="s">
        <v>3742</v>
      </c>
      <c r="D92" t="s">
        <v>8042</v>
      </c>
      <c r="E92" t="s">
        <v>3968</v>
      </c>
      <c r="G92" t="s">
        <v>8041</v>
      </c>
      <c r="H92" t="s">
        <v>8064</v>
      </c>
    </row>
    <row r="93" spans="1:8" x14ac:dyDescent="0.25">
      <c r="A93" t="s">
        <v>8074</v>
      </c>
      <c r="B93" t="s">
        <v>3832</v>
      </c>
      <c r="C93" t="s">
        <v>3776</v>
      </c>
      <c r="D93" t="s">
        <v>8042</v>
      </c>
      <c r="E93" t="s">
        <v>3969</v>
      </c>
      <c r="G93" t="s">
        <v>8041</v>
      </c>
      <c r="H93" t="s">
        <v>8064</v>
      </c>
    </row>
    <row r="94" spans="1:8" x14ac:dyDescent="0.25">
      <c r="A94" t="s">
        <v>3845</v>
      </c>
      <c r="B94" t="s">
        <v>3755</v>
      </c>
      <c r="C94" t="s">
        <v>3742</v>
      </c>
      <c r="D94" t="s">
        <v>8040</v>
      </c>
      <c r="E94" t="s">
        <v>3844</v>
      </c>
      <c r="G94" t="s">
        <v>8041</v>
      </c>
      <c r="H94" t="s">
        <v>8063</v>
      </c>
    </row>
    <row r="95" spans="1:8" x14ac:dyDescent="0.25">
      <c r="A95" t="s">
        <v>8059</v>
      </c>
      <c r="B95" t="s">
        <v>3755</v>
      </c>
      <c r="C95" t="s">
        <v>3742</v>
      </c>
      <c r="D95" t="s">
        <v>8040</v>
      </c>
      <c r="E95" t="s">
        <v>3754</v>
      </c>
      <c r="G95" t="s">
        <v>8041</v>
      </c>
      <c r="H95" t="s">
        <v>8063</v>
      </c>
    </row>
    <row r="96" spans="1:8" x14ac:dyDescent="0.25">
      <c r="A96" t="s">
        <v>8088</v>
      </c>
      <c r="B96" t="s">
        <v>3755</v>
      </c>
      <c r="C96" t="s">
        <v>3742</v>
      </c>
      <c r="D96" t="s">
        <v>8042</v>
      </c>
      <c r="E96" t="s">
        <v>3881</v>
      </c>
      <c r="G96" t="s">
        <v>8041</v>
      </c>
      <c r="H96" t="s">
        <v>8063</v>
      </c>
    </row>
    <row r="97" spans="1:9" x14ac:dyDescent="0.25">
      <c r="A97" t="s">
        <v>3945</v>
      </c>
      <c r="B97" t="s">
        <v>3755</v>
      </c>
      <c r="C97" t="s">
        <v>3742</v>
      </c>
      <c r="D97" t="s">
        <v>8042</v>
      </c>
      <c r="E97" t="s">
        <v>3944</v>
      </c>
      <c r="G97" t="s">
        <v>8041</v>
      </c>
      <c r="H97" t="s">
        <v>8063</v>
      </c>
    </row>
    <row r="98" spans="1:9" x14ac:dyDescent="0.25">
      <c r="A98" t="s">
        <v>8086</v>
      </c>
      <c r="B98" t="s">
        <v>3832</v>
      </c>
      <c r="C98" t="s">
        <v>3790</v>
      </c>
      <c r="D98" t="s">
        <v>8042</v>
      </c>
      <c r="E98" t="s">
        <v>7899</v>
      </c>
      <c r="G98" t="s">
        <v>8041</v>
      </c>
      <c r="H98" t="s">
        <v>8064</v>
      </c>
    </row>
    <row r="99" spans="1:9" x14ac:dyDescent="0.25">
      <c r="A99" t="s">
        <v>8092</v>
      </c>
      <c r="D99" t="s">
        <v>8050</v>
      </c>
      <c r="E99" t="s">
        <v>3491</v>
      </c>
      <c r="G99" t="s">
        <v>8041</v>
      </c>
      <c r="H99" t="s">
        <v>8064</v>
      </c>
    </row>
    <row r="100" spans="1:9" x14ac:dyDescent="0.25">
      <c r="A100" t="s">
        <v>3803</v>
      </c>
      <c r="B100" t="s">
        <v>3751</v>
      </c>
      <c r="C100" t="s">
        <v>3742</v>
      </c>
      <c r="D100" t="s">
        <v>8040</v>
      </c>
      <c r="E100" t="s">
        <v>3802</v>
      </c>
      <c r="G100" t="s">
        <v>8041</v>
      </c>
      <c r="H100" t="s">
        <v>8063</v>
      </c>
    </row>
    <row r="101" spans="1:9" x14ac:dyDescent="0.25">
      <c r="A101" t="s">
        <v>3907</v>
      </c>
      <c r="B101" t="s">
        <v>3751</v>
      </c>
      <c r="C101" t="s">
        <v>3776</v>
      </c>
      <c r="D101" t="s">
        <v>8042</v>
      </c>
      <c r="E101" t="s">
        <v>3906</v>
      </c>
      <c r="G101" t="s">
        <v>8041</v>
      </c>
      <c r="H101" t="s">
        <v>8063</v>
      </c>
    </row>
    <row r="102" spans="1:9" x14ac:dyDescent="0.25">
      <c r="A102" t="s">
        <v>7360</v>
      </c>
      <c r="B102" t="s">
        <v>3751</v>
      </c>
      <c r="C102" t="s">
        <v>3742</v>
      </c>
      <c r="D102" t="s">
        <v>8042</v>
      </c>
      <c r="E102" t="s">
        <v>7359</v>
      </c>
      <c r="G102" t="s">
        <v>8041</v>
      </c>
      <c r="H102" t="s">
        <v>8063</v>
      </c>
    </row>
    <row r="103" spans="1:9" x14ac:dyDescent="0.25">
      <c r="A103" t="s">
        <v>3817</v>
      </c>
      <c r="B103" t="s">
        <v>3751</v>
      </c>
      <c r="C103" t="s">
        <v>3742</v>
      </c>
      <c r="D103" t="s">
        <v>8040</v>
      </c>
      <c r="E103" t="s">
        <v>3816</v>
      </c>
      <c r="G103" t="s">
        <v>8041</v>
      </c>
      <c r="H103" t="s">
        <v>8063</v>
      </c>
    </row>
    <row r="104" spans="1:9" x14ac:dyDescent="0.25">
      <c r="A104" t="s">
        <v>3752</v>
      </c>
      <c r="B104" t="s">
        <v>3751</v>
      </c>
      <c r="C104" t="s">
        <v>3742</v>
      </c>
      <c r="D104" t="s">
        <v>8040</v>
      </c>
      <c r="E104" t="s">
        <v>3750</v>
      </c>
      <c r="G104" t="s">
        <v>8041</v>
      </c>
      <c r="H104" t="s">
        <v>8063</v>
      </c>
    </row>
    <row r="105" spans="1:9" x14ac:dyDescent="0.25">
      <c r="A105" t="s">
        <v>3947</v>
      </c>
      <c r="B105" t="s">
        <v>3751</v>
      </c>
      <c r="C105" t="s">
        <v>3742</v>
      </c>
      <c r="D105" t="s">
        <v>8042</v>
      </c>
      <c r="E105" t="s">
        <v>3946</v>
      </c>
      <c r="G105" t="s">
        <v>8041</v>
      </c>
      <c r="H105" t="s">
        <v>8063</v>
      </c>
    </row>
    <row r="106" spans="1:9" x14ac:dyDescent="0.25">
      <c r="A106" t="s">
        <v>8093</v>
      </c>
      <c r="D106" t="s">
        <v>8050</v>
      </c>
      <c r="E106" t="s">
        <v>3460</v>
      </c>
      <c r="G106" t="s">
        <v>8041</v>
      </c>
      <c r="H106" t="s">
        <v>8064</v>
      </c>
    </row>
    <row r="107" spans="1:9" x14ac:dyDescent="0.25">
      <c r="A107" t="s">
        <v>3848</v>
      </c>
      <c r="B107" t="s">
        <v>3751</v>
      </c>
      <c r="C107" t="s">
        <v>3776</v>
      </c>
      <c r="D107" t="s">
        <v>8040</v>
      </c>
      <c r="E107" t="s">
        <v>3847</v>
      </c>
      <c r="G107" t="s">
        <v>8041</v>
      </c>
      <c r="H107" t="s">
        <v>8063</v>
      </c>
    </row>
    <row r="108" spans="1:9" x14ac:dyDescent="0.25">
      <c r="A108" t="s">
        <v>3874</v>
      </c>
      <c r="B108" t="s">
        <v>3838</v>
      </c>
      <c r="C108" t="s">
        <v>3742</v>
      </c>
      <c r="D108" t="s">
        <v>8040</v>
      </c>
      <c r="E108" t="s">
        <v>3873</v>
      </c>
      <c r="G108" t="s">
        <v>8041</v>
      </c>
      <c r="H108" t="s">
        <v>8063</v>
      </c>
    </row>
    <row r="109" spans="1:9" x14ac:dyDescent="0.25">
      <c r="A109" t="s">
        <v>3780</v>
      </c>
      <c r="B109" t="s">
        <v>3751</v>
      </c>
      <c r="C109" t="s">
        <v>3776</v>
      </c>
      <c r="D109" t="s">
        <v>8040</v>
      </c>
      <c r="E109" t="s">
        <v>3779</v>
      </c>
      <c r="G109" t="s">
        <v>8041</v>
      </c>
      <c r="H109" t="s">
        <v>8063</v>
      </c>
    </row>
    <row r="110" spans="1:9" x14ac:dyDescent="0.25">
      <c r="A110" t="s">
        <v>7886</v>
      </c>
      <c r="B110" t="s">
        <v>3751</v>
      </c>
      <c r="C110" t="s">
        <v>3776</v>
      </c>
      <c r="D110" t="s">
        <v>8040</v>
      </c>
      <c r="E110" t="s">
        <v>7885</v>
      </c>
      <c r="G110" t="s">
        <v>8041</v>
      </c>
      <c r="H110" t="s">
        <v>8063</v>
      </c>
    </row>
    <row r="111" spans="1:9" x14ac:dyDescent="0.25">
      <c r="A111" t="s">
        <v>7880</v>
      </c>
      <c r="B111" t="s">
        <v>3751</v>
      </c>
      <c r="C111" t="s">
        <v>3742</v>
      </c>
      <c r="D111" t="s">
        <v>8040</v>
      </c>
      <c r="E111" t="s">
        <v>7879</v>
      </c>
      <c r="G111" t="s">
        <v>8041</v>
      </c>
      <c r="H111" t="s">
        <v>8063</v>
      </c>
    </row>
    <row r="112" spans="1:9" x14ac:dyDescent="0.25">
      <c r="A112" t="s">
        <v>8089</v>
      </c>
      <c r="B112" t="s">
        <v>3751</v>
      </c>
      <c r="C112" t="s">
        <v>3776</v>
      </c>
      <c r="D112" t="s">
        <v>8040</v>
      </c>
      <c r="E112" t="s">
        <v>7883</v>
      </c>
      <c r="G112" t="s">
        <v>8041</v>
      </c>
      <c r="H112" t="s">
        <v>8063</v>
      </c>
      <c r="I112">
        <v>2</v>
      </c>
    </row>
    <row r="113" spans="1:8" x14ac:dyDescent="0.25">
      <c r="A113" t="s">
        <v>3821</v>
      </c>
      <c r="B113" t="s">
        <v>3751</v>
      </c>
      <c r="C113" t="s">
        <v>3742</v>
      </c>
      <c r="D113" t="s">
        <v>8040</v>
      </c>
      <c r="E113" t="s">
        <v>3820</v>
      </c>
      <c r="G113" t="s">
        <v>8041</v>
      </c>
      <c r="H113" t="s">
        <v>8063</v>
      </c>
    </row>
    <row r="114" spans="1:8" x14ac:dyDescent="0.25">
      <c r="A114" t="s">
        <v>3972</v>
      </c>
      <c r="B114" t="s">
        <v>3744</v>
      </c>
      <c r="C114" t="s">
        <v>3790</v>
      </c>
      <c r="D114" t="s">
        <v>8042</v>
      </c>
      <c r="E114" t="s">
        <v>3971</v>
      </c>
      <c r="G114" t="s">
        <v>8041</v>
      </c>
      <c r="H114" t="s">
        <v>8063</v>
      </c>
    </row>
    <row r="115" spans="1:8" x14ac:dyDescent="0.25">
      <c r="A115" t="s">
        <v>3963</v>
      </c>
      <c r="B115" t="s">
        <v>3755</v>
      </c>
      <c r="C115" t="s">
        <v>3790</v>
      </c>
      <c r="D115" t="s">
        <v>8042</v>
      </c>
      <c r="E115" t="s">
        <v>3962</v>
      </c>
      <c r="G115" t="s">
        <v>8041</v>
      </c>
      <c r="H115" t="s">
        <v>8063</v>
      </c>
    </row>
    <row r="116" spans="1:8" x14ac:dyDescent="0.25">
      <c r="A116" t="s">
        <v>7693</v>
      </c>
      <c r="B116" t="s">
        <v>3751</v>
      </c>
      <c r="C116" t="s">
        <v>3910</v>
      </c>
      <c r="D116" t="s">
        <v>8040</v>
      </c>
      <c r="E116" t="s">
        <v>1168</v>
      </c>
      <c r="G116" t="s">
        <v>8041</v>
      </c>
      <c r="H116" t="s">
        <v>8063</v>
      </c>
    </row>
    <row r="117" spans="1:8" x14ac:dyDescent="0.25">
      <c r="A117" t="s">
        <v>3899</v>
      </c>
      <c r="B117" t="s">
        <v>3755</v>
      </c>
      <c r="C117" t="s">
        <v>3776</v>
      </c>
      <c r="D117" t="s">
        <v>8042</v>
      </c>
      <c r="E117" t="s">
        <v>3897</v>
      </c>
      <c r="G117" t="s">
        <v>8041</v>
      </c>
      <c r="H117" t="s">
        <v>8063</v>
      </c>
    </row>
    <row r="118" spans="1:8" x14ac:dyDescent="0.25">
      <c r="A118" t="s">
        <v>8073</v>
      </c>
      <c r="D118" t="s">
        <v>8050</v>
      </c>
      <c r="E118" t="s">
        <v>3479</v>
      </c>
      <c r="G118" t="s">
        <v>8041</v>
      </c>
      <c r="H118" t="s">
        <v>8064</v>
      </c>
    </row>
    <row r="119" spans="1:8" x14ac:dyDescent="0.25">
      <c r="A119" t="s">
        <v>7905</v>
      </c>
      <c r="B119" t="s">
        <v>3751</v>
      </c>
      <c r="C119" t="s">
        <v>3742</v>
      </c>
      <c r="D119" t="s">
        <v>8042</v>
      </c>
      <c r="E119" t="s">
        <v>7904</v>
      </c>
      <c r="G119" t="s">
        <v>8041</v>
      </c>
      <c r="H119" t="s">
        <v>8063</v>
      </c>
    </row>
    <row r="120" spans="1:8" x14ac:dyDescent="0.25">
      <c r="A120" t="s">
        <v>7896</v>
      </c>
      <c r="B120" t="s">
        <v>3751</v>
      </c>
      <c r="C120" t="s">
        <v>3742</v>
      </c>
      <c r="D120" t="s">
        <v>8042</v>
      </c>
      <c r="E120" t="s">
        <v>7897</v>
      </c>
      <c r="G120" t="s">
        <v>8041</v>
      </c>
      <c r="H120" t="s">
        <v>8063</v>
      </c>
    </row>
    <row r="121" spans="1:8" x14ac:dyDescent="0.25">
      <c r="A121" t="s">
        <v>8046</v>
      </c>
      <c r="B121" t="s">
        <v>3751</v>
      </c>
      <c r="C121" t="s">
        <v>3776</v>
      </c>
      <c r="D121" t="s">
        <v>8042</v>
      </c>
      <c r="E121" t="s">
        <v>7429</v>
      </c>
      <c r="F121" t="s">
        <v>8047</v>
      </c>
      <c r="G121" t="s">
        <v>8041</v>
      </c>
      <c r="H121" t="s">
        <v>8063</v>
      </c>
    </row>
    <row r="122" spans="1:8" x14ac:dyDescent="0.25">
      <c r="A122" t="s">
        <v>3813</v>
      </c>
      <c r="B122" t="s">
        <v>3751</v>
      </c>
      <c r="C122" t="s">
        <v>3742</v>
      </c>
      <c r="D122" t="s">
        <v>8040</v>
      </c>
      <c r="E122" t="s">
        <v>3812</v>
      </c>
      <c r="G122" t="s">
        <v>8041</v>
      </c>
      <c r="H122" t="s">
        <v>8063</v>
      </c>
    </row>
    <row r="123" spans="1:8" x14ac:dyDescent="0.25">
      <c r="A123" t="s">
        <v>3870</v>
      </c>
      <c r="B123" t="s">
        <v>3751</v>
      </c>
      <c r="C123" t="s">
        <v>3790</v>
      </c>
      <c r="D123" t="s">
        <v>8040</v>
      </c>
      <c r="E123" t="s">
        <v>3869</v>
      </c>
      <c r="G123" t="s">
        <v>8041</v>
      </c>
      <c r="H123" t="s">
        <v>8063</v>
      </c>
    </row>
    <row r="124" spans="1:8" x14ac:dyDescent="0.25">
      <c r="A124" t="s">
        <v>3764</v>
      </c>
      <c r="B124" t="s">
        <v>3751</v>
      </c>
      <c r="C124" t="s">
        <v>3742</v>
      </c>
      <c r="D124" t="s">
        <v>8040</v>
      </c>
      <c r="E124" t="s">
        <v>3763</v>
      </c>
      <c r="G124" t="s">
        <v>8041</v>
      </c>
      <c r="H124" t="s">
        <v>8063</v>
      </c>
    </row>
    <row r="125" spans="1:8" x14ac:dyDescent="0.25">
      <c r="A125" t="s">
        <v>3916</v>
      </c>
      <c r="B125" t="s">
        <v>3751</v>
      </c>
      <c r="C125" t="s">
        <v>3742</v>
      </c>
      <c r="D125" t="s">
        <v>8042</v>
      </c>
      <c r="E125" t="s">
        <v>3915</v>
      </c>
      <c r="G125" t="s">
        <v>8041</v>
      </c>
      <c r="H125" t="s">
        <v>8063</v>
      </c>
    </row>
    <row r="126" spans="1:8" x14ac:dyDescent="0.25">
      <c r="A126" t="s">
        <v>8077</v>
      </c>
      <c r="D126" t="s">
        <v>8050</v>
      </c>
      <c r="E126" t="s">
        <v>3468</v>
      </c>
      <c r="G126" t="s">
        <v>8041</v>
      </c>
      <c r="H126" t="s">
        <v>8064</v>
      </c>
    </row>
    <row r="127" spans="1:8" x14ac:dyDescent="0.25">
      <c r="A127" t="s">
        <v>3850</v>
      </c>
      <c r="B127" t="s">
        <v>3751</v>
      </c>
      <c r="C127" t="s">
        <v>3776</v>
      </c>
      <c r="D127" t="s">
        <v>8040</v>
      </c>
      <c r="E127" t="s">
        <v>3849</v>
      </c>
      <c r="G127" t="s">
        <v>8041</v>
      </c>
      <c r="H127" t="s">
        <v>8063</v>
      </c>
    </row>
    <row r="128" spans="1:8" x14ac:dyDescent="0.25">
      <c r="A128" t="s">
        <v>8087</v>
      </c>
      <c r="B128" t="s">
        <v>3832</v>
      </c>
      <c r="C128" t="s">
        <v>3790</v>
      </c>
      <c r="D128" t="s">
        <v>8042</v>
      </c>
      <c r="E128" t="s">
        <v>3928</v>
      </c>
      <c r="G128" t="s">
        <v>8041</v>
      </c>
      <c r="H128" t="s">
        <v>8064</v>
      </c>
    </row>
    <row r="129" spans="1:8" x14ac:dyDescent="0.25">
      <c r="A129" t="s">
        <v>7981</v>
      </c>
      <c r="B129" t="s">
        <v>3838</v>
      </c>
      <c r="C129" t="s">
        <v>3776</v>
      </c>
      <c r="D129" t="s">
        <v>8040</v>
      </c>
      <c r="E129" t="s">
        <v>7980</v>
      </c>
      <c r="G129" t="s">
        <v>8041</v>
      </c>
      <c r="H129" t="s">
        <v>8063</v>
      </c>
    </row>
    <row r="130" spans="1:8" x14ac:dyDescent="0.25">
      <c r="A130" t="s">
        <v>3888</v>
      </c>
      <c r="B130" t="s">
        <v>3838</v>
      </c>
      <c r="C130" t="s">
        <v>3742</v>
      </c>
      <c r="D130" t="s">
        <v>8042</v>
      </c>
      <c r="E130" t="s">
        <v>3887</v>
      </c>
      <c r="G130" t="s">
        <v>8041</v>
      </c>
      <c r="H130" t="s">
        <v>8063</v>
      </c>
    </row>
    <row r="131" spans="1:8" x14ac:dyDescent="0.25">
      <c r="A131" t="s">
        <v>3839</v>
      </c>
      <c r="B131" t="s">
        <v>3838</v>
      </c>
      <c r="C131" t="s">
        <v>3790</v>
      </c>
      <c r="D131" t="s">
        <v>8040</v>
      </c>
      <c r="E131" t="s">
        <v>3837</v>
      </c>
      <c r="G131" t="s">
        <v>8041</v>
      </c>
      <c r="H131" t="s">
        <v>8063</v>
      </c>
    </row>
    <row r="132" spans="1:8" x14ac:dyDescent="0.25">
      <c r="A132" t="s">
        <v>4250</v>
      </c>
      <c r="D132" t="s">
        <v>8051</v>
      </c>
      <c r="E132" t="s">
        <v>4249</v>
      </c>
      <c r="G132" t="s">
        <v>8041</v>
      </c>
      <c r="H132" t="s">
        <v>8064</v>
      </c>
    </row>
    <row r="133" spans="1:8" x14ac:dyDescent="0.25">
      <c r="A133" t="s">
        <v>4254</v>
      </c>
      <c r="D133" t="s">
        <v>8051</v>
      </c>
      <c r="E133" t="s">
        <v>4253</v>
      </c>
      <c r="G133" t="s">
        <v>8041</v>
      </c>
      <c r="H133" t="s">
        <v>8064</v>
      </c>
    </row>
    <row r="134" spans="1:8" x14ac:dyDescent="0.25">
      <c r="A134" t="s">
        <v>8093</v>
      </c>
      <c r="B134" t="s">
        <v>3832</v>
      </c>
      <c r="C134" t="s">
        <v>3776</v>
      </c>
      <c r="D134" t="s">
        <v>8040</v>
      </c>
      <c r="E134" t="s">
        <v>3831</v>
      </c>
      <c r="G134" t="s">
        <v>8041</v>
      </c>
      <c r="H134" t="s">
        <v>8064</v>
      </c>
    </row>
    <row r="135" spans="1:8" x14ac:dyDescent="0.25">
      <c r="A135" t="s">
        <v>4256</v>
      </c>
      <c r="D135" t="s">
        <v>8051</v>
      </c>
      <c r="E135" t="s">
        <v>4255</v>
      </c>
      <c r="G135" t="s">
        <v>8041</v>
      </c>
      <c r="H135" t="s">
        <v>8064</v>
      </c>
    </row>
    <row r="136" spans="1:8" x14ac:dyDescent="0.25">
      <c r="A136" t="s">
        <v>8245</v>
      </c>
      <c r="B136" t="s">
        <v>3751</v>
      </c>
      <c r="D136" t="s">
        <v>5755</v>
      </c>
      <c r="E136" t="s">
        <v>8244</v>
      </c>
      <c r="G136" t="s">
        <v>8041</v>
      </c>
      <c r="H136" t="s">
        <v>8063</v>
      </c>
    </row>
    <row r="137" spans="1:8" x14ac:dyDescent="0.25">
      <c r="A137" t="s">
        <v>8255</v>
      </c>
      <c r="B137" t="s">
        <v>3751</v>
      </c>
      <c r="D137" t="s">
        <v>5755</v>
      </c>
      <c r="E137" t="s">
        <v>8251</v>
      </c>
      <c r="G137" t="s">
        <v>8041</v>
      </c>
      <c r="H137" t="s">
        <v>8063</v>
      </c>
    </row>
    <row r="138" spans="1:8" x14ac:dyDescent="0.25">
      <c r="A138" t="s">
        <v>8258</v>
      </c>
      <c r="B138" t="s">
        <v>3744</v>
      </c>
      <c r="D138" t="s">
        <v>5755</v>
      </c>
      <c r="E138" t="s">
        <v>8256</v>
      </c>
      <c r="G138" t="s">
        <v>8041</v>
      </c>
      <c r="H138" t="s">
        <v>8063</v>
      </c>
    </row>
    <row r="139" spans="1:8" x14ac:dyDescent="0.25">
      <c r="A139" t="s">
        <v>8245</v>
      </c>
      <c r="B139" t="s">
        <v>3751</v>
      </c>
      <c r="D139" t="s">
        <v>5755</v>
      </c>
      <c r="E139" t="s">
        <v>8265</v>
      </c>
      <c r="G139" t="s">
        <v>8041</v>
      </c>
      <c r="H139" t="s">
        <v>8063</v>
      </c>
    </row>
    <row r="140" spans="1:8" x14ac:dyDescent="0.25">
      <c r="A140" t="s">
        <v>8275</v>
      </c>
      <c r="B140" t="s">
        <v>3751</v>
      </c>
      <c r="D140" t="s">
        <v>5755</v>
      </c>
      <c r="E140" t="s">
        <v>4693</v>
      </c>
      <c r="G140" t="s">
        <v>8041</v>
      </c>
      <c r="H140" t="s">
        <v>8063</v>
      </c>
    </row>
    <row r="141" spans="1:8" x14ac:dyDescent="0.25">
      <c r="A141" t="s">
        <v>8275</v>
      </c>
      <c r="B141" t="s">
        <v>3751</v>
      </c>
      <c r="D141" t="s">
        <v>5755</v>
      </c>
      <c r="E141" t="s">
        <v>6832</v>
      </c>
      <c r="G141" t="s">
        <v>8041</v>
      </c>
      <c r="H141" t="s">
        <v>8063</v>
      </c>
    </row>
    <row r="142" spans="1:8" x14ac:dyDescent="0.25">
      <c r="A142" t="s">
        <v>8302</v>
      </c>
      <c r="B142" t="s">
        <v>3744</v>
      </c>
      <c r="D142" t="s">
        <v>5755</v>
      </c>
      <c r="E142" t="s">
        <v>8300</v>
      </c>
      <c r="G142" t="s">
        <v>8041</v>
      </c>
      <c r="H142" t="s">
        <v>8063</v>
      </c>
    </row>
    <row r="143" spans="1:8" x14ac:dyDescent="0.25">
      <c r="A143" t="s">
        <v>8302</v>
      </c>
      <c r="B143" t="s">
        <v>3744</v>
      </c>
      <c r="D143" t="s">
        <v>5755</v>
      </c>
      <c r="E143" t="s">
        <v>8305</v>
      </c>
      <c r="G143" t="s">
        <v>8041</v>
      </c>
      <c r="H143" t="s">
        <v>8063</v>
      </c>
    </row>
    <row r="144" spans="1:8" x14ac:dyDescent="0.25">
      <c r="A144" t="s">
        <v>8316</v>
      </c>
      <c r="B144" t="s">
        <v>3744</v>
      </c>
      <c r="D144" t="s">
        <v>5755</v>
      </c>
      <c r="E144" t="s">
        <v>8315</v>
      </c>
      <c r="G144" t="s">
        <v>8041</v>
      </c>
      <c r="H144" t="s">
        <v>8063</v>
      </c>
    </row>
    <row r="145" spans="1:8" x14ac:dyDescent="0.25">
      <c r="A145" t="s">
        <v>8316</v>
      </c>
      <c r="B145" t="s">
        <v>3744</v>
      </c>
      <c r="D145" t="s">
        <v>5755</v>
      </c>
      <c r="E145" t="s">
        <v>8318</v>
      </c>
      <c r="G145" t="s">
        <v>8041</v>
      </c>
      <c r="H145" t="s">
        <v>8063</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B53"/>
  <sheetViews>
    <sheetView zoomScale="85" zoomScaleNormal="85" workbookViewId="0">
      <selection activeCell="L22" sqref="L22"/>
    </sheetView>
  </sheetViews>
  <sheetFormatPr defaultRowHeight="15" x14ac:dyDescent="0.25"/>
  <cols>
    <col min="1" max="1" width="24" customWidth="1"/>
    <col min="2" max="2" width="12" customWidth="1"/>
    <col min="3" max="3" width="54" customWidth="1"/>
    <col min="5" max="5" width="10" customWidth="1"/>
    <col min="6" max="7" width="9" customWidth="1"/>
    <col min="9" max="9" width="14" customWidth="1"/>
    <col min="10" max="12" width="9" customWidth="1"/>
    <col min="14" max="14" width="7" customWidth="1"/>
    <col min="15" max="15" width="32" customWidth="1"/>
    <col min="16" max="16" width="9" customWidth="1"/>
    <col min="18" max="18" width="7" customWidth="1"/>
    <col min="19" max="19" width="32" customWidth="1"/>
    <col min="20" max="20" width="9" customWidth="1"/>
    <col min="22" max="22" width="8" customWidth="1"/>
    <col min="23" max="24" width="9" customWidth="1"/>
    <col min="25" max="25" width="13" customWidth="1"/>
    <col min="27" max="27" width="11" customWidth="1"/>
    <col min="28" max="28" width="13" customWidth="1"/>
  </cols>
  <sheetData>
    <row r="1" spans="1:28" ht="20.25" customHeight="1" x14ac:dyDescent="0.3">
      <c r="A1" s="12" t="s">
        <v>4302</v>
      </c>
    </row>
    <row r="2" spans="1:28" x14ac:dyDescent="0.25">
      <c r="A2" s="13" t="s">
        <v>4303</v>
      </c>
    </row>
    <row r="4" spans="1:28" ht="25.5" customHeight="1" x14ac:dyDescent="0.25">
      <c r="A4" s="14" t="s">
        <v>4304</v>
      </c>
      <c r="B4" s="14" t="s">
        <v>4305</v>
      </c>
      <c r="C4" s="14" t="s">
        <v>4306</v>
      </c>
      <c r="E4" s="14" t="s">
        <v>4307</v>
      </c>
      <c r="F4" s="14" t="s">
        <v>4308</v>
      </c>
      <c r="G4" s="14" t="s">
        <v>172</v>
      </c>
      <c r="I4" s="14" t="s">
        <v>4309</v>
      </c>
      <c r="J4" s="14" t="s">
        <v>4308</v>
      </c>
      <c r="K4" s="14" t="s">
        <v>172</v>
      </c>
      <c r="L4" s="14" t="s">
        <v>4310</v>
      </c>
      <c r="N4" s="14" t="s">
        <v>4311</v>
      </c>
      <c r="O4" s="14" t="s">
        <v>1</v>
      </c>
      <c r="P4" s="14" t="s">
        <v>4307</v>
      </c>
      <c r="R4" s="14" t="s">
        <v>4311</v>
      </c>
      <c r="S4" s="14" t="s">
        <v>4312</v>
      </c>
      <c r="T4" s="14" t="s">
        <v>4307</v>
      </c>
      <c r="V4" s="14" t="s">
        <v>166</v>
      </c>
      <c r="W4" s="14" t="s">
        <v>4308</v>
      </c>
      <c r="X4" s="14" t="s">
        <v>172</v>
      </c>
      <c r="Y4" s="14" t="s">
        <v>4313</v>
      </c>
      <c r="AA4" s="14" t="s">
        <v>4314</v>
      </c>
      <c r="AB4" s="14" t="s">
        <v>4313</v>
      </c>
    </row>
    <row r="5" spans="1:28" x14ac:dyDescent="0.25">
      <c r="A5" s="15" t="s">
        <v>4308</v>
      </c>
      <c r="B5" s="16">
        <f>COUNTA(games!$A$2:$A$950)</f>
        <v>895</v>
      </c>
      <c r="C5" s="17" t="s">
        <v>4315</v>
      </c>
      <c r="E5" t="s">
        <v>4316</v>
      </c>
      <c r="F5">
        <f>COUNTIF('Map Calc'!$D$2:$D$950,0)</f>
        <v>59</v>
      </c>
      <c r="G5">
        <f>COUNTIFS('Map Calc'!$D$2:$D$950,0,'Map Calc'!$P$2:$P$950,"Yes")</f>
        <v>34</v>
      </c>
      <c r="I5" t="s">
        <v>176</v>
      </c>
      <c r="J5">
        <f>COUNTIF(games!$C$2:$C$950,$I5)</f>
        <v>386</v>
      </c>
      <c r="K5">
        <f>COUNTIFS(games!$C$2:$C$950,$I5,games!$H$2:$H$950,"Yes")</f>
        <v>258</v>
      </c>
      <c r="L5" s="18">
        <f>IF($J5=0,0,$K5/$J5)</f>
        <v>0.66839378238341973</v>
      </c>
      <c r="N5">
        <v>1</v>
      </c>
      <c r="O5" t="str">
        <f>IFERROR(INDEX('Map Calc'!$A$2:$A$950,MATCH(LARGE('Map Calc'!$O$2:$O$950,1),'Map Calc'!$O$2:$O$950,0)),"")</f>
        <v>Slay the Spire</v>
      </c>
      <c r="P5">
        <f>IFERROR(INDEX('Map Calc'!$D$2:$D$950,MATCH(LARGE('Map Calc'!$O$2:$O$950,1),'Map Calc'!$O$2:$O$950,0)),"")</f>
        <v>156</v>
      </c>
      <c r="R5">
        <v>1</v>
      </c>
      <c r="S5" t="str">
        <f>IFERROR(INDEX('Map Calc'!$A$2:$A$950,MATCH(LARGE('Map Calc'!$Q$2:$Q$950,1),'Map Calc'!$Q$2:$Q$950,0)),"")</f>
        <v>Slay the Spire</v>
      </c>
      <c r="T5">
        <f>IFERROR(INDEX('Map Calc'!$D$2:$D$950,MATCH(LARGE('Map Calc'!$Q$2:$Q$950,1),'Map Calc'!$Q$2:$Q$950,0)),"")</f>
        <v>156</v>
      </c>
      <c r="V5">
        <v>1978</v>
      </c>
      <c r="W5">
        <f>COUNTIF(games!$B$2:$B$950,$V5)</f>
        <v>1</v>
      </c>
      <c r="X5">
        <f>COUNTIFS(games!$B$2:$B$950,$V5,games!$H$2:$H$950,"Yes")</f>
        <v>1</v>
      </c>
      <c r="Y5">
        <f>COUNTIF('Map Calc'!$T$2:$T$1400,$V5)</f>
        <v>0</v>
      </c>
      <c r="AA5">
        <v>0</v>
      </c>
      <c r="AB5">
        <f>COUNTIF('Map Calc'!$V$2:$V$1400,$AA5)</f>
        <v>13</v>
      </c>
    </row>
    <row r="6" spans="1:28" x14ac:dyDescent="0.25">
      <c r="A6" s="15" t="s">
        <v>4317</v>
      </c>
      <c r="B6" s="16">
        <f>COUNTIF(games!$H$2:$H$950,"Yes")</f>
        <v>563</v>
      </c>
      <c r="C6" s="17" t="s">
        <v>4318</v>
      </c>
      <c r="E6" t="s">
        <v>4319</v>
      </c>
      <c r="F6">
        <f>COUNTIF('Map Calc'!$D$2:$D$950,1)</f>
        <v>329</v>
      </c>
      <c r="G6">
        <f>COUNTIFS('Map Calc'!$D$2:$D$950,1,'Map Calc'!$P$2:$P$950,"Yes")</f>
        <v>199</v>
      </c>
      <c r="I6" t="s">
        <v>222</v>
      </c>
      <c r="J6">
        <f>COUNTIF(games!$C$2:$C$950,$I6)</f>
        <v>157</v>
      </c>
      <c r="K6">
        <f>COUNTIFS(games!$C$2:$C$950,$I6,games!$H$2:$H$950,"Yes")</f>
        <v>100</v>
      </c>
      <c r="L6" s="18">
        <f>IF($J6=0,0,$K6/$J6)</f>
        <v>0.63694267515923564</v>
      </c>
      <c r="N6">
        <v>2</v>
      </c>
      <c r="O6" t="str">
        <f>IFERROR(INDEX('Map Calc'!$A$2:$A$950,MATCH(LARGE('Map Calc'!$O$2:$O$950,2),'Map Calc'!$O$2:$O$950,0)),"")</f>
        <v>Vampire Survivors</v>
      </c>
      <c r="P6">
        <f>IFERROR(INDEX('Map Calc'!$D$2:$D$950,MATCH(LARGE('Map Calc'!$O$2:$O$950,2),'Map Calc'!$O$2:$O$950,0)),"")</f>
        <v>96</v>
      </c>
      <c r="R6">
        <v>2</v>
      </c>
      <c r="S6" t="str">
        <f>IFERROR(INDEX('Map Calc'!$A$2:$A$950,MATCH(LARGE('Map Calc'!$Q$2:$Q$950,2),'Map Calc'!$Q$2:$Q$950,0)),"")</f>
        <v>Vampire Survivors</v>
      </c>
      <c r="T6">
        <f>IFERROR(INDEX('Map Calc'!$D$2:$D$950,MATCH(LARGE('Map Calc'!$Q$2:$Q$950,2),'Map Calc'!$Q$2:$Q$950,0)),"")</f>
        <v>96</v>
      </c>
      <c r="V6">
        <v>1979</v>
      </c>
      <c r="W6">
        <f>COUNTIF(games!$B$2:$B$950,$V6)</f>
        <v>0</v>
      </c>
      <c r="X6">
        <f>COUNTIFS(games!$B$2:$B$950,$V6,games!$H$2:$H$950,"Yes")</f>
        <v>0</v>
      </c>
      <c r="Y6">
        <f>COUNTIF('Map Calc'!$T$2:$T$1400,$V6)</f>
        <v>0</v>
      </c>
      <c r="AA6">
        <v>1</v>
      </c>
      <c r="AB6">
        <f>COUNTIF('Map Calc'!$V$2:$V$1400,$AA6)</f>
        <v>111</v>
      </c>
    </row>
    <row r="7" spans="1:28" x14ac:dyDescent="0.25">
      <c r="A7" s="15" t="s">
        <v>4320</v>
      </c>
      <c r="B7" s="19">
        <f>IF(B5=0,0,B6/B5)</f>
        <v>0.62905027932960889</v>
      </c>
      <c r="C7" s="17" t="s">
        <v>4321</v>
      </c>
      <c r="E7" t="s">
        <v>4322</v>
      </c>
      <c r="F7">
        <f>COUNTIF('Map Calc'!$D$2:$D$950,2)</f>
        <v>210</v>
      </c>
      <c r="G7">
        <f>COUNTIFS('Map Calc'!$D$2:$D$950,2,'Map Calc'!$P$2:$P$950,"Yes")</f>
        <v>118</v>
      </c>
      <c r="I7" t="s">
        <v>182</v>
      </c>
      <c r="J7">
        <f>COUNTIF(games!$C$2:$C$950,$I7)</f>
        <v>186</v>
      </c>
      <c r="K7">
        <f>COUNTIFS(games!$C$2:$C$950,$I7,games!$H$2:$H$950,"Yes")</f>
        <v>99</v>
      </c>
      <c r="L7" s="18">
        <f>IF($J7=0,0,$K7/$J7)</f>
        <v>0.532258064516129</v>
      </c>
      <c r="N7">
        <v>3</v>
      </c>
      <c r="O7" t="str">
        <f>IFERROR(INDEX('Map Calc'!$A$2:$A$950,MATCH(LARGE('Map Calc'!$O$2:$O$950,3),'Map Calc'!$O$2:$O$950,0)),"")</f>
        <v>The Binding of Isaac</v>
      </c>
      <c r="P7">
        <f>IFERROR(INDEX('Map Calc'!$D$2:$D$950,MATCH(LARGE('Map Calc'!$O$2:$O$950,3),'Map Calc'!$O$2:$O$950,0)),"")</f>
        <v>78</v>
      </c>
      <c r="R7">
        <v>3</v>
      </c>
      <c r="S7" t="str">
        <f>IFERROR(INDEX('Map Calc'!$A$2:$A$950,MATCH(LARGE('Map Calc'!$Q$2:$Q$950,3),'Map Calc'!$Q$2:$Q$950,0)),"")</f>
        <v>The Binding of Isaac</v>
      </c>
      <c r="T7">
        <f>IFERROR(INDEX('Map Calc'!$D$2:$D$950,MATCH(LARGE('Map Calc'!$Q$2:$Q$950,3),'Map Calc'!$Q$2:$Q$950,0)),"")</f>
        <v>78</v>
      </c>
      <c r="V7">
        <v>1980</v>
      </c>
      <c r="W7">
        <f>COUNTIF(games!$B$2:$B$950,$V7)</f>
        <v>1</v>
      </c>
      <c r="X7">
        <f>COUNTIFS(games!$B$2:$B$950,$V7,games!$H$2:$H$950,"Yes")</f>
        <v>1</v>
      </c>
      <c r="Y7">
        <f>COUNTIF('Map Calc'!$T$2:$T$1400,$V7)</f>
        <v>29</v>
      </c>
      <c r="AA7">
        <v>2</v>
      </c>
      <c r="AB7">
        <f>COUNTIF('Map Calc'!$V$2:$V$1400,$AA7)</f>
        <v>177</v>
      </c>
    </row>
    <row r="8" spans="1:28" x14ac:dyDescent="0.25">
      <c r="A8" s="15" t="s">
        <v>4313</v>
      </c>
      <c r="B8" s="25">
        <f>COUNTA(connections!$A$2:$A$1473)</f>
        <v>1472</v>
      </c>
      <c r="C8" s="17" t="s">
        <v>4323</v>
      </c>
      <c r="E8" t="s">
        <v>4324</v>
      </c>
      <c r="F8">
        <f>COUNTIF('Map Calc'!$D$2:$D$950,3)</f>
        <v>128</v>
      </c>
      <c r="G8">
        <f>COUNTIFS('Map Calc'!$D$2:$D$950,3,'Map Calc'!$P$2:$P$950,"Yes")</f>
        <v>91</v>
      </c>
      <c r="I8" t="s">
        <v>179</v>
      </c>
      <c r="J8">
        <f>COUNTIF(games!$C$2:$C$950,$I8)</f>
        <v>166</v>
      </c>
      <c r="K8">
        <f>COUNTIFS(games!$C$2:$C$950,$I8,games!$H$2:$H$950,"Yes")</f>
        <v>106</v>
      </c>
      <c r="L8" s="18">
        <f>IF($J8=0,0,$K8/$J8)</f>
        <v>0.63855421686746983</v>
      </c>
      <c r="N8">
        <v>4</v>
      </c>
      <c r="O8" t="str">
        <f>IFERROR(INDEX('Map Calc'!$A$2:$A$950,MATCH(LARGE('Map Calc'!$O$2:$O$950,4),'Map Calc'!$O$2:$O$950,0)),"")</f>
        <v>Hades</v>
      </c>
      <c r="P8">
        <f>IFERROR(INDEX('Map Calc'!$D$2:$D$950,MATCH(LARGE('Map Calc'!$O$2:$O$950,4),'Map Calc'!$O$2:$O$950,0)),"")</f>
        <v>69</v>
      </c>
      <c r="R8">
        <v>4</v>
      </c>
      <c r="S8" t="str">
        <f>IFERROR(INDEX('Map Calc'!$A$2:$A$950,MATCH(LARGE('Map Calc'!$Q$2:$Q$950,4),'Map Calc'!$Q$2:$Q$950,0)),"")</f>
        <v>Hades</v>
      </c>
      <c r="T8">
        <f>IFERROR(INDEX('Map Calc'!$D$2:$D$950,MATCH(LARGE('Map Calc'!$Q$2:$Q$950,4),'Map Calc'!$Q$2:$Q$950,0)),"")</f>
        <v>69</v>
      </c>
      <c r="V8">
        <v>1981</v>
      </c>
      <c r="W8">
        <f>COUNTIF(games!$B$2:$B$950,$V8)</f>
        <v>0</v>
      </c>
      <c r="X8">
        <f>COUNTIFS(games!$B$2:$B$950,$V8,games!$H$2:$H$950,"Yes")</f>
        <v>0</v>
      </c>
      <c r="Y8">
        <f>COUNTIF('Map Calc'!$T$2:$T$1400,$V8)</f>
        <v>0</v>
      </c>
      <c r="AA8">
        <v>3</v>
      </c>
      <c r="AB8">
        <f>COUNTIF('Map Calc'!$V$2:$V$1400,$AA8)</f>
        <v>166</v>
      </c>
    </row>
    <row r="9" spans="1:28" x14ac:dyDescent="0.25">
      <c r="A9" s="15" t="s">
        <v>4325</v>
      </c>
      <c r="B9" s="20">
        <f>IF(B5=0,0,2*B8/B5)</f>
        <v>3.2893854748603353</v>
      </c>
      <c r="C9" s="17" t="s">
        <v>4326</v>
      </c>
      <c r="E9" t="s">
        <v>4327</v>
      </c>
      <c r="F9">
        <f>COUNTIF('Map Calc'!$D$2:$D$950,4)</f>
        <v>63</v>
      </c>
      <c r="G9">
        <f>COUNTIFS('Map Calc'!$D$2:$D$950,4,'Map Calc'!$P$2:$P$950,"Yes")</f>
        <v>38</v>
      </c>
      <c r="I9" s="21" t="s">
        <v>39</v>
      </c>
      <c r="J9" s="21">
        <f>SUM(J5:J8)</f>
        <v>895</v>
      </c>
      <c r="K9" s="21">
        <f>SUM(K5:K8)</f>
        <v>563</v>
      </c>
      <c r="L9" s="22">
        <f>IF($J9=0,0,$K9/$J9)</f>
        <v>0.62905027932960889</v>
      </c>
      <c r="N9">
        <v>5</v>
      </c>
      <c r="O9" t="str">
        <f>IFERROR(INDEX('Map Calc'!$A$2:$A$950,MATCH(LARGE('Map Calc'!$O$2:$O$950,5),'Map Calc'!$O$2:$O$950,0)),"")</f>
        <v>Balatro</v>
      </c>
      <c r="P9">
        <f>IFERROR(INDEX('Map Calc'!$D$2:$D$950,MATCH(LARGE('Map Calc'!$O$2:$O$950,5),'Map Calc'!$O$2:$O$950,0)),"")</f>
        <v>60</v>
      </c>
      <c r="R9">
        <v>5</v>
      </c>
      <c r="S9" t="str">
        <f>IFERROR(INDEX('Map Calc'!$A$2:$A$950,MATCH(LARGE('Map Calc'!$Q$2:$Q$950,5),'Map Calc'!$Q$2:$Q$950,0)),"")</f>
        <v>Balatro</v>
      </c>
      <c r="T9">
        <f>IFERROR(INDEX('Map Calc'!$D$2:$D$950,MATCH(LARGE('Map Calc'!$Q$2:$Q$950,5),'Map Calc'!$Q$2:$Q$950,0)),"")</f>
        <v>60</v>
      </c>
      <c r="V9">
        <v>1982</v>
      </c>
      <c r="W9">
        <f>COUNTIF(games!$B$2:$B$950,$V9)</f>
        <v>1</v>
      </c>
      <c r="X9">
        <f>COUNTIFS(games!$B$2:$B$950,$V9,games!$H$2:$H$950,"Yes")</f>
        <v>0</v>
      </c>
      <c r="Y9">
        <f>COUNTIF('Map Calc'!$T$2:$T$1400,$V9)</f>
        <v>1</v>
      </c>
      <c r="AA9">
        <v>4</v>
      </c>
      <c r="AB9">
        <f>COUNTIF('Map Calc'!$V$2:$V$1400,$AA9)</f>
        <v>161</v>
      </c>
    </row>
    <row r="10" spans="1:28" x14ac:dyDescent="0.25">
      <c r="A10" s="15" t="s">
        <v>4328</v>
      </c>
      <c r="B10" s="20">
        <f>IFERROR(SUMIFS('Map Calc'!$D$2:$D$950,games!$H$2:$H$950,"Yes")/B6,0)</f>
        <v>4.0621669626998225</v>
      </c>
      <c r="C10" s="17" t="s">
        <v>4329</v>
      </c>
      <c r="E10" t="s">
        <v>4330</v>
      </c>
      <c r="F10">
        <f>COUNTIF('Map Calc'!$D$2:$D$950,5)</f>
        <v>30</v>
      </c>
      <c r="G10">
        <f>COUNTIFS('Map Calc'!$D$2:$D$950,5,'Map Calc'!$P$2:$P$950,"Yes")</f>
        <v>16</v>
      </c>
      <c r="N10">
        <v>6</v>
      </c>
      <c r="O10" t="str">
        <f>IFERROR(INDEX('Map Calc'!$A$2:$A$950,MATCH(LARGE('Map Calc'!$O$2:$O$950,6),'Map Calc'!$O$2:$O$950,0)),"")</f>
        <v>Spelunky Classic</v>
      </c>
      <c r="P10">
        <f>IFERROR(INDEX('Map Calc'!$D$2:$D$950,MATCH(LARGE('Map Calc'!$O$2:$O$950,6),'Map Calc'!$O$2:$O$950,0)),"")</f>
        <v>45</v>
      </c>
      <c r="R10">
        <v>6</v>
      </c>
      <c r="S10" t="str">
        <f>IFERROR(INDEX('Map Calc'!$A$2:$A$950,MATCH(LARGE('Map Calc'!$Q$2:$Q$950,6),'Map Calc'!$Q$2:$Q$950,0)),"")</f>
        <v>Spelunky Classic</v>
      </c>
      <c r="T10">
        <f>IFERROR(INDEX('Map Calc'!$D$2:$D$950,MATCH(LARGE('Map Calc'!$Q$2:$Q$950,6),'Map Calc'!$Q$2:$Q$950,0)),"")</f>
        <v>45</v>
      </c>
      <c r="V10">
        <v>1983</v>
      </c>
      <c r="W10">
        <f>COUNTIF(games!$B$2:$B$950,$V10)</f>
        <v>1</v>
      </c>
      <c r="X10">
        <f>COUNTIFS(games!$B$2:$B$950,$V10,games!$H$2:$H$950,"Yes")</f>
        <v>1</v>
      </c>
      <c r="Y10">
        <f>COUNTIF('Map Calc'!$T$2:$T$1400,$V10)</f>
        <v>3</v>
      </c>
      <c r="AA10">
        <v>5</v>
      </c>
      <c r="AB10">
        <f>COUNTIF('Map Calc'!$V$2:$V$1400,$AA10)</f>
        <v>137</v>
      </c>
    </row>
    <row r="11" spans="1:28" x14ac:dyDescent="0.25">
      <c r="A11" s="15" t="s">
        <v>4331</v>
      </c>
      <c r="B11" s="16">
        <f>MEDIAN('Map Calc'!$D$2:$D$950)</f>
        <v>2</v>
      </c>
      <c r="C11" s="17" t="s">
        <v>4332</v>
      </c>
      <c r="E11" t="s">
        <v>4333</v>
      </c>
      <c r="F11">
        <f>COUNTIFS('Map Calc'!$D$2:$D$950,"&gt;=6",'Map Calc'!$D$2:$D$950,"&lt;=9")</f>
        <v>38</v>
      </c>
      <c r="G11">
        <f>COUNTIFS('Map Calc'!$D$2:$D$950,"&gt;=6",'Map Calc'!$D$2:$D$950,"&lt;=9",'Map Calc'!$P$2:$P$950,"Yes")</f>
        <v>29</v>
      </c>
      <c r="N11">
        <v>7</v>
      </c>
      <c r="O11" t="str">
        <f>IFERROR(INDEX('Map Calc'!$A$2:$A$950,MATCH(LARGE('Map Calc'!$O$2:$O$950,7),'Map Calc'!$O$2:$O$950,0)),"")</f>
        <v>FTL</v>
      </c>
      <c r="P11">
        <f>IFERROR(INDEX('Map Calc'!$D$2:$D$950,MATCH(LARGE('Map Calc'!$O$2:$O$950,7),'Map Calc'!$O$2:$O$950,0)),"")</f>
        <v>44</v>
      </c>
      <c r="R11">
        <v>7</v>
      </c>
      <c r="S11" t="str">
        <f>IFERROR(INDEX('Map Calc'!$A$2:$A$950,MATCH(LARGE('Map Calc'!$Q$2:$Q$950,7),'Map Calc'!$Q$2:$Q$950,0)),"")</f>
        <v>FTL</v>
      </c>
      <c r="T11">
        <f>IFERROR(INDEX('Map Calc'!$D$2:$D$950,MATCH(LARGE('Map Calc'!$Q$2:$Q$950,7),'Map Calc'!$Q$2:$Q$950,0)),"")</f>
        <v>44</v>
      </c>
      <c r="V11">
        <v>1984</v>
      </c>
      <c r="W11">
        <f>COUNTIF(games!$B$2:$B$950,$V11)</f>
        <v>1</v>
      </c>
      <c r="X11">
        <f>COUNTIFS(games!$B$2:$B$950,$V11,games!$H$2:$H$950,"Yes")</f>
        <v>1</v>
      </c>
      <c r="Y11">
        <f>COUNTIF('Map Calc'!$T$2:$T$1400,$V11)</f>
        <v>6</v>
      </c>
      <c r="AA11">
        <v>6</v>
      </c>
      <c r="AB11">
        <f>COUNTIF('Map Calc'!$V$2:$V$1400,$AA11)</f>
        <v>104</v>
      </c>
    </row>
    <row r="12" spans="1:28" x14ac:dyDescent="0.25">
      <c r="A12" s="15" t="s">
        <v>4334</v>
      </c>
      <c r="B12" s="16">
        <f>MAX('Map Calc'!$D$2:$D$950)</f>
        <v>156</v>
      </c>
      <c r="C12" s="17" t="s">
        <v>4335</v>
      </c>
      <c r="E12" t="s">
        <v>4336</v>
      </c>
      <c r="F12">
        <f>COUNTIFS('Map Calc'!$D$2:$D$950,"&gt;=10",'Map Calc'!$D$2:$D$950,"&lt;=24")</f>
        <v>21</v>
      </c>
      <c r="G12">
        <f>COUNTIFS('Map Calc'!$D$2:$D$950,"&gt;=10",'Map Calc'!$D$2:$D$950,"&lt;=24",'Map Calc'!$P$2:$P$950,"Yes")</f>
        <v>21</v>
      </c>
      <c r="N12">
        <v>8</v>
      </c>
      <c r="O12" t="str">
        <f>IFERROR(INDEX('Map Calc'!$A$2:$A$950,MATCH(LARGE('Map Calc'!$O$2:$O$950,8),'Map Calc'!$O$2:$O$950,0)),"")</f>
        <v>NetHack</v>
      </c>
      <c r="P12">
        <f>IFERROR(INDEX('Map Calc'!$D$2:$D$950,MATCH(LARGE('Map Calc'!$O$2:$O$950,8),'Map Calc'!$O$2:$O$950,0)),"")</f>
        <v>36</v>
      </c>
      <c r="R12">
        <v>8</v>
      </c>
      <c r="S12" t="str">
        <f>IFERROR(INDEX('Map Calc'!$A$2:$A$950,MATCH(LARGE('Map Calc'!$Q$2:$Q$950,8),'Map Calc'!$Q$2:$Q$950,0)),"")</f>
        <v>NetHack</v>
      </c>
      <c r="T12">
        <f>IFERROR(INDEX('Map Calc'!$D$2:$D$950,MATCH(LARGE('Map Calc'!$Q$2:$Q$950,8),'Map Calc'!$Q$2:$Q$950,0)),"")</f>
        <v>36</v>
      </c>
      <c r="V12">
        <v>1985</v>
      </c>
      <c r="W12">
        <f>COUNTIF(games!$B$2:$B$950,$V12)</f>
        <v>0</v>
      </c>
      <c r="X12">
        <f>COUNTIFS(games!$B$2:$B$950,$V12,games!$H$2:$H$950,"Yes")</f>
        <v>0</v>
      </c>
      <c r="Y12">
        <f>COUNTIF('Map Calc'!$T$2:$T$1400,$V12)</f>
        <v>0</v>
      </c>
      <c r="AA12">
        <v>7</v>
      </c>
      <c r="AB12">
        <f>COUNTIF('Map Calc'!$V$2:$V$1400,$AA12)</f>
        <v>97</v>
      </c>
    </row>
    <row r="13" spans="1:28" x14ac:dyDescent="0.25">
      <c r="A13" s="15" t="s">
        <v>4337</v>
      </c>
      <c r="B13" s="16">
        <f>COUNTIF('Map Calc'!$D$2:$D$950,1)</f>
        <v>329</v>
      </c>
      <c r="C13" s="17" t="s">
        <v>4338</v>
      </c>
      <c r="E13" t="s">
        <v>4339</v>
      </c>
      <c r="F13">
        <f>COUNTIF('Map Calc'!$D$2:$D$950,"&gt;=25")</f>
        <v>17</v>
      </c>
      <c r="G13">
        <f>COUNTIFS('Map Calc'!$D$2:$D$950,"&gt;=25",'Map Calc'!$P$2:$P$950,"Yes")</f>
        <v>17</v>
      </c>
      <c r="N13">
        <v>9</v>
      </c>
      <c r="O13" t="str">
        <f>IFERROR(INDEX('Map Calc'!$A$2:$A$950,MATCH(LARGE('Map Calc'!$O$2:$O$950,9),'Map Calc'!$O$2:$O$950,0)),"")</f>
        <v>Enter the Gungeon</v>
      </c>
      <c r="P13">
        <f>IFERROR(INDEX('Map Calc'!$D$2:$D$950,MATCH(LARGE('Map Calc'!$O$2:$O$950,9),'Map Calc'!$O$2:$O$950,0)),"")</f>
        <v>34</v>
      </c>
      <c r="R13">
        <v>9</v>
      </c>
      <c r="S13" t="str">
        <f>IFERROR(INDEX('Map Calc'!$A$2:$A$950,MATCH(LARGE('Map Calc'!$Q$2:$Q$950,9),'Map Calc'!$Q$2:$Q$950,0)),"")</f>
        <v>Enter the Gungeon</v>
      </c>
      <c r="T13">
        <f>IFERROR(INDEX('Map Calc'!$D$2:$D$950,MATCH(LARGE('Map Calc'!$Q$2:$Q$950,9),'Map Calc'!$Q$2:$Q$950,0)),"")</f>
        <v>34</v>
      </c>
      <c r="V13">
        <v>1986</v>
      </c>
      <c r="W13">
        <f>COUNTIF(games!$B$2:$B$950,$V13)</f>
        <v>1</v>
      </c>
      <c r="X13">
        <f>COUNTIFS(games!$B$2:$B$950,$V13,games!$H$2:$H$950,"Yes")</f>
        <v>1</v>
      </c>
      <c r="Y13">
        <f>COUNTIF('Map Calc'!$T$2:$T$1400,$V13)</f>
        <v>1</v>
      </c>
      <c r="AA13">
        <v>8</v>
      </c>
      <c r="AB13">
        <f>COUNTIF('Map Calc'!$V$2:$V$1400,$AA13)</f>
        <v>76</v>
      </c>
    </row>
    <row r="14" spans="1:28" x14ac:dyDescent="0.25">
      <c r="A14" s="15" t="s">
        <v>4340</v>
      </c>
      <c r="B14" s="16">
        <f>COUNTIF('Map Calc'!$D$2:$D$950,0)</f>
        <v>59</v>
      </c>
      <c r="C14" s="17" t="s">
        <v>4341</v>
      </c>
      <c r="N14">
        <v>10</v>
      </c>
      <c r="O14" t="str">
        <f>IFERROR(INDEX('Map Calc'!$A$2:$A$950,MATCH(LARGE('Map Calc'!$O$2:$O$950,10),'Map Calc'!$O$2:$O$950,0)),"")</f>
        <v>Diablo</v>
      </c>
      <c r="P14">
        <f>IFERROR(INDEX('Map Calc'!$D$2:$D$950,MATCH(LARGE('Map Calc'!$O$2:$O$950,10),'Map Calc'!$O$2:$O$950,0)),"")</f>
        <v>33</v>
      </c>
      <c r="R14">
        <v>10</v>
      </c>
      <c r="S14" t="str">
        <f>IFERROR(INDEX('Map Calc'!$A$2:$A$950,MATCH(LARGE('Map Calc'!$Q$2:$Q$950,10),'Map Calc'!$Q$2:$Q$950,0)),"")</f>
        <v>Diablo</v>
      </c>
      <c r="T14">
        <f>IFERROR(INDEX('Map Calc'!$D$2:$D$950,MATCH(LARGE('Map Calc'!$Q$2:$Q$950,10),'Map Calc'!$Q$2:$Q$950,0)),"")</f>
        <v>33</v>
      </c>
      <c r="V14">
        <v>1987</v>
      </c>
      <c r="W14">
        <f>COUNTIF(games!$B$2:$B$950,$V14)</f>
        <v>3</v>
      </c>
      <c r="X14">
        <f>COUNTIFS(games!$B$2:$B$950,$V14,games!$H$2:$H$950,"Yes")</f>
        <v>3</v>
      </c>
      <c r="Y14">
        <f>COUNTIF('Map Calc'!$T$2:$T$1400,$V14)</f>
        <v>39</v>
      </c>
      <c r="AA14">
        <v>9</v>
      </c>
      <c r="AB14">
        <f>COUNTIF('Map Calc'!$V$2:$V$1400,$AA14)</f>
        <v>68</v>
      </c>
    </row>
    <row r="15" spans="1:28" x14ac:dyDescent="0.25">
      <c r="A15" s="15" t="s">
        <v>4342</v>
      </c>
      <c r="B15" s="16">
        <f>B13+B14</f>
        <v>388</v>
      </c>
      <c r="C15" s="17" t="s">
        <v>4343</v>
      </c>
      <c r="N15">
        <v>11</v>
      </c>
      <c r="O15" t="str">
        <f>IFERROR(INDEX('Map Calc'!$A$2:$A$950,MATCH(LARGE('Map Calc'!$O$2:$O$950,11),'Map Calc'!$O$2:$O$950,0)),"")</f>
        <v>Dead Cells</v>
      </c>
      <c r="P15">
        <f>IFERROR(INDEX('Map Calc'!$D$2:$D$950,MATCH(LARGE('Map Calc'!$O$2:$O$950,11),'Map Calc'!$O$2:$O$950,0)),"")</f>
        <v>31</v>
      </c>
      <c r="R15">
        <v>11</v>
      </c>
      <c r="S15" t="str">
        <f>IFERROR(INDEX('Map Calc'!$A$2:$A$950,MATCH(LARGE('Map Calc'!$Q$2:$Q$950,11),'Map Calc'!$Q$2:$Q$950,0)),"")</f>
        <v>Dead Cells</v>
      </c>
      <c r="T15">
        <f>IFERROR(INDEX('Map Calc'!$D$2:$D$950,MATCH(LARGE('Map Calc'!$Q$2:$Q$950,11),'Map Calc'!$Q$2:$Q$950,0)),"")</f>
        <v>31</v>
      </c>
      <c r="V15">
        <v>1988</v>
      </c>
      <c r="W15">
        <f>COUNTIF(games!$B$2:$B$950,$V15)</f>
        <v>0</v>
      </c>
      <c r="X15">
        <f>COUNTIFS(games!$B$2:$B$950,$V15,games!$H$2:$H$950,"Yes")</f>
        <v>0</v>
      </c>
      <c r="Y15">
        <f>COUNTIF('Map Calc'!$T$2:$T$1400,$V15)</f>
        <v>0</v>
      </c>
      <c r="AA15">
        <v>10</v>
      </c>
      <c r="AB15">
        <f>COUNTIF('Map Calc'!$V$2:$V$1400,$AA15)</f>
        <v>33</v>
      </c>
    </row>
    <row r="16" spans="1:28" x14ac:dyDescent="0.25">
      <c r="A16" s="15" t="s">
        <v>4344</v>
      </c>
      <c r="B16" s="16">
        <f>COUNTIFS(games!$H$2:$H$950,"Yes",'Map Calc'!$D$2:$D$950,"&gt;1")</f>
        <v>330</v>
      </c>
      <c r="C16" s="17" t="s">
        <v>4345</v>
      </c>
      <c r="N16">
        <v>12</v>
      </c>
      <c r="O16" t="str">
        <f>IFERROR(INDEX('Map Calc'!$A$2:$A$950,MATCH(LARGE('Map Calc'!$O$2:$O$950,12),'Map Calc'!$O$2:$O$950,0)),"")</f>
        <v>Nuclear Throne</v>
      </c>
      <c r="P16">
        <f>IFERROR(INDEX('Map Calc'!$D$2:$D$950,MATCH(LARGE('Map Calc'!$O$2:$O$950,12),'Map Calc'!$O$2:$O$950,0)),"")</f>
        <v>30</v>
      </c>
      <c r="R16">
        <v>12</v>
      </c>
      <c r="S16" t="str">
        <f>IFERROR(INDEX('Map Calc'!$A$2:$A$950,MATCH(LARGE('Map Calc'!$Q$2:$Q$950,12),'Map Calc'!$Q$2:$Q$950,0)),"")</f>
        <v>Nuclear Throne</v>
      </c>
      <c r="T16">
        <f>IFERROR(INDEX('Map Calc'!$D$2:$D$950,MATCH(LARGE('Map Calc'!$Q$2:$Q$950,12),'Map Calc'!$Q$2:$Q$950,0)),"")</f>
        <v>30</v>
      </c>
      <c r="V16">
        <v>1989</v>
      </c>
      <c r="W16">
        <f>COUNTIF(games!$B$2:$B$950,$V16)</f>
        <v>0</v>
      </c>
      <c r="X16">
        <f>COUNTIFS(games!$B$2:$B$950,$V16,games!$H$2:$H$950,"Yes")</f>
        <v>0</v>
      </c>
      <c r="Y16">
        <f>COUNTIF('Map Calc'!$T$2:$T$1400,$V16)</f>
        <v>0</v>
      </c>
      <c r="AA16" t="s">
        <v>4346</v>
      </c>
      <c r="AB16">
        <f>COUNTIFS('Map Calc'!$V$2:$V$1400,"&gt;=11",'Map Calc'!$V$2:$V$1400,"&lt;=20")</f>
        <v>149</v>
      </c>
    </row>
    <row r="17" spans="1:28" x14ac:dyDescent="0.25">
      <c r="A17" s="15" t="s">
        <v>4347</v>
      </c>
      <c r="B17" s="16">
        <f>COUNTIFS(games!$H$2:$H$950,"Yes",'Map Calc'!$D$2:$D$950,"&lt;=1")</f>
        <v>233</v>
      </c>
      <c r="C17" s="17" t="s">
        <v>4348</v>
      </c>
      <c r="N17">
        <v>13</v>
      </c>
      <c r="O17" t="str">
        <f>IFERROR(INDEX('Map Calc'!$A$2:$A$950,MATCH(LARGE('Map Calc'!$O$2:$O$950,13),'Map Calc'!$O$2:$O$950,0)),"")</f>
        <v>Rogue</v>
      </c>
      <c r="P17">
        <f>IFERROR(INDEX('Map Calc'!$D$2:$D$950,MATCH(LARGE('Map Calc'!$O$2:$O$950,13),'Map Calc'!$O$2:$O$950,0)),"")</f>
        <v>29</v>
      </c>
      <c r="R17">
        <v>13</v>
      </c>
      <c r="S17" t="str">
        <f>IFERROR(INDEX('Map Calc'!$A$2:$A$950,MATCH(LARGE('Map Calc'!$Q$2:$Q$950,13),'Map Calc'!$Q$2:$Q$950,0)),"")</f>
        <v>Rogue</v>
      </c>
      <c r="T17">
        <f>IFERROR(INDEX('Map Calc'!$D$2:$D$950,MATCH(LARGE('Map Calc'!$Q$2:$Q$950,13),'Map Calc'!$Q$2:$Q$950,0)),"")</f>
        <v>29</v>
      </c>
      <c r="V17">
        <v>1990</v>
      </c>
      <c r="W17">
        <f>COUNTIF(games!$B$2:$B$950,$V17)</f>
        <v>3</v>
      </c>
      <c r="X17">
        <f>COUNTIFS(games!$B$2:$B$950,$V17,games!$H$2:$H$950,"Yes")</f>
        <v>3</v>
      </c>
      <c r="Y17">
        <f>COUNTIF('Map Calc'!$T$2:$T$1400,$V17)</f>
        <v>12</v>
      </c>
      <c r="AA17" t="s">
        <v>4349</v>
      </c>
      <c r="AB17">
        <f>COUNTIF('Map Calc'!$V$2:$V$1400,"&gt;=21")</f>
        <v>103</v>
      </c>
    </row>
    <row r="18" spans="1:28" x14ac:dyDescent="0.25">
      <c r="A18" s="15" t="s">
        <v>4350</v>
      </c>
      <c r="B18" s="23">
        <f>SUMPRODUCT(('Map Calc'!$V$2:$V$1400&lt;&gt;"")*('Map Calc'!$V$2:$V$1400&lt;0))</f>
        <v>3</v>
      </c>
      <c r="C18" s="17" t="s">
        <v>4351</v>
      </c>
      <c r="N18">
        <v>14</v>
      </c>
      <c r="O18" t="str">
        <f>IFERROR(INDEX('Map Calc'!$A$2:$A$950,MATCH(LARGE('Map Calc'!$O$2:$O$950,14),'Map Calc'!$O$2:$O$950,0)),"")</f>
        <v>Darkest Dungeon</v>
      </c>
      <c r="P18">
        <f>IFERROR(INDEX('Map Calc'!$D$2:$D$950,MATCH(LARGE('Map Calc'!$O$2:$O$950,14),'Map Calc'!$O$2:$O$950,0)),"")</f>
        <v>29</v>
      </c>
      <c r="R18">
        <v>14</v>
      </c>
      <c r="S18" t="str">
        <f>IFERROR(INDEX('Map Calc'!$A$2:$A$950,MATCH(LARGE('Map Calc'!$Q$2:$Q$950,14),'Map Calc'!$Q$2:$Q$950,0)),"")</f>
        <v>Darkest Dungeon</v>
      </c>
      <c r="T18">
        <f>IFERROR(INDEX('Map Calc'!$D$2:$D$950,MATCH(LARGE('Map Calc'!$Q$2:$Q$950,14),'Map Calc'!$Q$2:$Q$950,0)),"")</f>
        <v>29</v>
      </c>
      <c r="V18">
        <v>1991</v>
      </c>
      <c r="W18">
        <f>COUNTIF(games!$B$2:$B$950,$V18)</f>
        <v>2</v>
      </c>
      <c r="X18">
        <f>COUNTIFS(games!$B$2:$B$950,$V18,games!$H$2:$H$950,"Yes")</f>
        <v>2</v>
      </c>
      <c r="Y18">
        <f>COUNTIF('Map Calc'!$T$2:$T$1400,$V18)</f>
        <v>2</v>
      </c>
    </row>
    <row r="19" spans="1:28" x14ac:dyDescent="0.25">
      <c r="A19" s="15" t="s">
        <v>4352</v>
      </c>
      <c r="B19" s="16">
        <f>SUMPRODUCT(('Map Calc'!$V$2:$V$1400&lt;&gt;"")*('Map Calc'!$V$2:$V$1400=0))</f>
        <v>13</v>
      </c>
      <c r="C19" s="17" t="s">
        <v>4353</v>
      </c>
      <c r="N19">
        <v>15</v>
      </c>
      <c r="O19" t="str">
        <f>IFERROR(INDEX('Map Calc'!$A$2:$A$950,MATCH(LARGE('Map Calc'!$O$2:$O$950,15),'Map Calc'!$O$2:$O$950,0)),"")</f>
        <v>Into the Breach</v>
      </c>
      <c r="P19">
        <f>IFERROR(INDEX('Map Calc'!$D$2:$D$950,MATCH(LARGE('Map Calc'!$O$2:$O$950,15),'Map Calc'!$O$2:$O$950,0)),"")</f>
        <v>28</v>
      </c>
      <c r="R19">
        <v>15</v>
      </c>
      <c r="S19" t="str">
        <f>IFERROR(INDEX('Map Calc'!$A$2:$A$950,MATCH(LARGE('Map Calc'!$Q$2:$Q$950,15),'Map Calc'!$Q$2:$Q$950,0)),"")</f>
        <v>Into the Breach</v>
      </c>
      <c r="T19">
        <f>IFERROR(INDEX('Map Calc'!$D$2:$D$950,MATCH(LARGE('Map Calc'!$Q$2:$Q$950,15),'Map Calc'!$Q$2:$Q$950,0)),"")</f>
        <v>28</v>
      </c>
      <c r="V19">
        <v>1992</v>
      </c>
      <c r="W19">
        <f>COUNTIF(games!$B$2:$B$950,$V19)</f>
        <v>2</v>
      </c>
      <c r="X19">
        <f>COUNTIFS(games!$B$2:$B$950,$V19,games!$H$2:$H$950,"Yes")</f>
        <v>2</v>
      </c>
      <c r="Y19">
        <f>COUNTIF('Map Calc'!$T$2:$T$1400,$V19)</f>
        <v>2</v>
      </c>
    </row>
    <row r="20" spans="1:28" x14ac:dyDescent="0.25">
      <c r="A20" s="15" t="s">
        <v>4354</v>
      </c>
      <c r="B20" s="24">
        <f>MEDIAN('Map Calc'!$V$2:$V$1400)</f>
        <v>5</v>
      </c>
      <c r="C20" s="17" t="s">
        <v>4355</v>
      </c>
      <c r="N20">
        <v>16</v>
      </c>
      <c r="O20" t="str">
        <f>IFERROR(INDEX('Map Calc'!$A$2:$A$950,MATCH(LARGE('Map Calc'!$O$2:$O$950,16),'Map Calc'!$O$2:$O$950,0)),"")</f>
        <v>Torneko's Great Adventure: Mystery Dungeon</v>
      </c>
      <c r="P20">
        <f>IFERROR(INDEX('Map Calc'!$D$2:$D$950,MATCH(LARGE('Map Calc'!$O$2:$O$950,16),'Map Calc'!$O$2:$O$950,0)),"")</f>
        <v>27</v>
      </c>
      <c r="V20">
        <v>1993</v>
      </c>
      <c r="W20">
        <f>COUNTIF(games!$B$2:$B$950,$V20)</f>
        <v>2</v>
      </c>
      <c r="X20">
        <f>COUNTIFS(games!$B$2:$B$950,$V20,games!$H$2:$H$950,"Yes")</f>
        <v>1</v>
      </c>
      <c r="Y20">
        <f>COUNTIF('Map Calc'!$T$2:$T$1400,$V20)</f>
        <v>22</v>
      </c>
    </row>
    <row r="21" spans="1:28" x14ac:dyDescent="0.25">
      <c r="A21" s="15" t="s">
        <v>4356</v>
      </c>
      <c r="B21" s="25">
        <f>COUNTIF(connections!$D$2:$D$1473,"Yes")</f>
        <v>151</v>
      </c>
      <c r="C21" s="17" t="s">
        <v>4357</v>
      </c>
      <c r="N21">
        <v>17</v>
      </c>
      <c r="O21" t="str">
        <f>IFERROR(INDEX('Map Calc'!$A$2:$A$950,MATCH(LARGE('Map Calc'!$O$2:$O$950,17),'Map Calc'!$O$2:$O$950,0)),"")</f>
        <v>Luck be a Landlord</v>
      </c>
      <c r="P21">
        <f>IFERROR(INDEX('Map Calc'!$D$2:$D$950,MATCH(LARGE('Map Calc'!$O$2:$O$950,17),'Map Calc'!$O$2:$O$950,0)),"")</f>
        <v>27</v>
      </c>
      <c r="V21">
        <v>1994</v>
      </c>
      <c r="W21">
        <f>COUNTIF(games!$B$2:$B$950,$V21)</f>
        <v>3</v>
      </c>
      <c r="X21">
        <f>COUNTIFS(games!$B$2:$B$950,$V21,games!$H$2:$H$950,"Yes")</f>
        <v>3</v>
      </c>
      <c r="Y21">
        <f>COUNTIF('Map Calc'!$T$2:$T$1400,$V21)</f>
        <v>21</v>
      </c>
    </row>
    <row r="22" spans="1:28" x14ac:dyDescent="0.25">
      <c r="A22" s="15" t="s">
        <v>4358</v>
      </c>
      <c r="B22" s="25">
        <f>COUNTA(connections!$E$2:$E$1473)</f>
        <v>1321</v>
      </c>
      <c r="C22" s="17" t="s">
        <v>4359</v>
      </c>
      <c r="N22">
        <v>18</v>
      </c>
      <c r="O22" t="str">
        <f>IFERROR(INDEX('Map Calc'!$A$2:$A$950,MATCH(LARGE('Map Calc'!$O$2:$O$950,18),'Map Calc'!$O$2:$O$950,0)),"")</f>
        <v>Brotato</v>
      </c>
      <c r="P22">
        <f>IFERROR(INDEX('Map Calc'!$D$2:$D$950,MATCH(LARGE('Map Calc'!$O$2:$O$950,18),'Map Calc'!$O$2:$O$950,0)),"")</f>
        <v>22</v>
      </c>
      <c r="V22">
        <v>1995</v>
      </c>
      <c r="W22">
        <f>COUNTIF(games!$B$2:$B$950,$V22)</f>
        <v>2</v>
      </c>
      <c r="X22">
        <f>COUNTIFS(games!$B$2:$B$950,$V22,games!$H$2:$H$950,"Yes")</f>
        <v>2</v>
      </c>
      <c r="Y22">
        <f>COUNTIF('Map Calc'!$T$2:$T$1400,$V22)</f>
        <v>14</v>
      </c>
    </row>
    <row r="23" spans="1:28" x14ac:dyDescent="0.25">
      <c r="A23" s="15" t="s">
        <v>4360</v>
      </c>
      <c r="B23" s="16">
        <f>COUNTIFS(games!$H$2:$H$950,"Yes",games!$J$2:$J$950,"")</f>
        <v>89</v>
      </c>
      <c r="C23" s="17" t="s">
        <v>4361</v>
      </c>
      <c r="N23">
        <v>19</v>
      </c>
      <c r="O23" t="str">
        <f>IFERROR(INDEX('Map Calc'!$A$2:$A$950,MATCH(LARGE('Map Calc'!$O$2:$O$950,19),'Map Calc'!$O$2:$O$950,0)),"")</f>
        <v>Ancient Domains of Mystery</v>
      </c>
      <c r="P23">
        <f>IFERROR(INDEX('Map Calc'!$D$2:$D$950,MATCH(LARGE('Map Calc'!$O$2:$O$950,19),'Map Calc'!$O$2:$O$950,0)),"")</f>
        <v>22</v>
      </c>
      <c r="V23">
        <v>1996</v>
      </c>
      <c r="W23">
        <f>COUNTIF(games!$B$2:$B$950,$V23)</f>
        <v>2</v>
      </c>
      <c r="X23">
        <f>COUNTIFS(games!$B$2:$B$950,$V23,games!$H$2:$H$950,"Yes")</f>
        <v>2</v>
      </c>
      <c r="Y23">
        <f>COUNTIF('Map Calc'!$T$2:$T$1400,$V23)</f>
        <v>30</v>
      </c>
    </row>
    <row r="24" spans="1:28" x14ac:dyDescent="0.25">
      <c r="N24">
        <v>20</v>
      </c>
      <c r="O24" t="str">
        <f>IFERROR(INDEX('Map Calc'!$A$2:$A$950,MATCH(LARGE('Map Calc'!$O$2:$O$950,20),'Map Calc'!$O$2:$O$950,0)),"")</f>
        <v>Risk of Rain 2</v>
      </c>
      <c r="P24">
        <f>IFERROR(INDEX('Map Calc'!$D$2:$D$950,MATCH(LARGE('Map Calc'!$O$2:$O$950,20),'Map Calc'!$O$2:$O$950,0)),"")</f>
        <v>20</v>
      </c>
      <c r="V24">
        <v>1997</v>
      </c>
      <c r="W24">
        <f>COUNTIF(games!$B$2:$B$950,$V24)</f>
        <v>2</v>
      </c>
      <c r="X24">
        <f>COUNTIFS(games!$B$2:$B$950,$V24,games!$H$2:$H$950,"Yes")</f>
        <v>2</v>
      </c>
      <c r="Y24">
        <f>COUNTIF('Map Calc'!$T$2:$T$1400,$V24)</f>
        <v>4</v>
      </c>
    </row>
    <row r="25" spans="1:28" x14ac:dyDescent="0.25">
      <c r="V25">
        <v>1998</v>
      </c>
      <c r="W25">
        <f>COUNTIF(games!$B$2:$B$950,$V25)</f>
        <v>5</v>
      </c>
      <c r="X25">
        <f>COUNTIFS(games!$B$2:$B$950,$V25,games!$H$2:$H$950,"Yes")</f>
        <v>4</v>
      </c>
      <c r="Y25">
        <f>COUNTIF('Map Calc'!$T$2:$T$1400,$V25)</f>
        <v>12</v>
      </c>
    </row>
    <row r="26" spans="1:28" x14ac:dyDescent="0.25">
      <c r="V26">
        <v>1999</v>
      </c>
      <c r="W26">
        <f>COUNTIF(games!$B$2:$B$950,$V26)</f>
        <v>1</v>
      </c>
      <c r="X26">
        <f>COUNTIFS(games!$B$2:$B$950,$V26,games!$H$2:$H$950,"Yes")</f>
        <v>1</v>
      </c>
      <c r="Y26">
        <f>COUNTIF('Map Calc'!$T$2:$T$1400,$V26)</f>
        <v>2</v>
      </c>
    </row>
    <row r="27" spans="1:28" x14ac:dyDescent="0.25">
      <c r="V27">
        <v>2000</v>
      </c>
      <c r="W27">
        <f>COUNTIF(games!$B$2:$B$950,$V27)</f>
        <v>2</v>
      </c>
      <c r="X27">
        <f>COUNTIFS(games!$B$2:$B$950,$V27,games!$H$2:$H$950,"Yes")</f>
        <v>2</v>
      </c>
      <c r="Y27">
        <f>COUNTIF('Map Calc'!$T$2:$T$1400,$V27)</f>
        <v>4</v>
      </c>
    </row>
    <row r="28" spans="1:28" x14ac:dyDescent="0.25">
      <c r="V28">
        <v>2001</v>
      </c>
      <c r="W28">
        <f>COUNTIF(games!$B$2:$B$950,$V28)</f>
        <v>3</v>
      </c>
      <c r="X28">
        <f>COUNTIFS(games!$B$2:$B$950,$V28,games!$H$2:$H$950,"Yes")</f>
        <v>2</v>
      </c>
      <c r="Y28">
        <f>COUNTIF('Map Calc'!$T$2:$T$1400,$V28)</f>
        <v>3</v>
      </c>
    </row>
    <row r="29" spans="1:28" x14ac:dyDescent="0.25">
      <c r="V29">
        <v>2002</v>
      </c>
      <c r="W29">
        <f>COUNTIF(games!$B$2:$B$950,$V29)</f>
        <v>6</v>
      </c>
      <c r="X29">
        <f>COUNTIFS(games!$B$2:$B$950,$V29,games!$H$2:$H$950,"Yes")</f>
        <v>5</v>
      </c>
      <c r="Y29">
        <f>COUNTIF('Map Calc'!$T$2:$T$1400,$V29)</f>
        <v>11</v>
      </c>
    </row>
    <row r="30" spans="1:28" x14ac:dyDescent="0.25">
      <c r="V30">
        <v>2003</v>
      </c>
      <c r="W30">
        <f>COUNTIF(games!$B$2:$B$950,$V30)</f>
        <v>3</v>
      </c>
      <c r="X30">
        <f>COUNTIFS(games!$B$2:$B$950,$V30,games!$H$2:$H$950,"Yes")</f>
        <v>2</v>
      </c>
      <c r="Y30">
        <f>COUNTIF('Map Calc'!$T$2:$T$1400,$V30)</f>
        <v>4</v>
      </c>
    </row>
    <row r="31" spans="1:28" x14ac:dyDescent="0.25">
      <c r="V31">
        <v>2004</v>
      </c>
      <c r="W31">
        <f>COUNTIF(games!$B$2:$B$950,$V31)</f>
        <v>2</v>
      </c>
      <c r="X31">
        <f>COUNTIFS(games!$B$2:$B$950,$V31,games!$H$2:$H$950,"Yes")</f>
        <v>2</v>
      </c>
      <c r="Y31">
        <f>COUNTIF('Map Calc'!$T$2:$T$1400,$V31)</f>
        <v>0</v>
      </c>
    </row>
    <row r="32" spans="1:28" x14ac:dyDescent="0.25">
      <c r="V32">
        <v>2005</v>
      </c>
      <c r="W32">
        <f>COUNTIF(games!$B$2:$B$950,$V32)</f>
        <v>3</v>
      </c>
      <c r="X32">
        <f>COUNTIFS(games!$B$2:$B$950,$V32,games!$H$2:$H$950,"Yes")</f>
        <v>3</v>
      </c>
      <c r="Y32">
        <f>COUNTIF('Map Calc'!$T$2:$T$1400,$V32)</f>
        <v>7</v>
      </c>
    </row>
    <row r="33" spans="22:25" x14ac:dyDescent="0.25">
      <c r="V33">
        <v>2006</v>
      </c>
      <c r="W33">
        <f>COUNTIF(games!$B$2:$B$950,$V33)</f>
        <v>8</v>
      </c>
      <c r="X33">
        <f>COUNTIFS(games!$B$2:$B$950,$V33,games!$H$2:$H$950,"Yes")</f>
        <v>8</v>
      </c>
      <c r="Y33">
        <f>COUNTIF('Map Calc'!$T$2:$T$1400,$V33)</f>
        <v>18</v>
      </c>
    </row>
    <row r="34" spans="22:25" x14ac:dyDescent="0.25">
      <c r="V34">
        <v>2007</v>
      </c>
      <c r="W34">
        <f>COUNTIF(games!$B$2:$B$950,$V34)</f>
        <v>7</v>
      </c>
      <c r="X34">
        <f>COUNTIFS(games!$B$2:$B$950,$V34,games!$H$2:$H$950,"Yes")</f>
        <v>6</v>
      </c>
      <c r="Y34">
        <f>COUNTIF('Map Calc'!$T$2:$T$1400,$V34)</f>
        <v>4</v>
      </c>
    </row>
    <row r="35" spans="22:25" x14ac:dyDescent="0.25">
      <c r="V35">
        <v>2008</v>
      </c>
      <c r="W35">
        <f>COUNTIF(games!$B$2:$B$950,$V35)</f>
        <v>4</v>
      </c>
      <c r="X35">
        <f>COUNTIFS(games!$B$2:$B$950,$V35,games!$H$2:$H$950,"Yes")</f>
        <v>3</v>
      </c>
      <c r="Y35">
        <f>COUNTIF('Map Calc'!$T$2:$T$1400,$V35)</f>
        <v>46</v>
      </c>
    </row>
    <row r="36" spans="22:25" x14ac:dyDescent="0.25">
      <c r="V36">
        <v>2009</v>
      </c>
      <c r="W36">
        <f>COUNTIF(games!$B$2:$B$950,$V36)</f>
        <v>2</v>
      </c>
      <c r="X36">
        <f>COUNTIFS(games!$B$2:$B$950,$V36,games!$H$2:$H$950,"Yes")</f>
        <v>2</v>
      </c>
      <c r="Y36">
        <f>COUNTIF('Map Calc'!$T$2:$T$1400,$V36)</f>
        <v>9</v>
      </c>
    </row>
    <row r="37" spans="22:25" x14ac:dyDescent="0.25">
      <c r="V37">
        <v>2010</v>
      </c>
      <c r="W37">
        <f>COUNTIF(games!$B$2:$B$950,$V37)</f>
        <v>14</v>
      </c>
      <c r="X37">
        <f>COUNTIFS(games!$B$2:$B$950,$V37,games!$H$2:$H$950,"Yes")</f>
        <v>7</v>
      </c>
      <c r="Y37">
        <f>COUNTIF('Map Calc'!$T$2:$T$1400,$V37)</f>
        <v>21</v>
      </c>
    </row>
    <row r="38" spans="22:25" x14ac:dyDescent="0.25">
      <c r="V38">
        <v>2011</v>
      </c>
      <c r="W38">
        <f>COUNTIF(games!$B$2:$B$950,$V38)</f>
        <v>6</v>
      </c>
      <c r="X38">
        <f>COUNTIFS(games!$B$2:$B$950,$V38,games!$H$2:$H$950,"Yes")</f>
        <v>3</v>
      </c>
      <c r="Y38">
        <f>COUNTIF('Map Calc'!$T$2:$T$1400,$V38)</f>
        <v>78</v>
      </c>
    </row>
    <row r="39" spans="22:25" x14ac:dyDescent="0.25">
      <c r="V39">
        <v>2012</v>
      </c>
      <c r="W39">
        <f>COUNTIF(games!$B$2:$B$950,$V39)</f>
        <v>11</v>
      </c>
      <c r="X39">
        <f>COUNTIFS(games!$B$2:$B$950,$V39,games!$H$2:$H$950,"Yes")</f>
        <v>5</v>
      </c>
      <c r="Y39">
        <f>COUNTIF('Map Calc'!$T$2:$T$1400,$V39)</f>
        <v>45</v>
      </c>
    </row>
    <row r="40" spans="22:25" x14ac:dyDescent="0.25">
      <c r="V40">
        <v>2013</v>
      </c>
      <c r="W40">
        <f>COUNTIF(games!$B$2:$B$950,$V40)</f>
        <v>13</v>
      </c>
      <c r="X40">
        <f>COUNTIFS(games!$B$2:$B$950,$V40,games!$H$2:$H$950,"Yes")</f>
        <v>8</v>
      </c>
      <c r="Y40">
        <f>COUNTIF('Map Calc'!$T$2:$T$1400,$V40)</f>
        <v>37</v>
      </c>
    </row>
    <row r="41" spans="22:25" x14ac:dyDescent="0.25">
      <c r="V41">
        <v>2014</v>
      </c>
      <c r="W41">
        <f>COUNTIF(games!$B$2:$B$950,$V41)</f>
        <v>23</v>
      </c>
      <c r="X41">
        <f>COUNTIFS(games!$B$2:$B$950,$V41,games!$H$2:$H$950,"Yes")</f>
        <v>14</v>
      </c>
      <c r="Y41">
        <f>COUNTIF('Map Calc'!$T$2:$T$1400,$V41)</f>
        <v>15</v>
      </c>
    </row>
    <row r="42" spans="22:25" x14ac:dyDescent="0.25">
      <c r="V42">
        <v>2015</v>
      </c>
      <c r="W42">
        <f>COUNTIF(games!$B$2:$B$950,$V42)</f>
        <v>21</v>
      </c>
      <c r="X42">
        <f>COUNTIFS(games!$B$2:$B$950,$V42,games!$H$2:$H$950,"Yes")</f>
        <v>14</v>
      </c>
      <c r="Y42">
        <f>COUNTIF('Map Calc'!$T$2:$T$1400,$V42)</f>
        <v>79</v>
      </c>
    </row>
    <row r="43" spans="22:25" x14ac:dyDescent="0.25">
      <c r="V43">
        <v>2016</v>
      </c>
      <c r="W43">
        <f>COUNTIF(games!$B$2:$B$950,$V43)</f>
        <v>15</v>
      </c>
      <c r="X43">
        <f>COUNTIFS(games!$B$2:$B$950,$V43,games!$H$2:$H$950,"Yes")</f>
        <v>13</v>
      </c>
      <c r="Y43">
        <f>COUNTIF('Map Calc'!$T$2:$T$1400,$V43)</f>
        <v>38</v>
      </c>
    </row>
    <row r="44" spans="22:25" x14ac:dyDescent="0.25">
      <c r="V44">
        <v>2017</v>
      </c>
      <c r="W44">
        <f>COUNTIF(games!$B$2:$B$950,$V44)</f>
        <v>32</v>
      </c>
      <c r="X44">
        <f>COUNTIFS(games!$B$2:$B$950,$V44,games!$H$2:$H$950,"Yes")</f>
        <v>21</v>
      </c>
      <c r="Y44">
        <f>COUNTIF('Map Calc'!$T$2:$T$1400,$V44)</f>
        <v>158</v>
      </c>
    </row>
    <row r="45" spans="22:25" x14ac:dyDescent="0.25">
      <c r="V45">
        <v>2018</v>
      </c>
      <c r="W45">
        <f>COUNTIF(games!$B$2:$B$950,$V45)</f>
        <v>23</v>
      </c>
      <c r="X45">
        <f>COUNTIFS(games!$B$2:$B$950,$V45,games!$H$2:$H$950,"Yes")</f>
        <v>16</v>
      </c>
      <c r="Y45">
        <f>COUNTIF('Map Calc'!$T$2:$T$1400,$V45)</f>
        <v>75</v>
      </c>
    </row>
    <row r="46" spans="22:25" x14ac:dyDescent="0.25">
      <c r="V46">
        <v>2019</v>
      </c>
      <c r="W46">
        <f>COUNTIF(games!$B$2:$B$950,$V46)</f>
        <v>39</v>
      </c>
      <c r="X46">
        <f>COUNTIFS(games!$B$2:$B$950,$V46,games!$H$2:$H$950,"Yes")</f>
        <v>27</v>
      </c>
      <c r="Y46">
        <f>COUNTIF('Map Calc'!$T$2:$T$1400,$V46)</f>
        <v>103</v>
      </c>
    </row>
    <row r="47" spans="22:25" x14ac:dyDescent="0.25">
      <c r="V47">
        <v>2020</v>
      </c>
      <c r="W47">
        <f>COUNTIF(games!$B$2:$B$950,$V47)</f>
        <v>51</v>
      </c>
      <c r="X47">
        <f>COUNTIFS(games!$B$2:$B$950,$V47,games!$H$2:$H$950,"Yes")</f>
        <v>43</v>
      </c>
      <c r="Y47">
        <f>COUNTIF('Map Calc'!$T$2:$T$1400,$V47)</f>
        <v>61</v>
      </c>
    </row>
    <row r="48" spans="22:25" x14ac:dyDescent="0.25">
      <c r="V48">
        <v>2021</v>
      </c>
      <c r="W48">
        <f>COUNTIF(games!$B$2:$B$950,$V48)</f>
        <v>44</v>
      </c>
      <c r="X48">
        <f>COUNTIFS(games!$B$2:$B$950,$V48,games!$H$2:$H$950,"Yes")</f>
        <v>38</v>
      </c>
      <c r="Y48">
        <f>COUNTIF('Map Calc'!$T$2:$T$1400,$V48)</f>
        <v>176</v>
      </c>
    </row>
    <row r="49" spans="22:25" x14ac:dyDescent="0.25">
      <c r="V49">
        <v>2022</v>
      </c>
      <c r="W49">
        <f>COUNTIF(games!$B$2:$B$950,$V49)</f>
        <v>70</v>
      </c>
      <c r="X49">
        <f>COUNTIFS(games!$B$2:$B$950,$V49,games!$H$2:$H$950,"Yes")</f>
        <v>57</v>
      </c>
      <c r="Y49">
        <f>COUNTIF('Map Calc'!$T$2:$T$1400,$V49)</f>
        <v>78</v>
      </c>
    </row>
    <row r="50" spans="22:25" x14ac:dyDescent="0.25">
      <c r="V50">
        <v>2023</v>
      </c>
      <c r="W50">
        <f>COUNTIF(games!$B$2:$B$950,$V50)</f>
        <v>97</v>
      </c>
      <c r="X50">
        <f>COUNTIFS(games!$B$2:$B$950,$V50,games!$H$2:$H$950,"Yes")</f>
        <v>77</v>
      </c>
      <c r="Y50">
        <f>COUNTIF('Map Calc'!$T$2:$T$1400,$V50)</f>
        <v>95</v>
      </c>
    </row>
    <row r="51" spans="22:25" x14ac:dyDescent="0.25">
      <c r="V51">
        <v>2024</v>
      </c>
      <c r="W51">
        <f>COUNTIF(games!$B$2:$B$950,$V51)</f>
        <v>100</v>
      </c>
      <c r="X51">
        <f>COUNTIFS(games!$B$2:$B$950,$V51,games!$H$2:$H$950,"Yes")</f>
        <v>59</v>
      </c>
      <c r="Y51">
        <f>COUNTIF('Map Calc'!$T$2:$T$1400,$V51)</f>
        <v>21</v>
      </c>
    </row>
    <row r="52" spans="22:25" x14ac:dyDescent="0.25">
      <c r="V52">
        <v>2025</v>
      </c>
      <c r="W52">
        <f>COUNTIF(games!$B$2:$B$950,$V52)</f>
        <v>155</v>
      </c>
      <c r="X52">
        <f>COUNTIFS(games!$B$2:$B$950,$V52,games!$H$2:$H$950,"Yes")</f>
        <v>78</v>
      </c>
      <c r="Y52">
        <f>COUNTIF('Map Calc'!$T$2:$T$1400,$V52)</f>
        <v>12</v>
      </c>
    </row>
    <row r="53" spans="22:25" x14ac:dyDescent="0.25">
      <c r="V53">
        <v>2026</v>
      </c>
      <c r="W53">
        <f>COUNTIF(games!$B$2:$B$950,$V53)</f>
        <v>108</v>
      </c>
      <c r="X53">
        <f>COUNTIFS(games!$B$2:$B$950,$V53,games!$H$2:$H$950,"Yes")</f>
        <v>18</v>
      </c>
      <c r="Y53">
        <f>COUNTIF('Map Calc'!$T$2:$T$1400,$V53)</f>
        <v>1</v>
      </c>
    </row>
  </sheetData>
  <pageMargins left="0.75" right="0.75" top="1" bottom="1" header="0.5" footer="0.5"/>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1"/>
  <sheetViews>
    <sheetView workbookViewId="0">
      <selection activeCell="S48" sqref="S48"/>
    </sheetView>
  </sheetViews>
  <sheetFormatPr defaultRowHeight="15" x14ac:dyDescent="0.25"/>
  <cols>
    <col min="2" max="2" width="10.7109375" bestFit="1" customWidth="1"/>
    <col min="3" max="3" width="10.140625" bestFit="1" customWidth="1"/>
    <col min="4" max="4" width="9" bestFit="1" customWidth="1"/>
    <col min="5" max="5" width="39.28515625" bestFit="1" customWidth="1"/>
    <col min="7" max="7" width="23.7109375" bestFit="1" customWidth="1"/>
  </cols>
  <sheetData>
    <row r="1" spans="1:8" x14ac:dyDescent="0.25">
      <c r="A1" t="s">
        <v>165</v>
      </c>
      <c r="B1" t="s">
        <v>167</v>
      </c>
      <c r="C1" t="s">
        <v>2</v>
      </c>
      <c r="D1" t="s">
        <v>6</v>
      </c>
      <c r="E1" t="s">
        <v>4270</v>
      </c>
      <c r="F1" t="s">
        <v>3496</v>
      </c>
      <c r="G1" t="s">
        <v>4271</v>
      </c>
      <c r="H1" t="s">
        <v>7</v>
      </c>
    </row>
    <row r="2" spans="1:8" x14ac:dyDescent="0.25">
      <c r="B2" t="s">
        <v>4272</v>
      </c>
      <c r="C2" t="s">
        <v>3742</v>
      </c>
      <c r="D2" t="s">
        <v>41</v>
      </c>
      <c r="E2" t="s">
        <v>4273</v>
      </c>
      <c r="F2" t="s">
        <v>3458</v>
      </c>
      <c r="G2" t="s">
        <v>4274</v>
      </c>
    </row>
    <row r="3" spans="1:8" x14ac:dyDescent="0.25">
      <c r="B3" t="s">
        <v>4272</v>
      </c>
      <c r="C3" t="s">
        <v>3776</v>
      </c>
      <c r="D3" t="s">
        <v>41</v>
      </c>
      <c r="E3" t="s">
        <v>4275</v>
      </c>
      <c r="G3" t="s">
        <v>4276</v>
      </c>
    </row>
    <row r="4" spans="1:8" x14ac:dyDescent="0.25">
      <c r="B4" t="s">
        <v>4272</v>
      </c>
      <c r="C4" t="s">
        <v>3790</v>
      </c>
      <c r="D4" t="s">
        <v>41</v>
      </c>
      <c r="E4" t="s">
        <v>4277</v>
      </c>
      <c r="G4" t="s">
        <v>4278</v>
      </c>
    </row>
    <row r="5" spans="1:8" x14ac:dyDescent="0.25">
      <c r="B5" t="s">
        <v>4279</v>
      </c>
      <c r="C5" t="s">
        <v>3742</v>
      </c>
      <c r="D5" t="s">
        <v>41</v>
      </c>
      <c r="E5" t="s">
        <v>4280</v>
      </c>
      <c r="F5" t="s">
        <v>3458</v>
      </c>
      <c r="G5" t="s">
        <v>4281</v>
      </c>
    </row>
    <row r="6" spans="1:8" x14ac:dyDescent="0.25">
      <c r="B6" t="s">
        <v>4279</v>
      </c>
      <c r="C6" t="s">
        <v>3776</v>
      </c>
      <c r="D6" t="s">
        <v>41</v>
      </c>
      <c r="E6" t="s">
        <v>4282</v>
      </c>
      <c r="G6" t="s">
        <v>4283</v>
      </c>
    </row>
    <row r="7" spans="1:8" x14ac:dyDescent="0.25">
      <c r="B7" t="s">
        <v>4279</v>
      </c>
      <c r="C7" t="s">
        <v>3790</v>
      </c>
      <c r="D7" t="s">
        <v>41</v>
      </c>
      <c r="E7" t="s">
        <v>4284</v>
      </c>
      <c r="G7" t="s">
        <v>4285</v>
      </c>
    </row>
    <row r="8" spans="1:8" x14ac:dyDescent="0.25">
      <c r="B8" t="s">
        <v>4286</v>
      </c>
      <c r="C8" t="s">
        <v>3742</v>
      </c>
      <c r="D8" t="s">
        <v>41</v>
      </c>
      <c r="E8" t="s">
        <v>4287</v>
      </c>
      <c r="F8" t="s">
        <v>3458</v>
      </c>
    </row>
    <row r="9" spans="1:8" x14ac:dyDescent="0.25">
      <c r="B9" t="s">
        <v>4286</v>
      </c>
      <c r="C9" t="s">
        <v>3776</v>
      </c>
      <c r="D9" t="s">
        <v>41</v>
      </c>
      <c r="E9" t="s">
        <v>4288</v>
      </c>
    </row>
    <row r="10" spans="1:8" x14ac:dyDescent="0.25">
      <c r="B10" t="s">
        <v>4286</v>
      </c>
      <c r="C10" t="s">
        <v>3790</v>
      </c>
      <c r="D10" t="s">
        <v>41</v>
      </c>
      <c r="E10" t="s">
        <v>4289</v>
      </c>
    </row>
    <row r="11" spans="1:8" x14ac:dyDescent="0.25">
      <c r="B11" t="s">
        <v>4286</v>
      </c>
      <c r="C11" t="s">
        <v>3910</v>
      </c>
      <c r="D11" t="s">
        <v>41</v>
      </c>
      <c r="E11" t="s">
        <v>4290</v>
      </c>
      <c r="G11" t="s">
        <v>4291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3"/>
  <sheetViews>
    <sheetView workbookViewId="0">
      <selection activeCell="L48" sqref="L48"/>
    </sheetView>
  </sheetViews>
  <sheetFormatPr defaultRowHeight="15" x14ac:dyDescent="0.25"/>
  <cols>
    <col min="1" max="1" width="17.42578125" bestFit="1" customWidth="1"/>
    <col min="2" max="2" width="26.5703125" bestFit="1" customWidth="1"/>
    <col min="3" max="3" width="17.42578125" customWidth="1"/>
    <col min="4" max="4" width="12" customWidth="1"/>
    <col min="5" max="5" width="22.140625" bestFit="1" customWidth="1"/>
    <col min="6" max="6" width="18.42578125" bestFit="1" customWidth="1"/>
    <col min="7" max="7" width="7.7109375" bestFit="1" customWidth="1"/>
    <col min="8" max="8" width="54" bestFit="1" customWidth="1"/>
  </cols>
  <sheetData>
    <row r="1" spans="1:9" x14ac:dyDescent="0.25">
      <c r="A1" t="s">
        <v>165</v>
      </c>
      <c r="B1" t="s">
        <v>1</v>
      </c>
      <c r="C1" t="s">
        <v>3734</v>
      </c>
      <c r="D1" t="s">
        <v>3737</v>
      </c>
      <c r="E1" t="s">
        <v>3738</v>
      </c>
      <c r="F1" t="s">
        <v>4292</v>
      </c>
      <c r="G1" t="s">
        <v>4231</v>
      </c>
      <c r="H1" t="s">
        <v>4293</v>
      </c>
      <c r="I1" t="s">
        <v>4294</v>
      </c>
    </row>
    <row r="2" spans="1:9" x14ac:dyDescent="0.25">
      <c r="A2" t="s">
        <v>4295</v>
      </c>
      <c r="B2" t="s">
        <v>2619</v>
      </c>
      <c r="C2" t="s">
        <v>3742</v>
      </c>
      <c r="D2" t="s">
        <v>3751</v>
      </c>
      <c r="E2" t="s">
        <v>4296</v>
      </c>
      <c r="F2" t="s">
        <v>3465</v>
      </c>
      <c r="G2" t="s">
        <v>4297</v>
      </c>
      <c r="H2" t="s">
        <v>4298</v>
      </c>
      <c r="I2" t="s">
        <v>3675</v>
      </c>
    </row>
    <row r="3" spans="1:9" x14ac:dyDescent="0.25">
      <c r="A3" t="s">
        <v>4299</v>
      </c>
      <c r="B3" t="s">
        <v>2619</v>
      </c>
      <c r="C3" t="s">
        <v>3742</v>
      </c>
      <c r="D3" t="s">
        <v>3744</v>
      </c>
      <c r="E3" t="s">
        <v>4300</v>
      </c>
      <c r="F3" t="s">
        <v>3465</v>
      </c>
      <c r="G3" t="s">
        <v>4297</v>
      </c>
      <c r="I3" t="s">
        <v>4301</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AA3AB-A456-4A68-A50F-D9D79BF48452}">
  <dimension ref="A1:W158"/>
  <sheetViews>
    <sheetView topLeftCell="A127" workbookViewId="0">
      <selection activeCell="A162" sqref="A162"/>
    </sheetView>
  </sheetViews>
  <sheetFormatPr defaultRowHeight="15" x14ac:dyDescent="0.25"/>
  <cols>
    <col min="1" max="1" width="26.7109375" bestFit="1" customWidth="1"/>
    <col min="2" max="2" width="34.7109375" customWidth="1"/>
    <col min="3" max="3" width="13.42578125" bestFit="1" customWidth="1"/>
    <col min="4" max="4" width="13.5703125" bestFit="1" customWidth="1"/>
    <col min="5" max="5" width="28" bestFit="1" customWidth="1"/>
    <col min="6" max="6" width="20.7109375" bestFit="1" customWidth="1"/>
    <col min="7" max="7" width="7.28515625" bestFit="1" customWidth="1"/>
    <col min="8" max="8" width="11.140625" bestFit="1" customWidth="1"/>
    <col min="9" max="9" width="20.5703125" bestFit="1" customWidth="1"/>
    <col min="10" max="10" width="14" bestFit="1" customWidth="1"/>
    <col min="11" max="11" width="7.28515625" bestFit="1" customWidth="1"/>
    <col min="12" max="12" width="11.140625" bestFit="1" customWidth="1"/>
    <col min="13" max="13" width="17.7109375" bestFit="1" customWidth="1"/>
    <col min="14" max="14" width="13.42578125" bestFit="1" customWidth="1"/>
    <col min="15" max="15" width="7.28515625" bestFit="1" customWidth="1"/>
    <col min="16" max="16" width="11.140625" bestFit="1" customWidth="1"/>
    <col min="17" max="17" width="18.7109375" bestFit="1" customWidth="1"/>
    <col min="18" max="18" width="12.85546875" bestFit="1" customWidth="1"/>
    <col min="19" max="19" width="7.28515625" bestFit="1" customWidth="1"/>
    <col min="20" max="20" width="5.42578125" customWidth="1"/>
    <col min="21" max="21" width="28" bestFit="1" customWidth="1"/>
    <col min="22" max="22" width="11.140625" bestFit="1" customWidth="1"/>
    <col min="23" max="23" width="14.140625" bestFit="1" customWidth="1"/>
    <col min="24" max="24" width="13.5703125" bestFit="1" customWidth="1"/>
    <col min="25" max="25" width="10.7109375" bestFit="1" customWidth="1"/>
  </cols>
  <sheetData>
    <row r="1" spans="1:23" x14ac:dyDescent="0.25">
      <c r="A1" t="s">
        <v>7552</v>
      </c>
      <c r="B1" t="s">
        <v>7553</v>
      </c>
      <c r="C1" t="s">
        <v>7571</v>
      </c>
      <c r="D1" t="s">
        <v>7485</v>
      </c>
      <c r="E1" t="s">
        <v>7486</v>
      </c>
      <c r="F1" t="s">
        <v>7539</v>
      </c>
      <c r="G1" t="s">
        <v>7579</v>
      </c>
      <c r="H1" t="s">
        <v>7487</v>
      </c>
      <c r="I1" t="s">
        <v>7488</v>
      </c>
      <c r="J1" t="s">
        <v>7540</v>
      </c>
      <c r="K1" t="s">
        <v>7580</v>
      </c>
      <c r="L1" t="s">
        <v>7489</v>
      </c>
      <c r="M1" t="s">
        <v>7490</v>
      </c>
      <c r="N1" t="s">
        <v>7542</v>
      </c>
      <c r="O1" t="s">
        <v>7581</v>
      </c>
      <c r="P1" t="s">
        <v>7739</v>
      </c>
      <c r="Q1" t="s">
        <v>7740</v>
      </c>
      <c r="R1" t="s">
        <v>7741</v>
      </c>
      <c r="S1" t="s">
        <v>7742</v>
      </c>
      <c r="U1" t="s">
        <v>7561</v>
      </c>
      <c r="V1" t="s">
        <v>7743</v>
      </c>
      <c r="W1" t="s">
        <v>7582</v>
      </c>
    </row>
    <row r="2" spans="1:23" x14ac:dyDescent="0.25">
      <c r="A2" t="s">
        <v>7525</v>
      </c>
      <c r="B2" t="s">
        <v>7597</v>
      </c>
      <c r="C2" t="s">
        <v>4942</v>
      </c>
      <c r="D2" t="s">
        <v>7585</v>
      </c>
      <c r="E2" t="s">
        <v>7717</v>
      </c>
      <c r="F2" t="s">
        <v>7716</v>
      </c>
      <c r="G2" t="s">
        <v>7563</v>
      </c>
      <c r="U2" t="s">
        <v>3443</v>
      </c>
      <c r="V2" t="s">
        <v>7563</v>
      </c>
    </row>
    <row r="3" spans="1:23" x14ac:dyDescent="0.25">
      <c r="A3" t="s">
        <v>7504</v>
      </c>
      <c r="B3" t="s">
        <v>7597</v>
      </c>
      <c r="C3" t="s">
        <v>4942</v>
      </c>
      <c r="D3" t="s">
        <v>3680</v>
      </c>
      <c r="E3" t="s">
        <v>7762</v>
      </c>
      <c r="F3" t="s">
        <v>7716</v>
      </c>
      <c r="G3" t="s">
        <v>7563</v>
      </c>
      <c r="U3" t="s">
        <v>7547</v>
      </c>
      <c r="V3" t="s">
        <v>7563</v>
      </c>
      <c r="W3" t="s">
        <v>7593</v>
      </c>
    </row>
    <row r="4" spans="1:23" x14ac:dyDescent="0.25">
      <c r="A4" t="s">
        <v>7509</v>
      </c>
      <c r="B4" t="s">
        <v>7597</v>
      </c>
      <c r="C4" t="s">
        <v>4942</v>
      </c>
      <c r="D4" t="s">
        <v>3448</v>
      </c>
      <c r="E4" t="s">
        <v>7547</v>
      </c>
      <c r="F4" t="s">
        <v>7716</v>
      </c>
      <c r="G4" t="s">
        <v>7563</v>
      </c>
      <c r="U4" t="s">
        <v>7562</v>
      </c>
      <c r="V4" t="s">
        <v>7563</v>
      </c>
      <c r="W4" t="s">
        <v>3520</v>
      </c>
    </row>
    <row r="5" spans="1:23" x14ac:dyDescent="0.25">
      <c r="A5" t="s">
        <v>7511</v>
      </c>
      <c r="B5" t="s">
        <v>7597</v>
      </c>
      <c r="C5" t="s">
        <v>4942</v>
      </c>
      <c r="D5" t="s">
        <v>3577</v>
      </c>
      <c r="E5" t="s">
        <v>3442</v>
      </c>
      <c r="F5" t="s">
        <v>7716</v>
      </c>
      <c r="G5" t="s">
        <v>7563</v>
      </c>
      <c r="U5" t="s">
        <v>7730</v>
      </c>
      <c r="V5" t="s">
        <v>7563</v>
      </c>
      <c r="W5" t="s">
        <v>3441</v>
      </c>
    </row>
    <row r="6" spans="1:23" x14ac:dyDescent="0.25">
      <c r="A6" t="s">
        <v>7515</v>
      </c>
      <c r="B6" t="s">
        <v>7597</v>
      </c>
      <c r="C6" t="s">
        <v>4942</v>
      </c>
      <c r="D6" t="s">
        <v>3441</v>
      </c>
      <c r="E6" t="s">
        <v>7546</v>
      </c>
      <c r="F6" t="s">
        <v>7716</v>
      </c>
      <c r="G6" t="s">
        <v>7563</v>
      </c>
      <c r="U6" t="s">
        <v>7729</v>
      </c>
      <c r="V6" t="s">
        <v>7564</v>
      </c>
      <c r="W6" t="s">
        <v>3448</v>
      </c>
    </row>
    <row r="7" spans="1:23" x14ac:dyDescent="0.25">
      <c r="A7" t="s">
        <v>7521</v>
      </c>
      <c r="B7" t="s">
        <v>7597</v>
      </c>
      <c r="C7" t="s">
        <v>4942</v>
      </c>
      <c r="D7" t="s">
        <v>5424</v>
      </c>
      <c r="E7" t="s">
        <v>7718</v>
      </c>
      <c r="F7" t="s">
        <v>7716</v>
      </c>
      <c r="G7" t="s">
        <v>7563</v>
      </c>
      <c r="U7" t="s">
        <v>7718</v>
      </c>
      <c r="V7" t="s">
        <v>7563</v>
      </c>
      <c r="W7" t="s">
        <v>7584</v>
      </c>
    </row>
    <row r="8" spans="1:23" x14ac:dyDescent="0.25">
      <c r="A8" t="s">
        <v>3521</v>
      </c>
      <c r="B8" t="s">
        <v>7597</v>
      </c>
      <c r="C8" t="s">
        <v>4942</v>
      </c>
      <c r="D8" t="s">
        <v>7594</v>
      </c>
      <c r="E8" t="s">
        <v>7720</v>
      </c>
      <c r="F8" t="s">
        <v>7548</v>
      </c>
      <c r="G8" t="s">
        <v>7563</v>
      </c>
      <c r="U8" t="s">
        <v>7625</v>
      </c>
      <c r="V8" t="s">
        <v>7563</v>
      </c>
      <c r="W8" t="s">
        <v>7594</v>
      </c>
    </row>
    <row r="9" spans="1:23" x14ac:dyDescent="0.25">
      <c r="A9" t="s">
        <v>7713</v>
      </c>
      <c r="B9" t="s">
        <v>7597</v>
      </c>
      <c r="C9" t="s">
        <v>4942</v>
      </c>
      <c r="D9" t="s">
        <v>3588</v>
      </c>
      <c r="E9" t="s">
        <v>7583</v>
      </c>
      <c r="F9" t="s">
        <v>7716</v>
      </c>
      <c r="G9" t="s">
        <v>7563</v>
      </c>
      <c r="U9" t="s">
        <v>4245</v>
      </c>
      <c r="V9" t="s">
        <v>7564</v>
      </c>
      <c r="W9" t="s">
        <v>3442</v>
      </c>
    </row>
    <row r="10" spans="1:23" x14ac:dyDescent="0.25">
      <c r="A10" t="s">
        <v>7499</v>
      </c>
      <c r="B10" t="s">
        <v>7597</v>
      </c>
      <c r="C10" t="s">
        <v>4942</v>
      </c>
      <c r="D10" t="s">
        <v>3680</v>
      </c>
      <c r="E10" t="s">
        <v>7721</v>
      </c>
      <c r="F10" t="s">
        <v>7716</v>
      </c>
      <c r="G10" t="s">
        <v>7563</v>
      </c>
      <c r="U10" t="s">
        <v>3444</v>
      </c>
      <c r="V10" t="s">
        <v>7563</v>
      </c>
    </row>
    <row r="11" spans="1:23" x14ac:dyDescent="0.25">
      <c r="A11" t="s">
        <v>7518</v>
      </c>
      <c r="B11" t="s">
        <v>7597</v>
      </c>
      <c r="C11" t="s">
        <v>4942</v>
      </c>
      <c r="D11" t="s">
        <v>3441</v>
      </c>
      <c r="E11" t="s">
        <v>7546</v>
      </c>
      <c r="F11" t="s">
        <v>7716</v>
      </c>
      <c r="G11" t="s">
        <v>7563</v>
      </c>
      <c r="U11" t="s">
        <v>7751</v>
      </c>
      <c r="V11" t="s">
        <v>7564</v>
      </c>
      <c r="W11" t="s">
        <v>7584</v>
      </c>
    </row>
    <row r="12" spans="1:23" x14ac:dyDescent="0.25">
      <c r="A12" t="s">
        <v>3677</v>
      </c>
      <c r="B12" t="s">
        <v>7597</v>
      </c>
      <c r="C12" t="s">
        <v>4942</v>
      </c>
      <c r="D12" t="s">
        <v>3680</v>
      </c>
      <c r="E12" t="s">
        <v>7722</v>
      </c>
      <c r="F12" t="s">
        <v>7716</v>
      </c>
      <c r="G12" t="s">
        <v>7563</v>
      </c>
      <c r="U12" t="s">
        <v>7626</v>
      </c>
      <c r="V12" t="s">
        <v>7563</v>
      </c>
      <c r="W12" t="s">
        <v>7585</v>
      </c>
    </row>
    <row r="13" spans="1:23" x14ac:dyDescent="0.25">
      <c r="A13" t="s">
        <v>7496</v>
      </c>
      <c r="B13" t="s">
        <v>7597</v>
      </c>
      <c r="C13" t="s">
        <v>4942</v>
      </c>
      <c r="D13" t="s">
        <v>7594</v>
      </c>
      <c r="E13" t="s">
        <v>7720</v>
      </c>
      <c r="F13" t="s">
        <v>7716</v>
      </c>
      <c r="G13" t="s">
        <v>7563</v>
      </c>
      <c r="U13" t="s">
        <v>7626</v>
      </c>
      <c r="V13" t="s">
        <v>7563</v>
      </c>
      <c r="W13" t="s">
        <v>3588</v>
      </c>
    </row>
    <row r="14" spans="1:23" x14ac:dyDescent="0.25">
      <c r="A14" t="s">
        <v>7497</v>
      </c>
      <c r="B14" t="s">
        <v>7597</v>
      </c>
      <c r="C14" t="s">
        <v>4942</v>
      </c>
      <c r="D14" t="s">
        <v>3441</v>
      </c>
      <c r="E14" t="s">
        <v>7546</v>
      </c>
      <c r="F14" t="s">
        <v>7716</v>
      </c>
      <c r="G14" t="s">
        <v>7563</v>
      </c>
      <c r="U14" t="s">
        <v>7725</v>
      </c>
      <c r="V14" t="s">
        <v>7564</v>
      </c>
    </row>
    <row r="15" spans="1:23" x14ac:dyDescent="0.25">
      <c r="A15" t="s">
        <v>7501</v>
      </c>
      <c r="B15" t="s">
        <v>7597</v>
      </c>
      <c r="C15" t="s">
        <v>4942</v>
      </c>
      <c r="D15" t="s">
        <v>7595</v>
      </c>
      <c r="E15" t="s">
        <v>7590</v>
      </c>
      <c r="F15" t="s">
        <v>7716</v>
      </c>
      <c r="G15" t="s">
        <v>7563</v>
      </c>
      <c r="U15" t="s">
        <v>7752</v>
      </c>
      <c r="V15" t="s">
        <v>7564</v>
      </c>
      <c r="W15" t="s">
        <v>3588</v>
      </c>
    </row>
    <row r="16" spans="1:23" x14ac:dyDescent="0.25">
      <c r="A16" t="s">
        <v>7442</v>
      </c>
      <c r="B16" t="s">
        <v>7541</v>
      </c>
      <c r="C16" t="s">
        <v>7753</v>
      </c>
      <c r="D16" t="s">
        <v>7731</v>
      </c>
      <c r="E16" t="s">
        <v>7575</v>
      </c>
      <c r="F16" t="s">
        <v>7558</v>
      </c>
      <c r="G16" t="s">
        <v>7563</v>
      </c>
      <c r="U16" t="s">
        <v>7574</v>
      </c>
      <c r="V16" t="s">
        <v>7564</v>
      </c>
      <c r="W16" t="s">
        <v>7549</v>
      </c>
    </row>
    <row r="17" spans="1:23" x14ac:dyDescent="0.25">
      <c r="A17" t="s">
        <v>7471</v>
      </c>
      <c r="B17" t="s">
        <v>7541</v>
      </c>
      <c r="C17" t="s">
        <v>7753</v>
      </c>
      <c r="D17" t="s">
        <v>7596</v>
      </c>
      <c r="E17" t="s">
        <v>7754</v>
      </c>
      <c r="F17" t="s">
        <v>7578</v>
      </c>
      <c r="G17" t="s">
        <v>7564</v>
      </c>
      <c r="U17" t="s">
        <v>7754</v>
      </c>
      <c r="V17" t="s">
        <v>7563</v>
      </c>
      <c r="W17" t="s">
        <v>4008</v>
      </c>
    </row>
    <row r="18" spans="1:23" x14ac:dyDescent="0.25">
      <c r="A18" t="s">
        <v>7432</v>
      </c>
      <c r="B18" t="s">
        <v>7541</v>
      </c>
      <c r="C18" t="s">
        <v>7753</v>
      </c>
      <c r="D18" t="s">
        <v>5523</v>
      </c>
      <c r="E18" t="s">
        <v>7757</v>
      </c>
      <c r="F18" t="s">
        <v>7763</v>
      </c>
      <c r="G18" t="s">
        <v>7563</v>
      </c>
      <c r="U18" t="s">
        <v>7566</v>
      </c>
      <c r="V18" t="s">
        <v>7563</v>
      </c>
      <c r="W18" t="s">
        <v>7551</v>
      </c>
    </row>
    <row r="19" spans="1:23" x14ac:dyDescent="0.25">
      <c r="A19" t="s">
        <v>7402</v>
      </c>
      <c r="B19" t="s">
        <v>7541</v>
      </c>
      <c r="C19" t="s">
        <v>7753</v>
      </c>
      <c r="D19" t="s">
        <v>5523</v>
      </c>
      <c r="E19" t="s">
        <v>7751</v>
      </c>
      <c r="F19" t="s">
        <v>7758</v>
      </c>
      <c r="G19" t="s">
        <v>7563</v>
      </c>
      <c r="U19" t="s">
        <v>7575</v>
      </c>
      <c r="V19" t="s">
        <v>7563</v>
      </c>
      <c r="W19" t="s">
        <v>5424</v>
      </c>
    </row>
    <row r="20" spans="1:23" x14ac:dyDescent="0.25">
      <c r="A20" t="s">
        <v>7397</v>
      </c>
      <c r="B20" t="s">
        <v>7541</v>
      </c>
      <c r="C20" t="s">
        <v>7753</v>
      </c>
      <c r="D20" t="s">
        <v>3588</v>
      </c>
      <c r="E20" t="s">
        <v>7586</v>
      </c>
      <c r="F20" t="s">
        <v>7764</v>
      </c>
      <c r="G20" t="s">
        <v>7564</v>
      </c>
      <c r="U20" t="s">
        <v>7577</v>
      </c>
      <c r="V20" t="s">
        <v>7563</v>
      </c>
      <c r="W20" t="s">
        <v>7628</v>
      </c>
    </row>
    <row r="21" spans="1:23" x14ac:dyDescent="0.25">
      <c r="A21" t="s">
        <v>7448</v>
      </c>
      <c r="B21" t="s">
        <v>7541</v>
      </c>
      <c r="C21" t="s">
        <v>7753</v>
      </c>
      <c r="D21" t="s">
        <v>7765</v>
      </c>
      <c r="E21" t="s">
        <v>7766</v>
      </c>
      <c r="F21" t="s">
        <v>7764</v>
      </c>
      <c r="G21" t="s">
        <v>7563</v>
      </c>
      <c r="U21" t="s">
        <v>3442</v>
      </c>
      <c r="V21" t="s">
        <v>7563</v>
      </c>
    </row>
    <row r="22" spans="1:23" x14ac:dyDescent="0.25">
      <c r="A22" t="s">
        <v>7694</v>
      </c>
      <c r="B22" t="s">
        <v>7541</v>
      </c>
      <c r="C22" t="s">
        <v>7753</v>
      </c>
      <c r="D22" t="s">
        <v>3441</v>
      </c>
      <c r="E22" t="s">
        <v>7492</v>
      </c>
      <c r="F22" t="s">
        <v>7764</v>
      </c>
      <c r="G22" t="s">
        <v>7564</v>
      </c>
      <c r="U22" t="s">
        <v>7630</v>
      </c>
      <c r="V22" t="s">
        <v>7563</v>
      </c>
    </row>
    <row r="23" spans="1:23" x14ac:dyDescent="0.25">
      <c r="A23" t="s">
        <v>7697</v>
      </c>
      <c r="B23" t="s">
        <v>7541</v>
      </c>
      <c r="C23" t="s">
        <v>7753</v>
      </c>
      <c r="D23" t="s">
        <v>7596</v>
      </c>
      <c r="E23" t="s">
        <v>7725</v>
      </c>
      <c r="F23" t="s">
        <v>7758</v>
      </c>
      <c r="G23" t="s">
        <v>7563</v>
      </c>
      <c r="H23" t="s">
        <v>3588</v>
      </c>
      <c r="I23" t="s">
        <v>7586</v>
      </c>
      <c r="J23" t="s">
        <v>7558</v>
      </c>
      <c r="K23" t="s">
        <v>7563</v>
      </c>
      <c r="L23" t="s">
        <v>3577</v>
      </c>
      <c r="M23" t="s">
        <v>3442</v>
      </c>
      <c r="N23" t="s">
        <v>7558</v>
      </c>
      <c r="O23" t="s">
        <v>7563</v>
      </c>
      <c r="P23" t="s">
        <v>7587</v>
      </c>
      <c r="Q23" t="s">
        <v>7767</v>
      </c>
      <c r="R23" t="s">
        <v>7758</v>
      </c>
      <c r="S23" t="s">
        <v>7563</v>
      </c>
      <c r="U23" t="s">
        <v>7600</v>
      </c>
      <c r="V23" t="s">
        <v>7564</v>
      </c>
    </row>
    <row r="24" spans="1:23" x14ac:dyDescent="0.25">
      <c r="A24" t="s">
        <v>5202</v>
      </c>
      <c r="B24" t="s">
        <v>7541</v>
      </c>
      <c r="C24" t="s">
        <v>7753</v>
      </c>
      <c r="D24" t="s">
        <v>7596</v>
      </c>
      <c r="E24" t="s">
        <v>7752</v>
      </c>
      <c r="F24" t="s">
        <v>7758</v>
      </c>
      <c r="G24" t="s">
        <v>7564</v>
      </c>
      <c r="U24" t="s">
        <v>7601</v>
      </c>
      <c r="V24" t="s">
        <v>7563</v>
      </c>
    </row>
    <row r="25" spans="1:23" x14ac:dyDescent="0.25">
      <c r="A25" t="s">
        <v>7388</v>
      </c>
      <c r="B25" t="s">
        <v>7541</v>
      </c>
      <c r="C25" t="s">
        <v>7753</v>
      </c>
      <c r="D25" t="s">
        <v>5523</v>
      </c>
      <c r="E25" t="s">
        <v>7730</v>
      </c>
      <c r="F25" t="s">
        <v>7763</v>
      </c>
      <c r="G25" t="s">
        <v>7564</v>
      </c>
      <c r="U25" t="s">
        <v>7546</v>
      </c>
      <c r="V25" t="s">
        <v>7563</v>
      </c>
    </row>
    <row r="26" spans="1:23" x14ac:dyDescent="0.25">
      <c r="A26" t="s">
        <v>1322</v>
      </c>
      <c r="B26" t="s">
        <v>7541</v>
      </c>
      <c r="C26" t="s">
        <v>7753</v>
      </c>
      <c r="D26" t="s">
        <v>5523</v>
      </c>
      <c r="E26" t="s">
        <v>7751</v>
      </c>
      <c r="F26" t="s">
        <v>7541</v>
      </c>
      <c r="G26" t="s">
        <v>7563</v>
      </c>
      <c r="I26" t="s">
        <v>7750</v>
      </c>
      <c r="U26" t="s">
        <v>7556</v>
      </c>
      <c r="V26" t="s">
        <v>7563</v>
      </c>
    </row>
    <row r="27" spans="1:23" x14ac:dyDescent="0.25">
      <c r="A27" t="s">
        <v>7410</v>
      </c>
      <c r="B27" t="s">
        <v>7541</v>
      </c>
      <c r="C27" t="s">
        <v>7753</v>
      </c>
      <c r="D27" t="s">
        <v>7587</v>
      </c>
      <c r="E27" t="s">
        <v>4245</v>
      </c>
      <c r="F27" t="s">
        <v>7764</v>
      </c>
      <c r="G27" t="s">
        <v>7563</v>
      </c>
      <c r="U27" t="s">
        <v>7717</v>
      </c>
      <c r="V27" t="s">
        <v>7563</v>
      </c>
    </row>
    <row r="28" spans="1:23" x14ac:dyDescent="0.25">
      <c r="A28" t="s">
        <v>7425</v>
      </c>
      <c r="B28" t="s">
        <v>7541</v>
      </c>
      <c r="C28" t="s">
        <v>7753</v>
      </c>
      <c r="D28" t="s">
        <v>3458</v>
      </c>
      <c r="U28" t="s">
        <v>3451</v>
      </c>
      <c r="V28" t="s">
        <v>7563</v>
      </c>
    </row>
    <row r="29" spans="1:23" x14ac:dyDescent="0.25">
      <c r="A29" t="s">
        <v>7423</v>
      </c>
      <c r="B29" t="s">
        <v>7541</v>
      </c>
      <c r="C29" t="s">
        <v>7753</v>
      </c>
      <c r="D29" t="s">
        <v>7596</v>
      </c>
      <c r="E29" t="s">
        <v>7725</v>
      </c>
      <c r="F29" t="s">
        <v>7758</v>
      </c>
      <c r="G29" t="s">
        <v>7563</v>
      </c>
      <c r="H29" t="s">
        <v>3588</v>
      </c>
      <c r="I29" t="s">
        <v>7586</v>
      </c>
      <c r="J29" t="s">
        <v>7558</v>
      </c>
      <c r="K29" t="s">
        <v>7563</v>
      </c>
      <c r="L29" t="s">
        <v>3577</v>
      </c>
      <c r="M29" t="s">
        <v>3442</v>
      </c>
      <c r="N29" t="s">
        <v>7558</v>
      </c>
      <c r="O29" t="s">
        <v>7563</v>
      </c>
      <c r="P29" t="s">
        <v>7587</v>
      </c>
      <c r="Q29" t="s">
        <v>7767</v>
      </c>
      <c r="R29" t="s">
        <v>7758</v>
      </c>
      <c r="S29" t="s">
        <v>7563</v>
      </c>
      <c r="U29" t="s">
        <v>7586</v>
      </c>
      <c r="V29" t="s">
        <v>7563</v>
      </c>
    </row>
    <row r="30" spans="1:23" x14ac:dyDescent="0.25">
      <c r="A30" t="s">
        <v>7406</v>
      </c>
      <c r="B30" t="s">
        <v>7541</v>
      </c>
      <c r="C30" t="s">
        <v>7753</v>
      </c>
      <c r="D30" t="s">
        <v>7596</v>
      </c>
      <c r="E30" t="s">
        <v>7754</v>
      </c>
      <c r="F30" t="s">
        <v>7763</v>
      </c>
      <c r="G30" t="s">
        <v>7563</v>
      </c>
      <c r="U30" t="s">
        <v>7583</v>
      </c>
      <c r="V30" t="s">
        <v>7563</v>
      </c>
    </row>
    <row r="31" spans="1:23" x14ac:dyDescent="0.25">
      <c r="A31" t="s">
        <v>7452</v>
      </c>
      <c r="B31" t="s">
        <v>7541</v>
      </c>
      <c r="C31" t="s">
        <v>7753</v>
      </c>
      <c r="D31" t="s">
        <v>5523</v>
      </c>
      <c r="E31" t="s">
        <v>7759</v>
      </c>
      <c r="F31" t="s">
        <v>7764</v>
      </c>
      <c r="G31" t="s">
        <v>7563</v>
      </c>
      <c r="U31" t="s">
        <v>5678</v>
      </c>
      <c r="V31" t="s">
        <v>7563</v>
      </c>
    </row>
    <row r="32" spans="1:23" x14ac:dyDescent="0.25">
      <c r="A32" t="s">
        <v>7398</v>
      </c>
      <c r="B32" t="s">
        <v>7541</v>
      </c>
      <c r="C32" t="s">
        <v>7753</v>
      </c>
      <c r="D32" t="s">
        <v>7596</v>
      </c>
      <c r="E32" t="s">
        <v>7760</v>
      </c>
      <c r="F32" t="s">
        <v>7541</v>
      </c>
      <c r="G32" t="s">
        <v>7564</v>
      </c>
      <c r="U32" t="s">
        <v>7492</v>
      </c>
      <c r="V32" t="s">
        <v>7563</v>
      </c>
    </row>
    <row r="33" spans="1:22" x14ac:dyDescent="0.25">
      <c r="A33" t="s">
        <v>7412</v>
      </c>
      <c r="B33" t="s">
        <v>7541</v>
      </c>
      <c r="C33" t="s">
        <v>7753</v>
      </c>
      <c r="D33" t="s">
        <v>7587</v>
      </c>
      <c r="E33" t="s">
        <v>4245</v>
      </c>
      <c r="F33" t="s">
        <v>7764</v>
      </c>
      <c r="G33" t="s">
        <v>7563</v>
      </c>
      <c r="U33" t="s">
        <v>7590</v>
      </c>
      <c r="V33" t="s">
        <v>7563</v>
      </c>
    </row>
    <row r="34" spans="1:22" x14ac:dyDescent="0.25">
      <c r="A34" t="s">
        <v>7394</v>
      </c>
      <c r="B34" t="s">
        <v>7541</v>
      </c>
      <c r="C34" t="s">
        <v>7753</v>
      </c>
      <c r="D34" t="s">
        <v>5523</v>
      </c>
      <c r="E34" t="s">
        <v>7757</v>
      </c>
      <c r="F34" t="s">
        <v>7758</v>
      </c>
      <c r="G34" t="s">
        <v>7563</v>
      </c>
      <c r="U34" t="s">
        <v>7550</v>
      </c>
      <c r="V34" t="s">
        <v>7563</v>
      </c>
    </row>
    <row r="35" spans="1:22" x14ac:dyDescent="0.25">
      <c r="A35" t="s">
        <v>7387</v>
      </c>
      <c r="B35" t="s">
        <v>7541</v>
      </c>
      <c r="C35" t="s">
        <v>7753</v>
      </c>
      <c r="D35" t="s">
        <v>7596</v>
      </c>
      <c r="E35" t="s">
        <v>7725</v>
      </c>
      <c r="F35" t="s">
        <v>7758</v>
      </c>
      <c r="G35" t="s">
        <v>7563</v>
      </c>
      <c r="H35" t="s">
        <v>3588</v>
      </c>
      <c r="I35" t="s">
        <v>7586</v>
      </c>
      <c r="J35" t="s">
        <v>7558</v>
      </c>
      <c r="K35" t="s">
        <v>7563</v>
      </c>
      <c r="L35" t="s">
        <v>3577</v>
      </c>
      <c r="M35" t="s">
        <v>3442</v>
      </c>
      <c r="N35" t="s">
        <v>7558</v>
      </c>
      <c r="O35" t="s">
        <v>7563</v>
      </c>
      <c r="P35" t="s">
        <v>7587</v>
      </c>
      <c r="Q35" t="s">
        <v>7767</v>
      </c>
      <c r="R35" t="s">
        <v>7758</v>
      </c>
      <c r="S35" t="s">
        <v>7563</v>
      </c>
      <c r="U35" t="s">
        <v>7557</v>
      </c>
      <c r="V35" t="s">
        <v>7563</v>
      </c>
    </row>
    <row r="36" spans="1:22" x14ac:dyDescent="0.25">
      <c r="A36" t="s">
        <v>7385</v>
      </c>
      <c r="B36" t="s">
        <v>7541</v>
      </c>
      <c r="C36" t="s">
        <v>7753</v>
      </c>
      <c r="D36" t="s">
        <v>7596</v>
      </c>
      <c r="E36" t="s">
        <v>7725</v>
      </c>
      <c r="F36" t="s">
        <v>7758</v>
      </c>
      <c r="G36" t="s">
        <v>7563</v>
      </c>
      <c r="H36" t="s">
        <v>3588</v>
      </c>
      <c r="I36" t="s">
        <v>7586</v>
      </c>
      <c r="J36" t="s">
        <v>7558</v>
      </c>
      <c r="K36" t="s">
        <v>7563</v>
      </c>
      <c r="L36" t="s">
        <v>3577</v>
      </c>
      <c r="M36" t="s">
        <v>3442</v>
      </c>
      <c r="N36" t="s">
        <v>7558</v>
      </c>
      <c r="O36" t="s">
        <v>7563</v>
      </c>
      <c r="P36" t="s">
        <v>7587</v>
      </c>
      <c r="Q36" t="s">
        <v>7767</v>
      </c>
      <c r="R36" t="s">
        <v>7758</v>
      </c>
      <c r="S36" t="s">
        <v>7563</v>
      </c>
      <c r="U36" t="s">
        <v>7610</v>
      </c>
      <c r="V36" t="s">
        <v>7563</v>
      </c>
    </row>
    <row r="37" spans="1:22" x14ac:dyDescent="0.25">
      <c r="A37" t="s">
        <v>7401</v>
      </c>
      <c r="B37" t="s">
        <v>7541</v>
      </c>
      <c r="C37" t="s">
        <v>7753</v>
      </c>
      <c r="D37" t="s">
        <v>7596</v>
      </c>
      <c r="E37" t="s">
        <v>7758</v>
      </c>
      <c r="F37" t="s">
        <v>7768</v>
      </c>
      <c r="G37" t="s">
        <v>7563</v>
      </c>
      <c r="U37" t="s">
        <v>7609</v>
      </c>
      <c r="V37" t="s">
        <v>7563</v>
      </c>
    </row>
    <row r="38" spans="1:22" x14ac:dyDescent="0.25">
      <c r="A38" t="s">
        <v>5449</v>
      </c>
      <c r="B38" t="s">
        <v>7541</v>
      </c>
      <c r="C38" t="s">
        <v>7753</v>
      </c>
      <c r="D38" t="s">
        <v>7596</v>
      </c>
      <c r="E38" t="s">
        <v>7761</v>
      </c>
      <c r="F38" t="s">
        <v>7763</v>
      </c>
      <c r="G38" t="s">
        <v>7563</v>
      </c>
      <c r="U38" t="s">
        <v>7732</v>
      </c>
      <c r="V38" t="s">
        <v>7563</v>
      </c>
    </row>
    <row r="39" spans="1:22" x14ac:dyDescent="0.25">
      <c r="A39" t="s">
        <v>5262</v>
      </c>
      <c r="B39" t="s">
        <v>7541</v>
      </c>
      <c r="C39" t="s">
        <v>7753</v>
      </c>
      <c r="D39" t="s">
        <v>5523</v>
      </c>
      <c r="E39" t="s">
        <v>7603</v>
      </c>
      <c r="F39" t="s">
        <v>7758</v>
      </c>
      <c r="G39" t="s">
        <v>7563</v>
      </c>
      <c r="U39" t="s">
        <v>3447</v>
      </c>
      <c r="V39" t="s">
        <v>7563</v>
      </c>
    </row>
    <row r="40" spans="1:22" x14ac:dyDescent="0.25">
      <c r="A40" t="s">
        <v>7450</v>
      </c>
      <c r="B40" t="s">
        <v>7541</v>
      </c>
      <c r="C40" t="s">
        <v>7753</v>
      </c>
      <c r="D40" t="s">
        <v>7596</v>
      </c>
      <c r="E40" t="s">
        <v>7752</v>
      </c>
      <c r="F40" t="s">
        <v>7758</v>
      </c>
      <c r="G40" t="s">
        <v>7564</v>
      </c>
      <c r="U40" t="s">
        <v>7720</v>
      </c>
      <c r="V40" t="s">
        <v>7563</v>
      </c>
    </row>
    <row r="41" spans="1:22" x14ac:dyDescent="0.25">
      <c r="A41" t="s">
        <v>5276</v>
      </c>
      <c r="B41" t="s">
        <v>7541</v>
      </c>
      <c r="C41" t="s">
        <v>7753</v>
      </c>
      <c r="D41" t="s">
        <v>7596</v>
      </c>
      <c r="E41" t="s">
        <v>7725</v>
      </c>
      <c r="F41" t="s">
        <v>7558</v>
      </c>
      <c r="G41" t="s">
        <v>7563</v>
      </c>
      <c r="H41" t="s">
        <v>3588</v>
      </c>
      <c r="I41" t="s">
        <v>7586</v>
      </c>
      <c r="J41" t="s">
        <v>7558</v>
      </c>
      <c r="K41" t="s">
        <v>7563</v>
      </c>
      <c r="L41" t="s">
        <v>3577</v>
      </c>
      <c r="M41" t="s">
        <v>3442</v>
      </c>
      <c r="N41" t="s">
        <v>7558</v>
      </c>
      <c r="O41" t="s">
        <v>7563</v>
      </c>
      <c r="P41" t="s">
        <v>7587</v>
      </c>
      <c r="Q41" t="s">
        <v>7767</v>
      </c>
      <c r="R41" t="s">
        <v>7558</v>
      </c>
      <c r="S41" t="s">
        <v>7563</v>
      </c>
      <c r="U41" t="s">
        <v>7749</v>
      </c>
      <c r="V41" t="s">
        <v>7564</v>
      </c>
    </row>
    <row r="42" spans="1:22" x14ac:dyDescent="0.25">
      <c r="A42" t="s">
        <v>7392</v>
      </c>
      <c r="B42" t="s">
        <v>7541</v>
      </c>
      <c r="C42" t="s">
        <v>7753</v>
      </c>
      <c r="D42" t="s">
        <v>7596</v>
      </c>
      <c r="E42" t="s">
        <v>7752</v>
      </c>
      <c r="F42" t="s">
        <v>7541</v>
      </c>
      <c r="G42" t="s">
        <v>7563</v>
      </c>
      <c r="U42" t="s">
        <v>7750</v>
      </c>
      <c r="V42" t="s">
        <v>7564</v>
      </c>
    </row>
    <row r="43" spans="1:22" x14ac:dyDescent="0.25">
      <c r="A43" t="s">
        <v>7400</v>
      </c>
      <c r="B43" t="s">
        <v>7541</v>
      </c>
      <c r="C43" t="s">
        <v>7753</v>
      </c>
      <c r="D43" t="s">
        <v>7585</v>
      </c>
      <c r="E43" t="s">
        <v>7556</v>
      </c>
      <c r="F43" t="s">
        <v>7764</v>
      </c>
      <c r="G43" t="s">
        <v>7564</v>
      </c>
      <c r="H43" t="s">
        <v>3588</v>
      </c>
      <c r="I43" t="s">
        <v>7586</v>
      </c>
      <c r="J43" t="s">
        <v>7764</v>
      </c>
      <c r="K43" t="s">
        <v>7564</v>
      </c>
      <c r="L43" t="s">
        <v>3577</v>
      </c>
      <c r="M43" t="s">
        <v>3442</v>
      </c>
      <c r="N43" t="s">
        <v>7764</v>
      </c>
      <c r="O43" t="s">
        <v>7564</v>
      </c>
      <c r="U43" t="s">
        <v>7624</v>
      </c>
      <c r="V43" t="s">
        <v>7563</v>
      </c>
    </row>
    <row r="44" spans="1:22" x14ac:dyDescent="0.25">
      <c r="A44" t="s">
        <v>7380</v>
      </c>
      <c r="B44" t="s">
        <v>7541</v>
      </c>
      <c r="C44" t="s">
        <v>7753</v>
      </c>
      <c r="D44" t="s">
        <v>7596</v>
      </c>
      <c r="E44" t="s">
        <v>7754</v>
      </c>
      <c r="F44" t="s">
        <v>7758</v>
      </c>
      <c r="G44" t="s">
        <v>7563</v>
      </c>
      <c r="U44" t="s">
        <v>7603</v>
      </c>
      <c r="V44" t="s">
        <v>7564</v>
      </c>
    </row>
    <row r="45" spans="1:22" x14ac:dyDescent="0.25">
      <c r="A45" t="s">
        <v>7430</v>
      </c>
      <c r="B45" t="s">
        <v>7541</v>
      </c>
      <c r="C45" t="s">
        <v>7753</v>
      </c>
      <c r="D45" t="s">
        <v>7596</v>
      </c>
      <c r="E45" t="s">
        <v>7725</v>
      </c>
      <c r="F45" t="s">
        <v>7558</v>
      </c>
      <c r="G45" t="s">
        <v>7563</v>
      </c>
      <c r="U45" t="s">
        <v>7602</v>
      </c>
      <c r="V45" t="s">
        <v>7563</v>
      </c>
    </row>
    <row r="46" spans="1:22" x14ac:dyDescent="0.25">
      <c r="A46" t="s">
        <v>159</v>
      </c>
      <c r="B46" t="s">
        <v>7589</v>
      </c>
      <c r="C46" t="s">
        <v>0</v>
      </c>
      <c r="D46" t="s">
        <v>7595</v>
      </c>
      <c r="E46" t="s">
        <v>7590</v>
      </c>
      <c r="F46" t="s">
        <v>7591</v>
      </c>
      <c r="G46" t="s">
        <v>7563</v>
      </c>
      <c r="U46" t="s">
        <v>7726</v>
      </c>
      <c r="V46" t="s">
        <v>7563</v>
      </c>
    </row>
    <row r="47" spans="1:22" x14ac:dyDescent="0.25">
      <c r="A47" t="s">
        <v>3501</v>
      </c>
      <c r="B47" t="s">
        <v>7554</v>
      </c>
      <c r="C47" t="s">
        <v>7491</v>
      </c>
      <c r="D47" t="s">
        <v>3441</v>
      </c>
      <c r="E47" t="s">
        <v>7492</v>
      </c>
      <c r="F47" t="s">
        <v>7728</v>
      </c>
      <c r="G47" t="s">
        <v>7563</v>
      </c>
      <c r="H47" t="s">
        <v>3441</v>
      </c>
      <c r="I47" t="s">
        <v>7546</v>
      </c>
      <c r="J47" t="s">
        <v>7728</v>
      </c>
      <c r="K47" t="s">
        <v>7563</v>
      </c>
      <c r="L47" t="s">
        <v>7596</v>
      </c>
      <c r="M47" t="s">
        <v>7574</v>
      </c>
      <c r="N47" t="s">
        <v>7541</v>
      </c>
      <c r="O47" t="s">
        <v>7563</v>
      </c>
      <c r="U47" t="s">
        <v>7721</v>
      </c>
      <c r="V47" t="s">
        <v>7563</v>
      </c>
    </row>
    <row r="48" spans="1:22" x14ac:dyDescent="0.25">
      <c r="A48" t="s">
        <v>3508</v>
      </c>
      <c r="B48" t="s">
        <v>7554</v>
      </c>
      <c r="C48" t="s">
        <v>7491</v>
      </c>
      <c r="D48" t="s">
        <v>7594</v>
      </c>
      <c r="E48" t="s">
        <v>7719</v>
      </c>
      <c r="F48" t="s">
        <v>7543</v>
      </c>
      <c r="G48" t="s">
        <v>7563</v>
      </c>
      <c r="U48" t="s">
        <v>7727</v>
      </c>
      <c r="V48" t="s">
        <v>7563</v>
      </c>
    </row>
    <row r="49" spans="1:22" x14ac:dyDescent="0.25">
      <c r="A49" t="s">
        <v>3513</v>
      </c>
      <c r="B49" t="s">
        <v>7554</v>
      </c>
      <c r="C49" t="s">
        <v>7491</v>
      </c>
      <c r="D49" t="s">
        <v>3520</v>
      </c>
      <c r="E49" t="s">
        <v>3443</v>
      </c>
      <c r="F49" t="s">
        <v>7728</v>
      </c>
      <c r="G49" t="s">
        <v>7563</v>
      </c>
      <c r="U49" t="s">
        <v>7722</v>
      </c>
      <c r="V49" t="s">
        <v>7563</v>
      </c>
    </row>
    <row r="50" spans="1:22" x14ac:dyDescent="0.25">
      <c r="A50" t="s">
        <v>3522</v>
      </c>
      <c r="B50" t="s">
        <v>7554</v>
      </c>
      <c r="C50" t="s">
        <v>7491</v>
      </c>
      <c r="D50" t="s">
        <v>5523</v>
      </c>
      <c r="E50" t="s">
        <v>7624</v>
      </c>
      <c r="F50" t="s">
        <v>3523</v>
      </c>
      <c r="G50" t="s">
        <v>7563</v>
      </c>
      <c r="H50" t="s">
        <v>7585</v>
      </c>
      <c r="I50" t="s">
        <v>7556</v>
      </c>
      <c r="J50" t="s">
        <v>7544</v>
      </c>
      <c r="K50" t="s">
        <v>7564</v>
      </c>
      <c r="U50" t="s">
        <v>7762</v>
      </c>
      <c r="V50" t="s">
        <v>7564</v>
      </c>
    </row>
    <row r="51" spans="1:22" x14ac:dyDescent="0.25">
      <c r="A51" t="s">
        <v>3528</v>
      </c>
      <c r="B51" t="s">
        <v>7569</v>
      </c>
      <c r="C51" t="s">
        <v>7491</v>
      </c>
      <c r="D51" t="s">
        <v>3441</v>
      </c>
      <c r="E51" t="s">
        <v>7492</v>
      </c>
      <c r="F51" t="s">
        <v>7728</v>
      </c>
      <c r="G51" t="s">
        <v>7563</v>
      </c>
      <c r="H51" t="s">
        <v>3441</v>
      </c>
      <c r="I51" t="s">
        <v>7546</v>
      </c>
      <c r="J51" t="s">
        <v>7728</v>
      </c>
      <c r="K51" t="s">
        <v>7563</v>
      </c>
      <c r="U51" t="s">
        <v>7719</v>
      </c>
      <c r="V51" t="s">
        <v>7563</v>
      </c>
    </row>
    <row r="52" spans="1:22" x14ac:dyDescent="0.25">
      <c r="A52" t="s">
        <v>3533</v>
      </c>
      <c r="B52" t="s">
        <v>7554</v>
      </c>
      <c r="C52" t="s">
        <v>7491</v>
      </c>
      <c r="D52" t="s">
        <v>3448</v>
      </c>
      <c r="E52" t="s">
        <v>7547</v>
      </c>
      <c r="F52" t="s">
        <v>7728</v>
      </c>
      <c r="G52" t="s">
        <v>7563</v>
      </c>
      <c r="H52" t="s">
        <v>3441</v>
      </c>
      <c r="I52" t="s">
        <v>7546</v>
      </c>
      <c r="J52" t="s">
        <v>7545</v>
      </c>
      <c r="K52" t="s">
        <v>7563</v>
      </c>
      <c r="U52" t="s">
        <v>3446</v>
      </c>
      <c r="V52" t="s">
        <v>7563</v>
      </c>
    </row>
    <row r="53" spans="1:22" x14ac:dyDescent="0.25">
      <c r="A53" t="s">
        <v>3539</v>
      </c>
      <c r="B53" t="s">
        <v>7554</v>
      </c>
      <c r="C53" t="s">
        <v>7491</v>
      </c>
      <c r="D53" t="s">
        <v>3448</v>
      </c>
      <c r="E53" t="s">
        <v>7547</v>
      </c>
      <c r="F53" t="s">
        <v>7728</v>
      </c>
      <c r="G53" t="s">
        <v>7563</v>
      </c>
      <c r="H53" t="s">
        <v>3448</v>
      </c>
      <c r="I53" t="s">
        <v>7562</v>
      </c>
      <c r="J53" t="s">
        <v>3523</v>
      </c>
      <c r="K53" t="s">
        <v>7563</v>
      </c>
      <c r="U53" t="s">
        <v>7622</v>
      </c>
      <c r="V53" t="s">
        <v>7563</v>
      </c>
    </row>
    <row r="54" spans="1:22" x14ac:dyDescent="0.25">
      <c r="A54" t="s">
        <v>3467</v>
      </c>
      <c r="B54" t="s">
        <v>3546</v>
      </c>
      <c r="C54" t="s">
        <v>7491</v>
      </c>
      <c r="D54" t="s">
        <v>3441</v>
      </c>
      <c r="E54" t="s">
        <v>7546</v>
      </c>
      <c r="F54" t="s">
        <v>7548</v>
      </c>
      <c r="G54" t="s">
        <v>7563</v>
      </c>
      <c r="U54" t="s">
        <v>7724</v>
      </c>
      <c r="V54" t="s">
        <v>7563</v>
      </c>
    </row>
    <row r="55" spans="1:22" x14ac:dyDescent="0.25">
      <c r="A55" t="s">
        <v>3550</v>
      </c>
      <c r="B55" t="s">
        <v>7554</v>
      </c>
      <c r="C55" t="s">
        <v>7491</v>
      </c>
      <c r="D55" t="s">
        <v>5523</v>
      </c>
      <c r="E55" t="s">
        <v>7624</v>
      </c>
      <c r="F55" t="s">
        <v>3523</v>
      </c>
      <c r="G55" t="s">
        <v>7563</v>
      </c>
      <c r="H55" t="s">
        <v>7549</v>
      </c>
      <c r="I55" t="s">
        <v>7550</v>
      </c>
      <c r="J55" t="s">
        <v>7728</v>
      </c>
      <c r="K55" t="s">
        <v>7563</v>
      </c>
      <c r="U55" t="s">
        <v>7753</v>
      </c>
      <c r="V55" t="s">
        <v>7564</v>
      </c>
    </row>
    <row r="56" spans="1:22" x14ac:dyDescent="0.25">
      <c r="A56" t="s">
        <v>3557</v>
      </c>
      <c r="B56" t="s">
        <v>7555</v>
      </c>
      <c r="C56" t="s">
        <v>7491</v>
      </c>
      <c r="D56" t="s">
        <v>7587</v>
      </c>
      <c r="E56" t="s">
        <v>4245</v>
      </c>
      <c r="F56" t="s">
        <v>7728</v>
      </c>
      <c r="G56" t="s">
        <v>7563</v>
      </c>
      <c r="H56" t="s">
        <v>7585</v>
      </c>
      <c r="I56" t="s">
        <v>7556</v>
      </c>
      <c r="J56" t="s">
        <v>7728</v>
      </c>
      <c r="K56" t="s">
        <v>7563</v>
      </c>
      <c r="U56" t="s">
        <v>7599</v>
      </c>
      <c r="V56" t="s">
        <v>7563</v>
      </c>
    </row>
    <row r="57" spans="1:22" x14ac:dyDescent="0.25">
      <c r="A57" t="s">
        <v>7361</v>
      </c>
      <c r="B57" t="s">
        <v>7554</v>
      </c>
      <c r="C57" t="s">
        <v>7491</v>
      </c>
      <c r="D57" t="s">
        <v>7551</v>
      </c>
      <c r="E57" t="s">
        <v>7557</v>
      </c>
      <c r="F57" t="s">
        <v>7728</v>
      </c>
      <c r="G57" t="s">
        <v>7563</v>
      </c>
      <c r="U57" t="s">
        <v>7757</v>
      </c>
      <c r="V57" t="s">
        <v>7564</v>
      </c>
    </row>
    <row r="58" spans="1:22" x14ac:dyDescent="0.25">
      <c r="A58" t="s">
        <v>3563</v>
      </c>
      <c r="B58" t="s">
        <v>7554</v>
      </c>
      <c r="C58" t="s">
        <v>7491</v>
      </c>
      <c r="D58" t="s">
        <v>3441</v>
      </c>
      <c r="E58" t="s">
        <v>7546</v>
      </c>
      <c r="F58" t="s">
        <v>7558</v>
      </c>
      <c r="G58" t="s">
        <v>7563</v>
      </c>
      <c r="U58" t="s">
        <v>7759</v>
      </c>
      <c r="V58" t="s">
        <v>7564</v>
      </c>
    </row>
    <row r="59" spans="1:22" x14ac:dyDescent="0.25">
      <c r="A59" t="s">
        <v>3569</v>
      </c>
      <c r="B59" t="s">
        <v>7554</v>
      </c>
      <c r="C59" t="s">
        <v>7491</v>
      </c>
      <c r="D59" t="s">
        <v>3520</v>
      </c>
      <c r="E59" t="s">
        <v>5678</v>
      </c>
      <c r="F59" t="s">
        <v>3523</v>
      </c>
      <c r="G59" t="s">
        <v>7563</v>
      </c>
      <c r="U59" t="s">
        <v>7760</v>
      </c>
      <c r="V59" t="s">
        <v>7563</v>
      </c>
    </row>
    <row r="60" spans="1:22" x14ac:dyDescent="0.25">
      <c r="A60" t="s">
        <v>3573</v>
      </c>
      <c r="B60" t="s">
        <v>7554</v>
      </c>
      <c r="C60" t="s">
        <v>7491</v>
      </c>
      <c r="D60" t="s">
        <v>7587</v>
      </c>
      <c r="E60" t="s">
        <v>3451</v>
      </c>
      <c r="F60" t="s">
        <v>7560</v>
      </c>
      <c r="G60" t="s">
        <v>7563</v>
      </c>
      <c r="U60" t="s">
        <v>7758</v>
      </c>
      <c r="V60" t="s">
        <v>7564</v>
      </c>
    </row>
    <row r="61" spans="1:22" x14ac:dyDescent="0.25">
      <c r="A61" t="s">
        <v>3578</v>
      </c>
      <c r="B61" t="s">
        <v>7554</v>
      </c>
      <c r="C61" t="s">
        <v>7491</v>
      </c>
      <c r="D61" t="s">
        <v>7596</v>
      </c>
      <c r="E61" t="s">
        <v>7566</v>
      </c>
      <c r="F61" t="s">
        <v>7565</v>
      </c>
      <c r="G61" t="s">
        <v>7563</v>
      </c>
      <c r="U61" t="s">
        <v>7761</v>
      </c>
      <c r="V61" t="s">
        <v>7564</v>
      </c>
    </row>
    <row r="62" spans="1:22" x14ac:dyDescent="0.25">
      <c r="A62" t="s">
        <v>3471</v>
      </c>
      <c r="B62" t="s">
        <v>7559</v>
      </c>
      <c r="C62" t="s">
        <v>7491</v>
      </c>
      <c r="D62" t="s">
        <v>3520</v>
      </c>
      <c r="E62" t="s">
        <v>3447</v>
      </c>
      <c r="F62" t="s">
        <v>7565</v>
      </c>
      <c r="G62" t="s">
        <v>7563</v>
      </c>
      <c r="U62" t="s">
        <v>7766</v>
      </c>
      <c r="V62" t="s">
        <v>7564</v>
      </c>
    </row>
    <row r="63" spans="1:22" x14ac:dyDescent="0.25">
      <c r="A63" t="s">
        <v>3584</v>
      </c>
      <c r="B63" t="s">
        <v>7554</v>
      </c>
      <c r="C63" t="s">
        <v>7491</v>
      </c>
      <c r="D63" t="s">
        <v>3588</v>
      </c>
      <c r="E63" t="s">
        <v>7583</v>
      </c>
      <c r="F63" t="s">
        <v>7567</v>
      </c>
      <c r="G63" t="s">
        <v>7563</v>
      </c>
      <c r="U63" t="s">
        <v>7767</v>
      </c>
      <c r="V63" t="s">
        <v>7564</v>
      </c>
    </row>
    <row r="64" spans="1:22" x14ac:dyDescent="0.25">
      <c r="A64" t="s">
        <v>3589</v>
      </c>
      <c r="B64" t="s">
        <v>7554</v>
      </c>
      <c r="C64" t="s">
        <v>7491</v>
      </c>
      <c r="D64" t="s">
        <v>3520</v>
      </c>
      <c r="E64" t="s">
        <v>5678</v>
      </c>
      <c r="F64" t="s">
        <v>3523</v>
      </c>
      <c r="G64" t="s">
        <v>7563</v>
      </c>
      <c r="H64" t="s">
        <v>7585</v>
      </c>
      <c r="I64" t="s">
        <v>7556</v>
      </c>
      <c r="J64" t="s">
        <v>7544</v>
      </c>
      <c r="K64" t="s">
        <v>7564</v>
      </c>
    </row>
    <row r="65" spans="1:11" x14ac:dyDescent="0.25">
      <c r="A65" t="s">
        <v>131</v>
      </c>
      <c r="B65" t="s">
        <v>7568</v>
      </c>
      <c r="C65" t="s">
        <v>7491</v>
      </c>
      <c r="D65" t="s">
        <v>3577</v>
      </c>
      <c r="E65" t="s">
        <v>3442</v>
      </c>
      <c r="F65" t="s">
        <v>7558</v>
      </c>
      <c r="G65" t="s">
        <v>7563</v>
      </c>
    </row>
    <row r="66" spans="1:11" x14ac:dyDescent="0.25">
      <c r="A66" t="s">
        <v>3597</v>
      </c>
      <c r="B66" t="s">
        <v>7554</v>
      </c>
      <c r="C66" t="s">
        <v>7491</v>
      </c>
      <c r="D66" t="s">
        <v>3441</v>
      </c>
      <c r="E66" t="s">
        <v>7492</v>
      </c>
      <c r="F66" t="s">
        <v>7728</v>
      </c>
      <c r="G66" t="s">
        <v>7563</v>
      </c>
    </row>
    <row r="67" spans="1:11" x14ac:dyDescent="0.25">
      <c r="A67" t="s">
        <v>3601</v>
      </c>
      <c r="B67" t="s">
        <v>7554</v>
      </c>
      <c r="C67" t="s">
        <v>7491</v>
      </c>
      <c r="D67" t="s">
        <v>3448</v>
      </c>
      <c r="E67" t="s">
        <v>7547</v>
      </c>
      <c r="F67" t="s">
        <v>7728</v>
      </c>
      <c r="G67" t="s">
        <v>7563</v>
      </c>
      <c r="H67" t="s">
        <v>7731</v>
      </c>
      <c r="I67" t="s">
        <v>7575</v>
      </c>
      <c r="J67" t="s">
        <v>7545</v>
      </c>
      <c r="K67" t="s">
        <v>7563</v>
      </c>
    </row>
    <row r="68" spans="1:11" x14ac:dyDescent="0.25">
      <c r="A68" t="s">
        <v>3605</v>
      </c>
      <c r="B68" t="s">
        <v>7569</v>
      </c>
      <c r="C68" t="s">
        <v>7491</v>
      </c>
      <c r="D68" t="s">
        <v>3441</v>
      </c>
      <c r="E68" t="s">
        <v>7546</v>
      </c>
      <c r="F68" t="s">
        <v>7728</v>
      </c>
      <c r="G68" t="s">
        <v>7564</v>
      </c>
      <c r="H68" t="s">
        <v>3577</v>
      </c>
      <c r="I68" t="s">
        <v>3442</v>
      </c>
      <c r="J68" t="s">
        <v>7565</v>
      </c>
      <c r="K68" t="s">
        <v>7563</v>
      </c>
    </row>
    <row r="69" spans="1:11" x14ac:dyDescent="0.25">
      <c r="A69" t="s">
        <v>3610</v>
      </c>
      <c r="B69" t="s">
        <v>7554</v>
      </c>
      <c r="C69" t="s">
        <v>7491</v>
      </c>
      <c r="D69" t="s">
        <v>3582</v>
      </c>
      <c r="E69" t="s">
        <v>7577</v>
      </c>
      <c r="F69" t="s">
        <v>7548</v>
      </c>
      <c r="G69" t="s">
        <v>7563</v>
      </c>
    </row>
    <row r="70" spans="1:11" x14ac:dyDescent="0.25">
      <c r="A70" t="s">
        <v>3613</v>
      </c>
      <c r="B70" t="s">
        <v>7555</v>
      </c>
      <c r="C70" t="s">
        <v>7491</v>
      </c>
      <c r="D70" t="s">
        <v>7585</v>
      </c>
      <c r="E70" t="s">
        <v>7556</v>
      </c>
      <c r="F70" t="s">
        <v>7598</v>
      </c>
      <c r="G70" t="s">
        <v>7563</v>
      </c>
    </row>
    <row r="71" spans="1:11" x14ac:dyDescent="0.25">
      <c r="A71" t="s">
        <v>3618</v>
      </c>
      <c r="B71" t="s">
        <v>7554</v>
      </c>
      <c r="C71" t="s">
        <v>7491</v>
      </c>
      <c r="D71" t="s">
        <v>3520</v>
      </c>
      <c r="E71" t="s">
        <v>5678</v>
      </c>
      <c r="F71" t="s">
        <v>3523</v>
      </c>
      <c r="G71" t="s">
        <v>7563</v>
      </c>
      <c r="H71" t="s">
        <v>7549</v>
      </c>
      <c r="I71" t="s">
        <v>7599</v>
      </c>
      <c r="J71" t="s">
        <v>3523</v>
      </c>
      <c r="K71" t="s">
        <v>7563</v>
      </c>
    </row>
    <row r="72" spans="1:11" x14ac:dyDescent="0.25">
      <c r="A72" t="s">
        <v>3623</v>
      </c>
      <c r="B72" t="s">
        <v>7554</v>
      </c>
      <c r="C72" t="s">
        <v>7491</v>
      </c>
      <c r="D72" t="s">
        <v>3520</v>
      </c>
      <c r="E72" t="s">
        <v>5678</v>
      </c>
      <c r="F72" t="s">
        <v>3523</v>
      </c>
      <c r="G72" t="s">
        <v>7563</v>
      </c>
      <c r="H72" t="s">
        <v>7585</v>
      </c>
      <c r="I72" t="s">
        <v>7556</v>
      </c>
      <c r="J72" t="s">
        <v>7544</v>
      </c>
      <c r="K72" t="s">
        <v>7564</v>
      </c>
    </row>
    <row r="73" spans="1:11" x14ac:dyDescent="0.25">
      <c r="A73" t="s">
        <v>3628</v>
      </c>
      <c r="B73" t="s">
        <v>7554</v>
      </c>
      <c r="C73" t="s">
        <v>7491</v>
      </c>
      <c r="D73" t="s">
        <v>3441</v>
      </c>
      <c r="E73" t="s">
        <v>7492</v>
      </c>
      <c r="F73" t="s">
        <v>7728</v>
      </c>
      <c r="G73" t="s">
        <v>7563</v>
      </c>
      <c r="H73" t="s">
        <v>3441</v>
      </c>
      <c r="I73" t="s">
        <v>7546</v>
      </c>
      <c r="J73" t="s">
        <v>7728</v>
      </c>
      <c r="K73" t="s">
        <v>7563</v>
      </c>
    </row>
    <row r="74" spans="1:11" x14ac:dyDescent="0.25">
      <c r="A74" t="s">
        <v>3631</v>
      </c>
      <c r="B74" t="s">
        <v>7554</v>
      </c>
      <c r="C74" t="s">
        <v>7491</v>
      </c>
      <c r="D74" t="s">
        <v>3441</v>
      </c>
      <c r="E74" t="s">
        <v>7492</v>
      </c>
      <c r="F74" t="s">
        <v>7728</v>
      </c>
      <c r="G74" t="s">
        <v>7563</v>
      </c>
      <c r="H74" t="s">
        <v>3441</v>
      </c>
      <c r="I74" t="s">
        <v>7546</v>
      </c>
      <c r="J74" t="s">
        <v>7728</v>
      </c>
      <c r="K74" t="s">
        <v>7563</v>
      </c>
    </row>
    <row r="75" spans="1:11" x14ac:dyDescent="0.25">
      <c r="A75" t="s">
        <v>3635</v>
      </c>
      <c r="B75" t="s">
        <v>7554</v>
      </c>
      <c r="C75" t="s">
        <v>7491</v>
      </c>
      <c r="D75" t="s">
        <v>3441</v>
      </c>
      <c r="E75" t="s">
        <v>7546</v>
      </c>
      <c r="F75" t="s">
        <v>7548</v>
      </c>
      <c r="G75" t="s">
        <v>7563</v>
      </c>
    </row>
    <row r="76" spans="1:11" x14ac:dyDescent="0.25">
      <c r="A76" t="s">
        <v>3640</v>
      </c>
      <c r="B76" t="s">
        <v>7554</v>
      </c>
      <c r="C76" t="s">
        <v>7491</v>
      </c>
      <c r="D76" t="s">
        <v>3582</v>
      </c>
      <c r="E76" t="s">
        <v>7600</v>
      </c>
      <c r="F76" t="s">
        <v>7728</v>
      </c>
      <c r="G76" t="s">
        <v>7563</v>
      </c>
      <c r="H76" t="s">
        <v>3582</v>
      </c>
      <c r="I76" t="s">
        <v>7601</v>
      </c>
      <c r="J76" t="s">
        <v>7728</v>
      </c>
      <c r="K76" t="s">
        <v>7563</v>
      </c>
    </row>
    <row r="77" spans="1:11" x14ac:dyDescent="0.25">
      <c r="A77" t="s">
        <v>3645</v>
      </c>
      <c r="B77" t="s">
        <v>7554</v>
      </c>
      <c r="C77" t="s">
        <v>7491</v>
      </c>
      <c r="D77" t="s">
        <v>7549</v>
      </c>
      <c r="E77" t="s">
        <v>7550</v>
      </c>
      <c r="F77" t="s">
        <v>7565</v>
      </c>
      <c r="G77" t="s">
        <v>7563</v>
      </c>
    </row>
    <row r="78" spans="1:11" x14ac:dyDescent="0.25">
      <c r="A78" t="s">
        <v>3650</v>
      </c>
      <c r="B78" t="s">
        <v>7554</v>
      </c>
      <c r="C78" t="s">
        <v>7491</v>
      </c>
      <c r="D78" t="s">
        <v>7549</v>
      </c>
      <c r="E78" t="s">
        <v>7550</v>
      </c>
      <c r="F78" t="s">
        <v>7728</v>
      </c>
      <c r="G78" t="s">
        <v>7563</v>
      </c>
    </row>
    <row r="79" spans="1:11" x14ac:dyDescent="0.25">
      <c r="A79" t="s">
        <v>3655</v>
      </c>
      <c r="B79" t="s">
        <v>7554</v>
      </c>
      <c r="C79" t="s">
        <v>7491</v>
      </c>
      <c r="D79" t="s">
        <v>5523</v>
      </c>
      <c r="E79" t="s">
        <v>7626</v>
      </c>
      <c r="F79" t="s">
        <v>3523</v>
      </c>
      <c r="G79" t="s">
        <v>7563</v>
      </c>
    </row>
    <row r="80" spans="1:11" x14ac:dyDescent="0.25">
      <c r="A80" t="s">
        <v>4745</v>
      </c>
      <c r="B80" t="s">
        <v>7554</v>
      </c>
      <c r="C80" t="s">
        <v>7491</v>
      </c>
      <c r="D80" t="s">
        <v>3577</v>
      </c>
      <c r="E80" t="s">
        <v>3442</v>
      </c>
      <c r="F80" t="s">
        <v>7728</v>
      </c>
      <c r="G80" t="s">
        <v>7563</v>
      </c>
    </row>
    <row r="81" spans="1:15" x14ac:dyDescent="0.25">
      <c r="A81" t="s">
        <v>3661</v>
      </c>
      <c r="B81" t="s">
        <v>7555</v>
      </c>
      <c r="C81" t="s">
        <v>7491</v>
      </c>
      <c r="D81" t="s">
        <v>5523</v>
      </c>
      <c r="E81" t="s">
        <v>7603</v>
      </c>
      <c r="F81" t="s">
        <v>3523</v>
      </c>
      <c r="G81" t="s">
        <v>7563</v>
      </c>
      <c r="H81" t="s">
        <v>3582</v>
      </c>
      <c r="I81" t="s">
        <v>7601</v>
      </c>
      <c r="J81" t="s">
        <v>7728</v>
      </c>
      <c r="K81" t="s">
        <v>7563</v>
      </c>
    </row>
    <row r="82" spans="1:15" x14ac:dyDescent="0.25">
      <c r="A82" t="s">
        <v>3665</v>
      </c>
      <c r="B82" t="s">
        <v>7554</v>
      </c>
      <c r="C82" t="s">
        <v>7491</v>
      </c>
      <c r="D82" t="s">
        <v>3577</v>
      </c>
      <c r="E82" t="s">
        <v>3442</v>
      </c>
      <c r="F82" t="s">
        <v>7604</v>
      </c>
      <c r="G82" t="s">
        <v>7563</v>
      </c>
    </row>
    <row r="83" spans="1:15" x14ac:dyDescent="0.25">
      <c r="A83" t="s">
        <v>3481</v>
      </c>
      <c r="B83" t="s">
        <v>7605</v>
      </c>
      <c r="C83" t="s">
        <v>7491</v>
      </c>
      <c r="D83" t="s">
        <v>3441</v>
      </c>
      <c r="E83" t="s">
        <v>7546</v>
      </c>
      <c r="F83" t="s">
        <v>7548</v>
      </c>
      <c r="G83" t="s">
        <v>7563</v>
      </c>
    </row>
    <row r="84" spans="1:15" x14ac:dyDescent="0.25">
      <c r="A84" t="s">
        <v>3671</v>
      </c>
      <c r="B84" t="s">
        <v>7554</v>
      </c>
      <c r="C84" t="s">
        <v>7491</v>
      </c>
      <c r="D84" t="s">
        <v>7731</v>
      </c>
      <c r="E84" t="s">
        <v>7575</v>
      </c>
      <c r="F84" t="s">
        <v>7565</v>
      </c>
      <c r="G84" t="s">
        <v>7563</v>
      </c>
    </row>
    <row r="85" spans="1:15" x14ac:dyDescent="0.25">
      <c r="A85" t="s">
        <v>7363</v>
      </c>
      <c r="B85" t="s">
        <v>7554</v>
      </c>
      <c r="C85" t="s">
        <v>7491</v>
      </c>
      <c r="D85" t="s">
        <v>5523</v>
      </c>
      <c r="E85" t="s">
        <v>7602</v>
      </c>
      <c r="F85" t="s">
        <v>7606</v>
      </c>
      <c r="G85" t="s">
        <v>7563</v>
      </c>
    </row>
    <row r="86" spans="1:15" x14ac:dyDescent="0.25">
      <c r="A86" t="s">
        <v>7372</v>
      </c>
      <c r="B86" t="s">
        <v>7554</v>
      </c>
      <c r="C86" t="s">
        <v>7491</v>
      </c>
      <c r="D86" t="s">
        <v>7594</v>
      </c>
      <c r="E86" t="s">
        <v>7719</v>
      </c>
      <c r="F86" t="s">
        <v>7607</v>
      </c>
      <c r="G86" t="s">
        <v>7563</v>
      </c>
    </row>
    <row r="87" spans="1:15" x14ac:dyDescent="0.25">
      <c r="A87" t="s">
        <v>3681</v>
      </c>
      <c r="B87" t="s">
        <v>7555</v>
      </c>
      <c r="C87" t="s">
        <v>7491</v>
      </c>
      <c r="D87" t="s">
        <v>7608</v>
      </c>
      <c r="E87" t="s">
        <v>7609</v>
      </c>
      <c r="F87" t="s">
        <v>3523</v>
      </c>
      <c r="G87" t="s">
        <v>7564</v>
      </c>
      <c r="H87" t="s">
        <v>3582</v>
      </c>
      <c r="I87" t="s">
        <v>7601</v>
      </c>
      <c r="J87" t="s">
        <v>7728</v>
      </c>
      <c r="K87" t="s">
        <v>7563</v>
      </c>
    </row>
    <row r="88" spans="1:15" x14ac:dyDescent="0.25">
      <c r="A88" t="s">
        <v>3685</v>
      </c>
      <c r="B88" t="s">
        <v>7555</v>
      </c>
      <c r="C88" t="s">
        <v>7491</v>
      </c>
      <c r="D88" t="s">
        <v>7551</v>
      </c>
      <c r="E88" t="s">
        <v>7610</v>
      </c>
      <c r="F88" t="s">
        <v>3523</v>
      </c>
      <c r="G88" t="s">
        <v>7563</v>
      </c>
    </row>
    <row r="89" spans="1:15" x14ac:dyDescent="0.25">
      <c r="A89" t="s">
        <v>3690</v>
      </c>
      <c r="B89" t="s">
        <v>7554</v>
      </c>
      <c r="C89" t="s">
        <v>7491</v>
      </c>
      <c r="D89" t="s">
        <v>3520</v>
      </c>
      <c r="E89" t="s">
        <v>3446</v>
      </c>
      <c r="F89" t="s">
        <v>7611</v>
      </c>
      <c r="G89" t="s">
        <v>7563</v>
      </c>
    </row>
    <row r="90" spans="1:15" x14ac:dyDescent="0.25">
      <c r="A90" t="s">
        <v>3694</v>
      </c>
      <c r="B90" t="s">
        <v>7554</v>
      </c>
      <c r="C90" t="s">
        <v>7491</v>
      </c>
      <c r="D90" t="s">
        <v>7731</v>
      </c>
      <c r="E90" t="s">
        <v>7575</v>
      </c>
      <c r="F90" t="s">
        <v>7565</v>
      </c>
      <c r="G90" t="s">
        <v>7563</v>
      </c>
    </row>
    <row r="91" spans="1:15" x14ac:dyDescent="0.25">
      <c r="A91" t="s">
        <v>3699</v>
      </c>
      <c r="B91" t="s">
        <v>7554</v>
      </c>
      <c r="C91" t="s">
        <v>7491</v>
      </c>
      <c r="D91" t="s">
        <v>3448</v>
      </c>
      <c r="E91" t="s">
        <v>7547</v>
      </c>
      <c r="F91" t="s">
        <v>7728</v>
      </c>
      <c r="G91" t="s">
        <v>7563</v>
      </c>
      <c r="H91" t="s">
        <v>7731</v>
      </c>
      <c r="I91" t="s">
        <v>7622</v>
      </c>
      <c r="J91" t="s">
        <v>7545</v>
      </c>
      <c r="K91" t="s">
        <v>7563</v>
      </c>
    </row>
    <row r="92" spans="1:15" x14ac:dyDescent="0.25">
      <c r="A92" t="s">
        <v>3702</v>
      </c>
      <c r="B92" t="s">
        <v>7554</v>
      </c>
      <c r="C92" t="s">
        <v>7491</v>
      </c>
      <c r="D92" t="s">
        <v>3441</v>
      </c>
      <c r="E92" t="s">
        <v>7492</v>
      </c>
      <c r="F92" t="s">
        <v>7728</v>
      </c>
      <c r="G92" t="s">
        <v>7563</v>
      </c>
      <c r="H92" t="s">
        <v>3441</v>
      </c>
      <c r="I92" t="s">
        <v>7546</v>
      </c>
      <c r="J92" t="s">
        <v>7728</v>
      </c>
      <c r="K92" t="s">
        <v>7563</v>
      </c>
      <c r="L92" t="s">
        <v>3520</v>
      </c>
      <c r="M92" t="s">
        <v>3443</v>
      </c>
      <c r="N92" t="s">
        <v>7728</v>
      </c>
      <c r="O92" t="s">
        <v>7563</v>
      </c>
    </row>
    <row r="93" spans="1:15" x14ac:dyDescent="0.25">
      <c r="A93" t="s">
        <v>3707</v>
      </c>
      <c r="B93" t="s">
        <v>7554</v>
      </c>
      <c r="C93" t="s">
        <v>7491</v>
      </c>
      <c r="D93" t="s">
        <v>3520</v>
      </c>
      <c r="E93" t="s">
        <v>3443</v>
      </c>
      <c r="F93" t="s">
        <v>7728</v>
      </c>
      <c r="G93" t="s">
        <v>7563</v>
      </c>
      <c r="H93" t="s">
        <v>5523</v>
      </c>
      <c r="I93" t="s">
        <v>7624</v>
      </c>
      <c r="J93" t="s">
        <v>3523</v>
      </c>
      <c r="K93" t="s">
        <v>7563</v>
      </c>
    </row>
    <row r="94" spans="1:15" x14ac:dyDescent="0.25">
      <c r="A94" t="s">
        <v>3712</v>
      </c>
      <c r="B94" t="s">
        <v>7554</v>
      </c>
      <c r="C94" t="s">
        <v>7491</v>
      </c>
      <c r="D94" t="s">
        <v>7554</v>
      </c>
      <c r="E94" t="s">
        <v>7625</v>
      </c>
      <c r="F94" t="s">
        <v>3523</v>
      </c>
      <c r="G94" t="s">
        <v>7563</v>
      </c>
    </row>
    <row r="95" spans="1:15" x14ac:dyDescent="0.25">
      <c r="A95" t="s">
        <v>3716</v>
      </c>
      <c r="B95" t="s">
        <v>7554</v>
      </c>
      <c r="C95" t="s">
        <v>7491</v>
      </c>
      <c r="D95" t="s">
        <v>7585</v>
      </c>
      <c r="E95" t="s">
        <v>7556</v>
      </c>
      <c r="F95" t="s">
        <v>7589</v>
      </c>
      <c r="G95" t="s">
        <v>7563</v>
      </c>
    </row>
    <row r="96" spans="1:15" x14ac:dyDescent="0.25">
      <c r="A96" t="s">
        <v>3721</v>
      </c>
      <c r="B96" t="s">
        <v>7554</v>
      </c>
      <c r="C96" t="s">
        <v>7491</v>
      </c>
      <c r="D96" t="s">
        <v>5523</v>
      </c>
      <c r="E96" t="s">
        <v>7602</v>
      </c>
      <c r="F96" t="s">
        <v>3523</v>
      </c>
      <c r="G96" t="s">
        <v>7563</v>
      </c>
    </row>
    <row r="97" spans="1:15" x14ac:dyDescent="0.25">
      <c r="A97" t="s">
        <v>7366</v>
      </c>
      <c r="B97" t="s">
        <v>7554</v>
      </c>
      <c r="C97" t="s">
        <v>7491</v>
      </c>
      <c r="D97" t="s">
        <v>7551</v>
      </c>
      <c r="E97" t="s">
        <v>7557</v>
      </c>
      <c r="F97" t="s">
        <v>7589</v>
      </c>
      <c r="G97" t="s">
        <v>7563</v>
      </c>
    </row>
    <row r="98" spans="1:15" x14ac:dyDescent="0.25">
      <c r="A98" t="s">
        <v>3729</v>
      </c>
      <c r="B98" t="s">
        <v>7554</v>
      </c>
      <c r="C98" t="s">
        <v>7491</v>
      </c>
      <c r="D98" t="s">
        <v>3577</v>
      </c>
      <c r="E98" t="s">
        <v>3442</v>
      </c>
      <c r="F98" t="s">
        <v>7565</v>
      </c>
      <c r="G98" t="s">
        <v>7563</v>
      </c>
    </row>
    <row r="99" spans="1:15" x14ac:dyDescent="0.25">
      <c r="A99" t="s">
        <v>4233</v>
      </c>
      <c r="B99" t="s">
        <v>7756</v>
      </c>
      <c r="C99" t="s">
        <v>7573</v>
      </c>
      <c r="D99" t="s">
        <v>3577</v>
      </c>
      <c r="E99" t="s">
        <v>3442</v>
      </c>
      <c r="F99" t="s">
        <v>7592</v>
      </c>
      <c r="G99" t="s">
        <v>7563</v>
      </c>
      <c r="H99" t="s">
        <v>3441</v>
      </c>
      <c r="I99" t="s">
        <v>7546</v>
      </c>
      <c r="J99" t="s">
        <v>7588</v>
      </c>
      <c r="K99" t="s">
        <v>7564</v>
      </c>
      <c r="L99" t="s">
        <v>3441</v>
      </c>
      <c r="M99" t="s">
        <v>7546</v>
      </c>
      <c r="N99" t="s">
        <v>7545</v>
      </c>
      <c r="O99" t="s">
        <v>7563</v>
      </c>
    </row>
    <row r="100" spans="1:15" x14ac:dyDescent="0.25">
      <c r="A100" t="s">
        <v>4240</v>
      </c>
      <c r="B100" t="s">
        <v>7755</v>
      </c>
      <c r="C100" t="s">
        <v>7573</v>
      </c>
      <c r="D100" t="s">
        <v>3577</v>
      </c>
      <c r="E100" t="s">
        <v>3442</v>
      </c>
      <c r="F100" t="s">
        <v>7588</v>
      </c>
      <c r="G100" t="s">
        <v>7564</v>
      </c>
      <c r="H100" t="s">
        <v>3577</v>
      </c>
      <c r="I100" t="s">
        <v>3442</v>
      </c>
      <c r="J100" t="s">
        <v>7545</v>
      </c>
      <c r="K100" t="s">
        <v>7563</v>
      </c>
    </row>
    <row r="101" spans="1:15" x14ac:dyDescent="0.25">
      <c r="A101" t="s">
        <v>4130</v>
      </c>
      <c r="B101" t="s">
        <v>7597</v>
      </c>
      <c r="C101" t="s">
        <v>7538</v>
      </c>
      <c r="D101" t="s">
        <v>7627</v>
      </c>
      <c r="E101" t="s">
        <v>7732</v>
      </c>
      <c r="F101" t="s">
        <v>7733</v>
      </c>
      <c r="G101" t="s">
        <v>7563</v>
      </c>
    </row>
    <row r="102" spans="1:15" x14ac:dyDescent="0.25">
      <c r="A102" t="s">
        <v>4022</v>
      </c>
      <c r="B102" t="s">
        <v>7597</v>
      </c>
      <c r="C102" t="s">
        <v>7538</v>
      </c>
      <c r="D102" t="s">
        <v>7587</v>
      </c>
      <c r="E102" t="s">
        <v>4245</v>
      </c>
      <c r="F102" t="s">
        <v>7733</v>
      </c>
      <c r="G102" t="s">
        <v>7563</v>
      </c>
      <c r="H102" t="s">
        <v>3588</v>
      </c>
      <c r="I102" t="s">
        <v>7724</v>
      </c>
      <c r="J102" t="s">
        <v>7733</v>
      </c>
      <c r="K102" t="s">
        <v>7564</v>
      </c>
    </row>
    <row r="103" spans="1:15" x14ac:dyDescent="0.25">
      <c r="A103" t="s">
        <v>4141</v>
      </c>
      <c r="B103" t="s">
        <v>7597</v>
      </c>
      <c r="C103" t="s">
        <v>7538</v>
      </c>
      <c r="D103" t="s">
        <v>3441</v>
      </c>
      <c r="E103" t="s">
        <v>7546</v>
      </c>
      <c r="F103" t="s">
        <v>7733</v>
      </c>
      <c r="G103" t="s">
        <v>7564</v>
      </c>
    </row>
    <row r="104" spans="1:15" x14ac:dyDescent="0.25">
      <c r="A104" t="s">
        <v>4152</v>
      </c>
      <c r="B104" t="s">
        <v>7597</v>
      </c>
      <c r="C104" t="s">
        <v>7538</v>
      </c>
      <c r="D104" t="s">
        <v>7594</v>
      </c>
      <c r="E104" t="s">
        <v>7720</v>
      </c>
      <c r="F104" t="s">
        <v>7733</v>
      </c>
      <c r="G104" t="s">
        <v>7563</v>
      </c>
    </row>
    <row r="105" spans="1:15" x14ac:dyDescent="0.25">
      <c r="A105" t="s">
        <v>4147</v>
      </c>
      <c r="B105" t="s">
        <v>7597</v>
      </c>
      <c r="C105" t="s">
        <v>7538</v>
      </c>
      <c r="D105" t="s">
        <v>3441</v>
      </c>
      <c r="E105" t="s">
        <v>7546</v>
      </c>
      <c r="F105" t="s">
        <v>7733</v>
      </c>
      <c r="G105" t="s">
        <v>7563</v>
      </c>
    </row>
    <row r="106" spans="1:15" x14ac:dyDescent="0.25">
      <c r="A106" t="s">
        <v>4136</v>
      </c>
      <c r="B106" t="s">
        <v>7597</v>
      </c>
      <c r="C106" t="s">
        <v>7538</v>
      </c>
      <c r="D106" t="s">
        <v>3441</v>
      </c>
      <c r="E106" t="s">
        <v>7492</v>
      </c>
      <c r="F106" t="s">
        <v>7733</v>
      </c>
      <c r="G106" t="s">
        <v>7564</v>
      </c>
    </row>
    <row r="107" spans="1:15" x14ac:dyDescent="0.25">
      <c r="A107" t="s">
        <v>4133</v>
      </c>
      <c r="B107" t="s">
        <v>7597</v>
      </c>
      <c r="C107" t="s">
        <v>7538</v>
      </c>
      <c r="D107" t="s">
        <v>3441</v>
      </c>
      <c r="E107" t="s">
        <v>7492</v>
      </c>
      <c r="F107" t="s">
        <v>7733</v>
      </c>
      <c r="G107" t="s">
        <v>7563</v>
      </c>
    </row>
    <row r="108" spans="1:15" x14ac:dyDescent="0.25">
      <c r="A108" t="s">
        <v>4122</v>
      </c>
      <c r="B108" t="s">
        <v>7597</v>
      </c>
      <c r="C108" t="s">
        <v>7538</v>
      </c>
      <c r="D108" t="s">
        <v>3520</v>
      </c>
      <c r="E108" t="s">
        <v>5678</v>
      </c>
      <c r="F108" t="s">
        <v>7733</v>
      </c>
      <c r="G108" t="s">
        <v>7564</v>
      </c>
    </row>
    <row r="109" spans="1:15" x14ac:dyDescent="0.25">
      <c r="A109" t="s">
        <v>4118</v>
      </c>
      <c r="B109" t="s">
        <v>7597</v>
      </c>
      <c r="C109" t="s">
        <v>7538</v>
      </c>
      <c r="D109" t="s">
        <v>3520</v>
      </c>
      <c r="E109" t="s">
        <v>5678</v>
      </c>
      <c r="F109" t="s">
        <v>7733</v>
      </c>
      <c r="G109" t="s">
        <v>7563</v>
      </c>
    </row>
    <row r="110" spans="1:15" x14ac:dyDescent="0.25">
      <c r="A110" t="s">
        <v>4127</v>
      </c>
      <c r="B110" t="s">
        <v>7597</v>
      </c>
      <c r="C110" t="s">
        <v>7538</v>
      </c>
      <c r="D110" t="s">
        <v>3680</v>
      </c>
      <c r="E110" t="s">
        <v>7727</v>
      </c>
      <c r="F110" t="s">
        <v>7733</v>
      </c>
      <c r="G110" t="s">
        <v>7563</v>
      </c>
    </row>
    <row r="111" spans="1:15" x14ac:dyDescent="0.25">
      <c r="A111" t="s">
        <v>4163</v>
      </c>
      <c r="B111" t="s">
        <v>7597</v>
      </c>
      <c r="C111" t="s">
        <v>7737</v>
      </c>
      <c r="D111" t="s">
        <v>7594</v>
      </c>
      <c r="E111" t="s">
        <v>7720</v>
      </c>
      <c r="F111" t="s">
        <v>7606</v>
      </c>
      <c r="G111" t="s">
        <v>7563</v>
      </c>
      <c r="H111" t="s">
        <v>7596</v>
      </c>
      <c r="I111" t="s">
        <v>7749</v>
      </c>
      <c r="J111" t="s">
        <v>7748</v>
      </c>
      <c r="K111" t="s">
        <v>7563</v>
      </c>
    </row>
    <row r="112" spans="1:15" x14ac:dyDescent="0.25">
      <c r="A112" t="s">
        <v>4183</v>
      </c>
      <c r="B112" t="s">
        <v>7597</v>
      </c>
      <c r="C112" t="s">
        <v>7737</v>
      </c>
      <c r="D112" t="s">
        <v>5523</v>
      </c>
      <c r="E112" t="s">
        <v>7626</v>
      </c>
      <c r="F112" t="s">
        <v>7606</v>
      </c>
      <c r="G112" t="s">
        <v>7563</v>
      </c>
      <c r="H112" t="s">
        <v>5523</v>
      </c>
      <c r="I112" t="s">
        <v>7751</v>
      </c>
      <c r="J112" t="s">
        <v>7748</v>
      </c>
      <c r="K112" t="s">
        <v>7563</v>
      </c>
    </row>
    <row r="113" spans="1:19" x14ac:dyDescent="0.25">
      <c r="A113" t="s">
        <v>4195</v>
      </c>
      <c r="B113" t="s">
        <v>7597</v>
      </c>
      <c r="C113" t="s">
        <v>7737</v>
      </c>
      <c r="D113" t="s">
        <v>3441</v>
      </c>
      <c r="E113" t="s">
        <v>7546</v>
      </c>
      <c r="F113" t="s">
        <v>7606</v>
      </c>
      <c r="G113" t="s">
        <v>7564</v>
      </c>
      <c r="H113" t="s">
        <v>7596</v>
      </c>
      <c r="I113" t="s">
        <v>7752</v>
      </c>
      <c r="J113" t="s">
        <v>7748</v>
      </c>
      <c r="K113" t="s">
        <v>7564</v>
      </c>
    </row>
    <row r="114" spans="1:19" x14ac:dyDescent="0.25">
      <c r="A114" t="s">
        <v>4161</v>
      </c>
      <c r="B114" t="s">
        <v>7597</v>
      </c>
      <c r="C114" t="s">
        <v>7737</v>
      </c>
      <c r="D114" t="s">
        <v>5523</v>
      </c>
      <c r="E114" t="s">
        <v>7729</v>
      </c>
      <c r="F114" t="s">
        <v>7606</v>
      </c>
      <c r="G114" t="s">
        <v>7563</v>
      </c>
      <c r="H114" t="s">
        <v>5523</v>
      </c>
      <c r="I114" t="s">
        <v>7730</v>
      </c>
      <c r="J114" t="s">
        <v>7748</v>
      </c>
      <c r="K114" t="s">
        <v>7563</v>
      </c>
      <c r="L114" t="s">
        <v>7731</v>
      </c>
      <c r="M114" t="s">
        <v>7575</v>
      </c>
      <c r="N114" t="s">
        <v>7748</v>
      </c>
      <c r="O114" t="s">
        <v>7563</v>
      </c>
    </row>
    <row r="115" spans="1:19" x14ac:dyDescent="0.25">
      <c r="A115" t="s">
        <v>4173</v>
      </c>
      <c r="B115" t="s">
        <v>7597</v>
      </c>
      <c r="C115" t="s">
        <v>7737</v>
      </c>
      <c r="D115" t="s">
        <v>5523</v>
      </c>
      <c r="E115" t="s">
        <v>7602</v>
      </c>
      <c r="F115" t="s">
        <v>7606</v>
      </c>
      <c r="G115" t="s">
        <v>7563</v>
      </c>
      <c r="H115" t="s">
        <v>5523</v>
      </c>
      <c r="I115" t="s">
        <v>7603</v>
      </c>
      <c r="J115" t="s">
        <v>7748</v>
      </c>
      <c r="K115" t="s">
        <v>7563</v>
      </c>
    </row>
    <row r="116" spans="1:19" x14ac:dyDescent="0.25">
      <c r="A116" t="s">
        <v>4179</v>
      </c>
      <c r="B116" t="s">
        <v>7597</v>
      </c>
      <c r="C116" t="s">
        <v>7737</v>
      </c>
      <c r="D116" t="s">
        <v>3441</v>
      </c>
      <c r="E116" t="s">
        <v>7492</v>
      </c>
      <c r="F116" t="s">
        <v>7606</v>
      </c>
      <c r="G116" t="s">
        <v>7563</v>
      </c>
      <c r="H116" t="s">
        <v>7596</v>
      </c>
      <c r="I116" t="s">
        <v>7574</v>
      </c>
      <c r="J116" t="s">
        <v>7748</v>
      </c>
      <c r="K116" t="s">
        <v>7563</v>
      </c>
    </row>
    <row r="117" spans="1:19" x14ac:dyDescent="0.25">
      <c r="A117" t="s">
        <v>4201</v>
      </c>
      <c r="B117" t="s">
        <v>7597</v>
      </c>
      <c r="C117" t="s">
        <v>7737</v>
      </c>
      <c r="D117" t="s">
        <v>5523</v>
      </c>
      <c r="E117" t="s">
        <v>7602</v>
      </c>
      <c r="F117" t="s">
        <v>7606</v>
      </c>
      <c r="G117" t="s">
        <v>7563</v>
      </c>
      <c r="H117" t="s">
        <v>5523</v>
      </c>
      <c r="I117" t="s">
        <v>7626</v>
      </c>
      <c r="J117" t="s">
        <v>7606</v>
      </c>
      <c r="K117" t="s">
        <v>7563</v>
      </c>
      <c r="L117" t="s">
        <v>5523</v>
      </c>
      <c r="M117" t="s">
        <v>7603</v>
      </c>
      <c r="N117" t="s">
        <v>7748</v>
      </c>
      <c r="O117" t="s">
        <v>7563</v>
      </c>
      <c r="P117" t="s">
        <v>5523</v>
      </c>
      <c r="Q117" t="s">
        <v>7751</v>
      </c>
      <c r="R117" t="s">
        <v>7748</v>
      </c>
      <c r="S117" t="s">
        <v>7563</v>
      </c>
    </row>
    <row r="118" spans="1:19" x14ac:dyDescent="0.25">
      <c r="A118" t="s">
        <v>4216</v>
      </c>
      <c r="B118" t="s">
        <v>7597</v>
      </c>
      <c r="C118" t="s">
        <v>7737</v>
      </c>
      <c r="D118" t="s">
        <v>3441</v>
      </c>
      <c r="E118" t="s">
        <v>7546</v>
      </c>
      <c r="F118" t="s">
        <v>7606</v>
      </c>
      <c r="G118" t="s">
        <v>7563</v>
      </c>
      <c r="H118" t="s">
        <v>7596</v>
      </c>
      <c r="I118" t="s">
        <v>7752</v>
      </c>
      <c r="J118" t="s">
        <v>7748</v>
      </c>
      <c r="K118" t="s">
        <v>7563</v>
      </c>
    </row>
    <row r="119" spans="1:19" x14ac:dyDescent="0.25">
      <c r="A119" t="s">
        <v>4221</v>
      </c>
      <c r="B119" t="s">
        <v>7597</v>
      </c>
      <c r="C119" t="s">
        <v>7737</v>
      </c>
      <c r="D119" t="s">
        <v>5523</v>
      </c>
      <c r="E119" t="s">
        <v>7624</v>
      </c>
      <c r="F119" t="s">
        <v>7606</v>
      </c>
      <c r="G119" t="s">
        <v>7563</v>
      </c>
      <c r="H119" t="s">
        <v>5523</v>
      </c>
      <c r="I119" t="s">
        <v>7750</v>
      </c>
      <c r="J119" t="s">
        <v>7748</v>
      </c>
      <c r="K119" t="s">
        <v>7563</v>
      </c>
    </row>
    <row r="120" spans="1:19" x14ac:dyDescent="0.25">
      <c r="A120" t="s">
        <v>4207</v>
      </c>
      <c r="B120" t="s">
        <v>7597</v>
      </c>
      <c r="C120" t="s">
        <v>7737</v>
      </c>
      <c r="D120" t="s">
        <v>3441</v>
      </c>
      <c r="E120" t="s">
        <v>7546</v>
      </c>
      <c r="F120" t="s">
        <v>7606</v>
      </c>
      <c r="G120" t="s">
        <v>7563</v>
      </c>
      <c r="H120" t="s">
        <v>7596</v>
      </c>
      <c r="I120" t="s">
        <v>7752</v>
      </c>
      <c r="J120" t="s">
        <v>7748</v>
      </c>
      <c r="K120" t="s">
        <v>7563</v>
      </c>
    </row>
    <row r="121" spans="1:19" x14ac:dyDescent="0.25">
      <c r="A121" t="s">
        <v>4212</v>
      </c>
      <c r="B121" t="s">
        <v>7597</v>
      </c>
      <c r="C121" t="s">
        <v>7737</v>
      </c>
      <c r="D121" t="s">
        <v>7587</v>
      </c>
      <c r="E121" t="s">
        <v>3451</v>
      </c>
      <c r="F121" t="s">
        <v>7606</v>
      </c>
      <c r="G121" t="s">
        <v>7563</v>
      </c>
    </row>
    <row r="122" spans="1:19" x14ac:dyDescent="0.25">
      <c r="A122" t="s">
        <v>4226</v>
      </c>
      <c r="B122" t="s">
        <v>7597</v>
      </c>
      <c r="C122" t="s">
        <v>7737</v>
      </c>
      <c r="D122" t="s">
        <v>3441</v>
      </c>
      <c r="E122" t="s">
        <v>7546</v>
      </c>
      <c r="F122" t="s">
        <v>7606</v>
      </c>
      <c r="G122" t="s">
        <v>7564</v>
      </c>
      <c r="H122" t="s">
        <v>7596</v>
      </c>
      <c r="I122" t="s">
        <v>7752</v>
      </c>
      <c r="J122" t="s">
        <v>7748</v>
      </c>
      <c r="K122" t="s">
        <v>7564</v>
      </c>
    </row>
    <row r="123" spans="1:19" x14ac:dyDescent="0.25">
      <c r="A123" t="s">
        <v>4229</v>
      </c>
      <c r="B123" t="s">
        <v>7597</v>
      </c>
      <c r="C123" t="s">
        <v>7737</v>
      </c>
      <c r="D123" t="s">
        <v>3458</v>
      </c>
    </row>
    <row r="124" spans="1:19" x14ac:dyDescent="0.25">
      <c r="A124" t="s">
        <v>4167</v>
      </c>
      <c r="B124" t="s">
        <v>7597</v>
      </c>
      <c r="C124" t="s">
        <v>7737</v>
      </c>
      <c r="D124" t="s">
        <v>5523</v>
      </c>
      <c r="E124" t="s">
        <v>7626</v>
      </c>
      <c r="F124" t="s">
        <v>7606</v>
      </c>
      <c r="G124" t="s">
        <v>7563</v>
      </c>
      <c r="H124" t="s">
        <v>5523</v>
      </c>
      <c r="I124" t="s">
        <v>7751</v>
      </c>
      <c r="J124" t="s">
        <v>7748</v>
      </c>
      <c r="K124" t="s">
        <v>7563</v>
      </c>
    </row>
    <row r="125" spans="1:19" x14ac:dyDescent="0.25">
      <c r="A125" t="s">
        <v>4189</v>
      </c>
      <c r="B125" t="s">
        <v>7597</v>
      </c>
      <c r="C125" t="s">
        <v>7737</v>
      </c>
      <c r="D125" t="s">
        <v>5523</v>
      </c>
      <c r="E125" t="s">
        <v>7602</v>
      </c>
      <c r="F125" t="s">
        <v>7606</v>
      </c>
      <c r="G125" t="s">
        <v>7563</v>
      </c>
      <c r="H125" t="s">
        <v>5523</v>
      </c>
      <c r="I125" t="s">
        <v>7603</v>
      </c>
      <c r="J125" t="s">
        <v>7748</v>
      </c>
      <c r="K125" t="s">
        <v>7563</v>
      </c>
    </row>
    <row r="126" spans="1:19" x14ac:dyDescent="0.25">
      <c r="A126" t="s">
        <v>3448</v>
      </c>
      <c r="B126" t="s">
        <v>7623</v>
      </c>
      <c r="C126" t="s">
        <v>7593</v>
      </c>
      <c r="D126" t="s">
        <v>7596</v>
      </c>
      <c r="E126" t="s">
        <v>7752</v>
      </c>
      <c r="F126" t="s">
        <v>7545</v>
      </c>
      <c r="G126" t="s">
        <v>7564</v>
      </c>
    </row>
    <row r="127" spans="1:19" x14ac:dyDescent="0.25">
      <c r="A127" t="s">
        <v>4013</v>
      </c>
      <c r="B127" t="s">
        <v>7597</v>
      </c>
      <c r="C127" t="s">
        <v>7736</v>
      </c>
      <c r="D127" t="s">
        <v>5523</v>
      </c>
      <c r="E127" t="s">
        <v>7603</v>
      </c>
      <c r="F127" t="s">
        <v>7723</v>
      </c>
      <c r="G127" t="s">
        <v>7563</v>
      </c>
    </row>
    <row r="128" spans="1:19" x14ac:dyDescent="0.25">
      <c r="A128" t="s">
        <v>4019</v>
      </c>
      <c r="B128" t="s">
        <v>7597</v>
      </c>
      <c r="C128" t="s">
        <v>7736</v>
      </c>
      <c r="D128" t="s">
        <v>3588</v>
      </c>
      <c r="E128" t="s">
        <v>7724</v>
      </c>
      <c r="F128" t="s">
        <v>7723</v>
      </c>
      <c r="G128" t="s">
        <v>7564</v>
      </c>
    </row>
    <row r="129" spans="1:15" x14ac:dyDescent="0.25">
      <c r="A129" t="s">
        <v>4025</v>
      </c>
      <c r="B129" t="s">
        <v>7597</v>
      </c>
      <c r="C129" t="s">
        <v>7736</v>
      </c>
      <c r="D129" t="s">
        <v>7596</v>
      </c>
      <c r="E129" t="s">
        <v>7725</v>
      </c>
      <c r="F129" t="s">
        <v>7723</v>
      </c>
      <c r="G129" t="s">
        <v>7563</v>
      </c>
    </row>
    <row r="130" spans="1:15" x14ac:dyDescent="0.25">
      <c r="A130" t="s">
        <v>4048</v>
      </c>
      <c r="B130" t="s">
        <v>7597</v>
      </c>
      <c r="C130" t="s">
        <v>7736</v>
      </c>
      <c r="D130" t="s">
        <v>5523</v>
      </c>
      <c r="E130" t="s">
        <v>7729</v>
      </c>
      <c r="F130" t="s">
        <v>7723</v>
      </c>
      <c r="G130" t="s">
        <v>7563</v>
      </c>
      <c r="H130" t="s">
        <v>5523</v>
      </c>
      <c r="I130" t="s">
        <v>7730</v>
      </c>
      <c r="J130" t="s">
        <v>7723</v>
      </c>
      <c r="K130" t="s">
        <v>7563</v>
      </c>
      <c r="L130" t="s">
        <v>7731</v>
      </c>
      <c r="M130" t="s">
        <v>7575</v>
      </c>
      <c r="N130" t="s">
        <v>7723</v>
      </c>
      <c r="O130" t="s">
        <v>7563</v>
      </c>
    </row>
    <row r="131" spans="1:15" x14ac:dyDescent="0.25">
      <c r="A131" t="s">
        <v>4030</v>
      </c>
      <c r="B131" t="s">
        <v>7597</v>
      </c>
      <c r="C131" t="s">
        <v>7736</v>
      </c>
      <c r="D131" t="s">
        <v>3588</v>
      </c>
      <c r="E131" t="s">
        <v>7724</v>
      </c>
      <c r="F131" t="s">
        <v>7723</v>
      </c>
      <c r="G131" t="s">
        <v>7563</v>
      </c>
    </row>
    <row r="132" spans="1:15" x14ac:dyDescent="0.25">
      <c r="A132" t="s">
        <v>4053</v>
      </c>
      <c r="B132" t="s">
        <v>7597</v>
      </c>
      <c r="C132" t="s">
        <v>7736</v>
      </c>
      <c r="D132" t="s">
        <v>7587</v>
      </c>
      <c r="E132" t="s">
        <v>4245</v>
      </c>
      <c r="F132" t="s">
        <v>7723</v>
      </c>
      <c r="G132" t="s">
        <v>7564</v>
      </c>
    </row>
    <row r="133" spans="1:15" x14ac:dyDescent="0.25">
      <c r="A133" t="s">
        <v>4037</v>
      </c>
      <c r="B133" t="s">
        <v>7597</v>
      </c>
      <c r="C133" t="s">
        <v>7736</v>
      </c>
      <c r="D133" t="s">
        <v>5523</v>
      </c>
      <c r="E133" t="s">
        <v>7726</v>
      </c>
      <c r="F133" t="s">
        <v>7723</v>
      </c>
      <c r="G133" t="s">
        <v>7563</v>
      </c>
    </row>
    <row r="134" spans="1:15" x14ac:dyDescent="0.25">
      <c r="A134" t="s">
        <v>4041</v>
      </c>
      <c r="B134" t="s">
        <v>7597</v>
      </c>
      <c r="C134" t="s">
        <v>7736</v>
      </c>
      <c r="D134" t="s">
        <v>3680</v>
      </c>
      <c r="E134" t="s">
        <v>7727</v>
      </c>
      <c r="F134" t="s">
        <v>7723</v>
      </c>
      <c r="G134" t="s">
        <v>7563</v>
      </c>
    </row>
    <row r="135" spans="1:15" x14ac:dyDescent="0.25">
      <c r="A135" t="s">
        <v>4265</v>
      </c>
      <c r="B135" t="s">
        <v>7572</v>
      </c>
      <c r="C135" t="s">
        <v>7576</v>
      </c>
      <c r="D135" t="s">
        <v>7596</v>
      </c>
      <c r="E135" t="s">
        <v>7752</v>
      </c>
      <c r="F135" t="s">
        <v>7578</v>
      </c>
      <c r="G135" t="s">
        <v>7564</v>
      </c>
    </row>
    <row r="136" spans="1:15" x14ac:dyDescent="0.25">
      <c r="A136" t="s">
        <v>7661</v>
      </c>
      <c r="B136" t="s">
        <v>7597</v>
      </c>
      <c r="C136" t="s">
        <v>7738</v>
      </c>
      <c r="D136" t="s">
        <v>7596</v>
      </c>
      <c r="E136" t="s">
        <v>7753</v>
      </c>
      <c r="F136" t="s">
        <v>7629</v>
      </c>
      <c r="G136" t="s">
        <v>7564</v>
      </c>
    </row>
    <row r="137" spans="1:15" x14ac:dyDescent="0.25">
      <c r="A137" t="s">
        <v>7636</v>
      </c>
      <c r="B137" t="s">
        <v>7597</v>
      </c>
      <c r="C137" t="s">
        <v>7738</v>
      </c>
      <c r="D137" t="s">
        <v>7596</v>
      </c>
      <c r="E137" t="s">
        <v>7725</v>
      </c>
      <c r="F137" t="s">
        <v>7629</v>
      </c>
      <c r="G137" t="s">
        <v>7563</v>
      </c>
    </row>
    <row r="138" spans="1:15" x14ac:dyDescent="0.25">
      <c r="A138" t="s">
        <v>7663</v>
      </c>
      <c r="B138" t="s">
        <v>7597</v>
      </c>
      <c r="C138" t="s">
        <v>7738</v>
      </c>
      <c r="D138" t="s">
        <v>7596</v>
      </c>
      <c r="E138" t="s">
        <v>7752</v>
      </c>
      <c r="F138" t="s">
        <v>7629</v>
      </c>
      <c r="G138" t="s">
        <v>7564</v>
      </c>
    </row>
    <row r="139" spans="1:15" x14ac:dyDescent="0.25">
      <c r="A139" t="s">
        <v>7634</v>
      </c>
      <c r="B139" t="s">
        <v>7597</v>
      </c>
      <c r="C139" t="s">
        <v>7738</v>
      </c>
      <c r="D139" t="s">
        <v>5523</v>
      </c>
      <c r="E139" t="s">
        <v>7730</v>
      </c>
      <c r="F139" t="s">
        <v>7629</v>
      </c>
      <c r="G139" t="s">
        <v>7563</v>
      </c>
      <c r="H139" t="s">
        <v>7731</v>
      </c>
      <c r="I139" t="s">
        <v>7575</v>
      </c>
      <c r="J139" t="s">
        <v>7629</v>
      </c>
      <c r="K139" t="s">
        <v>7563</v>
      </c>
    </row>
    <row r="140" spans="1:15" x14ac:dyDescent="0.25">
      <c r="A140" t="s">
        <v>7659</v>
      </c>
      <c r="B140" t="s">
        <v>7597</v>
      </c>
      <c r="C140" t="s">
        <v>7738</v>
      </c>
      <c r="D140" t="s">
        <v>5523</v>
      </c>
      <c r="E140" t="s">
        <v>7750</v>
      </c>
      <c r="F140" t="s">
        <v>7629</v>
      </c>
      <c r="G140" t="s">
        <v>7563</v>
      </c>
    </row>
    <row r="141" spans="1:15" x14ac:dyDescent="0.25">
      <c r="A141" t="s">
        <v>7658</v>
      </c>
      <c r="B141" t="s">
        <v>7597</v>
      </c>
      <c r="C141" t="s">
        <v>7738</v>
      </c>
      <c r="D141" t="s">
        <v>7596</v>
      </c>
      <c r="E141" t="s">
        <v>7760</v>
      </c>
      <c r="F141" t="s">
        <v>7629</v>
      </c>
      <c r="G141" t="s">
        <v>7564</v>
      </c>
    </row>
    <row r="142" spans="1:15" x14ac:dyDescent="0.25">
      <c r="A142" t="s">
        <v>7660</v>
      </c>
      <c r="B142" t="s">
        <v>7597</v>
      </c>
      <c r="C142" t="s">
        <v>7738</v>
      </c>
      <c r="D142" t="s">
        <v>7596</v>
      </c>
      <c r="E142" t="s">
        <v>7752</v>
      </c>
      <c r="F142" t="s">
        <v>7629</v>
      </c>
      <c r="G142" t="s">
        <v>7564</v>
      </c>
    </row>
    <row r="143" spans="1:15" x14ac:dyDescent="0.25">
      <c r="A143" t="s">
        <v>7631</v>
      </c>
      <c r="B143" t="s">
        <v>7597</v>
      </c>
      <c r="C143" t="s">
        <v>7738</v>
      </c>
      <c r="D143" t="s">
        <v>3458</v>
      </c>
    </row>
    <row r="144" spans="1:15" x14ac:dyDescent="0.25">
      <c r="A144" t="s">
        <v>7673</v>
      </c>
      <c r="B144" t="s">
        <v>7597</v>
      </c>
      <c r="C144" t="s">
        <v>7738</v>
      </c>
      <c r="D144" t="s">
        <v>7596</v>
      </c>
      <c r="E144" t="s">
        <v>7725</v>
      </c>
      <c r="F144" t="s">
        <v>7629</v>
      </c>
      <c r="G144" t="s">
        <v>7563</v>
      </c>
    </row>
    <row r="145" spans="1:11" x14ac:dyDescent="0.25">
      <c r="A145" t="s">
        <v>7662</v>
      </c>
      <c r="B145" t="s">
        <v>7597</v>
      </c>
      <c r="C145" t="s">
        <v>7738</v>
      </c>
      <c r="D145" t="s">
        <v>7596</v>
      </c>
      <c r="E145" t="s">
        <v>7566</v>
      </c>
      <c r="F145" t="s">
        <v>7629</v>
      </c>
      <c r="G145" t="s">
        <v>7563</v>
      </c>
    </row>
    <row r="146" spans="1:11" x14ac:dyDescent="0.25">
      <c r="A146" t="s">
        <v>7664</v>
      </c>
      <c r="B146" t="s">
        <v>7597</v>
      </c>
      <c r="C146" t="s">
        <v>7738</v>
      </c>
      <c r="D146" t="s">
        <v>7596</v>
      </c>
      <c r="E146" t="s">
        <v>7754</v>
      </c>
      <c r="F146" t="s">
        <v>7629</v>
      </c>
      <c r="G146" t="s">
        <v>7563</v>
      </c>
    </row>
    <row r="147" spans="1:11" x14ac:dyDescent="0.25">
      <c r="A147" t="s">
        <v>3724</v>
      </c>
      <c r="B147" t="s">
        <v>7597</v>
      </c>
      <c r="C147" t="s">
        <v>7738</v>
      </c>
      <c r="D147" t="s">
        <v>7585</v>
      </c>
      <c r="E147" t="s">
        <v>7630</v>
      </c>
      <c r="F147" t="s">
        <v>7629</v>
      </c>
      <c r="G147" t="s">
        <v>7563</v>
      </c>
    </row>
    <row r="148" spans="1:11" x14ac:dyDescent="0.25">
      <c r="A148" t="s">
        <v>7769</v>
      </c>
      <c r="B148" t="s">
        <v>7541</v>
      </c>
      <c r="C148" t="s">
        <v>7593</v>
      </c>
      <c r="D148" t="s">
        <v>3441</v>
      </c>
      <c r="E148" t="s">
        <v>7546</v>
      </c>
      <c r="F148" t="s">
        <v>7764</v>
      </c>
      <c r="G148" t="s">
        <v>7564</v>
      </c>
      <c r="H148" t="s">
        <v>7594</v>
      </c>
      <c r="I148" t="s">
        <v>7720</v>
      </c>
      <c r="J148" t="s">
        <v>7764</v>
      </c>
      <c r="K148" t="s">
        <v>7564</v>
      </c>
    </row>
    <row r="149" spans="1:11" x14ac:dyDescent="0.25">
      <c r="A149" t="s">
        <v>7770</v>
      </c>
      <c r="B149" t="s">
        <v>7771</v>
      </c>
      <c r="C149" t="s">
        <v>7593</v>
      </c>
      <c r="D149" t="s">
        <v>3441</v>
      </c>
      <c r="E149" t="s">
        <v>7546</v>
      </c>
      <c r="F149" t="s">
        <v>7772</v>
      </c>
      <c r="G149" t="s">
        <v>7563</v>
      </c>
    </row>
    <row r="150" spans="1:11" x14ac:dyDescent="0.25">
      <c r="A150" t="s">
        <v>7773</v>
      </c>
      <c r="B150" t="s">
        <v>7607</v>
      </c>
      <c r="C150" t="s">
        <v>7593</v>
      </c>
      <c r="D150" t="s">
        <v>7596</v>
      </c>
      <c r="E150" t="s">
        <v>7758</v>
      </c>
      <c r="F150" t="s">
        <v>7607</v>
      </c>
      <c r="G150" t="s">
        <v>7563</v>
      </c>
    </row>
    <row r="151" spans="1:11" x14ac:dyDescent="0.25">
      <c r="A151" t="s">
        <v>4261</v>
      </c>
      <c r="B151" t="s">
        <v>7774</v>
      </c>
      <c r="C151" t="s">
        <v>7570</v>
      </c>
      <c r="D151" t="s">
        <v>5523</v>
      </c>
      <c r="E151" t="s">
        <v>7730</v>
      </c>
      <c r="F151" t="s">
        <v>7775</v>
      </c>
      <c r="G151" t="s">
        <v>7563</v>
      </c>
    </row>
    <row r="152" spans="1:11" x14ac:dyDescent="0.25">
      <c r="A152" t="s">
        <v>7612</v>
      </c>
      <c r="B152" t="s">
        <v>7776</v>
      </c>
      <c r="C152" t="s">
        <v>7570</v>
      </c>
      <c r="D152" t="s">
        <v>5523</v>
      </c>
      <c r="E152" t="s">
        <v>7726</v>
      </c>
      <c r="F152" t="s">
        <v>7775</v>
      </c>
      <c r="G152" t="s">
        <v>7563</v>
      </c>
    </row>
    <row r="153" spans="1:11" x14ac:dyDescent="0.25">
      <c r="A153" t="s">
        <v>7777</v>
      </c>
      <c r="B153" t="s">
        <v>7541</v>
      </c>
      <c r="C153" t="s">
        <v>7593</v>
      </c>
      <c r="D153" t="s">
        <v>7587</v>
      </c>
      <c r="E153" t="s">
        <v>7767</v>
      </c>
      <c r="F153" t="s">
        <v>7541</v>
      </c>
      <c r="G153" t="s">
        <v>7563</v>
      </c>
      <c r="H153" t="s">
        <v>7596</v>
      </c>
      <c r="I153" t="s">
        <v>7752</v>
      </c>
      <c r="J153" t="s">
        <v>7589</v>
      </c>
      <c r="K153" t="s">
        <v>7564</v>
      </c>
    </row>
    <row r="154" spans="1:11" x14ac:dyDescent="0.25">
      <c r="A154" t="s">
        <v>7825</v>
      </c>
    </row>
    <row r="155" spans="1:11" x14ac:dyDescent="0.25">
      <c r="A155" t="s">
        <v>7827</v>
      </c>
    </row>
    <row r="156" spans="1:11" x14ac:dyDescent="0.25">
      <c r="A156" t="s">
        <v>7839</v>
      </c>
    </row>
    <row r="157" spans="1:11" x14ac:dyDescent="0.25">
      <c r="A157" t="s">
        <v>7841</v>
      </c>
    </row>
    <row r="158" spans="1:11" x14ac:dyDescent="0.25">
      <c r="A158" t="s">
        <v>7844</v>
      </c>
    </row>
  </sheetData>
  <phoneticPr fontId="9" type="noConversion"/>
  <pageMargins left="0.7" right="0.7" top="0.75" bottom="0.75" header="0.3" footer="0.3"/>
  <tableParts count="5">
    <tablePart r:id="rId1"/>
    <tablePart r:id="rId2"/>
    <tablePart r:id="rId3"/>
    <tablePart r:id="rId4"/>
    <tablePart r:id="rId5"/>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39"/>
  <sheetViews>
    <sheetView zoomScale="85" zoomScaleNormal="85" workbookViewId="0">
      <selection activeCell="A9" sqref="A9"/>
    </sheetView>
  </sheetViews>
  <sheetFormatPr defaultColWidth="8.7109375" defaultRowHeight="15" x14ac:dyDescent="0.25"/>
  <cols>
    <col min="1" max="1" width="20.42578125" customWidth="1"/>
    <col min="2" max="2" width="11.42578125" customWidth="1"/>
    <col min="3" max="3" width="18.7109375" customWidth="1"/>
    <col min="4" max="4" width="12.7109375" customWidth="1"/>
    <col min="5" max="5" width="156.28515625" customWidth="1"/>
  </cols>
  <sheetData>
    <row r="1" spans="1:5" ht="15" customHeight="1" x14ac:dyDescent="0.25">
      <c r="A1" t="s">
        <v>165</v>
      </c>
      <c r="B1" t="s">
        <v>3734</v>
      </c>
      <c r="C1" t="s">
        <v>1</v>
      </c>
      <c r="D1" t="s">
        <v>167</v>
      </c>
      <c r="E1" t="s">
        <v>3496</v>
      </c>
    </row>
    <row r="2" spans="1:5" ht="15" customHeight="1" x14ac:dyDescent="0.25">
      <c r="A2" t="s">
        <v>4362</v>
      </c>
      <c r="B2" t="s">
        <v>4363</v>
      </c>
      <c r="C2" t="s">
        <v>1046</v>
      </c>
      <c r="D2" t="s">
        <v>4364</v>
      </c>
      <c r="E2" t="s">
        <v>4365</v>
      </c>
    </row>
    <row r="3" spans="1:5" ht="15" customHeight="1" x14ac:dyDescent="0.25">
      <c r="A3" t="s">
        <v>4366</v>
      </c>
      <c r="B3" t="s">
        <v>4367</v>
      </c>
      <c r="C3" t="s">
        <v>1046</v>
      </c>
      <c r="D3" t="s">
        <v>4368</v>
      </c>
      <c r="E3" t="s">
        <v>4365</v>
      </c>
    </row>
    <row r="4" spans="1:5" ht="15" customHeight="1" x14ac:dyDescent="0.25">
      <c r="A4" t="s">
        <v>4369</v>
      </c>
      <c r="B4" t="s">
        <v>4367</v>
      </c>
      <c r="C4" t="s">
        <v>1046</v>
      </c>
      <c r="D4" t="s">
        <v>4370</v>
      </c>
      <c r="E4" t="s">
        <v>4365</v>
      </c>
    </row>
    <row r="5" spans="1:5" ht="15" customHeight="1" x14ac:dyDescent="0.25">
      <c r="A5" t="s">
        <v>4371</v>
      </c>
      <c r="B5" t="s">
        <v>4372</v>
      </c>
      <c r="C5" t="s">
        <v>1046</v>
      </c>
      <c r="D5" t="s">
        <v>4373</v>
      </c>
      <c r="E5" t="s">
        <v>4365</v>
      </c>
    </row>
    <row r="6" spans="1:5" ht="15" customHeight="1" x14ac:dyDescent="0.25">
      <c r="A6" t="s">
        <v>4374</v>
      </c>
      <c r="B6" t="s">
        <v>4372</v>
      </c>
      <c r="C6" t="s">
        <v>1046</v>
      </c>
      <c r="D6" t="s">
        <v>4375</v>
      </c>
      <c r="E6" t="s">
        <v>4365</v>
      </c>
    </row>
    <row r="7" spans="1:5" ht="15" customHeight="1" x14ac:dyDescent="0.25">
      <c r="A7" t="s">
        <v>4376</v>
      </c>
      <c r="B7" t="s">
        <v>4363</v>
      </c>
      <c r="C7" t="s">
        <v>160</v>
      </c>
      <c r="D7" t="s">
        <v>4364</v>
      </c>
      <c r="E7" t="s">
        <v>4377</v>
      </c>
    </row>
    <row r="8" spans="1:5" ht="15" customHeight="1" x14ac:dyDescent="0.25">
      <c r="A8" t="s">
        <v>4295</v>
      </c>
      <c r="B8" t="s">
        <v>4363</v>
      </c>
      <c r="C8" t="s">
        <v>160</v>
      </c>
      <c r="D8" t="s">
        <v>4378</v>
      </c>
      <c r="E8" t="s">
        <v>4377</v>
      </c>
    </row>
    <row r="9" spans="1:5" ht="15" customHeight="1" x14ac:dyDescent="0.25">
      <c r="A9" t="s">
        <v>4299</v>
      </c>
      <c r="B9" t="s">
        <v>4363</v>
      </c>
      <c r="C9" t="s">
        <v>160</v>
      </c>
      <c r="D9" t="s">
        <v>4379</v>
      </c>
      <c r="E9" t="s">
        <v>4377</v>
      </c>
    </row>
    <row r="10" spans="1:5" ht="15" customHeight="1" x14ac:dyDescent="0.25">
      <c r="A10" t="s">
        <v>4380</v>
      </c>
      <c r="B10" t="s">
        <v>4367</v>
      </c>
      <c r="C10" t="s">
        <v>160</v>
      </c>
      <c r="D10" t="s">
        <v>4368</v>
      </c>
      <c r="E10" t="s">
        <v>4377</v>
      </c>
    </row>
    <row r="11" spans="1:5" ht="15" customHeight="1" x14ac:dyDescent="0.25">
      <c r="A11" t="s">
        <v>4381</v>
      </c>
      <c r="B11" t="s">
        <v>4367</v>
      </c>
      <c r="C11" t="s">
        <v>160</v>
      </c>
      <c r="D11" t="s">
        <v>4382</v>
      </c>
      <c r="E11" t="s">
        <v>4377</v>
      </c>
    </row>
    <row r="12" spans="1:5" ht="15" customHeight="1" x14ac:dyDescent="0.25">
      <c r="A12" t="s">
        <v>4383</v>
      </c>
      <c r="B12" t="s">
        <v>4367</v>
      </c>
      <c r="C12" t="s">
        <v>160</v>
      </c>
      <c r="D12" t="s">
        <v>4375</v>
      </c>
      <c r="E12" t="s">
        <v>4377</v>
      </c>
    </row>
    <row r="13" spans="1:5" ht="15" customHeight="1" x14ac:dyDescent="0.25">
      <c r="A13" t="s">
        <v>4384</v>
      </c>
      <c r="B13" t="s">
        <v>4372</v>
      </c>
      <c r="C13" t="s">
        <v>160</v>
      </c>
      <c r="D13" t="s">
        <v>4385</v>
      </c>
      <c r="E13" t="s">
        <v>4377</v>
      </c>
    </row>
    <row r="14" spans="1:5" ht="15" customHeight="1" x14ac:dyDescent="0.25">
      <c r="A14" t="s">
        <v>4386</v>
      </c>
      <c r="B14" t="s">
        <v>4372</v>
      </c>
      <c r="C14" t="s">
        <v>160</v>
      </c>
      <c r="D14" t="s">
        <v>4387</v>
      </c>
      <c r="E14" t="s">
        <v>4377</v>
      </c>
    </row>
    <row r="15" spans="1:5" ht="15" customHeight="1" x14ac:dyDescent="0.25">
      <c r="A15" t="s">
        <v>4388</v>
      </c>
      <c r="B15" t="s">
        <v>4372</v>
      </c>
      <c r="C15" t="s">
        <v>160</v>
      </c>
      <c r="D15" t="s">
        <v>4389</v>
      </c>
      <c r="E15" t="s">
        <v>4377</v>
      </c>
    </row>
    <row r="16" spans="1:5" ht="15" customHeight="1" x14ac:dyDescent="0.25">
      <c r="A16" t="s">
        <v>4390</v>
      </c>
      <c r="B16" t="s">
        <v>4363</v>
      </c>
      <c r="C16" t="s">
        <v>1294</v>
      </c>
      <c r="D16" t="s">
        <v>4375</v>
      </c>
      <c r="E16" t="s">
        <v>4391</v>
      </c>
    </row>
    <row r="17" spans="1:5" ht="15" customHeight="1" x14ac:dyDescent="0.25">
      <c r="A17" t="s">
        <v>4392</v>
      </c>
      <c r="B17" t="s">
        <v>4363</v>
      </c>
      <c r="C17" t="s">
        <v>1294</v>
      </c>
      <c r="D17" t="s">
        <v>4378</v>
      </c>
      <c r="E17" t="s">
        <v>4391</v>
      </c>
    </row>
    <row r="18" spans="1:5" ht="15" customHeight="1" x14ac:dyDescent="0.25">
      <c r="A18" t="s">
        <v>4393</v>
      </c>
      <c r="B18" t="s">
        <v>4367</v>
      </c>
      <c r="C18" t="s">
        <v>1294</v>
      </c>
      <c r="D18" t="s">
        <v>4382</v>
      </c>
      <c r="E18" t="s">
        <v>4391</v>
      </c>
    </row>
    <row r="19" spans="1:5" ht="15" customHeight="1" x14ac:dyDescent="0.25">
      <c r="A19" t="s">
        <v>4389</v>
      </c>
      <c r="B19" t="s">
        <v>4367</v>
      </c>
      <c r="C19" t="s">
        <v>1294</v>
      </c>
      <c r="D19" t="s">
        <v>4389</v>
      </c>
      <c r="E19" t="s">
        <v>4391</v>
      </c>
    </row>
    <row r="20" spans="1:5" ht="15" customHeight="1" x14ac:dyDescent="0.25">
      <c r="A20" t="s">
        <v>4394</v>
      </c>
      <c r="B20" t="s">
        <v>4372</v>
      </c>
      <c r="C20" t="s">
        <v>1294</v>
      </c>
      <c r="D20" t="s">
        <v>4364</v>
      </c>
      <c r="E20" t="s">
        <v>4391</v>
      </c>
    </row>
    <row r="21" spans="1:5" ht="15" customHeight="1" x14ac:dyDescent="0.25">
      <c r="A21" t="s">
        <v>4395</v>
      </c>
      <c r="B21" t="s">
        <v>4363</v>
      </c>
      <c r="C21" t="s">
        <v>2136</v>
      </c>
      <c r="D21" t="s">
        <v>4396</v>
      </c>
      <c r="E21" t="s">
        <v>4397</v>
      </c>
    </row>
    <row r="22" spans="1:5" ht="15" customHeight="1" x14ac:dyDescent="0.25">
      <c r="A22" t="s">
        <v>4398</v>
      </c>
      <c r="B22" t="s">
        <v>4363</v>
      </c>
      <c r="C22" t="s">
        <v>2136</v>
      </c>
      <c r="D22" t="s">
        <v>4399</v>
      </c>
      <c r="E22" t="s">
        <v>4397</v>
      </c>
    </row>
    <row r="23" spans="1:5" ht="15" customHeight="1" x14ac:dyDescent="0.25">
      <c r="A23" t="s">
        <v>4400</v>
      </c>
      <c r="B23" t="s">
        <v>4363</v>
      </c>
      <c r="C23" t="s">
        <v>2136</v>
      </c>
      <c r="D23" t="s">
        <v>4370</v>
      </c>
      <c r="E23" t="s">
        <v>4397</v>
      </c>
    </row>
    <row r="24" spans="1:5" ht="15" customHeight="1" x14ac:dyDescent="0.25">
      <c r="A24" t="s">
        <v>4401</v>
      </c>
      <c r="B24" t="s">
        <v>4363</v>
      </c>
      <c r="C24" t="s">
        <v>2136</v>
      </c>
      <c r="D24" t="s">
        <v>4402</v>
      </c>
      <c r="E24" t="s">
        <v>4397</v>
      </c>
    </row>
    <row r="25" spans="1:5" ht="15" customHeight="1" x14ac:dyDescent="0.25">
      <c r="A25" t="s">
        <v>4403</v>
      </c>
      <c r="B25" t="s">
        <v>4367</v>
      </c>
      <c r="C25" t="s">
        <v>2136</v>
      </c>
      <c r="D25" t="s">
        <v>4370</v>
      </c>
      <c r="E25" t="s">
        <v>4397</v>
      </c>
    </row>
    <row r="26" spans="1:5" ht="15" customHeight="1" x14ac:dyDescent="0.25">
      <c r="A26" t="s">
        <v>4404</v>
      </c>
      <c r="B26" t="s">
        <v>4367</v>
      </c>
      <c r="C26" t="s">
        <v>2136</v>
      </c>
      <c r="D26" t="s">
        <v>4378</v>
      </c>
      <c r="E26" t="s">
        <v>4397</v>
      </c>
    </row>
    <row r="27" spans="1:5" ht="15" customHeight="1" x14ac:dyDescent="0.25">
      <c r="A27" t="s">
        <v>4405</v>
      </c>
      <c r="B27" t="s">
        <v>4367</v>
      </c>
      <c r="C27" t="s">
        <v>2136</v>
      </c>
      <c r="D27" t="s">
        <v>4396</v>
      </c>
      <c r="E27" t="s">
        <v>4397</v>
      </c>
    </row>
    <row r="28" spans="1:5" ht="15" customHeight="1" x14ac:dyDescent="0.25">
      <c r="A28" t="s">
        <v>4406</v>
      </c>
      <c r="B28" t="s">
        <v>4367</v>
      </c>
      <c r="C28" t="s">
        <v>2136</v>
      </c>
      <c r="D28" t="s">
        <v>4407</v>
      </c>
      <c r="E28" t="s">
        <v>4397</v>
      </c>
    </row>
    <row r="29" spans="1:5" ht="15" customHeight="1" x14ac:dyDescent="0.25">
      <c r="A29" t="s">
        <v>4408</v>
      </c>
      <c r="B29" t="s">
        <v>4372</v>
      </c>
      <c r="C29" t="s">
        <v>2136</v>
      </c>
      <c r="D29" t="s">
        <v>4409</v>
      </c>
      <c r="E29" t="s">
        <v>4397</v>
      </c>
    </row>
    <row r="30" spans="1:5" ht="15" customHeight="1" x14ac:dyDescent="0.25">
      <c r="A30" t="s">
        <v>4410</v>
      </c>
      <c r="B30" t="s">
        <v>4372</v>
      </c>
      <c r="C30" t="s">
        <v>2136</v>
      </c>
      <c r="D30" t="s">
        <v>4411</v>
      </c>
      <c r="E30" t="s">
        <v>4397</v>
      </c>
    </row>
    <row r="31" spans="1:5" ht="15" customHeight="1" x14ac:dyDescent="0.25">
      <c r="A31" t="s">
        <v>4412</v>
      </c>
      <c r="B31" t="s">
        <v>4363</v>
      </c>
      <c r="C31" t="s">
        <v>553</v>
      </c>
      <c r="D31" t="s">
        <v>4402</v>
      </c>
      <c r="E31" t="s">
        <v>4413</v>
      </c>
    </row>
    <row r="32" spans="1:5" ht="15" customHeight="1" x14ac:dyDescent="0.25">
      <c r="A32" t="s">
        <v>4414</v>
      </c>
      <c r="B32" t="s">
        <v>4372</v>
      </c>
      <c r="C32" t="s">
        <v>553</v>
      </c>
      <c r="D32" t="s">
        <v>4402</v>
      </c>
      <c r="E32" t="s">
        <v>4413</v>
      </c>
    </row>
    <row r="33" spans="1:5" ht="15" customHeight="1" x14ac:dyDescent="0.25">
      <c r="A33" t="s">
        <v>4415</v>
      </c>
      <c r="B33" t="s">
        <v>4367</v>
      </c>
      <c r="C33" t="s">
        <v>553</v>
      </c>
      <c r="D33" t="s">
        <v>4368</v>
      </c>
      <c r="E33" t="s">
        <v>4413</v>
      </c>
    </row>
    <row r="34" spans="1:5" ht="15" customHeight="1" x14ac:dyDescent="0.25">
      <c r="A34" t="s">
        <v>4416</v>
      </c>
      <c r="B34" t="s">
        <v>4372</v>
      </c>
      <c r="C34" t="s">
        <v>553</v>
      </c>
      <c r="D34" t="s">
        <v>4411</v>
      </c>
      <c r="E34" t="s">
        <v>4413</v>
      </c>
    </row>
    <row r="35" spans="1:5" ht="15" customHeight="1" x14ac:dyDescent="0.25">
      <c r="A35" t="s">
        <v>4417</v>
      </c>
      <c r="B35" t="s">
        <v>4367</v>
      </c>
      <c r="C35" t="s">
        <v>553</v>
      </c>
      <c r="D35" t="s">
        <v>4396</v>
      </c>
      <c r="E35" t="s">
        <v>4413</v>
      </c>
    </row>
    <row r="36" spans="1:5" ht="15" customHeight="1" x14ac:dyDescent="0.25">
      <c r="A36" t="s">
        <v>4418</v>
      </c>
      <c r="B36" t="s">
        <v>4363</v>
      </c>
      <c r="C36" t="s">
        <v>553</v>
      </c>
      <c r="D36" t="s">
        <v>4368</v>
      </c>
      <c r="E36" t="s">
        <v>4413</v>
      </c>
    </row>
    <row r="37" spans="1:5" ht="15" customHeight="1" x14ac:dyDescent="0.25">
      <c r="A37" t="s">
        <v>4419</v>
      </c>
      <c r="B37" t="s">
        <v>4363</v>
      </c>
      <c r="C37" t="s">
        <v>501</v>
      </c>
      <c r="D37" t="s">
        <v>4399</v>
      </c>
      <c r="E37" t="s">
        <v>4420</v>
      </c>
    </row>
    <row r="38" spans="1:5" ht="15" customHeight="1" x14ac:dyDescent="0.25">
      <c r="A38" t="s">
        <v>4421</v>
      </c>
      <c r="B38" t="s">
        <v>4367</v>
      </c>
      <c r="C38" t="s">
        <v>501</v>
      </c>
      <c r="D38" t="s">
        <v>4382</v>
      </c>
      <c r="E38" t="s">
        <v>4420</v>
      </c>
    </row>
    <row r="39" spans="1:5" ht="15" customHeight="1" x14ac:dyDescent="0.25">
      <c r="A39" t="s">
        <v>4422</v>
      </c>
      <c r="B39" t="s">
        <v>4372</v>
      </c>
      <c r="C39" t="s">
        <v>501</v>
      </c>
      <c r="D39" t="s">
        <v>4389</v>
      </c>
      <c r="E39" t="s">
        <v>4420</v>
      </c>
    </row>
  </sheetData>
  <pageMargins left="0.7" right="0.7" top="0.75" bottom="0.75" header="0.511811023622047" footer="0.511811023622047"/>
  <pageSetup orientation="portrait" horizontalDpi="300" verticalDpi="300"/>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27"/>
  <sheetViews>
    <sheetView topLeftCell="A79" zoomScale="85" zoomScaleNormal="85" workbookViewId="0">
      <selection activeCell="C100" sqref="C100"/>
    </sheetView>
  </sheetViews>
  <sheetFormatPr defaultColWidth="8.7109375" defaultRowHeight="15" x14ac:dyDescent="0.25"/>
  <cols>
    <col min="1" max="1" width="32" customWidth="1"/>
    <col min="2" max="2" width="11.140625" customWidth="1"/>
    <col min="3" max="3" width="14.5703125" customWidth="1"/>
    <col min="4" max="4" width="125.85546875" customWidth="1"/>
    <col min="5" max="5" width="80.28515625" customWidth="1"/>
    <col min="6" max="6" width="23.42578125" customWidth="1"/>
    <col min="7" max="7" width="24.28515625" customWidth="1"/>
    <col min="8" max="8" width="20.42578125" customWidth="1"/>
    <col min="9" max="9" width="7" customWidth="1"/>
    <col min="10" max="10" width="17.42578125" customWidth="1"/>
  </cols>
  <sheetData>
    <row r="1" spans="1:10" ht="15" customHeight="1" x14ac:dyDescent="0.25">
      <c r="A1" t="s">
        <v>165</v>
      </c>
      <c r="B1" t="s">
        <v>3495</v>
      </c>
      <c r="C1" t="s">
        <v>167</v>
      </c>
      <c r="D1" t="s">
        <v>3453</v>
      </c>
      <c r="E1" t="s">
        <v>3496</v>
      </c>
      <c r="F1" t="s">
        <v>3497</v>
      </c>
      <c r="G1" t="s">
        <v>3498</v>
      </c>
      <c r="H1" t="s">
        <v>171</v>
      </c>
      <c r="I1" t="s">
        <v>4</v>
      </c>
      <c r="J1" t="s">
        <v>3500</v>
      </c>
    </row>
    <row r="2" spans="1:10" ht="15" customHeight="1" x14ac:dyDescent="0.25">
      <c r="A2" t="s">
        <v>3501</v>
      </c>
      <c r="B2" t="s">
        <v>3502</v>
      </c>
      <c r="C2" t="s">
        <v>3503</v>
      </c>
      <c r="D2" t="s">
        <v>4423</v>
      </c>
      <c r="E2" t="s">
        <v>4424</v>
      </c>
      <c r="F2" t="s">
        <v>497</v>
      </c>
      <c r="G2" t="s">
        <v>3506</v>
      </c>
      <c r="H2" t="s">
        <v>3507</v>
      </c>
      <c r="I2" t="s">
        <v>3458</v>
      </c>
      <c r="J2" t="s">
        <v>3441</v>
      </c>
    </row>
    <row r="3" spans="1:10" ht="15" customHeight="1" x14ac:dyDescent="0.25">
      <c r="A3" t="s">
        <v>3508</v>
      </c>
      <c r="B3" t="s">
        <v>41</v>
      </c>
      <c r="C3" t="s">
        <v>3509</v>
      </c>
      <c r="D3" t="s">
        <v>4425</v>
      </c>
      <c r="E3" t="s">
        <v>4426</v>
      </c>
      <c r="F3" t="s">
        <v>90</v>
      </c>
      <c r="G3" t="s">
        <v>3511</v>
      </c>
      <c r="H3" t="s">
        <v>3508</v>
      </c>
      <c r="I3" t="s">
        <v>3458</v>
      </c>
      <c r="J3" t="s">
        <v>3512</v>
      </c>
    </row>
    <row r="4" spans="1:10" ht="15" customHeight="1" x14ac:dyDescent="0.25">
      <c r="A4" t="s">
        <v>4427</v>
      </c>
      <c r="B4" t="s">
        <v>3514</v>
      </c>
      <c r="C4" t="s">
        <v>4428</v>
      </c>
      <c r="D4" t="s">
        <v>4429</v>
      </c>
      <c r="E4" t="s">
        <v>4430</v>
      </c>
      <c r="F4" t="s">
        <v>1649</v>
      </c>
      <c r="G4" t="s">
        <v>4431</v>
      </c>
      <c r="H4" t="s">
        <v>4432</v>
      </c>
      <c r="I4" t="s">
        <v>3458</v>
      </c>
      <c r="J4" t="s">
        <v>3512</v>
      </c>
    </row>
    <row r="5" spans="1:10" ht="15" customHeight="1" x14ac:dyDescent="0.25">
      <c r="A5" t="s">
        <v>4433</v>
      </c>
      <c r="B5" t="s">
        <v>41</v>
      </c>
      <c r="C5" t="s">
        <v>3523</v>
      </c>
      <c r="D5" t="s">
        <v>4434</v>
      </c>
      <c r="E5" t="s">
        <v>4435</v>
      </c>
      <c r="F5" t="s">
        <v>1046</v>
      </c>
      <c r="G5" t="s">
        <v>4436</v>
      </c>
      <c r="H5" t="s">
        <v>4437</v>
      </c>
      <c r="I5" t="s">
        <v>3458</v>
      </c>
      <c r="J5" t="s">
        <v>3520</v>
      </c>
    </row>
    <row r="6" spans="1:10" ht="15" customHeight="1" x14ac:dyDescent="0.25">
      <c r="A6" t="s">
        <v>4438</v>
      </c>
      <c r="B6" t="s">
        <v>3514</v>
      </c>
      <c r="C6" t="s">
        <v>4428</v>
      </c>
      <c r="D6" t="s">
        <v>4439</v>
      </c>
      <c r="E6" t="s">
        <v>4440</v>
      </c>
      <c r="F6" t="s">
        <v>1046</v>
      </c>
      <c r="G6" t="s">
        <v>4441</v>
      </c>
      <c r="H6" t="s">
        <v>4438</v>
      </c>
      <c r="I6" t="s">
        <v>3458</v>
      </c>
      <c r="J6" t="s">
        <v>4442</v>
      </c>
    </row>
    <row r="7" spans="1:10" ht="15" customHeight="1" x14ac:dyDescent="0.25">
      <c r="A7" t="s">
        <v>4443</v>
      </c>
      <c r="B7" t="s">
        <v>3514</v>
      </c>
      <c r="C7" t="s">
        <v>3509</v>
      </c>
      <c r="D7" t="s">
        <v>4444</v>
      </c>
      <c r="E7" t="s">
        <v>4445</v>
      </c>
      <c r="F7" t="s">
        <v>1649</v>
      </c>
      <c r="G7" t="s">
        <v>4446</v>
      </c>
      <c r="H7" t="s">
        <v>4447</v>
      </c>
      <c r="I7" t="s">
        <v>3458</v>
      </c>
      <c r="J7" t="s">
        <v>3512</v>
      </c>
    </row>
    <row r="8" spans="1:10" ht="15" customHeight="1" x14ac:dyDescent="0.25">
      <c r="A8" t="s">
        <v>4448</v>
      </c>
      <c r="B8" t="s">
        <v>3502</v>
      </c>
      <c r="C8" t="s">
        <v>4449</v>
      </c>
      <c r="D8" t="s">
        <v>4450</v>
      </c>
      <c r="E8" t="s">
        <v>4451</v>
      </c>
      <c r="F8" t="s">
        <v>1621</v>
      </c>
      <c r="G8" t="s">
        <v>4452</v>
      </c>
      <c r="H8" t="s">
        <v>4453</v>
      </c>
      <c r="I8" t="s">
        <v>3458</v>
      </c>
      <c r="J8" t="s">
        <v>3520</v>
      </c>
    </row>
    <row r="9" spans="1:10" ht="15" customHeight="1" x14ac:dyDescent="0.25">
      <c r="A9" t="s">
        <v>4454</v>
      </c>
      <c r="B9" t="s">
        <v>3502</v>
      </c>
      <c r="C9" t="s">
        <v>3509</v>
      </c>
      <c r="D9" t="s">
        <v>4455</v>
      </c>
      <c r="E9" t="s">
        <v>4456</v>
      </c>
      <c r="F9" t="s">
        <v>1649</v>
      </c>
      <c r="G9" t="s">
        <v>4457</v>
      </c>
      <c r="H9" t="s">
        <v>4458</v>
      </c>
      <c r="I9" t="s">
        <v>3458</v>
      </c>
      <c r="J9" t="s">
        <v>4459</v>
      </c>
    </row>
    <row r="10" spans="1:10" ht="15" customHeight="1" x14ac:dyDescent="0.25">
      <c r="A10" t="s">
        <v>4460</v>
      </c>
      <c r="B10" t="s">
        <v>3502</v>
      </c>
      <c r="C10" t="s">
        <v>3509</v>
      </c>
      <c r="D10" t="s">
        <v>4461</v>
      </c>
      <c r="E10" t="s">
        <v>4462</v>
      </c>
      <c r="F10" t="s">
        <v>90</v>
      </c>
      <c r="G10" t="s">
        <v>4463</v>
      </c>
      <c r="H10" t="s">
        <v>4464</v>
      </c>
      <c r="I10" t="s">
        <v>3458</v>
      </c>
      <c r="J10" t="s">
        <v>3441</v>
      </c>
    </row>
    <row r="11" spans="1:10" ht="15" customHeight="1" x14ac:dyDescent="0.25">
      <c r="A11" t="s">
        <v>4465</v>
      </c>
      <c r="B11" t="s">
        <v>41</v>
      </c>
      <c r="C11" t="s">
        <v>4428</v>
      </c>
      <c r="D11" t="s">
        <v>4466</v>
      </c>
      <c r="E11" t="s">
        <v>4467</v>
      </c>
      <c r="F11" t="s">
        <v>1104</v>
      </c>
      <c r="G11" t="s">
        <v>3882</v>
      </c>
      <c r="H11" t="s">
        <v>4468</v>
      </c>
      <c r="I11" t="s">
        <v>3458</v>
      </c>
      <c r="J11" t="s">
        <v>4442</v>
      </c>
    </row>
    <row r="12" spans="1:10" ht="15" customHeight="1" x14ac:dyDescent="0.25">
      <c r="A12" t="s">
        <v>4469</v>
      </c>
      <c r="B12" t="s">
        <v>3502</v>
      </c>
      <c r="C12" t="s">
        <v>4428</v>
      </c>
      <c r="D12" t="s">
        <v>4470</v>
      </c>
      <c r="E12" t="s">
        <v>4471</v>
      </c>
      <c r="F12" t="s">
        <v>1621</v>
      </c>
      <c r="H12" t="s">
        <v>4472</v>
      </c>
      <c r="I12" t="s">
        <v>3458</v>
      </c>
      <c r="J12" t="s">
        <v>4473</v>
      </c>
    </row>
    <row r="13" spans="1:10" ht="15" customHeight="1" x14ac:dyDescent="0.25">
      <c r="A13" t="s">
        <v>4474</v>
      </c>
      <c r="B13" t="s">
        <v>41</v>
      </c>
      <c r="C13" t="s">
        <v>3509</v>
      </c>
      <c r="D13" t="s">
        <v>4475</v>
      </c>
      <c r="E13" t="s">
        <v>4476</v>
      </c>
      <c r="F13" t="s">
        <v>90</v>
      </c>
      <c r="G13" t="s">
        <v>3531</v>
      </c>
      <c r="H13" t="s">
        <v>4477</v>
      </c>
      <c r="I13" t="s">
        <v>3458</v>
      </c>
      <c r="J13" t="s">
        <v>3441</v>
      </c>
    </row>
    <row r="14" spans="1:10" ht="15" customHeight="1" x14ac:dyDescent="0.25">
      <c r="A14" t="s">
        <v>4478</v>
      </c>
      <c r="B14" t="s">
        <v>41</v>
      </c>
      <c r="C14" t="s">
        <v>3540</v>
      </c>
      <c r="D14" t="s">
        <v>4479</v>
      </c>
      <c r="E14" t="s">
        <v>4480</v>
      </c>
      <c r="F14" t="s">
        <v>497</v>
      </c>
      <c r="G14" t="s">
        <v>4481</v>
      </c>
      <c r="H14" t="s">
        <v>4482</v>
      </c>
      <c r="I14" t="s">
        <v>3458</v>
      </c>
      <c r="J14" t="s">
        <v>3520</v>
      </c>
    </row>
    <row r="15" spans="1:10" ht="15" customHeight="1" x14ac:dyDescent="0.25">
      <c r="A15" t="s">
        <v>4483</v>
      </c>
      <c r="B15" t="s">
        <v>3458</v>
      </c>
      <c r="C15" t="s">
        <v>4484</v>
      </c>
      <c r="D15" t="s">
        <v>4485</v>
      </c>
      <c r="F15" t="s">
        <v>1294</v>
      </c>
      <c r="H15" t="s">
        <v>4486</v>
      </c>
      <c r="I15" t="s">
        <v>3458</v>
      </c>
      <c r="J15" t="s">
        <v>4484</v>
      </c>
    </row>
    <row r="16" spans="1:10" ht="15" customHeight="1" x14ac:dyDescent="0.25">
      <c r="A16" t="s">
        <v>4487</v>
      </c>
      <c r="B16" t="s">
        <v>3458</v>
      </c>
      <c r="C16" t="s">
        <v>4484</v>
      </c>
      <c r="D16" t="s">
        <v>4488</v>
      </c>
      <c r="F16" t="s">
        <v>1294</v>
      </c>
      <c r="H16" t="s">
        <v>4489</v>
      </c>
      <c r="I16" t="s">
        <v>3458</v>
      </c>
      <c r="J16" t="s">
        <v>4484</v>
      </c>
    </row>
    <row r="17" spans="1:10" ht="15" customHeight="1" x14ac:dyDescent="0.25">
      <c r="A17" t="s">
        <v>4490</v>
      </c>
      <c r="B17" t="s">
        <v>3458</v>
      </c>
      <c r="C17" t="s">
        <v>4484</v>
      </c>
      <c r="D17" t="s">
        <v>4491</v>
      </c>
      <c r="F17" t="s">
        <v>1294</v>
      </c>
      <c r="H17" t="s">
        <v>4492</v>
      </c>
      <c r="I17" t="s">
        <v>3458</v>
      </c>
      <c r="J17" t="s">
        <v>4484</v>
      </c>
    </row>
    <row r="18" spans="1:10" ht="15" customHeight="1" x14ac:dyDescent="0.25">
      <c r="A18" t="s">
        <v>4493</v>
      </c>
      <c r="B18" t="s">
        <v>3458</v>
      </c>
      <c r="C18" t="s">
        <v>4484</v>
      </c>
      <c r="D18" t="s">
        <v>4494</v>
      </c>
      <c r="F18" t="s">
        <v>1294</v>
      </c>
      <c r="H18" t="s">
        <v>4495</v>
      </c>
      <c r="I18" t="s">
        <v>3458</v>
      </c>
      <c r="J18" t="s">
        <v>4484</v>
      </c>
    </row>
    <row r="19" spans="1:10" ht="15" customHeight="1" x14ac:dyDescent="0.25">
      <c r="A19" t="s">
        <v>4496</v>
      </c>
      <c r="B19" t="s">
        <v>3458</v>
      </c>
      <c r="C19" t="s">
        <v>4484</v>
      </c>
      <c r="D19" t="s">
        <v>4497</v>
      </c>
      <c r="F19" t="s">
        <v>1294</v>
      </c>
      <c r="H19" t="s">
        <v>4498</v>
      </c>
      <c r="I19" t="s">
        <v>3458</v>
      </c>
      <c r="J19" t="s">
        <v>4484</v>
      </c>
    </row>
    <row r="20" spans="1:10" ht="15" customHeight="1" x14ac:dyDescent="0.25">
      <c r="A20" t="s">
        <v>4499</v>
      </c>
      <c r="B20" t="s">
        <v>3458</v>
      </c>
      <c r="C20" t="s">
        <v>4484</v>
      </c>
      <c r="D20" t="s">
        <v>4500</v>
      </c>
      <c r="F20" t="s">
        <v>1294</v>
      </c>
      <c r="H20" t="s">
        <v>4501</v>
      </c>
      <c r="I20" t="s">
        <v>3458</v>
      </c>
      <c r="J20" t="s">
        <v>4484</v>
      </c>
    </row>
    <row r="21" spans="1:10" ht="15" customHeight="1" x14ac:dyDescent="0.25">
      <c r="A21" t="s">
        <v>4502</v>
      </c>
      <c r="B21" t="s">
        <v>3514</v>
      </c>
      <c r="C21" t="s">
        <v>3523</v>
      </c>
      <c r="D21" t="s">
        <v>4503</v>
      </c>
      <c r="E21" t="s">
        <v>4504</v>
      </c>
      <c r="F21" t="s">
        <v>497</v>
      </c>
      <c r="G21" t="s">
        <v>3626</v>
      </c>
      <c r="H21" t="s">
        <v>4505</v>
      </c>
      <c r="I21" t="s">
        <v>3458</v>
      </c>
      <c r="J21" t="s">
        <v>4506</v>
      </c>
    </row>
    <row r="22" spans="1:10" ht="15" customHeight="1" x14ac:dyDescent="0.25">
      <c r="A22" t="s">
        <v>4507</v>
      </c>
      <c r="B22" t="s">
        <v>41</v>
      </c>
      <c r="C22" t="s">
        <v>4508</v>
      </c>
      <c r="D22" t="s">
        <v>4509</v>
      </c>
      <c r="E22" t="s">
        <v>4510</v>
      </c>
      <c r="F22" t="s">
        <v>1649</v>
      </c>
      <c r="G22" t="s">
        <v>4511</v>
      </c>
      <c r="H22" t="s">
        <v>4512</v>
      </c>
      <c r="I22" t="s">
        <v>3458</v>
      </c>
      <c r="J22" t="s">
        <v>3520</v>
      </c>
    </row>
    <row r="23" spans="1:10" ht="15" customHeight="1" x14ac:dyDescent="0.25">
      <c r="A23" t="s">
        <v>4513</v>
      </c>
      <c r="B23" t="s">
        <v>3502</v>
      </c>
      <c r="C23" t="s">
        <v>3509</v>
      </c>
      <c r="D23" t="s">
        <v>4514</v>
      </c>
      <c r="E23" t="s">
        <v>4515</v>
      </c>
      <c r="F23" t="s">
        <v>1649</v>
      </c>
      <c r="H23" t="s">
        <v>4516</v>
      </c>
      <c r="I23" t="s">
        <v>3458</v>
      </c>
      <c r="J23" t="s">
        <v>4459</v>
      </c>
    </row>
    <row r="24" spans="1:10" ht="15" customHeight="1" x14ac:dyDescent="0.25">
      <c r="A24" t="s">
        <v>4517</v>
      </c>
      <c r="B24" t="s">
        <v>3502</v>
      </c>
      <c r="C24" t="s">
        <v>3509</v>
      </c>
      <c r="D24" t="s">
        <v>4518</v>
      </c>
      <c r="E24" t="s">
        <v>4519</v>
      </c>
      <c r="F24" t="s">
        <v>1649</v>
      </c>
      <c r="G24" t="s">
        <v>4520</v>
      </c>
      <c r="H24" t="s">
        <v>4521</v>
      </c>
      <c r="I24" t="s">
        <v>3458</v>
      </c>
      <c r="J24" t="s">
        <v>3512</v>
      </c>
    </row>
    <row r="25" spans="1:10" ht="15" customHeight="1" x14ac:dyDescent="0.25">
      <c r="A25" t="s">
        <v>4522</v>
      </c>
      <c r="B25" t="s">
        <v>3514</v>
      </c>
      <c r="C25" t="s">
        <v>3509</v>
      </c>
      <c r="D25" t="s">
        <v>4523</v>
      </c>
      <c r="E25" t="s">
        <v>4524</v>
      </c>
      <c r="F25" t="s">
        <v>90</v>
      </c>
      <c r="G25" t="s">
        <v>4525</v>
      </c>
      <c r="H25" t="s">
        <v>4526</v>
      </c>
      <c r="I25" t="s">
        <v>3458</v>
      </c>
      <c r="J25" t="s">
        <v>4459</v>
      </c>
    </row>
    <row r="26" spans="1:10" ht="15" customHeight="1" x14ac:dyDescent="0.25">
      <c r="A26" t="s">
        <v>3467</v>
      </c>
      <c r="B26" t="s">
        <v>3546</v>
      </c>
      <c r="C26" t="s">
        <v>3509</v>
      </c>
      <c r="D26" t="s">
        <v>4527</v>
      </c>
      <c r="E26" t="s">
        <v>4528</v>
      </c>
      <c r="F26" t="s">
        <v>90</v>
      </c>
      <c r="H26" t="s">
        <v>3549</v>
      </c>
      <c r="I26" t="s">
        <v>3458</v>
      </c>
      <c r="J26" t="s">
        <v>3441</v>
      </c>
    </row>
    <row r="27" spans="1:10" ht="15" customHeight="1" x14ac:dyDescent="0.25">
      <c r="A27" t="s">
        <v>4529</v>
      </c>
      <c r="B27" t="s">
        <v>3502</v>
      </c>
      <c r="C27" t="s">
        <v>3523</v>
      </c>
      <c r="D27" t="s">
        <v>4530</v>
      </c>
      <c r="E27" t="s">
        <v>4531</v>
      </c>
      <c r="F27" t="s">
        <v>90</v>
      </c>
      <c r="G27" t="s">
        <v>3576</v>
      </c>
      <c r="H27" t="s">
        <v>4532</v>
      </c>
      <c r="I27" t="s">
        <v>3458</v>
      </c>
      <c r="J27" t="s">
        <v>4533</v>
      </c>
    </row>
    <row r="28" spans="1:10" ht="15" customHeight="1" x14ac:dyDescent="0.25">
      <c r="A28" t="s">
        <v>4534</v>
      </c>
      <c r="B28" t="s">
        <v>3514</v>
      </c>
      <c r="C28" t="s">
        <v>3523</v>
      </c>
      <c r="D28" t="s">
        <v>4535</v>
      </c>
      <c r="E28" t="s">
        <v>4536</v>
      </c>
      <c r="F28" t="s">
        <v>497</v>
      </c>
      <c r="H28" t="s">
        <v>4534</v>
      </c>
      <c r="I28" t="s">
        <v>3458</v>
      </c>
      <c r="J28" t="s">
        <v>3520</v>
      </c>
    </row>
    <row r="29" spans="1:10" ht="15" customHeight="1" x14ac:dyDescent="0.25">
      <c r="A29" t="s">
        <v>4537</v>
      </c>
      <c r="B29" t="s">
        <v>3502</v>
      </c>
      <c r="C29" t="s">
        <v>3509</v>
      </c>
      <c r="D29" t="s">
        <v>4538</v>
      </c>
      <c r="E29" t="s">
        <v>4539</v>
      </c>
      <c r="F29" t="s">
        <v>90</v>
      </c>
      <c r="G29" t="s">
        <v>3511</v>
      </c>
      <c r="H29" t="s">
        <v>4540</v>
      </c>
      <c r="I29" t="s">
        <v>3458</v>
      </c>
      <c r="J29" t="s">
        <v>3512</v>
      </c>
    </row>
    <row r="30" spans="1:10" ht="15" customHeight="1" x14ac:dyDescent="0.25">
      <c r="A30" t="s">
        <v>3563</v>
      </c>
      <c r="B30" t="s">
        <v>3514</v>
      </c>
      <c r="C30" t="s">
        <v>3509</v>
      </c>
      <c r="D30" t="s">
        <v>4541</v>
      </c>
      <c r="E30" t="s">
        <v>4542</v>
      </c>
      <c r="F30" t="s">
        <v>160</v>
      </c>
      <c r="H30" t="s">
        <v>3568</v>
      </c>
      <c r="I30" t="s">
        <v>3458</v>
      </c>
      <c r="J30" t="s">
        <v>3441</v>
      </c>
    </row>
    <row r="31" spans="1:10" ht="15" customHeight="1" x14ac:dyDescent="0.25">
      <c r="A31" t="s">
        <v>3569</v>
      </c>
      <c r="B31" t="s">
        <v>41</v>
      </c>
      <c r="C31" t="s">
        <v>4508</v>
      </c>
      <c r="D31" t="s">
        <v>4543</v>
      </c>
      <c r="E31" t="s">
        <v>4544</v>
      </c>
      <c r="F31" t="s">
        <v>1649</v>
      </c>
      <c r="G31" t="s">
        <v>4511</v>
      </c>
      <c r="H31" t="s">
        <v>3569</v>
      </c>
      <c r="I31" t="s">
        <v>3458</v>
      </c>
      <c r="J31" t="s">
        <v>3520</v>
      </c>
    </row>
    <row r="32" spans="1:10" ht="15" customHeight="1" x14ac:dyDescent="0.25">
      <c r="A32" t="s">
        <v>4545</v>
      </c>
      <c r="B32" t="s">
        <v>3514</v>
      </c>
      <c r="C32" t="s">
        <v>3509</v>
      </c>
      <c r="D32" t="s">
        <v>4546</v>
      </c>
      <c r="E32" t="s">
        <v>4547</v>
      </c>
      <c r="F32" t="s">
        <v>1322</v>
      </c>
      <c r="G32" t="s">
        <v>4548</v>
      </c>
      <c r="H32" t="s">
        <v>4549</v>
      </c>
      <c r="I32" t="s">
        <v>3458</v>
      </c>
      <c r="J32" t="s">
        <v>4550</v>
      </c>
    </row>
    <row r="33" spans="1:10" ht="15" customHeight="1" x14ac:dyDescent="0.25">
      <c r="A33" t="s">
        <v>4551</v>
      </c>
      <c r="B33" t="s">
        <v>3502</v>
      </c>
      <c r="C33" t="s">
        <v>3523</v>
      </c>
      <c r="D33" t="s">
        <v>4552</v>
      </c>
      <c r="E33" t="s">
        <v>4553</v>
      </c>
      <c r="F33" t="s">
        <v>160</v>
      </c>
      <c r="G33" t="s">
        <v>4554</v>
      </c>
      <c r="H33" t="s">
        <v>4555</v>
      </c>
      <c r="I33" t="s">
        <v>3458</v>
      </c>
      <c r="J33" t="s">
        <v>3520</v>
      </c>
    </row>
    <row r="34" spans="1:10" ht="15" customHeight="1" x14ac:dyDescent="0.25">
      <c r="A34" t="s">
        <v>3573</v>
      </c>
      <c r="B34" t="s">
        <v>3514</v>
      </c>
      <c r="C34" t="s">
        <v>3509</v>
      </c>
      <c r="D34" t="s">
        <v>3574</v>
      </c>
      <c r="E34" t="s">
        <v>4556</v>
      </c>
      <c r="F34" t="s">
        <v>2804</v>
      </c>
      <c r="G34" t="s">
        <v>3576</v>
      </c>
      <c r="H34" t="s">
        <v>3573</v>
      </c>
      <c r="I34" t="s">
        <v>3458</v>
      </c>
      <c r="J34" t="s">
        <v>3577</v>
      </c>
    </row>
    <row r="35" spans="1:10" ht="15" customHeight="1" x14ac:dyDescent="0.25">
      <c r="A35" t="s">
        <v>3471</v>
      </c>
      <c r="B35" t="s">
        <v>3514</v>
      </c>
      <c r="C35" t="s">
        <v>4557</v>
      </c>
      <c r="D35" t="s">
        <v>4558</v>
      </c>
      <c r="E35" t="s">
        <v>4559</v>
      </c>
      <c r="F35" t="s">
        <v>160</v>
      </c>
      <c r="G35" t="s">
        <v>315</v>
      </c>
      <c r="H35" t="s">
        <v>3471</v>
      </c>
      <c r="I35" t="s">
        <v>3458</v>
      </c>
      <c r="J35" t="s">
        <v>3520</v>
      </c>
    </row>
    <row r="36" spans="1:10" ht="15" customHeight="1" x14ac:dyDescent="0.25">
      <c r="A36" t="s">
        <v>4560</v>
      </c>
      <c r="B36" t="s">
        <v>3514</v>
      </c>
      <c r="C36" t="s">
        <v>3509</v>
      </c>
      <c r="D36" t="s">
        <v>4561</v>
      </c>
      <c r="E36" t="s">
        <v>4562</v>
      </c>
      <c r="F36" t="s">
        <v>90</v>
      </c>
      <c r="G36" t="s">
        <v>4563</v>
      </c>
      <c r="H36" t="s">
        <v>4564</v>
      </c>
      <c r="I36" t="s">
        <v>3458</v>
      </c>
      <c r="J36" t="s">
        <v>4565</v>
      </c>
    </row>
    <row r="37" spans="1:10" ht="15" customHeight="1" x14ac:dyDescent="0.25">
      <c r="A37" t="s">
        <v>4566</v>
      </c>
      <c r="B37" t="s">
        <v>3502</v>
      </c>
      <c r="C37" t="s">
        <v>4567</v>
      </c>
      <c r="D37" t="s">
        <v>4568</v>
      </c>
      <c r="E37" t="s">
        <v>4569</v>
      </c>
      <c r="F37" t="s">
        <v>160</v>
      </c>
      <c r="G37" t="s">
        <v>4570</v>
      </c>
      <c r="H37" t="s">
        <v>4571</v>
      </c>
      <c r="I37" t="s">
        <v>3458</v>
      </c>
      <c r="J37" t="s">
        <v>4459</v>
      </c>
    </row>
    <row r="38" spans="1:10" ht="15" customHeight="1" x14ac:dyDescent="0.25">
      <c r="A38" t="s">
        <v>4572</v>
      </c>
      <c r="B38" t="s">
        <v>3514</v>
      </c>
      <c r="C38" t="s">
        <v>3579</v>
      </c>
      <c r="D38" t="s">
        <v>4573</v>
      </c>
      <c r="F38" t="s">
        <v>160</v>
      </c>
      <c r="G38" t="s">
        <v>4574</v>
      </c>
      <c r="H38" t="s">
        <v>4575</v>
      </c>
      <c r="I38" t="s">
        <v>3458</v>
      </c>
      <c r="J38" t="s">
        <v>3450</v>
      </c>
    </row>
    <row r="39" spans="1:10" ht="15" customHeight="1" x14ac:dyDescent="0.25">
      <c r="A39" t="s">
        <v>4576</v>
      </c>
      <c r="B39" t="s">
        <v>3514</v>
      </c>
      <c r="C39" t="s">
        <v>3509</v>
      </c>
      <c r="D39" t="s">
        <v>4577</v>
      </c>
      <c r="E39" t="s">
        <v>4578</v>
      </c>
      <c r="F39" t="s">
        <v>1129</v>
      </c>
      <c r="G39" t="s">
        <v>4579</v>
      </c>
      <c r="H39" t="s">
        <v>4580</v>
      </c>
      <c r="I39" t="s">
        <v>3458</v>
      </c>
      <c r="J39" t="s">
        <v>4581</v>
      </c>
    </row>
    <row r="40" spans="1:10" ht="15" customHeight="1" x14ac:dyDescent="0.25">
      <c r="A40" t="s">
        <v>4582</v>
      </c>
      <c r="B40" t="s">
        <v>3514</v>
      </c>
      <c r="C40" t="s">
        <v>4428</v>
      </c>
      <c r="D40" t="s">
        <v>4583</v>
      </c>
      <c r="E40" t="s">
        <v>4584</v>
      </c>
      <c r="F40" t="s">
        <v>1621</v>
      </c>
      <c r="H40" t="s">
        <v>4582</v>
      </c>
      <c r="I40" t="s">
        <v>3458</v>
      </c>
      <c r="J40" t="s">
        <v>4459</v>
      </c>
    </row>
    <row r="41" spans="1:10" ht="15" customHeight="1" x14ac:dyDescent="0.25">
      <c r="A41" t="s">
        <v>4585</v>
      </c>
      <c r="B41" t="s">
        <v>41</v>
      </c>
      <c r="C41" t="s">
        <v>4508</v>
      </c>
      <c r="D41" t="s">
        <v>4586</v>
      </c>
      <c r="E41" t="s">
        <v>4587</v>
      </c>
      <c r="F41" t="s">
        <v>1649</v>
      </c>
      <c r="G41" t="s">
        <v>4511</v>
      </c>
      <c r="H41" t="s">
        <v>4588</v>
      </c>
      <c r="I41" t="s">
        <v>3458</v>
      </c>
      <c r="J41" t="s">
        <v>3520</v>
      </c>
    </row>
    <row r="42" spans="1:10" ht="15" customHeight="1" x14ac:dyDescent="0.25">
      <c r="A42" t="s">
        <v>4589</v>
      </c>
      <c r="B42" t="s">
        <v>3502</v>
      </c>
      <c r="C42" t="s">
        <v>3509</v>
      </c>
      <c r="D42" t="s">
        <v>4590</v>
      </c>
      <c r="E42" t="s">
        <v>4591</v>
      </c>
      <c r="F42" t="s">
        <v>2804</v>
      </c>
      <c r="G42" t="s">
        <v>4452</v>
      </c>
      <c r="H42" t="s">
        <v>4589</v>
      </c>
      <c r="I42" t="s">
        <v>3458</v>
      </c>
      <c r="J42" t="s">
        <v>4459</v>
      </c>
    </row>
    <row r="43" spans="1:10" ht="15" customHeight="1" x14ac:dyDescent="0.25">
      <c r="A43" t="s">
        <v>4592</v>
      </c>
      <c r="B43" t="s">
        <v>3502</v>
      </c>
      <c r="C43" t="s">
        <v>3509</v>
      </c>
      <c r="D43" t="s">
        <v>4593</v>
      </c>
      <c r="E43" t="s">
        <v>4594</v>
      </c>
      <c r="F43" t="s">
        <v>90</v>
      </c>
      <c r="G43" t="s">
        <v>4595</v>
      </c>
      <c r="H43" t="s">
        <v>4596</v>
      </c>
      <c r="I43" t="s">
        <v>3458</v>
      </c>
      <c r="J43" t="s">
        <v>4597</v>
      </c>
    </row>
    <row r="44" spans="1:10" ht="15" customHeight="1" x14ac:dyDescent="0.25">
      <c r="A44" t="s">
        <v>4598</v>
      </c>
      <c r="B44" t="s">
        <v>3502</v>
      </c>
      <c r="C44" t="s">
        <v>3509</v>
      </c>
      <c r="D44" t="s">
        <v>4599</v>
      </c>
      <c r="E44" t="s">
        <v>4600</v>
      </c>
      <c r="F44" t="s">
        <v>1649</v>
      </c>
      <c r="G44" t="s">
        <v>4601</v>
      </c>
      <c r="H44" t="s">
        <v>4602</v>
      </c>
      <c r="I44" t="s">
        <v>3458</v>
      </c>
      <c r="J44" t="s">
        <v>4459</v>
      </c>
    </row>
    <row r="45" spans="1:10" ht="15" customHeight="1" x14ac:dyDescent="0.25">
      <c r="A45" t="s">
        <v>4603</v>
      </c>
      <c r="B45" t="s">
        <v>3514</v>
      </c>
      <c r="C45" t="s">
        <v>3509</v>
      </c>
      <c r="D45" t="s">
        <v>4604</v>
      </c>
      <c r="E45" t="s">
        <v>4605</v>
      </c>
      <c r="F45" t="s">
        <v>2804</v>
      </c>
      <c r="G45" t="s">
        <v>4606</v>
      </c>
      <c r="H45" t="s">
        <v>4607</v>
      </c>
      <c r="I45" t="s">
        <v>3458</v>
      </c>
      <c r="J45" t="s">
        <v>3520</v>
      </c>
    </row>
    <row r="46" spans="1:10" ht="15" customHeight="1" x14ac:dyDescent="0.25">
      <c r="A46" t="s">
        <v>4608</v>
      </c>
      <c r="B46" t="s">
        <v>41</v>
      </c>
      <c r="C46" t="s">
        <v>3523</v>
      </c>
      <c r="D46" t="s">
        <v>4609</v>
      </c>
      <c r="E46" t="s">
        <v>4610</v>
      </c>
      <c r="F46" t="s">
        <v>2136</v>
      </c>
      <c r="G46" t="s">
        <v>4611</v>
      </c>
      <c r="H46" t="s">
        <v>4612</v>
      </c>
      <c r="I46" t="s">
        <v>3458</v>
      </c>
      <c r="J46" t="s">
        <v>3520</v>
      </c>
    </row>
    <row r="47" spans="1:10" ht="15" customHeight="1" x14ac:dyDescent="0.25">
      <c r="A47" t="s">
        <v>4613</v>
      </c>
      <c r="B47" t="s">
        <v>3514</v>
      </c>
      <c r="C47" t="s">
        <v>3509</v>
      </c>
      <c r="D47" t="s">
        <v>4614</v>
      </c>
      <c r="E47" t="s">
        <v>4615</v>
      </c>
      <c r="F47" t="s">
        <v>90</v>
      </c>
      <c r="G47" t="s">
        <v>4616</v>
      </c>
      <c r="H47" t="s">
        <v>4617</v>
      </c>
      <c r="I47" t="s">
        <v>3458</v>
      </c>
      <c r="J47" t="s">
        <v>3577</v>
      </c>
    </row>
    <row r="48" spans="1:10" ht="15" customHeight="1" x14ac:dyDescent="0.25">
      <c r="A48" t="s">
        <v>4618</v>
      </c>
      <c r="B48" t="s">
        <v>3514</v>
      </c>
      <c r="C48" t="s">
        <v>3509</v>
      </c>
      <c r="D48" t="s">
        <v>4619</v>
      </c>
      <c r="E48" t="s">
        <v>4620</v>
      </c>
      <c r="F48" t="s">
        <v>2506</v>
      </c>
      <c r="G48" t="s">
        <v>4621</v>
      </c>
      <c r="H48" t="s">
        <v>4618</v>
      </c>
      <c r="I48" t="s">
        <v>3458</v>
      </c>
      <c r="J48" t="s">
        <v>3512</v>
      </c>
    </row>
    <row r="49" spans="1:10" ht="15" customHeight="1" x14ac:dyDescent="0.25">
      <c r="A49" t="s">
        <v>4622</v>
      </c>
      <c r="B49" t="s">
        <v>3502</v>
      </c>
      <c r="C49" t="s">
        <v>3509</v>
      </c>
      <c r="D49" t="s">
        <v>4623</v>
      </c>
      <c r="E49" t="s">
        <v>4624</v>
      </c>
      <c r="F49" t="s">
        <v>90</v>
      </c>
      <c r="G49" t="s">
        <v>264</v>
      </c>
      <c r="H49" t="s">
        <v>4622</v>
      </c>
      <c r="I49" t="s">
        <v>3458</v>
      </c>
      <c r="J49" t="s">
        <v>3512</v>
      </c>
    </row>
    <row r="50" spans="1:10" ht="15" customHeight="1" x14ac:dyDescent="0.25">
      <c r="A50" t="s">
        <v>4625</v>
      </c>
      <c r="B50" t="s">
        <v>41</v>
      </c>
      <c r="C50" t="s">
        <v>3523</v>
      </c>
      <c r="D50" t="s">
        <v>4626</v>
      </c>
      <c r="E50" t="s">
        <v>4627</v>
      </c>
      <c r="F50" t="s">
        <v>160</v>
      </c>
      <c r="G50" t="s">
        <v>4628</v>
      </c>
      <c r="H50" t="s">
        <v>4629</v>
      </c>
      <c r="I50" t="s">
        <v>3458</v>
      </c>
      <c r="J50" t="s">
        <v>3520</v>
      </c>
    </row>
    <row r="51" spans="1:10" ht="15" customHeight="1" x14ac:dyDescent="0.25">
      <c r="A51" t="s">
        <v>4630</v>
      </c>
      <c r="B51" t="s">
        <v>3502</v>
      </c>
      <c r="C51" t="s">
        <v>3509</v>
      </c>
      <c r="D51" t="s">
        <v>4631</v>
      </c>
      <c r="E51" t="s">
        <v>4632</v>
      </c>
      <c r="F51" t="s">
        <v>1129</v>
      </c>
      <c r="G51" t="s">
        <v>4633</v>
      </c>
      <c r="H51" t="s">
        <v>4634</v>
      </c>
      <c r="I51" t="s">
        <v>3458</v>
      </c>
      <c r="J51" t="s">
        <v>4635</v>
      </c>
    </row>
    <row r="52" spans="1:10" ht="15" customHeight="1" x14ac:dyDescent="0.25">
      <c r="A52" t="s">
        <v>4636</v>
      </c>
      <c r="B52" t="s">
        <v>3514</v>
      </c>
      <c r="C52" t="s">
        <v>3509</v>
      </c>
      <c r="D52" t="s">
        <v>4637</v>
      </c>
      <c r="E52" t="s">
        <v>4638</v>
      </c>
      <c r="F52" t="s">
        <v>90</v>
      </c>
      <c r="H52" t="s">
        <v>4639</v>
      </c>
      <c r="I52" t="s">
        <v>3458</v>
      </c>
      <c r="J52" t="s">
        <v>4640</v>
      </c>
    </row>
    <row r="53" spans="1:10" ht="15" customHeight="1" x14ac:dyDescent="0.25">
      <c r="A53" t="s">
        <v>4641</v>
      </c>
      <c r="B53" t="s">
        <v>3502</v>
      </c>
      <c r="C53" t="s">
        <v>3523</v>
      </c>
      <c r="D53" t="s">
        <v>4642</v>
      </c>
      <c r="E53" t="s">
        <v>4643</v>
      </c>
      <c r="F53" t="s">
        <v>497</v>
      </c>
      <c r="G53" t="s">
        <v>4644</v>
      </c>
      <c r="H53" t="s">
        <v>4641</v>
      </c>
      <c r="I53" t="s">
        <v>3458</v>
      </c>
      <c r="J53" t="s">
        <v>3520</v>
      </c>
    </row>
    <row r="54" spans="1:10" ht="15" customHeight="1" x14ac:dyDescent="0.25">
      <c r="A54" t="s">
        <v>4645</v>
      </c>
      <c r="B54" t="s">
        <v>41</v>
      </c>
      <c r="C54" t="s">
        <v>4567</v>
      </c>
      <c r="D54" t="s">
        <v>4646</v>
      </c>
      <c r="E54" t="s">
        <v>4647</v>
      </c>
      <c r="F54" t="s">
        <v>90</v>
      </c>
      <c r="G54" t="s">
        <v>4648</v>
      </c>
      <c r="H54" t="s">
        <v>4649</v>
      </c>
      <c r="I54" t="s">
        <v>3458</v>
      </c>
      <c r="J54" t="s">
        <v>4533</v>
      </c>
    </row>
    <row r="55" spans="1:10" ht="15" customHeight="1" x14ac:dyDescent="0.25">
      <c r="A55" t="s">
        <v>4650</v>
      </c>
      <c r="B55" t="s">
        <v>3514</v>
      </c>
      <c r="C55" t="s">
        <v>3509</v>
      </c>
      <c r="D55" t="s">
        <v>4651</v>
      </c>
      <c r="E55" t="s">
        <v>4652</v>
      </c>
      <c r="F55" t="s">
        <v>160</v>
      </c>
      <c r="G55" t="s">
        <v>4653</v>
      </c>
      <c r="H55" t="s">
        <v>4654</v>
      </c>
      <c r="I55" t="s">
        <v>3458</v>
      </c>
      <c r="J55" t="s">
        <v>3577</v>
      </c>
    </row>
    <row r="56" spans="1:10" ht="15" customHeight="1" x14ac:dyDescent="0.25">
      <c r="A56" t="s">
        <v>3597</v>
      </c>
      <c r="B56" t="s">
        <v>41</v>
      </c>
      <c r="C56" t="s">
        <v>3515</v>
      </c>
      <c r="D56" t="s">
        <v>4655</v>
      </c>
      <c r="E56" t="s">
        <v>4656</v>
      </c>
      <c r="F56" t="s">
        <v>2804</v>
      </c>
      <c r="G56" t="s">
        <v>3599</v>
      </c>
      <c r="H56" t="s">
        <v>3600</v>
      </c>
      <c r="I56" t="s">
        <v>3458</v>
      </c>
      <c r="J56" t="s">
        <v>3441</v>
      </c>
    </row>
    <row r="57" spans="1:10" ht="15" customHeight="1" x14ac:dyDescent="0.25">
      <c r="A57" t="s">
        <v>4657</v>
      </c>
      <c r="B57" t="s">
        <v>3725</v>
      </c>
      <c r="C57" t="s">
        <v>3509</v>
      </c>
      <c r="D57" t="s">
        <v>4658</v>
      </c>
      <c r="E57" t="s">
        <v>4659</v>
      </c>
      <c r="F57" t="s">
        <v>160</v>
      </c>
      <c r="G57" t="s">
        <v>4660</v>
      </c>
      <c r="H57" t="s">
        <v>4661</v>
      </c>
      <c r="I57" t="s">
        <v>3458</v>
      </c>
      <c r="J57" t="s">
        <v>3512</v>
      </c>
    </row>
    <row r="58" spans="1:10" ht="15" customHeight="1" x14ac:dyDescent="0.25">
      <c r="A58" t="s">
        <v>4662</v>
      </c>
      <c r="B58" t="s">
        <v>3514</v>
      </c>
      <c r="C58" t="s">
        <v>3509</v>
      </c>
      <c r="D58" t="s">
        <v>4663</v>
      </c>
      <c r="E58" t="s">
        <v>4664</v>
      </c>
      <c r="F58" t="s">
        <v>90</v>
      </c>
      <c r="G58" t="s">
        <v>3511</v>
      </c>
      <c r="H58" t="s">
        <v>4665</v>
      </c>
      <c r="I58" t="s">
        <v>3458</v>
      </c>
      <c r="J58" t="s">
        <v>3512</v>
      </c>
    </row>
    <row r="59" spans="1:10" ht="15" customHeight="1" x14ac:dyDescent="0.25">
      <c r="A59" t="s">
        <v>4666</v>
      </c>
      <c r="B59" t="s">
        <v>3502</v>
      </c>
      <c r="C59" t="s">
        <v>3509</v>
      </c>
      <c r="D59" t="s">
        <v>4667</v>
      </c>
      <c r="E59" t="s">
        <v>4668</v>
      </c>
      <c r="F59" t="s">
        <v>90</v>
      </c>
      <c r="G59" t="s">
        <v>264</v>
      </c>
      <c r="H59" t="s">
        <v>4669</v>
      </c>
      <c r="I59" t="s">
        <v>3458</v>
      </c>
      <c r="J59" t="s">
        <v>4533</v>
      </c>
    </row>
    <row r="60" spans="1:10" ht="15" customHeight="1" x14ac:dyDescent="0.25">
      <c r="A60" t="s">
        <v>4670</v>
      </c>
      <c r="B60" t="s">
        <v>3502</v>
      </c>
      <c r="C60" t="s">
        <v>3509</v>
      </c>
      <c r="D60" t="s">
        <v>4671</v>
      </c>
      <c r="E60" t="s">
        <v>4672</v>
      </c>
      <c r="F60" t="s">
        <v>1649</v>
      </c>
      <c r="G60" t="s">
        <v>4673</v>
      </c>
      <c r="H60" t="s">
        <v>4674</v>
      </c>
      <c r="I60" t="s">
        <v>3458</v>
      </c>
      <c r="J60" t="s">
        <v>4473</v>
      </c>
    </row>
    <row r="61" spans="1:10" ht="15" customHeight="1" x14ac:dyDescent="0.25">
      <c r="A61" t="s">
        <v>4675</v>
      </c>
      <c r="B61" t="s">
        <v>41</v>
      </c>
      <c r="C61" t="s">
        <v>4449</v>
      </c>
      <c r="D61" t="s">
        <v>4676</v>
      </c>
      <c r="E61" t="s">
        <v>4677</v>
      </c>
      <c r="F61" t="s">
        <v>497</v>
      </c>
      <c r="G61" t="s">
        <v>264</v>
      </c>
      <c r="H61" t="s">
        <v>4675</v>
      </c>
      <c r="I61" t="s">
        <v>3458</v>
      </c>
      <c r="J61" t="s">
        <v>3441</v>
      </c>
    </row>
    <row r="62" spans="1:10" ht="15" customHeight="1" x14ac:dyDescent="0.25">
      <c r="A62" t="s">
        <v>4678</v>
      </c>
      <c r="B62" t="s">
        <v>3502</v>
      </c>
      <c r="C62" t="s">
        <v>3509</v>
      </c>
      <c r="D62" t="s">
        <v>4679</v>
      </c>
      <c r="E62" t="s">
        <v>4680</v>
      </c>
      <c r="F62" t="s">
        <v>160</v>
      </c>
      <c r="H62" t="s">
        <v>4681</v>
      </c>
      <c r="I62" t="s">
        <v>3458</v>
      </c>
      <c r="J62" t="s">
        <v>4682</v>
      </c>
    </row>
    <row r="63" spans="1:10" ht="15" customHeight="1" x14ac:dyDescent="0.25">
      <c r="A63" t="s">
        <v>4683</v>
      </c>
      <c r="B63" t="s">
        <v>3502</v>
      </c>
      <c r="C63" t="s">
        <v>3509</v>
      </c>
      <c r="D63" t="s">
        <v>4684</v>
      </c>
      <c r="E63" t="s">
        <v>4685</v>
      </c>
      <c r="F63" t="s">
        <v>1649</v>
      </c>
      <c r="G63" t="s">
        <v>4686</v>
      </c>
      <c r="H63" t="s">
        <v>4687</v>
      </c>
      <c r="I63" t="s">
        <v>3458</v>
      </c>
      <c r="J63" t="s">
        <v>4473</v>
      </c>
    </row>
    <row r="64" spans="1:10" ht="15" customHeight="1" x14ac:dyDescent="0.25">
      <c r="A64" t="s">
        <v>4688</v>
      </c>
      <c r="B64" t="s">
        <v>3514</v>
      </c>
      <c r="C64" t="s">
        <v>3523</v>
      </c>
      <c r="D64" t="s">
        <v>4689</v>
      </c>
      <c r="E64" t="s">
        <v>4690</v>
      </c>
      <c r="F64" t="s">
        <v>2136</v>
      </c>
      <c r="G64" t="s">
        <v>4691</v>
      </c>
      <c r="H64" t="s">
        <v>4692</v>
      </c>
      <c r="I64" t="s">
        <v>3458</v>
      </c>
      <c r="J64" t="s">
        <v>3441</v>
      </c>
    </row>
    <row r="65" spans="1:10" ht="15" customHeight="1" x14ac:dyDescent="0.25">
      <c r="A65" t="s">
        <v>4693</v>
      </c>
      <c r="B65" t="s">
        <v>41</v>
      </c>
      <c r="C65" t="s">
        <v>4428</v>
      </c>
      <c r="D65" t="s">
        <v>4694</v>
      </c>
      <c r="E65" t="s">
        <v>4695</v>
      </c>
      <c r="F65" t="s">
        <v>1046</v>
      </c>
      <c r="G65" t="s">
        <v>3882</v>
      </c>
      <c r="H65" t="s">
        <v>4696</v>
      </c>
      <c r="I65" t="s">
        <v>3458</v>
      </c>
      <c r="J65" t="s">
        <v>4459</v>
      </c>
    </row>
    <row r="66" spans="1:10" ht="15" customHeight="1" x14ac:dyDescent="0.25">
      <c r="A66" t="s">
        <v>4697</v>
      </c>
      <c r="B66" t="s">
        <v>3514</v>
      </c>
      <c r="C66" t="s">
        <v>4449</v>
      </c>
      <c r="D66" t="s">
        <v>4698</v>
      </c>
      <c r="E66" t="s">
        <v>4699</v>
      </c>
      <c r="F66" t="s">
        <v>501</v>
      </c>
      <c r="G66" t="s">
        <v>4700</v>
      </c>
      <c r="H66" t="s">
        <v>4701</v>
      </c>
      <c r="I66" t="s">
        <v>3458</v>
      </c>
      <c r="J66" t="s">
        <v>4459</v>
      </c>
    </row>
    <row r="67" spans="1:10" ht="15" customHeight="1" x14ac:dyDescent="0.25">
      <c r="A67" t="s">
        <v>4702</v>
      </c>
      <c r="B67" t="s">
        <v>41</v>
      </c>
      <c r="C67" t="s">
        <v>4428</v>
      </c>
      <c r="D67" t="s">
        <v>4703</v>
      </c>
      <c r="E67" t="s">
        <v>4704</v>
      </c>
      <c r="F67" t="s">
        <v>1046</v>
      </c>
      <c r="G67" t="s">
        <v>3882</v>
      </c>
      <c r="H67" t="s">
        <v>4705</v>
      </c>
      <c r="I67" t="s">
        <v>3458</v>
      </c>
      <c r="J67" t="s">
        <v>4459</v>
      </c>
    </row>
    <row r="68" spans="1:10" ht="15" customHeight="1" x14ac:dyDescent="0.25">
      <c r="A68" t="s">
        <v>4706</v>
      </c>
      <c r="B68" t="s">
        <v>41</v>
      </c>
      <c r="C68" t="s">
        <v>3523</v>
      </c>
      <c r="D68" t="s">
        <v>4120</v>
      </c>
      <c r="E68" t="s">
        <v>4707</v>
      </c>
      <c r="F68" t="s">
        <v>160</v>
      </c>
      <c r="H68" t="s">
        <v>4708</v>
      </c>
      <c r="I68" t="s">
        <v>3458</v>
      </c>
      <c r="J68" t="s">
        <v>3520</v>
      </c>
    </row>
    <row r="69" spans="1:10" ht="15" customHeight="1" x14ac:dyDescent="0.25">
      <c r="A69" t="s">
        <v>3628</v>
      </c>
      <c r="B69" t="s">
        <v>41</v>
      </c>
      <c r="C69" t="s">
        <v>3515</v>
      </c>
      <c r="D69" t="s">
        <v>4709</v>
      </c>
      <c r="E69" t="s">
        <v>4710</v>
      </c>
      <c r="F69" t="s">
        <v>160</v>
      </c>
      <c r="G69" t="s">
        <v>264</v>
      </c>
      <c r="H69" t="s">
        <v>3628</v>
      </c>
      <c r="I69" t="s">
        <v>3458</v>
      </c>
      <c r="J69" t="s">
        <v>3441</v>
      </c>
    </row>
    <row r="70" spans="1:10" ht="15" customHeight="1" x14ac:dyDescent="0.25">
      <c r="A70" t="s">
        <v>3631</v>
      </c>
      <c r="B70" t="s">
        <v>3502</v>
      </c>
      <c r="C70" t="s">
        <v>3515</v>
      </c>
      <c r="D70" t="s">
        <v>4711</v>
      </c>
      <c r="E70" t="s">
        <v>4712</v>
      </c>
      <c r="F70" t="s">
        <v>90</v>
      </c>
      <c r="G70" t="s">
        <v>3634</v>
      </c>
      <c r="H70" t="s">
        <v>3631</v>
      </c>
      <c r="I70" t="s">
        <v>3458</v>
      </c>
      <c r="J70" t="s">
        <v>3441</v>
      </c>
    </row>
    <row r="71" spans="1:10" ht="15" customHeight="1" x14ac:dyDescent="0.25">
      <c r="A71" t="s">
        <v>3635</v>
      </c>
      <c r="B71" t="s">
        <v>3514</v>
      </c>
      <c r="C71" t="s">
        <v>3509</v>
      </c>
      <c r="D71" t="s">
        <v>4713</v>
      </c>
      <c r="E71" t="s">
        <v>4714</v>
      </c>
      <c r="F71" t="s">
        <v>90</v>
      </c>
      <c r="G71" t="s">
        <v>3638</v>
      </c>
      <c r="H71" t="s">
        <v>3639</v>
      </c>
      <c r="I71" t="s">
        <v>3458</v>
      </c>
      <c r="J71" t="s">
        <v>3441</v>
      </c>
    </row>
    <row r="72" spans="1:10" ht="15" customHeight="1" x14ac:dyDescent="0.25">
      <c r="A72" t="s">
        <v>4715</v>
      </c>
      <c r="B72" t="s">
        <v>3514</v>
      </c>
      <c r="C72" t="s">
        <v>3509</v>
      </c>
      <c r="D72" t="s">
        <v>4716</v>
      </c>
      <c r="E72" t="s">
        <v>4717</v>
      </c>
      <c r="F72" t="s">
        <v>90</v>
      </c>
      <c r="H72" t="s">
        <v>4718</v>
      </c>
      <c r="I72" t="s">
        <v>3458</v>
      </c>
      <c r="J72" t="s">
        <v>4459</v>
      </c>
    </row>
    <row r="73" spans="1:10" ht="15" customHeight="1" x14ac:dyDescent="0.25">
      <c r="A73" t="s">
        <v>4719</v>
      </c>
      <c r="B73" t="s">
        <v>3514</v>
      </c>
      <c r="C73" t="s">
        <v>3509</v>
      </c>
      <c r="D73" t="s">
        <v>4720</v>
      </c>
      <c r="E73" t="s">
        <v>4721</v>
      </c>
      <c r="F73" t="s">
        <v>1649</v>
      </c>
      <c r="G73" t="s">
        <v>4722</v>
      </c>
      <c r="H73" t="s">
        <v>4723</v>
      </c>
      <c r="I73" t="s">
        <v>3458</v>
      </c>
      <c r="J73" t="s">
        <v>3512</v>
      </c>
    </row>
    <row r="74" spans="1:10" ht="15" customHeight="1" x14ac:dyDescent="0.25">
      <c r="A74" t="s">
        <v>4724</v>
      </c>
      <c r="B74" t="s">
        <v>3514</v>
      </c>
      <c r="C74" t="s">
        <v>3509</v>
      </c>
      <c r="D74" t="s">
        <v>4725</v>
      </c>
      <c r="E74" t="s">
        <v>4726</v>
      </c>
      <c r="F74" t="s">
        <v>90</v>
      </c>
      <c r="G74" t="s">
        <v>4616</v>
      </c>
      <c r="H74" t="s">
        <v>4727</v>
      </c>
      <c r="I74" t="s">
        <v>3458</v>
      </c>
      <c r="J74" t="s">
        <v>3577</v>
      </c>
    </row>
    <row r="75" spans="1:10" ht="15" customHeight="1" x14ac:dyDescent="0.25">
      <c r="A75" t="s">
        <v>4728</v>
      </c>
      <c r="B75" t="s">
        <v>3514</v>
      </c>
      <c r="C75" t="s">
        <v>3523</v>
      </c>
      <c r="D75" t="s">
        <v>4729</v>
      </c>
      <c r="E75" t="s">
        <v>4730</v>
      </c>
      <c r="F75" t="s">
        <v>160</v>
      </c>
      <c r="H75" t="s">
        <v>4731</v>
      </c>
      <c r="I75" t="s">
        <v>3458</v>
      </c>
      <c r="J75" t="s">
        <v>3520</v>
      </c>
    </row>
    <row r="76" spans="1:10" ht="15" customHeight="1" x14ac:dyDescent="0.25">
      <c r="A76" t="s">
        <v>4732</v>
      </c>
      <c r="B76" t="s">
        <v>3502</v>
      </c>
      <c r="C76" t="s">
        <v>3509</v>
      </c>
      <c r="D76" t="s">
        <v>4733</v>
      </c>
      <c r="E76" t="s">
        <v>4734</v>
      </c>
      <c r="F76" t="s">
        <v>90</v>
      </c>
      <c r="G76" t="s">
        <v>4735</v>
      </c>
      <c r="H76" t="s">
        <v>4736</v>
      </c>
      <c r="I76" t="s">
        <v>3458</v>
      </c>
      <c r="J76" t="s">
        <v>4737</v>
      </c>
    </row>
    <row r="77" spans="1:10" ht="15" customHeight="1" x14ac:dyDescent="0.25">
      <c r="A77" t="s">
        <v>4738</v>
      </c>
      <c r="B77" t="s">
        <v>41</v>
      </c>
      <c r="C77" t="s">
        <v>4567</v>
      </c>
      <c r="D77" t="s">
        <v>4739</v>
      </c>
      <c r="E77" t="s">
        <v>4740</v>
      </c>
      <c r="F77" t="s">
        <v>90</v>
      </c>
      <c r="G77" t="s">
        <v>4741</v>
      </c>
      <c r="H77" t="s">
        <v>4738</v>
      </c>
      <c r="I77" t="s">
        <v>3458</v>
      </c>
      <c r="J77" t="s">
        <v>4742</v>
      </c>
    </row>
    <row r="78" spans="1:10" ht="15" customHeight="1" x14ac:dyDescent="0.25">
      <c r="A78" t="s">
        <v>3655</v>
      </c>
      <c r="B78" t="s">
        <v>41</v>
      </c>
      <c r="C78" t="s">
        <v>3523</v>
      </c>
      <c r="D78" t="s">
        <v>4743</v>
      </c>
      <c r="E78" t="s">
        <v>4744</v>
      </c>
      <c r="F78" t="s">
        <v>90</v>
      </c>
      <c r="G78" t="s">
        <v>3659</v>
      </c>
      <c r="H78" t="s">
        <v>3660</v>
      </c>
      <c r="I78" t="s">
        <v>3458</v>
      </c>
      <c r="J78" t="s">
        <v>3520</v>
      </c>
    </row>
    <row r="79" spans="1:10" ht="15" customHeight="1" x14ac:dyDescent="0.25">
      <c r="A79" t="s">
        <v>4745</v>
      </c>
      <c r="B79" t="s">
        <v>3502</v>
      </c>
      <c r="C79" t="s">
        <v>3515</v>
      </c>
      <c r="D79" t="s">
        <v>4746</v>
      </c>
      <c r="E79" t="s">
        <v>4747</v>
      </c>
      <c r="F79" t="s">
        <v>90</v>
      </c>
      <c r="G79" t="s">
        <v>4653</v>
      </c>
      <c r="H79" t="s">
        <v>4748</v>
      </c>
      <c r="I79" t="s">
        <v>3458</v>
      </c>
      <c r="J79" t="s">
        <v>3577</v>
      </c>
    </row>
    <row r="80" spans="1:10" ht="15" customHeight="1" x14ac:dyDescent="0.25">
      <c r="A80" t="s">
        <v>4749</v>
      </c>
      <c r="B80" t="s">
        <v>3514</v>
      </c>
      <c r="C80" t="s">
        <v>4567</v>
      </c>
      <c r="D80" t="s">
        <v>4750</v>
      </c>
      <c r="E80" t="s">
        <v>4751</v>
      </c>
      <c r="F80" t="s">
        <v>90</v>
      </c>
      <c r="G80" t="s">
        <v>4752</v>
      </c>
      <c r="H80" t="s">
        <v>4753</v>
      </c>
      <c r="I80" t="s">
        <v>3458</v>
      </c>
      <c r="J80" t="s">
        <v>3512</v>
      </c>
    </row>
    <row r="81" spans="1:10" ht="15" customHeight="1" x14ac:dyDescent="0.25">
      <c r="A81" t="s">
        <v>4754</v>
      </c>
      <c r="B81" t="s">
        <v>3502</v>
      </c>
      <c r="C81" t="s">
        <v>3540</v>
      </c>
      <c r="D81" t="s">
        <v>4755</v>
      </c>
      <c r="E81" t="s">
        <v>4756</v>
      </c>
      <c r="F81" t="s">
        <v>497</v>
      </c>
      <c r="H81" t="s">
        <v>4754</v>
      </c>
      <c r="I81" t="s">
        <v>3458</v>
      </c>
      <c r="J81" t="s">
        <v>3706</v>
      </c>
    </row>
    <row r="82" spans="1:10" ht="15" customHeight="1" x14ac:dyDescent="0.25">
      <c r="A82" t="s">
        <v>4757</v>
      </c>
      <c r="B82" t="s">
        <v>3502</v>
      </c>
      <c r="C82" t="s">
        <v>4449</v>
      </c>
      <c r="D82" t="s">
        <v>4758</v>
      </c>
      <c r="E82" t="s">
        <v>4759</v>
      </c>
      <c r="F82" t="s">
        <v>1649</v>
      </c>
      <c r="G82" t="s">
        <v>4760</v>
      </c>
      <c r="H82" t="s">
        <v>4761</v>
      </c>
      <c r="I82" t="s">
        <v>3458</v>
      </c>
      <c r="J82" t="s">
        <v>3520</v>
      </c>
    </row>
    <row r="83" spans="1:10" ht="15" customHeight="1" x14ac:dyDescent="0.25">
      <c r="A83" t="s">
        <v>4762</v>
      </c>
      <c r="B83" t="s">
        <v>41</v>
      </c>
      <c r="C83" t="s">
        <v>4567</v>
      </c>
      <c r="D83" t="s">
        <v>4763</v>
      </c>
      <c r="E83" t="s">
        <v>4764</v>
      </c>
      <c r="F83" t="s">
        <v>90</v>
      </c>
      <c r="H83" t="s">
        <v>4765</v>
      </c>
      <c r="I83" t="s">
        <v>3458</v>
      </c>
      <c r="J83" t="s">
        <v>4459</v>
      </c>
    </row>
    <row r="84" spans="1:10" ht="15" customHeight="1" x14ac:dyDescent="0.25">
      <c r="A84" t="s">
        <v>4766</v>
      </c>
      <c r="B84" t="s">
        <v>41</v>
      </c>
      <c r="C84" t="s">
        <v>4508</v>
      </c>
      <c r="D84" t="s">
        <v>4767</v>
      </c>
      <c r="E84" t="s">
        <v>4768</v>
      </c>
      <c r="F84" t="s">
        <v>1649</v>
      </c>
      <c r="G84" t="s">
        <v>4511</v>
      </c>
      <c r="H84" t="s">
        <v>4766</v>
      </c>
      <c r="I84" t="s">
        <v>3458</v>
      </c>
      <c r="J84" t="s">
        <v>3512</v>
      </c>
    </row>
    <row r="85" spans="1:10" ht="15" customHeight="1" x14ac:dyDescent="0.25">
      <c r="A85" t="s">
        <v>4769</v>
      </c>
      <c r="B85" t="s">
        <v>41</v>
      </c>
      <c r="C85" t="s">
        <v>3509</v>
      </c>
      <c r="D85" t="s">
        <v>4770</v>
      </c>
      <c r="E85" t="s">
        <v>4771</v>
      </c>
      <c r="F85" t="s">
        <v>1322</v>
      </c>
      <c r="H85" t="s">
        <v>4772</v>
      </c>
      <c r="I85" t="s">
        <v>3458</v>
      </c>
      <c r="J85" t="s">
        <v>4773</v>
      </c>
    </row>
    <row r="86" spans="1:10" ht="15" customHeight="1" x14ac:dyDescent="0.25">
      <c r="A86" t="s">
        <v>4774</v>
      </c>
      <c r="B86" t="s">
        <v>3502</v>
      </c>
      <c r="C86" t="s">
        <v>3523</v>
      </c>
      <c r="D86" t="s">
        <v>4775</v>
      </c>
      <c r="E86" t="s">
        <v>4776</v>
      </c>
      <c r="F86" t="s">
        <v>90</v>
      </c>
      <c r="G86" t="s">
        <v>3659</v>
      </c>
      <c r="H86" t="s">
        <v>3664</v>
      </c>
      <c r="I86" t="s">
        <v>3458</v>
      </c>
      <c r="J86" t="s">
        <v>4533</v>
      </c>
    </row>
    <row r="87" spans="1:10" ht="15" customHeight="1" x14ac:dyDescent="0.25">
      <c r="A87" t="s">
        <v>4777</v>
      </c>
      <c r="B87" t="s">
        <v>3502</v>
      </c>
      <c r="C87" t="s">
        <v>3509</v>
      </c>
      <c r="D87" t="s">
        <v>4778</v>
      </c>
      <c r="E87" t="s">
        <v>4779</v>
      </c>
      <c r="F87" t="s">
        <v>1649</v>
      </c>
      <c r="G87" t="s">
        <v>4780</v>
      </c>
      <c r="H87" t="s">
        <v>4781</v>
      </c>
      <c r="I87" t="s">
        <v>3458</v>
      </c>
      <c r="J87" t="s">
        <v>3512</v>
      </c>
    </row>
    <row r="88" spans="1:10" ht="15" customHeight="1" x14ac:dyDescent="0.25">
      <c r="A88" t="s">
        <v>4782</v>
      </c>
      <c r="B88" t="s">
        <v>3502</v>
      </c>
      <c r="C88" t="s">
        <v>3509</v>
      </c>
      <c r="D88" s="3" t="s">
        <v>4783</v>
      </c>
      <c r="E88" s="3" t="s">
        <v>4784</v>
      </c>
      <c r="F88" t="s">
        <v>1649</v>
      </c>
      <c r="G88" t="s">
        <v>4785</v>
      </c>
      <c r="H88" t="s">
        <v>4786</v>
      </c>
      <c r="I88" t="s">
        <v>3458</v>
      </c>
      <c r="J88" t="s">
        <v>3512</v>
      </c>
    </row>
    <row r="89" spans="1:10" ht="15" customHeight="1" x14ac:dyDescent="0.25">
      <c r="A89" t="s">
        <v>4787</v>
      </c>
      <c r="B89" t="s">
        <v>41</v>
      </c>
      <c r="C89" t="s">
        <v>3523</v>
      </c>
      <c r="D89" t="s">
        <v>4788</v>
      </c>
      <c r="E89" t="s">
        <v>4789</v>
      </c>
      <c r="F89" t="s">
        <v>497</v>
      </c>
      <c r="G89" t="s">
        <v>3626</v>
      </c>
      <c r="H89" t="s">
        <v>4790</v>
      </c>
      <c r="I89" t="s">
        <v>3458</v>
      </c>
      <c r="J89" t="s">
        <v>3520</v>
      </c>
    </row>
    <row r="90" spans="1:10" ht="15" customHeight="1" x14ac:dyDescent="0.25">
      <c r="A90" t="s">
        <v>3481</v>
      </c>
      <c r="B90" t="s">
        <v>41</v>
      </c>
      <c r="C90" t="s">
        <v>3509</v>
      </c>
      <c r="D90" t="s">
        <v>4791</v>
      </c>
      <c r="E90" t="s">
        <v>4792</v>
      </c>
      <c r="F90" t="s">
        <v>2804</v>
      </c>
      <c r="G90" t="s">
        <v>3599</v>
      </c>
      <c r="H90" t="s">
        <v>3481</v>
      </c>
      <c r="I90" t="s">
        <v>3458</v>
      </c>
      <c r="J90" t="s">
        <v>3441</v>
      </c>
    </row>
    <row r="91" spans="1:10" ht="15" customHeight="1" x14ac:dyDescent="0.25">
      <c r="A91" t="s">
        <v>4793</v>
      </c>
      <c r="B91" t="s">
        <v>3502</v>
      </c>
      <c r="C91" t="s">
        <v>3509</v>
      </c>
      <c r="D91" t="s">
        <v>4794</v>
      </c>
      <c r="E91" t="s">
        <v>4795</v>
      </c>
      <c r="F91" t="s">
        <v>1649</v>
      </c>
      <c r="G91" t="s">
        <v>4463</v>
      </c>
      <c r="H91" t="s">
        <v>4796</v>
      </c>
      <c r="I91" t="s">
        <v>3458</v>
      </c>
      <c r="J91" t="s">
        <v>4459</v>
      </c>
    </row>
    <row r="92" spans="1:10" ht="15" customHeight="1" x14ac:dyDescent="0.25">
      <c r="A92" t="s">
        <v>4797</v>
      </c>
      <c r="B92" t="s">
        <v>3502</v>
      </c>
      <c r="C92" t="s">
        <v>3509</v>
      </c>
      <c r="D92" t="s">
        <v>4798</v>
      </c>
      <c r="E92" t="s">
        <v>4799</v>
      </c>
      <c r="F92" t="s">
        <v>553</v>
      </c>
      <c r="G92" t="s">
        <v>3526</v>
      </c>
      <c r="H92" t="s">
        <v>4800</v>
      </c>
      <c r="I92" t="s">
        <v>3458</v>
      </c>
      <c r="J92" t="s">
        <v>3441</v>
      </c>
    </row>
    <row r="93" spans="1:10" ht="15" customHeight="1" x14ac:dyDescent="0.25">
      <c r="A93" t="s">
        <v>3677</v>
      </c>
      <c r="B93" t="s">
        <v>3514</v>
      </c>
      <c r="C93" t="s">
        <v>4508</v>
      </c>
      <c r="D93" t="s">
        <v>4801</v>
      </c>
      <c r="F93" t="s">
        <v>353</v>
      </c>
      <c r="H93" t="s">
        <v>3679</v>
      </c>
      <c r="I93" t="s">
        <v>3458</v>
      </c>
      <c r="J93" t="s">
        <v>3680</v>
      </c>
    </row>
    <row r="94" spans="1:10" ht="15" customHeight="1" x14ac:dyDescent="0.25">
      <c r="A94" t="s">
        <v>4802</v>
      </c>
      <c r="B94" t="s">
        <v>3546</v>
      </c>
      <c r="C94" t="s">
        <v>3509</v>
      </c>
      <c r="D94" t="s">
        <v>4803</v>
      </c>
      <c r="E94" t="s">
        <v>4804</v>
      </c>
      <c r="F94" t="s">
        <v>90</v>
      </c>
      <c r="G94" t="s">
        <v>4805</v>
      </c>
      <c r="H94" t="s">
        <v>4806</v>
      </c>
      <c r="I94" t="s">
        <v>3458</v>
      </c>
      <c r="J94" t="s">
        <v>4807</v>
      </c>
    </row>
    <row r="95" spans="1:10" ht="15" customHeight="1" x14ac:dyDescent="0.25">
      <c r="A95" t="s">
        <v>4808</v>
      </c>
      <c r="B95" t="s">
        <v>3502</v>
      </c>
      <c r="C95" t="s">
        <v>4449</v>
      </c>
      <c r="D95" t="s">
        <v>4809</v>
      </c>
      <c r="E95" t="s">
        <v>4810</v>
      </c>
      <c r="F95" t="s">
        <v>160</v>
      </c>
      <c r="G95" t="s">
        <v>3659</v>
      </c>
      <c r="H95" t="s">
        <v>4811</v>
      </c>
      <c r="I95" t="s">
        <v>3458</v>
      </c>
      <c r="J95" t="s">
        <v>3520</v>
      </c>
    </row>
    <row r="96" spans="1:10" ht="15" customHeight="1" x14ac:dyDescent="0.25">
      <c r="A96" t="s">
        <v>4812</v>
      </c>
      <c r="B96" t="s">
        <v>41</v>
      </c>
      <c r="C96" t="s">
        <v>4508</v>
      </c>
      <c r="D96" t="s">
        <v>4813</v>
      </c>
      <c r="E96" t="s">
        <v>4814</v>
      </c>
      <c r="F96" t="s">
        <v>1649</v>
      </c>
      <c r="G96" t="s">
        <v>4511</v>
      </c>
      <c r="H96" t="s">
        <v>4815</v>
      </c>
      <c r="I96" t="s">
        <v>3458</v>
      </c>
      <c r="J96" t="s">
        <v>3520</v>
      </c>
    </row>
    <row r="97" spans="1:10" ht="15" customHeight="1" x14ac:dyDescent="0.25">
      <c r="A97" t="s">
        <v>4816</v>
      </c>
      <c r="B97" t="s">
        <v>3514</v>
      </c>
      <c r="C97" t="s">
        <v>4428</v>
      </c>
      <c r="D97" t="s">
        <v>4817</v>
      </c>
      <c r="E97" t="s">
        <v>4818</v>
      </c>
      <c r="F97" t="s">
        <v>1649</v>
      </c>
      <c r="H97" t="s">
        <v>4819</v>
      </c>
      <c r="I97" t="s">
        <v>3458</v>
      </c>
      <c r="J97" t="s">
        <v>4459</v>
      </c>
    </row>
    <row r="98" spans="1:10" ht="15" customHeight="1" x14ac:dyDescent="0.25">
      <c r="A98" t="s">
        <v>4820</v>
      </c>
      <c r="B98" t="s">
        <v>3725</v>
      </c>
      <c r="C98" t="s">
        <v>3509</v>
      </c>
      <c r="D98" t="s">
        <v>4821</v>
      </c>
      <c r="E98" t="s">
        <v>4822</v>
      </c>
      <c r="F98" t="s">
        <v>160</v>
      </c>
      <c r="G98" t="s">
        <v>4660</v>
      </c>
      <c r="H98" t="s">
        <v>4823</v>
      </c>
      <c r="I98" t="s">
        <v>3458</v>
      </c>
      <c r="J98" t="s">
        <v>3577</v>
      </c>
    </row>
    <row r="99" spans="1:10" ht="15" customHeight="1" x14ac:dyDescent="0.25">
      <c r="A99" t="s">
        <v>4824</v>
      </c>
      <c r="B99" t="s">
        <v>3502</v>
      </c>
      <c r="C99" t="s">
        <v>3509</v>
      </c>
      <c r="D99" t="s">
        <v>4825</v>
      </c>
      <c r="E99" t="s">
        <v>4826</v>
      </c>
      <c r="F99" t="s">
        <v>1322</v>
      </c>
      <c r="G99" t="s">
        <v>4606</v>
      </c>
      <c r="H99" t="s">
        <v>4827</v>
      </c>
      <c r="I99" t="s">
        <v>3458</v>
      </c>
      <c r="J99" t="s">
        <v>4828</v>
      </c>
    </row>
    <row r="100" spans="1:10" ht="15" customHeight="1" x14ac:dyDescent="0.25">
      <c r="A100" t="s">
        <v>4829</v>
      </c>
      <c r="B100" t="s">
        <v>3514</v>
      </c>
      <c r="C100" t="s">
        <v>4567</v>
      </c>
      <c r="D100" t="s">
        <v>4830</v>
      </c>
      <c r="E100" t="s">
        <v>4831</v>
      </c>
      <c r="F100" t="s">
        <v>90</v>
      </c>
      <c r="G100" t="s">
        <v>4741</v>
      </c>
      <c r="H100" t="s">
        <v>4829</v>
      </c>
      <c r="I100" t="s">
        <v>3458</v>
      </c>
      <c r="J100" t="s">
        <v>4459</v>
      </c>
    </row>
    <row r="101" spans="1:10" ht="15" customHeight="1" x14ac:dyDescent="0.25">
      <c r="A101" t="s">
        <v>3690</v>
      </c>
      <c r="B101" t="s">
        <v>3514</v>
      </c>
      <c r="C101" t="s">
        <v>3509</v>
      </c>
      <c r="D101" t="s">
        <v>4832</v>
      </c>
      <c r="E101" t="s">
        <v>4833</v>
      </c>
      <c r="F101" t="s">
        <v>497</v>
      </c>
      <c r="G101" t="s">
        <v>3693</v>
      </c>
      <c r="H101" t="s">
        <v>3690</v>
      </c>
      <c r="I101" t="s">
        <v>3458</v>
      </c>
      <c r="J101" t="s">
        <v>3520</v>
      </c>
    </row>
    <row r="102" spans="1:10" ht="15" customHeight="1" x14ac:dyDescent="0.25">
      <c r="A102" t="s">
        <v>4834</v>
      </c>
      <c r="B102" t="s">
        <v>41</v>
      </c>
      <c r="C102" t="s">
        <v>4508</v>
      </c>
      <c r="D102" t="s">
        <v>4835</v>
      </c>
      <c r="E102" t="s">
        <v>4836</v>
      </c>
      <c r="F102" t="s">
        <v>1649</v>
      </c>
      <c r="G102" t="s">
        <v>4511</v>
      </c>
      <c r="H102" t="s">
        <v>4834</v>
      </c>
      <c r="I102" t="s">
        <v>3458</v>
      </c>
      <c r="J102" t="s">
        <v>3520</v>
      </c>
    </row>
    <row r="103" spans="1:10" ht="15" customHeight="1" x14ac:dyDescent="0.25">
      <c r="A103" t="s">
        <v>4837</v>
      </c>
      <c r="B103" t="s">
        <v>3502</v>
      </c>
      <c r="C103" t="s">
        <v>3523</v>
      </c>
      <c r="D103" t="s">
        <v>4838</v>
      </c>
      <c r="E103" t="s">
        <v>4839</v>
      </c>
      <c r="F103" t="s">
        <v>553</v>
      </c>
      <c r="G103" t="s">
        <v>3526</v>
      </c>
      <c r="H103" t="s">
        <v>4840</v>
      </c>
      <c r="I103" t="s">
        <v>3458</v>
      </c>
      <c r="J103" t="s">
        <v>3520</v>
      </c>
    </row>
    <row r="104" spans="1:10" ht="15" customHeight="1" x14ac:dyDescent="0.25">
      <c r="A104" t="s">
        <v>4841</v>
      </c>
      <c r="B104" t="s">
        <v>41</v>
      </c>
      <c r="C104" t="s">
        <v>3509</v>
      </c>
      <c r="D104" t="s">
        <v>4842</v>
      </c>
      <c r="E104" t="s">
        <v>4843</v>
      </c>
      <c r="F104" t="s">
        <v>1322</v>
      </c>
      <c r="H104" t="s">
        <v>4844</v>
      </c>
      <c r="I104" t="s">
        <v>3458</v>
      </c>
      <c r="J104" t="s">
        <v>4845</v>
      </c>
    </row>
    <row r="105" spans="1:10" ht="15" customHeight="1" x14ac:dyDescent="0.25">
      <c r="A105" t="s">
        <v>4846</v>
      </c>
      <c r="B105" t="s">
        <v>3514</v>
      </c>
      <c r="C105" t="s">
        <v>4508</v>
      </c>
      <c r="D105" t="s">
        <v>4847</v>
      </c>
      <c r="F105" t="s">
        <v>1649</v>
      </c>
      <c r="G105" t="s">
        <v>4848</v>
      </c>
      <c r="H105" t="s">
        <v>4849</v>
      </c>
      <c r="I105" t="s">
        <v>3458</v>
      </c>
      <c r="J105" t="s">
        <v>3441</v>
      </c>
    </row>
    <row r="106" spans="1:10" ht="15" customHeight="1" x14ac:dyDescent="0.25">
      <c r="A106" t="s">
        <v>4850</v>
      </c>
      <c r="B106" t="s">
        <v>3502</v>
      </c>
      <c r="C106" t="s">
        <v>3509</v>
      </c>
      <c r="D106" t="s">
        <v>4851</v>
      </c>
      <c r="E106" t="s">
        <v>4852</v>
      </c>
      <c r="F106" t="s">
        <v>90</v>
      </c>
      <c r="G106" t="s">
        <v>3659</v>
      </c>
      <c r="H106" t="s">
        <v>4853</v>
      </c>
      <c r="I106" t="s">
        <v>3458</v>
      </c>
      <c r="J106" t="s">
        <v>3512</v>
      </c>
    </row>
    <row r="107" spans="1:10" ht="15" customHeight="1" x14ac:dyDescent="0.25">
      <c r="A107" t="s">
        <v>4854</v>
      </c>
      <c r="B107" t="s">
        <v>41</v>
      </c>
      <c r="C107" t="s">
        <v>3509</v>
      </c>
      <c r="D107" t="s">
        <v>4855</v>
      </c>
      <c r="E107" t="s">
        <v>4856</v>
      </c>
      <c r="F107" t="s">
        <v>90</v>
      </c>
      <c r="G107" t="s">
        <v>3688</v>
      </c>
      <c r="H107" t="s">
        <v>4857</v>
      </c>
      <c r="I107" t="s">
        <v>3458</v>
      </c>
      <c r="J107" t="s">
        <v>4459</v>
      </c>
    </row>
    <row r="108" spans="1:10" ht="15" customHeight="1" x14ac:dyDescent="0.25">
      <c r="A108" t="s">
        <v>4858</v>
      </c>
      <c r="B108" t="s">
        <v>3514</v>
      </c>
      <c r="C108" t="s">
        <v>3509</v>
      </c>
      <c r="D108" t="s">
        <v>4859</v>
      </c>
      <c r="E108" t="s">
        <v>4860</v>
      </c>
      <c r="F108" t="s">
        <v>501</v>
      </c>
      <c r="G108" t="s">
        <v>4644</v>
      </c>
      <c r="H108" t="s">
        <v>4861</v>
      </c>
      <c r="I108" t="s">
        <v>3458</v>
      </c>
      <c r="J108" t="s">
        <v>3512</v>
      </c>
    </row>
    <row r="109" spans="1:10" ht="15" customHeight="1" x14ac:dyDescent="0.25">
      <c r="A109" t="s">
        <v>4862</v>
      </c>
      <c r="B109" t="s">
        <v>41</v>
      </c>
      <c r="C109" t="s">
        <v>3523</v>
      </c>
      <c r="D109" t="s">
        <v>4863</v>
      </c>
      <c r="E109" t="s">
        <v>4864</v>
      </c>
      <c r="F109" t="s">
        <v>1046</v>
      </c>
      <c r="G109" t="s">
        <v>4865</v>
      </c>
      <c r="H109" t="s">
        <v>4862</v>
      </c>
      <c r="I109" t="s">
        <v>3458</v>
      </c>
      <c r="J109" t="s">
        <v>3520</v>
      </c>
    </row>
    <row r="110" spans="1:10" ht="15" customHeight="1" x14ac:dyDescent="0.25">
      <c r="A110" t="s">
        <v>4866</v>
      </c>
      <c r="B110" t="s">
        <v>3514</v>
      </c>
      <c r="C110" t="s">
        <v>4557</v>
      </c>
      <c r="D110" t="s">
        <v>4867</v>
      </c>
      <c r="F110" t="s">
        <v>160</v>
      </c>
      <c r="G110" t="s">
        <v>4868</v>
      </c>
      <c r="H110" t="s">
        <v>4869</v>
      </c>
      <c r="I110" t="s">
        <v>3458</v>
      </c>
      <c r="J110" t="s">
        <v>4459</v>
      </c>
    </row>
    <row r="111" spans="1:10" ht="15" customHeight="1" x14ac:dyDescent="0.25">
      <c r="A111" t="s">
        <v>4870</v>
      </c>
      <c r="B111" t="s">
        <v>41</v>
      </c>
      <c r="C111" t="s">
        <v>3672</v>
      </c>
      <c r="D111" t="s">
        <v>4871</v>
      </c>
      <c r="F111" t="s">
        <v>160</v>
      </c>
      <c r="G111" t="s">
        <v>4872</v>
      </c>
      <c r="H111" t="s">
        <v>4873</v>
      </c>
      <c r="I111" t="s">
        <v>3458</v>
      </c>
      <c r="J111" t="s">
        <v>3680</v>
      </c>
    </row>
    <row r="112" spans="1:10" ht="15" customHeight="1" x14ac:dyDescent="0.25">
      <c r="A112" t="s">
        <v>4874</v>
      </c>
      <c r="B112" t="s">
        <v>3502</v>
      </c>
      <c r="C112" t="s">
        <v>3509</v>
      </c>
      <c r="D112" t="s">
        <v>4875</v>
      </c>
      <c r="E112" t="s">
        <v>4876</v>
      </c>
      <c r="F112" t="s">
        <v>90</v>
      </c>
      <c r="H112" t="s">
        <v>4877</v>
      </c>
      <c r="I112" t="s">
        <v>3458</v>
      </c>
      <c r="J112" t="s">
        <v>3512</v>
      </c>
    </row>
    <row r="113" spans="1:10" ht="15" customHeight="1" x14ac:dyDescent="0.25">
      <c r="A113" t="s">
        <v>4878</v>
      </c>
      <c r="B113" t="s">
        <v>3514</v>
      </c>
      <c r="C113" t="s">
        <v>3509</v>
      </c>
      <c r="D113" t="s">
        <v>4879</v>
      </c>
      <c r="E113" t="s">
        <v>4880</v>
      </c>
      <c r="F113" t="s">
        <v>90</v>
      </c>
      <c r="G113" t="s">
        <v>4616</v>
      </c>
      <c r="H113" t="s">
        <v>4881</v>
      </c>
      <c r="I113" t="s">
        <v>3458</v>
      </c>
      <c r="J113" t="s">
        <v>3577</v>
      </c>
    </row>
    <row r="114" spans="1:10" ht="15" customHeight="1" x14ac:dyDescent="0.25">
      <c r="A114" t="s">
        <v>4882</v>
      </c>
      <c r="B114" t="s">
        <v>41</v>
      </c>
      <c r="C114" t="s">
        <v>3509</v>
      </c>
      <c r="D114" t="s">
        <v>4883</v>
      </c>
      <c r="E114" t="s">
        <v>4884</v>
      </c>
      <c r="F114" t="s">
        <v>90</v>
      </c>
      <c r="G114" t="s">
        <v>4885</v>
      </c>
      <c r="H114" t="s">
        <v>4886</v>
      </c>
      <c r="I114" t="s">
        <v>3458</v>
      </c>
      <c r="J114" t="s">
        <v>3441</v>
      </c>
    </row>
    <row r="115" spans="1:10" ht="15" customHeight="1" x14ac:dyDescent="0.25">
      <c r="A115" t="s">
        <v>4887</v>
      </c>
      <c r="B115" t="s">
        <v>3502</v>
      </c>
      <c r="C115" t="s">
        <v>3509</v>
      </c>
      <c r="D115" t="s">
        <v>4888</v>
      </c>
      <c r="E115" t="s">
        <v>4889</v>
      </c>
      <c r="F115" t="s">
        <v>90</v>
      </c>
      <c r="G115" t="s">
        <v>4621</v>
      </c>
      <c r="H115" t="s">
        <v>4887</v>
      </c>
      <c r="I115" t="s">
        <v>3458</v>
      </c>
      <c r="J115" t="s">
        <v>3512</v>
      </c>
    </row>
    <row r="116" spans="1:10" ht="15" customHeight="1" x14ac:dyDescent="0.25">
      <c r="A116" t="s">
        <v>3716</v>
      </c>
      <c r="B116" t="s">
        <v>3514</v>
      </c>
      <c r="C116" t="s">
        <v>3509</v>
      </c>
      <c r="D116" t="s">
        <v>3717</v>
      </c>
      <c r="F116" t="s">
        <v>553</v>
      </c>
      <c r="G116" t="s">
        <v>3719</v>
      </c>
      <c r="H116" t="s">
        <v>3720</v>
      </c>
      <c r="I116" t="s">
        <v>3458</v>
      </c>
      <c r="J116" t="s">
        <v>3577</v>
      </c>
    </row>
    <row r="117" spans="1:10" ht="15" customHeight="1" x14ac:dyDescent="0.25">
      <c r="A117" t="s">
        <v>4890</v>
      </c>
      <c r="B117" t="s">
        <v>41</v>
      </c>
      <c r="C117" t="s">
        <v>4508</v>
      </c>
      <c r="D117" t="s">
        <v>4891</v>
      </c>
      <c r="E117" t="s">
        <v>4892</v>
      </c>
      <c r="F117" t="s">
        <v>1649</v>
      </c>
      <c r="G117" t="s">
        <v>4511</v>
      </c>
      <c r="H117" t="s">
        <v>4890</v>
      </c>
      <c r="I117" t="s">
        <v>3458</v>
      </c>
      <c r="J117" t="s">
        <v>3520</v>
      </c>
    </row>
    <row r="118" spans="1:10" ht="15" customHeight="1" x14ac:dyDescent="0.25">
      <c r="A118" t="s">
        <v>3721</v>
      </c>
      <c r="B118" t="s">
        <v>41</v>
      </c>
      <c r="C118" t="s">
        <v>3523</v>
      </c>
      <c r="D118" t="s">
        <v>4893</v>
      </c>
      <c r="E118" t="s">
        <v>4894</v>
      </c>
      <c r="F118" t="s">
        <v>90</v>
      </c>
      <c r="H118" t="s">
        <v>3721</v>
      </c>
      <c r="I118" t="s">
        <v>3458</v>
      </c>
      <c r="J118" t="s">
        <v>3520</v>
      </c>
    </row>
    <row r="119" spans="1:10" ht="15" customHeight="1" x14ac:dyDescent="0.25">
      <c r="A119" t="s">
        <v>4895</v>
      </c>
      <c r="B119" t="s">
        <v>3502</v>
      </c>
      <c r="C119" t="s">
        <v>3579</v>
      </c>
      <c r="D119" t="s">
        <v>4896</v>
      </c>
      <c r="F119" t="s">
        <v>160</v>
      </c>
      <c r="H119" t="s">
        <v>4897</v>
      </c>
      <c r="I119" t="s">
        <v>3458</v>
      </c>
      <c r="J119" t="s">
        <v>3680</v>
      </c>
    </row>
    <row r="120" spans="1:10" ht="15" customHeight="1" x14ac:dyDescent="0.25">
      <c r="A120" t="s">
        <v>4898</v>
      </c>
      <c r="B120" t="s">
        <v>3502</v>
      </c>
      <c r="C120" t="s">
        <v>3509</v>
      </c>
      <c r="D120" t="s">
        <v>4899</v>
      </c>
      <c r="E120" t="s">
        <v>4900</v>
      </c>
      <c r="F120" t="s">
        <v>1129</v>
      </c>
      <c r="G120" t="s">
        <v>4901</v>
      </c>
      <c r="H120" t="s">
        <v>4902</v>
      </c>
      <c r="I120" t="s">
        <v>3458</v>
      </c>
      <c r="J120" t="s">
        <v>4565</v>
      </c>
    </row>
    <row r="121" spans="1:10" ht="15" customHeight="1" x14ac:dyDescent="0.25">
      <c r="A121" t="s">
        <v>3724</v>
      </c>
      <c r="B121" t="s">
        <v>3725</v>
      </c>
      <c r="C121" t="s">
        <v>4903</v>
      </c>
      <c r="D121" t="s">
        <v>4904</v>
      </c>
      <c r="F121" t="s">
        <v>1795</v>
      </c>
      <c r="G121" t="s">
        <v>3727</v>
      </c>
      <c r="H121" t="s">
        <v>3728</v>
      </c>
      <c r="I121" t="s">
        <v>3458</v>
      </c>
      <c r="J121" t="s">
        <v>3577</v>
      </c>
    </row>
    <row r="122" spans="1:10" ht="15" customHeight="1" x14ac:dyDescent="0.25">
      <c r="A122" t="s">
        <v>4905</v>
      </c>
      <c r="B122" t="s">
        <v>41</v>
      </c>
      <c r="C122" t="s">
        <v>3515</v>
      </c>
      <c r="D122" t="s">
        <v>4906</v>
      </c>
      <c r="E122" t="s">
        <v>4907</v>
      </c>
      <c r="F122" t="s">
        <v>90</v>
      </c>
      <c r="H122" t="s">
        <v>4908</v>
      </c>
      <c r="I122" t="s">
        <v>3458</v>
      </c>
      <c r="J122" t="s">
        <v>3512</v>
      </c>
    </row>
    <row r="123" spans="1:10" ht="15" customHeight="1" x14ac:dyDescent="0.25">
      <c r="A123" t="s">
        <v>4909</v>
      </c>
      <c r="B123" t="s">
        <v>3514</v>
      </c>
      <c r="C123" t="s">
        <v>3523</v>
      </c>
      <c r="D123" t="s">
        <v>4910</v>
      </c>
      <c r="E123" t="s">
        <v>4911</v>
      </c>
      <c r="F123" t="s">
        <v>497</v>
      </c>
      <c r="G123" t="s">
        <v>264</v>
      </c>
      <c r="H123" t="s">
        <v>4909</v>
      </c>
      <c r="I123" t="s">
        <v>3458</v>
      </c>
      <c r="J123" t="s">
        <v>3520</v>
      </c>
    </row>
    <row r="124" spans="1:10" ht="15" customHeight="1" x14ac:dyDescent="0.25">
      <c r="A124" t="s">
        <v>4912</v>
      </c>
      <c r="B124" t="s">
        <v>41</v>
      </c>
      <c r="C124" t="s">
        <v>3515</v>
      </c>
      <c r="D124" t="s">
        <v>4913</v>
      </c>
      <c r="E124" t="s">
        <v>4914</v>
      </c>
      <c r="F124" t="s">
        <v>90</v>
      </c>
      <c r="G124" t="s">
        <v>3659</v>
      </c>
      <c r="H124" t="s">
        <v>4912</v>
      </c>
      <c r="I124" t="s">
        <v>3458</v>
      </c>
      <c r="J124" t="s">
        <v>4459</v>
      </c>
    </row>
    <row r="125" spans="1:10" ht="15" customHeight="1" x14ac:dyDescent="0.25">
      <c r="A125" t="s">
        <v>4915</v>
      </c>
      <c r="B125" t="s">
        <v>3502</v>
      </c>
      <c r="C125" t="s">
        <v>4916</v>
      </c>
      <c r="D125" t="s">
        <v>4917</v>
      </c>
      <c r="E125" t="s">
        <v>4918</v>
      </c>
      <c r="F125" t="s">
        <v>90</v>
      </c>
      <c r="G125" t="s">
        <v>4436</v>
      </c>
      <c r="H125" t="s">
        <v>4919</v>
      </c>
      <c r="I125" t="s">
        <v>3458</v>
      </c>
      <c r="J125" t="s">
        <v>3680</v>
      </c>
    </row>
    <row r="126" spans="1:10" ht="15" customHeight="1" x14ac:dyDescent="0.25">
      <c r="A126" t="s">
        <v>4920</v>
      </c>
      <c r="B126" t="s">
        <v>3514</v>
      </c>
      <c r="C126" t="s">
        <v>3523</v>
      </c>
      <c r="D126" t="s">
        <v>4921</v>
      </c>
      <c r="E126" t="s">
        <v>4922</v>
      </c>
      <c r="F126" t="s">
        <v>497</v>
      </c>
      <c r="G126" t="s">
        <v>3719</v>
      </c>
      <c r="H126" t="s">
        <v>4920</v>
      </c>
      <c r="I126" t="s">
        <v>3458</v>
      </c>
      <c r="J126" t="s">
        <v>3520</v>
      </c>
    </row>
    <row r="127" spans="1:10" ht="15" customHeight="1" x14ac:dyDescent="0.25">
      <c r="A127" t="s">
        <v>3729</v>
      </c>
      <c r="B127" t="s">
        <v>41</v>
      </c>
      <c r="C127" t="s">
        <v>3672</v>
      </c>
      <c r="D127" t="s">
        <v>4923</v>
      </c>
      <c r="E127" t="s">
        <v>4924</v>
      </c>
      <c r="F127" t="s">
        <v>160</v>
      </c>
      <c r="G127" t="s">
        <v>4925</v>
      </c>
      <c r="H127" t="s">
        <v>3733</v>
      </c>
      <c r="I127" t="s">
        <v>3458</v>
      </c>
      <c r="J127" t="s">
        <v>3577</v>
      </c>
    </row>
  </sheetData>
  <pageMargins left="0.7" right="0.7" top="0.75" bottom="0.75" header="0.511811023622047" footer="0.511811023622047"/>
  <pageSetup orientation="portrait" horizontalDpi="300" verticalDpi="300"/>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14"/>
  <sheetViews>
    <sheetView zoomScale="85" zoomScaleNormal="85" workbookViewId="0">
      <selection activeCell="B17" sqref="B17"/>
    </sheetView>
  </sheetViews>
  <sheetFormatPr defaultColWidth="8.7109375" defaultRowHeight="15" x14ac:dyDescent="0.25"/>
  <cols>
    <col min="1" max="1" width="26.5703125" customWidth="1"/>
    <col min="2" max="2" width="15.140625" customWidth="1"/>
    <col min="3" max="4" width="13.28515625" customWidth="1"/>
    <col min="5" max="5" width="16" customWidth="1"/>
    <col min="6" max="6" width="13" customWidth="1"/>
    <col min="7" max="7" width="35.5703125" customWidth="1"/>
    <col min="8" max="8" width="48.28515625" customWidth="1"/>
    <col min="9" max="9" width="12.42578125" customWidth="1"/>
    <col min="10" max="10" width="17.5703125" customWidth="1"/>
    <col min="11" max="11" width="11.5703125" customWidth="1"/>
    <col min="12" max="12" width="12.7109375" customWidth="1"/>
    <col min="13" max="13" width="12.28515625" customWidth="1"/>
  </cols>
  <sheetData>
    <row r="1" spans="1:13" ht="15" customHeight="1" x14ac:dyDescent="0.25">
      <c r="A1" t="s">
        <v>4926</v>
      </c>
      <c r="B1" t="s">
        <v>1</v>
      </c>
      <c r="C1" t="s">
        <v>167</v>
      </c>
      <c r="D1" t="s">
        <v>3734</v>
      </c>
      <c r="E1" t="s">
        <v>4927</v>
      </c>
      <c r="F1" t="s">
        <v>6</v>
      </c>
      <c r="G1" t="s">
        <v>4928</v>
      </c>
      <c r="H1" t="s">
        <v>4929</v>
      </c>
      <c r="I1" t="s">
        <v>4930</v>
      </c>
      <c r="J1" t="s">
        <v>4260</v>
      </c>
      <c r="K1" t="s">
        <v>4931</v>
      </c>
      <c r="L1" t="s">
        <v>4</v>
      </c>
      <c r="M1" t="s">
        <v>170</v>
      </c>
    </row>
    <row r="2" spans="1:13" ht="15" customHeight="1" x14ac:dyDescent="0.25">
      <c r="A2" t="s">
        <v>4932</v>
      </c>
      <c r="B2" t="s">
        <v>1649</v>
      </c>
      <c r="C2" t="s">
        <v>222</v>
      </c>
      <c r="D2" t="s">
        <v>39</v>
      </c>
      <c r="E2">
        <v>0</v>
      </c>
      <c r="F2" t="s">
        <v>41</v>
      </c>
      <c r="G2" t="s">
        <v>4933</v>
      </c>
      <c r="H2" t="s">
        <v>4934</v>
      </c>
      <c r="I2" t="s">
        <v>3997</v>
      </c>
      <c r="J2" t="s">
        <v>4935</v>
      </c>
      <c r="K2" t="s">
        <v>3458</v>
      </c>
      <c r="L2" t="s">
        <v>4297</v>
      </c>
      <c r="M2" t="s">
        <v>4936</v>
      </c>
    </row>
    <row r="3" spans="1:13" ht="15" customHeight="1" x14ac:dyDescent="0.25">
      <c r="A3" t="s">
        <v>4937</v>
      </c>
      <c r="B3" t="s">
        <v>1649</v>
      </c>
      <c r="C3" t="s">
        <v>222</v>
      </c>
      <c r="D3" t="s">
        <v>39</v>
      </c>
      <c r="E3">
        <v>0</v>
      </c>
      <c r="F3" t="s">
        <v>41</v>
      </c>
      <c r="G3" t="s">
        <v>4938</v>
      </c>
      <c r="H3" t="s">
        <v>4939</v>
      </c>
      <c r="I3" t="s">
        <v>3997</v>
      </c>
      <c r="J3" t="s">
        <v>4940</v>
      </c>
      <c r="K3" t="s">
        <v>3458</v>
      </c>
      <c r="L3" t="s">
        <v>4297</v>
      </c>
      <c r="M3" t="s">
        <v>264</v>
      </c>
    </row>
    <row r="4" spans="1:13" ht="15" customHeight="1" x14ac:dyDescent="0.25">
      <c r="A4" t="s">
        <v>4941</v>
      </c>
      <c r="B4" t="s">
        <v>90</v>
      </c>
      <c r="C4" t="s">
        <v>182</v>
      </c>
      <c r="D4" t="s">
        <v>39</v>
      </c>
      <c r="E4">
        <v>0</v>
      </c>
      <c r="F4" t="s">
        <v>3514</v>
      </c>
      <c r="G4" t="s">
        <v>4942</v>
      </c>
      <c r="H4" t="s">
        <v>4942</v>
      </c>
      <c r="I4" t="s">
        <v>3997</v>
      </c>
      <c r="J4" t="s">
        <v>4943</v>
      </c>
      <c r="K4">
        <v>1</v>
      </c>
      <c r="L4" t="s">
        <v>4297</v>
      </c>
    </row>
    <row r="5" spans="1:13" ht="15" customHeight="1" x14ac:dyDescent="0.25">
      <c r="A5" t="s">
        <v>4944</v>
      </c>
      <c r="B5" t="s">
        <v>90</v>
      </c>
      <c r="C5" t="s">
        <v>182</v>
      </c>
      <c r="D5" t="s">
        <v>4945</v>
      </c>
      <c r="E5">
        <v>0</v>
      </c>
      <c r="F5" t="s">
        <v>41</v>
      </c>
      <c r="G5" t="s">
        <v>3458</v>
      </c>
      <c r="H5" t="s">
        <v>4946</v>
      </c>
      <c r="I5" t="s">
        <v>3997</v>
      </c>
      <c r="J5" t="s">
        <v>4947</v>
      </c>
      <c r="K5" t="s">
        <v>3458</v>
      </c>
      <c r="L5" t="s">
        <v>4297</v>
      </c>
      <c r="M5" t="s">
        <v>4948</v>
      </c>
    </row>
    <row r="9" spans="1:13" ht="15" customHeight="1" x14ac:dyDescent="0.25">
      <c r="A9" t="s">
        <v>4949</v>
      </c>
      <c r="B9" t="s">
        <v>4950</v>
      </c>
      <c r="C9" t="s">
        <v>4951</v>
      </c>
      <c r="F9" t="s">
        <v>4952</v>
      </c>
      <c r="G9" t="s">
        <v>4953</v>
      </c>
      <c r="J9" t="s">
        <v>3458</v>
      </c>
    </row>
    <row r="10" spans="1:13" ht="15" customHeight="1" x14ac:dyDescent="0.25">
      <c r="A10" t="s">
        <v>4954</v>
      </c>
      <c r="B10" t="s">
        <v>4955</v>
      </c>
      <c r="C10" t="s">
        <v>4956</v>
      </c>
      <c r="F10" t="s">
        <v>4957</v>
      </c>
      <c r="G10" t="s">
        <v>4958</v>
      </c>
      <c r="J10" t="s">
        <v>4959</v>
      </c>
    </row>
    <row r="11" spans="1:13" ht="15" customHeight="1" x14ac:dyDescent="0.25">
      <c r="A11" t="s">
        <v>4960</v>
      </c>
      <c r="B11" t="s">
        <v>4961</v>
      </c>
      <c r="C11" t="s">
        <v>4962</v>
      </c>
      <c r="F11" t="s">
        <v>4963</v>
      </c>
      <c r="J11" t="s">
        <v>3458</v>
      </c>
    </row>
    <row r="12" spans="1:13" ht="15" customHeight="1" x14ac:dyDescent="0.25">
      <c r="A12" t="s">
        <v>4964</v>
      </c>
      <c r="B12" t="s">
        <v>4965</v>
      </c>
      <c r="C12" t="s">
        <v>4966</v>
      </c>
      <c r="F12" t="s">
        <v>4967</v>
      </c>
    </row>
    <row r="13" spans="1:13" ht="15" customHeight="1" x14ac:dyDescent="0.25">
      <c r="A13" t="s">
        <v>4968</v>
      </c>
      <c r="B13" t="s">
        <v>4969</v>
      </c>
      <c r="C13" t="s">
        <v>4970</v>
      </c>
      <c r="F13" t="s">
        <v>4971</v>
      </c>
      <c r="G13" t="s">
        <v>4972</v>
      </c>
      <c r="I13" t="s">
        <v>4230</v>
      </c>
    </row>
    <row r="14" spans="1:13" ht="15" customHeight="1" x14ac:dyDescent="0.25">
      <c r="A14" t="s">
        <v>4973</v>
      </c>
      <c r="B14" t="s">
        <v>4974</v>
      </c>
      <c r="C14" t="s">
        <v>4975</v>
      </c>
      <c r="F14" t="s">
        <v>4976</v>
      </c>
    </row>
  </sheetData>
  <pageMargins left="0.7" right="0.7" top="0.75" bottom="0.75" header="0.511811023622047" footer="0.511811023622047"/>
  <pageSetup orientation="portrait" horizontalDpi="300" verticalDpi="300"/>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8"/>
  <sheetViews>
    <sheetView zoomScale="85" zoomScaleNormal="85" workbookViewId="0">
      <selection activeCell="A3" sqref="A3"/>
    </sheetView>
  </sheetViews>
  <sheetFormatPr defaultColWidth="8.7109375" defaultRowHeight="15" x14ac:dyDescent="0.25"/>
  <cols>
    <col min="1" max="1" width="18.140625" customWidth="1"/>
    <col min="2" max="2" width="10.7109375" customWidth="1"/>
    <col min="3" max="3" width="11.140625" customWidth="1"/>
    <col min="4" max="4" width="143.85546875" customWidth="1"/>
    <col min="5" max="5" width="51.140625" customWidth="1"/>
    <col min="6" max="6" width="6.28515625" customWidth="1"/>
    <col min="7" max="7" width="18.7109375" customWidth="1"/>
    <col min="8" max="8" width="44.28515625" customWidth="1"/>
    <col min="9" max="9" width="20.85546875" customWidth="1"/>
    <col min="10" max="10" width="18.7109375" customWidth="1"/>
    <col min="11" max="11" width="7.140625" customWidth="1"/>
  </cols>
  <sheetData>
    <row r="1" spans="1:11" ht="15" customHeight="1" x14ac:dyDescent="0.25">
      <c r="A1" t="s">
        <v>165</v>
      </c>
      <c r="B1" t="s">
        <v>167</v>
      </c>
      <c r="C1" t="s">
        <v>6</v>
      </c>
      <c r="D1" t="s">
        <v>3453</v>
      </c>
      <c r="E1" t="s">
        <v>3496</v>
      </c>
      <c r="F1" t="s">
        <v>4977</v>
      </c>
      <c r="G1" t="s">
        <v>3497</v>
      </c>
      <c r="H1" t="s">
        <v>4978</v>
      </c>
      <c r="I1" t="s">
        <v>4979</v>
      </c>
      <c r="J1" t="s">
        <v>4260</v>
      </c>
      <c r="K1" t="s">
        <v>170</v>
      </c>
    </row>
    <row r="2" spans="1:11" ht="15" customHeight="1" x14ac:dyDescent="0.25">
      <c r="A2" t="s">
        <v>4968</v>
      </c>
      <c r="B2" t="s">
        <v>4980</v>
      </c>
      <c r="C2" t="s">
        <v>3514</v>
      </c>
      <c r="D2" t="s">
        <v>4981</v>
      </c>
      <c r="E2" t="s">
        <v>4982</v>
      </c>
      <c r="F2" t="s">
        <v>4983</v>
      </c>
      <c r="G2" t="s">
        <v>160</v>
      </c>
      <c r="H2" t="s">
        <v>4984</v>
      </c>
      <c r="I2" t="s">
        <v>4985</v>
      </c>
      <c r="J2" t="s">
        <v>4986</v>
      </c>
    </row>
    <row r="3" spans="1:11" ht="15" customHeight="1" x14ac:dyDescent="0.25">
      <c r="A3" t="s">
        <v>4987</v>
      </c>
      <c r="B3" t="s">
        <v>4988</v>
      </c>
      <c r="C3" t="s">
        <v>41</v>
      </c>
      <c r="D3" t="s">
        <v>4989</v>
      </c>
      <c r="E3" t="s">
        <v>4990</v>
      </c>
      <c r="F3" t="s">
        <v>4991</v>
      </c>
      <c r="G3" t="s">
        <v>1649</v>
      </c>
      <c r="J3" t="s">
        <v>4992</v>
      </c>
    </row>
    <row r="4" spans="1:11" ht="15" customHeight="1" x14ac:dyDescent="0.25">
      <c r="A4" t="s">
        <v>4993</v>
      </c>
      <c r="B4" t="s">
        <v>4988</v>
      </c>
      <c r="C4" t="s">
        <v>41</v>
      </c>
      <c r="D4" t="s">
        <v>4994</v>
      </c>
      <c r="E4" t="s">
        <v>4995</v>
      </c>
      <c r="F4" t="s">
        <v>4996</v>
      </c>
      <c r="G4" t="s">
        <v>1046</v>
      </c>
      <c r="J4" t="s">
        <v>4997</v>
      </c>
    </row>
    <row r="5" spans="1:11" ht="15" customHeight="1" x14ac:dyDescent="0.25">
      <c r="A5" t="s">
        <v>4998</v>
      </c>
      <c r="B5" t="s">
        <v>3680</v>
      </c>
      <c r="C5" t="s">
        <v>41</v>
      </c>
      <c r="D5" t="s">
        <v>4999</v>
      </c>
      <c r="E5" t="s">
        <v>5000</v>
      </c>
      <c r="F5" t="s">
        <v>3458</v>
      </c>
      <c r="G5" t="s">
        <v>2132</v>
      </c>
      <c r="J5" t="s">
        <v>5001</v>
      </c>
    </row>
    <row r="6" spans="1:11" ht="15" customHeight="1" x14ac:dyDescent="0.25">
      <c r="A6" t="s">
        <v>5002</v>
      </c>
      <c r="B6" t="s">
        <v>3680</v>
      </c>
      <c r="C6" t="s">
        <v>3502</v>
      </c>
      <c r="D6" t="s">
        <v>5003</v>
      </c>
      <c r="E6" t="s">
        <v>5004</v>
      </c>
      <c r="F6" t="s">
        <v>3458</v>
      </c>
      <c r="G6" t="s">
        <v>2132</v>
      </c>
      <c r="J6" t="s">
        <v>5005</v>
      </c>
    </row>
    <row r="7" spans="1:11" ht="15" customHeight="1" x14ac:dyDescent="0.25">
      <c r="A7" t="s">
        <v>5006</v>
      </c>
      <c r="B7" t="s">
        <v>5007</v>
      </c>
      <c r="C7" t="s">
        <v>41</v>
      </c>
      <c r="D7" t="s">
        <v>5008</v>
      </c>
      <c r="E7" t="s">
        <v>5009</v>
      </c>
      <c r="F7" t="s">
        <v>3458</v>
      </c>
      <c r="G7" t="s">
        <v>759</v>
      </c>
      <c r="J7" t="s">
        <v>5010</v>
      </c>
    </row>
    <row r="8" spans="1:11" ht="15" customHeight="1" x14ac:dyDescent="0.25">
      <c r="A8" t="s">
        <v>5011</v>
      </c>
      <c r="B8" t="s">
        <v>4980</v>
      </c>
      <c r="C8" t="s">
        <v>3502</v>
      </c>
      <c r="D8" t="s">
        <v>5012</v>
      </c>
      <c r="E8" t="s">
        <v>5013</v>
      </c>
      <c r="F8" t="s">
        <v>3458</v>
      </c>
      <c r="G8" t="s">
        <v>160</v>
      </c>
      <c r="H8" t="s">
        <v>5014</v>
      </c>
      <c r="I8" t="s">
        <v>5015</v>
      </c>
      <c r="J8" t="s">
        <v>5016</v>
      </c>
    </row>
  </sheetData>
  <pageMargins left="0.7" right="0.7" top="0.75" bottom="0.75" header="0.511811023622047" footer="0.511811023622047"/>
  <pageSetup orientation="portrait" horizontalDpi="300" verticalDpi="300"/>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13"/>
  <sheetViews>
    <sheetView zoomScale="85" zoomScaleNormal="85" workbookViewId="0">
      <pane ySplit="1" topLeftCell="A2" activePane="bottomLeft" state="frozen"/>
      <selection pane="bottomLeft" activeCell="A4" sqref="A4"/>
    </sheetView>
  </sheetViews>
  <sheetFormatPr defaultColWidth="8.7109375" defaultRowHeight="15" x14ac:dyDescent="0.25"/>
  <cols>
    <col min="1" max="1" width="16" customWidth="1"/>
    <col min="2" max="2" width="11" customWidth="1"/>
    <col min="3" max="3" width="11.28515625" customWidth="1"/>
    <col min="4" max="6" width="11" customWidth="1"/>
    <col min="7" max="7" width="24" customWidth="1"/>
    <col min="8" max="8" width="16" customWidth="1"/>
    <col min="9" max="9" width="11" customWidth="1"/>
    <col min="10" max="10" width="166.140625" customWidth="1"/>
    <col min="11" max="11" width="16" customWidth="1"/>
    <col min="12" max="13" width="11" customWidth="1"/>
  </cols>
  <sheetData>
    <row r="1" spans="1:13" ht="15" customHeight="1" x14ac:dyDescent="0.25">
      <c r="A1" t="s">
        <v>165</v>
      </c>
      <c r="B1" t="s">
        <v>167</v>
      </c>
      <c r="C1" t="s">
        <v>3734</v>
      </c>
      <c r="D1" t="s">
        <v>5017</v>
      </c>
      <c r="E1" t="s">
        <v>5018</v>
      </c>
      <c r="F1" t="s">
        <v>5019</v>
      </c>
      <c r="G1" t="s">
        <v>3739</v>
      </c>
      <c r="H1" t="s">
        <v>1</v>
      </c>
      <c r="I1" t="s">
        <v>5020</v>
      </c>
      <c r="J1" t="s">
        <v>5021</v>
      </c>
      <c r="K1" t="s">
        <v>171</v>
      </c>
      <c r="L1" t="s">
        <v>5022</v>
      </c>
      <c r="M1" t="s">
        <v>3740</v>
      </c>
    </row>
    <row r="2" spans="1:13" ht="27.75" customHeight="1" x14ac:dyDescent="0.25">
      <c r="A2" t="s">
        <v>3802</v>
      </c>
      <c r="B2" t="s">
        <v>5023</v>
      </c>
      <c r="C2" t="s">
        <v>4363</v>
      </c>
      <c r="D2">
        <v>2</v>
      </c>
      <c r="E2">
        <v>48</v>
      </c>
      <c r="F2">
        <v>54</v>
      </c>
      <c r="G2" t="s">
        <v>3458</v>
      </c>
      <c r="H2" t="s">
        <v>90</v>
      </c>
      <c r="I2" t="s">
        <v>4396</v>
      </c>
      <c r="J2" s="3" t="s">
        <v>5024</v>
      </c>
      <c r="K2" t="s">
        <v>3802</v>
      </c>
      <c r="L2" t="s">
        <v>3458</v>
      </c>
    </row>
    <row r="3" spans="1:13" ht="41.25" customHeight="1" x14ac:dyDescent="0.25">
      <c r="A3" t="s">
        <v>3831</v>
      </c>
      <c r="B3" t="s">
        <v>5023</v>
      </c>
      <c r="C3" t="s">
        <v>4367</v>
      </c>
      <c r="D3">
        <v>6</v>
      </c>
      <c r="E3">
        <v>114</v>
      </c>
      <c r="F3">
        <v>120</v>
      </c>
      <c r="G3" t="s">
        <v>3458</v>
      </c>
      <c r="H3" t="s">
        <v>90</v>
      </c>
      <c r="I3" t="s">
        <v>4396</v>
      </c>
      <c r="J3" s="3" t="s">
        <v>5025</v>
      </c>
      <c r="K3" t="s">
        <v>3831</v>
      </c>
      <c r="L3" t="s">
        <v>3458</v>
      </c>
    </row>
    <row r="4" spans="1:13" ht="15" customHeight="1" x14ac:dyDescent="0.25">
      <c r="A4" t="s">
        <v>3837</v>
      </c>
      <c r="B4" t="s">
        <v>5023</v>
      </c>
      <c r="C4" t="s">
        <v>5026</v>
      </c>
      <c r="D4">
        <v>9</v>
      </c>
      <c r="E4">
        <v>999</v>
      </c>
      <c r="F4">
        <v>999</v>
      </c>
      <c r="G4" t="s">
        <v>5027</v>
      </c>
      <c r="H4" t="s">
        <v>90</v>
      </c>
      <c r="I4" t="s">
        <v>4396</v>
      </c>
      <c r="J4" t="s">
        <v>5028</v>
      </c>
      <c r="K4" t="s">
        <v>3837</v>
      </c>
      <c r="L4" t="s">
        <v>3458</v>
      </c>
    </row>
    <row r="5" spans="1:13" ht="54.75" customHeight="1" x14ac:dyDescent="0.25">
      <c r="A5" t="s">
        <v>5029</v>
      </c>
      <c r="B5" t="s">
        <v>5023</v>
      </c>
      <c r="C5" t="s">
        <v>4363</v>
      </c>
      <c r="D5">
        <v>3</v>
      </c>
      <c r="E5">
        <v>40</v>
      </c>
      <c r="F5">
        <v>44</v>
      </c>
      <c r="G5" t="s">
        <v>3458</v>
      </c>
      <c r="H5" t="s">
        <v>90</v>
      </c>
      <c r="I5" t="s">
        <v>4396</v>
      </c>
      <c r="J5" s="3" t="s">
        <v>5030</v>
      </c>
      <c r="K5" t="s">
        <v>5031</v>
      </c>
      <c r="L5" t="s">
        <v>3458</v>
      </c>
    </row>
    <row r="6" spans="1:13" ht="27.75" customHeight="1" x14ac:dyDescent="0.25">
      <c r="A6" t="s">
        <v>5032</v>
      </c>
      <c r="B6" t="s">
        <v>5023</v>
      </c>
      <c r="C6" t="s">
        <v>4363</v>
      </c>
      <c r="D6">
        <v>1</v>
      </c>
      <c r="E6">
        <v>10</v>
      </c>
      <c r="F6">
        <v>15</v>
      </c>
      <c r="G6" t="s">
        <v>5033</v>
      </c>
      <c r="H6" t="s">
        <v>90</v>
      </c>
      <c r="I6" t="s">
        <v>4396</v>
      </c>
      <c r="J6" s="3" t="s">
        <v>5034</v>
      </c>
      <c r="K6" t="s">
        <v>5035</v>
      </c>
      <c r="L6" t="s">
        <v>3458</v>
      </c>
      <c r="M6" t="s">
        <v>4633</v>
      </c>
    </row>
    <row r="7" spans="1:13" ht="27.75" customHeight="1" x14ac:dyDescent="0.25">
      <c r="A7" t="s">
        <v>5036</v>
      </c>
      <c r="B7" t="s">
        <v>5023</v>
      </c>
      <c r="C7" t="s">
        <v>4363</v>
      </c>
      <c r="D7">
        <v>1</v>
      </c>
      <c r="E7">
        <v>11</v>
      </c>
      <c r="F7">
        <v>17</v>
      </c>
      <c r="G7" t="s">
        <v>5033</v>
      </c>
      <c r="H7" t="s">
        <v>90</v>
      </c>
      <c r="I7" t="s">
        <v>4396</v>
      </c>
      <c r="J7" s="3" t="s">
        <v>5037</v>
      </c>
      <c r="K7" t="s">
        <v>5038</v>
      </c>
      <c r="L7" t="s">
        <v>3458</v>
      </c>
      <c r="M7" t="s">
        <v>4633</v>
      </c>
    </row>
    <row r="8" spans="1:13" ht="41.25" customHeight="1" x14ac:dyDescent="0.25">
      <c r="A8" t="s">
        <v>5039</v>
      </c>
      <c r="B8" t="s">
        <v>5023</v>
      </c>
      <c r="C8" t="s">
        <v>4363</v>
      </c>
      <c r="D8">
        <v>4</v>
      </c>
      <c r="E8">
        <v>65</v>
      </c>
      <c r="F8">
        <v>69</v>
      </c>
      <c r="G8" t="s">
        <v>5040</v>
      </c>
      <c r="H8" t="s">
        <v>90</v>
      </c>
      <c r="I8" t="s">
        <v>4396</v>
      </c>
      <c r="J8" s="3" t="s">
        <v>5041</v>
      </c>
      <c r="K8" t="s">
        <v>5042</v>
      </c>
      <c r="L8" t="s">
        <v>3458</v>
      </c>
      <c r="M8" t="s">
        <v>3827</v>
      </c>
    </row>
    <row r="9" spans="1:13" ht="41.25" customHeight="1" x14ac:dyDescent="0.25">
      <c r="A9" t="s">
        <v>5043</v>
      </c>
      <c r="B9" t="s">
        <v>5023</v>
      </c>
      <c r="C9" t="s">
        <v>4363</v>
      </c>
      <c r="D9">
        <v>2</v>
      </c>
      <c r="E9">
        <v>28</v>
      </c>
      <c r="F9">
        <v>32</v>
      </c>
      <c r="G9" t="s">
        <v>3458</v>
      </c>
      <c r="H9" t="s">
        <v>90</v>
      </c>
      <c r="I9" t="s">
        <v>4396</v>
      </c>
      <c r="J9" s="3" t="s">
        <v>5044</v>
      </c>
      <c r="K9" t="s">
        <v>5045</v>
      </c>
      <c r="L9" t="s">
        <v>3458</v>
      </c>
      <c r="M9" t="s">
        <v>3827</v>
      </c>
    </row>
    <row r="10" spans="1:13" ht="27.75" customHeight="1" x14ac:dyDescent="0.25">
      <c r="A10" t="s">
        <v>5046</v>
      </c>
      <c r="B10" t="s">
        <v>5023</v>
      </c>
      <c r="C10" t="s">
        <v>4363</v>
      </c>
      <c r="D10">
        <v>1</v>
      </c>
      <c r="E10">
        <v>8</v>
      </c>
      <c r="F10">
        <v>12</v>
      </c>
      <c r="G10" t="s">
        <v>3458</v>
      </c>
      <c r="H10" t="s">
        <v>90</v>
      </c>
      <c r="I10" t="s">
        <v>4396</v>
      </c>
      <c r="J10" s="3" t="s">
        <v>5047</v>
      </c>
      <c r="K10" t="s">
        <v>5048</v>
      </c>
      <c r="L10" t="s">
        <v>3458</v>
      </c>
      <c r="M10" t="s">
        <v>3827</v>
      </c>
    </row>
    <row r="11" spans="1:13" ht="27.75" customHeight="1" x14ac:dyDescent="0.25">
      <c r="A11" t="s">
        <v>3824</v>
      </c>
      <c r="B11" t="s">
        <v>5023</v>
      </c>
      <c r="C11" t="s">
        <v>4363</v>
      </c>
      <c r="D11">
        <v>4</v>
      </c>
      <c r="E11">
        <v>64</v>
      </c>
      <c r="F11">
        <v>70</v>
      </c>
      <c r="G11" t="s">
        <v>5049</v>
      </c>
      <c r="H11" t="s">
        <v>90</v>
      </c>
      <c r="I11" t="s">
        <v>4396</v>
      </c>
      <c r="J11" s="3" t="s">
        <v>5050</v>
      </c>
      <c r="K11" t="s">
        <v>3826</v>
      </c>
      <c r="L11" t="s">
        <v>3458</v>
      </c>
      <c r="M11" t="s">
        <v>3827</v>
      </c>
    </row>
    <row r="12" spans="1:13" ht="27.75" customHeight="1" x14ac:dyDescent="0.25">
      <c r="A12" t="s">
        <v>5051</v>
      </c>
      <c r="B12" t="s">
        <v>5023</v>
      </c>
      <c r="C12" t="s">
        <v>4363</v>
      </c>
      <c r="D12">
        <v>2</v>
      </c>
      <c r="E12">
        <v>28</v>
      </c>
      <c r="F12">
        <v>32</v>
      </c>
      <c r="G12" t="s">
        <v>3458</v>
      </c>
      <c r="H12" t="s">
        <v>90</v>
      </c>
      <c r="I12" t="s">
        <v>4396</v>
      </c>
      <c r="J12" s="3" t="s">
        <v>5052</v>
      </c>
      <c r="K12" t="s">
        <v>5053</v>
      </c>
      <c r="L12" t="s">
        <v>3458</v>
      </c>
      <c r="M12" t="s">
        <v>3827</v>
      </c>
    </row>
    <row r="13" spans="1:13" ht="15" customHeight="1" x14ac:dyDescent="0.25">
      <c r="A13" t="s">
        <v>5054</v>
      </c>
      <c r="B13" t="s">
        <v>5023</v>
      </c>
      <c r="C13" t="s">
        <v>4363</v>
      </c>
      <c r="D13">
        <v>1</v>
      </c>
      <c r="E13">
        <v>10</v>
      </c>
      <c r="F13">
        <v>14</v>
      </c>
      <c r="G13" t="s">
        <v>3458</v>
      </c>
      <c r="H13" t="s">
        <v>90</v>
      </c>
      <c r="I13" t="s">
        <v>4396</v>
      </c>
      <c r="J13" t="s">
        <v>5055</v>
      </c>
      <c r="K13" t="s">
        <v>5056</v>
      </c>
      <c r="L13" t="s">
        <v>3458</v>
      </c>
      <c r="M13" t="s">
        <v>3827</v>
      </c>
    </row>
  </sheetData>
  <pageMargins left="0.75" right="0.75" top="1" bottom="1" header="0.511811023622047" footer="0.511811023622047"/>
  <pageSetup orientation="portrait" horizontalDpi="300" verticalDpi="300"/>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T7"/>
  <sheetViews>
    <sheetView zoomScale="85" zoomScaleNormal="85" workbookViewId="0">
      <pane ySplit="1" topLeftCell="A2" activePane="bottomLeft" state="frozen"/>
      <selection pane="bottomLeft" activeCell="Q2" sqref="Q2"/>
    </sheetView>
  </sheetViews>
  <sheetFormatPr defaultColWidth="8.7109375" defaultRowHeight="15" x14ac:dyDescent="0.25"/>
  <cols>
    <col min="1" max="1" width="10.28515625" customWidth="1"/>
    <col min="2" max="2" width="10.7109375" customWidth="1"/>
    <col min="3" max="3" width="11.42578125" customWidth="1"/>
    <col min="4" max="4" width="11" customWidth="1"/>
    <col min="5" max="5" width="20.140625" customWidth="1"/>
    <col min="6" max="6" width="11" customWidth="1"/>
    <col min="7" max="7" width="9.7109375" customWidth="1"/>
    <col min="8" max="8" width="10" customWidth="1"/>
    <col min="9" max="9" width="8.85546875" customWidth="1"/>
    <col min="10" max="10" width="11.28515625" customWidth="1"/>
    <col min="11" max="11" width="11.140625" customWidth="1"/>
    <col min="12" max="12" width="78.28515625" customWidth="1"/>
    <col min="13" max="13" width="12.85546875" customWidth="1"/>
    <col min="14" max="14" width="13" customWidth="1"/>
    <col min="15" max="15" width="9.85546875" customWidth="1"/>
    <col min="16" max="16" width="13.85546875" customWidth="1"/>
    <col min="17" max="17" width="54.85546875" customWidth="1"/>
    <col min="18" max="18" width="24.140625" customWidth="1"/>
    <col min="19" max="19" width="59.140625" customWidth="1"/>
    <col min="20" max="20" width="6.85546875" customWidth="1"/>
  </cols>
  <sheetData>
    <row r="1" spans="1:20" ht="15" customHeight="1" x14ac:dyDescent="0.25">
      <c r="A1" t="s">
        <v>165</v>
      </c>
      <c r="B1" t="s">
        <v>5057</v>
      </c>
      <c r="C1" t="s">
        <v>3734</v>
      </c>
      <c r="D1" t="s">
        <v>5017</v>
      </c>
      <c r="E1" t="s">
        <v>1</v>
      </c>
      <c r="F1" t="s">
        <v>5018</v>
      </c>
      <c r="G1" t="s">
        <v>5019</v>
      </c>
      <c r="H1" t="s">
        <v>3987</v>
      </c>
      <c r="I1" t="s">
        <v>3735</v>
      </c>
      <c r="J1" t="s">
        <v>5058</v>
      </c>
      <c r="K1" t="s">
        <v>5059</v>
      </c>
      <c r="L1" t="s">
        <v>5060</v>
      </c>
      <c r="M1" t="s">
        <v>5061</v>
      </c>
      <c r="N1" t="s">
        <v>5062</v>
      </c>
      <c r="O1" t="s">
        <v>5063</v>
      </c>
      <c r="P1" t="s">
        <v>5064</v>
      </c>
      <c r="Q1" t="s">
        <v>5065</v>
      </c>
      <c r="R1" t="s">
        <v>5066</v>
      </c>
      <c r="S1" t="s">
        <v>3739</v>
      </c>
      <c r="T1" t="s">
        <v>3740</v>
      </c>
    </row>
    <row r="2" spans="1:20" ht="15" customHeight="1" x14ac:dyDescent="0.25">
      <c r="A2" t="s">
        <v>3747</v>
      </c>
      <c r="B2" t="s">
        <v>5067</v>
      </c>
      <c r="C2" t="s">
        <v>4363</v>
      </c>
      <c r="D2">
        <v>1</v>
      </c>
      <c r="E2" t="s">
        <v>497</v>
      </c>
      <c r="F2">
        <v>10</v>
      </c>
      <c r="G2">
        <v>15</v>
      </c>
      <c r="H2">
        <v>80</v>
      </c>
      <c r="I2">
        <v>1</v>
      </c>
      <c r="J2" t="s">
        <v>5068</v>
      </c>
      <c r="K2">
        <v>0</v>
      </c>
      <c r="L2" t="s">
        <v>5069</v>
      </c>
      <c r="M2" t="s">
        <v>5070</v>
      </c>
      <c r="N2" t="s">
        <v>3997</v>
      </c>
      <c r="O2" t="s">
        <v>5071</v>
      </c>
      <c r="R2" t="s">
        <v>5072</v>
      </c>
      <c r="T2" t="s">
        <v>3506</v>
      </c>
    </row>
    <row r="3" spans="1:20" ht="15" customHeight="1" x14ac:dyDescent="0.25">
      <c r="A3" t="s">
        <v>5073</v>
      </c>
      <c r="B3" t="s">
        <v>5074</v>
      </c>
      <c r="C3" t="s">
        <v>4363</v>
      </c>
      <c r="D3">
        <v>2</v>
      </c>
      <c r="E3" t="s">
        <v>160</v>
      </c>
      <c r="F3">
        <v>16</v>
      </c>
      <c r="G3">
        <v>20</v>
      </c>
      <c r="H3">
        <v>90</v>
      </c>
      <c r="I3">
        <v>1</v>
      </c>
      <c r="J3" t="s">
        <v>5068</v>
      </c>
      <c r="K3">
        <v>0</v>
      </c>
      <c r="L3" t="s">
        <v>5075</v>
      </c>
      <c r="M3" t="s">
        <v>5076</v>
      </c>
      <c r="N3" t="s">
        <v>3997</v>
      </c>
      <c r="Q3" t="s">
        <v>5077</v>
      </c>
      <c r="R3" t="s">
        <v>5078</v>
      </c>
      <c r="S3" t="s">
        <v>5079</v>
      </c>
    </row>
    <row r="4" spans="1:20" ht="15" customHeight="1" x14ac:dyDescent="0.25">
      <c r="A4" t="s">
        <v>5080</v>
      </c>
      <c r="B4" t="s">
        <v>5081</v>
      </c>
      <c r="C4" t="s">
        <v>4363</v>
      </c>
      <c r="D4">
        <v>0</v>
      </c>
      <c r="E4" t="s">
        <v>160</v>
      </c>
      <c r="F4">
        <v>16</v>
      </c>
      <c r="G4">
        <v>20</v>
      </c>
      <c r="H4">
        <v>60</v>
      </c>
      <c r="I4">
        <v>1</v>
      </c>
      <c r="J4" t="s">
        <v>5082</v>
      </c>
      <c r="K4">
        <v>0</v>
      </c>
      <c r="L4" t="s">
        <v>5083</v>
      </c>
      <c r="M4" t="s">
        <v>5084</v>
      </c>
      <c r="N4" t="s">
        <v>3997</v>
      </c>
      <c r="Q4" t="s">
        <v>5085</v>
      </c>
      <c r="R4" t="s">
        <v>5086</v>
      </c>
    </row>
    <row r="5" spans="1:20" ht="15" customHeight="1" x14ac:dyDescent="0.25">
      <c r="A5" t="s">
        <v>5087</v>
      </c>
      <c r="B5" t="s">
        <v>5088</v>
      </c>
      <c r="C5" t="s">
        <v>4363</v>
      </c>
      <c r="D5">
        <v>2</v>
      </c>
      <c r="E5" t="s">
        <v>160</v>
      </c>
      <c r="F5">
        <v>16</v>
      </c>
      <c r="G5">
        <v>20</v>
      </c>
      <c r="H5">
        <v>0</v>
      </c>
      <c r="I5">
        <v>1</v>
      </c>
      <c r="J5" t="s">
        <v>5089</v>
      </c>
      <c r="K5">
        <v>0</v>
      </c>
      <c r="L5" t="s">
        <v>5090</v>
      </c>
      <c r="M5" t="s">
        <v>5091</v>
      </c>
      <c r="N5" t="s">
        <v>3997</v>
      </c>
      <c r="R5" t="s">
        <v>5092</v>
      </c>
    </row>
    <row r="6" spans="1:20" ht="15" customHeight="1" x14ac:dyDescent="0.25">
      <c r="A6" t="s">
        <v>5082</v>
      </c>
      <c r="B6" t="s">
        <v>5093</v>
      </c>
      <c r="C6" t="s">
        <v>4363</v>
      </c>
      <c r="D6">
        <v>0</v>
      </c>
      <c r="E6" t="s">
        <v>160</v>
      </c>
      <c r="F6">
        <v>16</v>
      </c>
      <c r="G6">
        <v>20</v>
      </c>
      <c r="H6">
        <v>70</v>
      </c>
      <c r="I6">
        <v>1</v>
      </c>
      <c r="J6" t="s">
        <v>5082</v>
      </c>
      <c r="K6">
        <v>0</v>
      </c>
      <c r="L6" t="s">
        <v>5075</v>
      </c>
      <c r="M6" t="s">
        <v>5094</v>
      </c>
      <c r="N6" t="s">
        <v>3997</v>
      </c>
      <c r="Q6" t="s">
        <v>5095</v>
      </c>
      <c r="R6" t="s">
        <v>5096</v>
      </c>
    </row>
    <row r="7" spans="1:20" ht="15" customHeight="1" x14ac:dyDescent="0.25">
      <c r="A7" t="s">
        <v>5097</v>
      </c>
      <c r="B7" t="s">
        <v>5098</v>
      </c>
      <c r="C7" t="s">
        <v>4363</v>
      </c>
      <c r="D7">
        <v>2</v>
      </c>
      <c r="E7" t="s">
        <v>497</v>
      </c>
      <c r="F7">
        <v>12</v>
      </c>
      <c r="G7">
        <v>16</v>
      </c>
      <c r="H7">
        <v>70</v>
      </c>
      <c r="I7">
        <v>1</v>
      </c>
      <c r="J7" t="s">
        <v>5099</v>
      </c>
      <c r="K7">
        <v>6</v>
      </c>
      <c r="L7" t="s">
        <v>5100</v>
      </c>
      <c r="M7" t="s">
        <v>5101</v>
      </c>
      <c r="N7" t="s">
        <v>3997</v>
      </c>
      <c r="O7" t="s">
        <v>5071</v>
      </c>
      <c r="P7" t="s">
        <v>5102</v>
      </c>
      <c r="R7" t="s">
        <v>5072</v>
      </c>
      <c r="T7" t="s">
        <v>3506</v>
      </c>
    </row>
  </sheetData>
  <pageMargins left="0.75" right="0.75" top="1" bottom="1" header="0.511811023622047" footer="0.511811023622047"/>
  <pageSetup orientation="portrait" horizontalDpi="300" verticalDpi="300"/>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7"/>
  <sheetViews>
    <sheetView zoomScale="85" zoomScaleNormal="85" workbookViewId="0">
      <selection activeCell="E64" sqref="E64"/>
    </sheetView>
  </sheetViews>
  <sheetFormatPr defaultColWidth="8.7109375" defaultRowHeight="15" x14ac:dyDescent="0.25"/>
  <cols>
    <col min="1" max="1" width="21.85546875" customWidth="1"/>
    <col min="2" max="2" width="10.5703125" customWidth="1"/>
    <col min="3" max="3" width="118.28515625" customWidth="1"/>
    <col min="4" max="4" width="14.28515625" customWidth="1"/>
    <col min="5" max="5" width="24.7109375" customWidth="1"/>
  </cols>
  <sheetData>
    <row r="1" spans="1:5" ht="15" customHeight="1" x14ac:dyDescent="0.25">
      <c r="A1" t="s">
        <v>165</v>
      </c>
      <c r="B1" t="s">
        <v>167</v>
      </c>
      <c r="C1" t="s">
        <v>5007</v>
      </c>
      <c r="D1" t="s">
        <v>5103</v>
      </c>
      <c r="E1" t="s">
        <v>3496</v>
      </c>
    </row>
    <row r="2" spans="1:5" ht="15" customHeight="1" x14ac:dyDescent="0.25">
      <c r="A2" t="s">
        <v>5104</v>
      </c>
      <c r="B2" t="s">
        <v>3832</v>
      </c>
      <c r="C2" t="s">
        <v>5105</v>
      </c>
      <c r="D2" t="s">
        <v>3450</v>
      </c>
    </row>
    <row r="3" spans="1:5" ht="15" customHeight="1" x14ac:dyDescent="0.25">
      <c r="A3" t="s">
        <v>5106</v>
      </c>
      <c r="B3" t="s">
        <v>3832</v>
      </c>
      <c r="C3" t="s">
        <v>5107</v>
      </c>
      <c r="D3" t="s">
        <v>3450</v>
      </c>
    </row>
    <row r="4" spans="1:5" ht="15" customHeight="1" x14ac:dyDescent="0.25">
      <c r="A4" t="s">
        <v>5108</v>
      </c>
      <c r="B4" t="s">
        <v>3832</v>
      </c>
      <c r="C4" t="s">
        <v>3929</v>
      </c>
      <c r="D4" t="s">
        <v>5109</v>
      </c>
    </row>
    <row r="5" spans="1:5" ht="15" customHeight="1" x14ac:dyDescent="0.25">
      <c r="A5" t="s">
        <v>5110</v>
      </c>
      <c r="B5" t="s">
        <v>3832</v>
      </c>
      <c r="C5" t="s">
        <v>5111</v>
      </c>
      <c r="D5" t="s">
        <v>3450</v>
      </c>
    </row>
    <row r="6" spans="1:5" ht="15" customHeight="1" x14ac:dyDescent="0.25">
      <c r="A6" t="s">
        <v>5112</v>
      </c>
      <c r="B6" t="s">
        <v>3832</v>
      </c>
      <c r="C6" t="s">
        <v>5113</v>
      </c>
      <c r="D6" t="s">
        <v>3450</v>
      </c>
    </row>
    <row r="7" spans="1:5" ht="15" customHeight="1" x14ac:dyDescent="0.25">
      <c r="A7" t="s">
        <v>5114</v>
      </c>
      <c r="B7" t="s">
        <v>3832</v>
      </c>
      <c r="C7" t="s">
        <v>5115</v>
      </c>
      <c r="D7" t="s">
        <v>5116</v>
      </c>
    </row>
    <row r="8" spans="1:5" ht="15" customHeight="1" x14ac:dyDescent="0.25">
      <c r="A8" t="s">
        <v>5117</v>
      </c>
      <c r="B8" t="s">
        <v>3832</v>
      </c>
      <c r="C8" t="s">
        <v>5118</v>
      </c>
      <c r="D8" t="s">
        <v>5119</v>
      </c>
    </row>
    <row r="9" spans="1:5" ht="15" customHeight="1" x14ac:dyDescent="0.25">
      <c r="A9" t="s">
        <v>5120</v>
      </c>
      <c r="B9" t="s">
        <v>5121</v>
      </c>
      <c r="C9" t="s">
        <v>5122</v>
      </c>
      <c r="D9" t="s">
        <v>3458</v>
      </c>
      <c r="E9" t="s">
        <v>5123</v>
      </c>
    </row>
    <row r="10" spans="1:5" ht="15" customHeight="1" x14ac:dyDescent="0.25">
      <c r="A10" t="s">
        <v>5124</v>
      </c>
      <c r="B10" t="s">
        <v>5121</v>
      </c>
      <c r="C10" t="s">
        <v>5125</v>
      </c>
      <c r="D10" t="s">
        <v>3458</v>
      </c>
      <c r="E10" t="s">
        <v>5126</v>
      </c>
    </row>
    <row r="11" spans="1:5" ht="15" customHeight="1" x14ac:dyDescent="0.25">
      <c r="A11" t="s">
        <v>5127</v>
      </c>
      <c r="B11" t="s">
        <v>5121</v>
      </c>
      <c r="C11" t="s">
        <v>5128</v>
      </c>
      <c r="D11" t="s">
        <v>3458</v>
      </c>
      <c r="E11" t="s">
        <v>5129</v>
      </c>
    </row>
    <row r="12" spans="1:5" ht="15" customHeight="1" x14ac:dyDescent="0.25">
      <c r="A12" t="s">
        <v>5130</v>
      </c>
      <c r="B12" t="s">
        <v>3832</v>
      </c>
      <c r="C12" t="s">
        <v>5131</v>
      </c>
      <c r="D12" t="s">
        <v>5132</v>
      </c>
    </row>
    <row r="13" spans="1:5" ht="15" customHeight="1" x14ac:dyDescent="0.25">
      <c r="A13" t="s">
        <v>5133</v>
      </c>
      <c r="B13" t="s">
        <v>3832</v>
      </c>
      <c r="C13" t="s">
        <v>5134</v>
      </c>
      <c r="D13" t="s">
        <v>3450</v>
      </c>
    </row>
    <row r="14" spans="1:5" ht="15" customHeight="1" x14ac:dyDescent="0.25">
      <c r="A14" t="s">
        <v>5135</v>
      </c>
      <c r="B14" t="s">
        <v>3832</v>
      </c>
      <c r="C14" t="s">
        <v>5136</v>
      </c>
      <c r="D14" t="s">
        <v>4253</v>
      </c>
    </row>
    <row r="15" spans="1:5" ht="15" customHeight="1" x14ac:dyDescent="0.25">
      <c r="A15" t="s">
        <v>5137</v>
      </c>
      <c r="B15" t="s">
        <v>3832</v>
      </c>
      <c r="C15" t="s">
        <v>5138</v>
      </c>
      <c r="D15" t="s">
        <v>3450</v>
      </c>
    </row>
    <row r="16" spans="1:5" ht="15" customHeight="1" x14ac:dyDescent="0.25">
      <c r="A16" t="s">
        <v>5139</v>
      </c>
      <c r="B16" t="s">
        <v>5121</v>
      </c>
      <c r="C16" t="s">
        <v>5140</v>
      </c>
      <c r="D16" t="s">
        <v>3458</v>
      </c>
      <c r="E16" t="s">
        <v>5141</v>
      </c>
    </row>
    <row r="17" spans="1:4" ht="15" customHeight="1" x14ac:dyDescent="0.25">
      <c r="A17" t="s">
        <v>5142</v>
      </c>
      <c r="B17" t="s">
        <v>3832</v>
      </c>
      <c r="C17" t="s">
        <v>5143</v>
      </c>
      <c r="D17" t="s">
        <v>5144</v>
      </c>
    </row>
  </sheetData>
  <pageMargins left="0.7" right="0.7" top="0.75" bottom="0.75" header="0.511811023622047" footer="0.511811023622047"/>
  <pageSetup orientation="portrait" horizontalDpi="300" verticalDpi="300"/>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61"/>
  <sheetViews>
    <sheetView topLeftCell="A10" zoomScale="85" zoomScaleNormal="85" workbookViewId="0">
      <selection activeCell="A45" sqref="A45"/>
    </sheetView>
  </sheetViews>
  <sheetFormatPr defaultColWidth="8.7109375" defaultRowHeight="15" x14ac:dyDescent="0.25"/>
  <cols>
    <col min="1" max="1" width="16.28515625" customWidth="1"/>
    <col min="2" max="2" width="132.7109375" customWidth="1"/>
    <col min="3" max="3" width="7.5703125" customWidth="1"/>
    <col min="4" max="4" width="11.7109375" customWidth="1"/>
    <col min="5" max="5" width="12.140625" customWidth="1"/>
    <col min="6" max="6" width="40.28515625" customWidth="1"/>
    <col min="7" max="7" width="7.5703125" customWidth="1"/>
    <col min="8" max="8" width="13.140625" customWidth="1"/>
    <col min="9" max="9" width="15.85546875" customWidth="1"/>
    <col min="10" max="10" width="11.140625" customWidth="1"/>
  </cols>
  <sheetData>
    <row r="1" spans="1:11" ht="15" customHeight="1" x14ac:dyDescent="0.25">
      <c r="A1" t="s">
        <v>165</v>
      </c>
      <c r="B1" t="s">
        <v>3453</v>
      </c>
      <c r="C1" t="s">
        <v>167</v>
      </c>
      <c r="D1" t="s">
        <v>3981</v>
      </c>
      <c r="E1" t="s">
        <v>5145</v>
      </c>
      <c r="F1" t="s">
        <v>4259</v>
      </c>
      <c r="G1" t="s">
        <v>5146</v>
      </c>
      <c r="H1" t="s">
        <v>4009</v>
      </c>
      <c r="I1" t="s">
        <v>171</v>
      </c>
      <c r="J1" t="s">
        <v>6</v>
      </c>
      <c r="K1" t="s">
        <v>5147</v>
      </c>
    </row>
    <row r="2" spans="1:11" ht="15" customHeight="1" x14ac:dyDescent="0.25">
      <c r="A2" t="s">
        <v>5148</v>
      </c>
      <c r="B2" t="s">
        <v>5149</v>
      </c>
      <c r="C2" t="s">
        <v>3983</v>
      </c>
      <c r="D2" t="s">
        <v>187</v>
      </c>
      <c r="E2" t="s">
        <v>3458</v>
      </c>
      <c r="F2" t="s">
        <v>4297</v>
      </c>
      <c r="G2" t="s">
        <v>39</v>
      </c>
      <c r="H2" t="s">
        <v>4031</v>
      </c>
      <c r="I2" t="s">
        <v>5148</v>
      </c>
      <c r="J2" t="s">
        <v>3514</v>
      </c>
      <c r="K2" t="s">
        <v>3458</v>
      </c>
    </row>
    <row r="3" spans="1:11" ht="15" customHeight="1" x14ac:dyDescent="0.25">
      <c r="A3" t="s">
        <v>3521</v>
      </c>
      <c r="B3" t="s">
        <v>5150</v>
      </c>
      <c r="C3" t="s">
        <v>3739</v>
      </c>
      <c r="D3" t="s">
        <v>3997</v>
      </c>
      <c r="E3" t="s">
        <v>3458</v>
      </c>
      <c r="F3" t="s">
        <v>4297</v>
      </c>
      <c r="G3" t="s">
        <v>39</v>
      </c>
      <c r="H3" t="s">
        <v>4031</v>
      </c>
      <c r="I3" t="s">
        <v>3521</v>
      </c>
      <c r="J3" t="s">
        <v>3502</v>
      </c>
      <c r="K3" t="s">
        <v>3458</v>
      </c>
    </row>
    <row r="4" spans="1:11" ht="15" customHeight="1" x14ac:dyDescent="0.25">
      <c r="A4" t="s">
        <v>5151</v>
      </c>
      <c r="B4" t="s">
        <v>5152</v>
      </c>
      <c r="C4" t="s">
        <v>3992</v>
      </c>
      <c r="D4" t="s">
        <v>187</v>
      </c>
      <c r="E4" t="s">
        <v>3458</v>
      </c>
      <c r="F4" t="s">
        <v>5153</v>
      </c>
      <c r="G4" t="s">
        <v>39</v>
      </c>
      <c r="H4" t="s">
        <v>4014</v>
      </c>
      <c r="I4" t="s">
        <v>5151</v>
      </c>
      <c r="J4" t="s">
        <v>3514</v>
      </c>
      <c r="K4" t="s">
        <v>3458</v>
      </c>
    </row>
    <row r="5" spans="1:11" ht="15" customHeight="1" x14ac:dyDescent="0.25">
      <c r="A5" t="s">
        <v>5154</v>
      </c>
      <c r="B5" t="s">
        <v>5155</v>
      </c>
      <c r="C5" t="s">
        <v>3983</v>
      </c>
      <c r="D5" t="s">
        <v>187</v>
      </c>
      <c r="E5" t="s">
        <v>3458</v>
      </c>
      <c r="F5" t="s">
        <v>4297</v>
      </c>
      <c r="G5" t="s">
        <v>39</v>
      </c>
      <c r="H5" t="s">
        <v>4031</v>
      </c>
      <c r="I5" t="s">
        <v>5156</v>
      </c>
      <c r="J5" t="s">
        <v>3502</v>
      </c>
      <c r="K5" t="s">
        <v>3458</v>
      </c>
    </row>
    <row r="6" spans="1:11" ht="15" customHeight="1" x14ac:dyDescent="0.25">
      <c r="A6" t="s">
        <v>5157</v>
      </c>
      <c r="B6" t="s">
        <v>5158</v>
      </c>
      <c r="C6" t="s">
        <v>3992</v>
      </c>
      <c r="D6" t="s">
        <v>187</v>
      </c>
      <c r="E6" t="s">
        <v>3458</v>
      </c>
      <c r="F6" t="s">
        <v>5159</v>
      </c>
      <c r="G6" t="s">
        <v>39</v>
      </c>
      <c r="H6" t="s">
        <v>4014</v>
      </c>
      <c r="I6" t="s">
        <v>5157</v>
      </c>
      <c r="J6" t="s">
        <v>41</v>
      </c>
      <c r="K6" t="s">
        <v>3458</v>
      </c>
    </row>
    <row r="7" spans="1:11" ht="15" customHeight="1" x14ac:dyDescent="0.25">
      <c r="A7" t="s">
        <v>5160</v>
      </c>
      <c r="B7" t="s">
        <v>5161</v>
      </c>
      <c r="C7" t="s">
        <v>3983</v>
      </c>
      <c r="D7" t="s">
        <v>187</v>
      </c>
      <c r="E7" t="s">
        <v>3458</v>
      </c>
      <c r="F7" t="s">
        <v>5159</v>
      </c>
      <c r="G7" t="s">
        <v>39</v>
      </c>
      <c r="H7" t="s">
        <v>4031</v>
      </c>
      <c r="I7" t="s">
        <v>5160</v>
      </c>
      <c r="J7" t="s">
        <v>3502</v>
      </c>
      <c r="K7" t="s">
        <v>3458</v>
      </c>
    </row>
    <row r="8" spans="1:11" ht="15" customHeight="1" x14ac:dyDescent="0.25">
      <c r="A8" t="s">
        <v>5162</v>
      </c>
      <c r="B8" t="s">
        <v>5163</v>
      </c>
      <c r="C8" t="s">
        <v>3983</v>
      </c>
      <c r="D8" t="s">
        <v>187</v>
      </c>
      <c r="E8" t="s">
        <v>3458</v>
      </c>
      <c r="F8" t="s">
        <v>4297</v>
      </c>
      <c r="G8" t="s">
        <v>39</v>
      </c>
      <c r="H8" t="s">
        <v>4031</v>
      </c>
      <c r="I8" t="s">
        <v>5162</v>
      </c>
      <c r="J8" t="s">
        <v>41</v>
      </c>
      <c r="K8" t="s">
        <v>3458</v>
      </c>
    </row>
    <row r="9" spans="1:11" ht="15" customHeight="1" x14ac:dyDescent="0.25">
      <c r="A9" t="s">
        <v>5164</v>
      </c>
      <c r="B9" t="s">
        <v>5165</v>
      </c>
      <c r="C9" t="s">
        <v>3992</v>
      </c>
      <c r="D9" t="s">
        <v>187</v>
      </c>
      <c r="E9" t="s">
        <v>3458</v>
      </c>
      <c r="F9" t="s">
        <v>4297</v>
      </c>
      <c r="G9" t="s">
        <v>39</v>
      </c>
      <c r="H9" t="s">
        <v>4014</v>
      </c>
      <c r="I9" t="s">
        <v>5164</v>
      </c>
      <c r="J9" t="s">
        <v>41</v>
      </c>
      <c r="K9" t="s">
        <v>3458</v>
      </c>
    </row>
    <row r="10" spans="1:11" ht="15" customHeight="1" x14ac:dyDescent="0.25">
      <c r="A10" t="s">
        <v>5166</v>
      </c>
      <c r="B10" t="s">
        <v>5167</v>
      </c>
      <c r="C10" t="s">
        <v>3983</v>
      </c>
      <c r="D10" t="s">
        <v>187</v>
      </c>
      <c r="E10" t="s">
        <v>3458</v>
      </c>
      <c r="F10" t="s">
        <v>5168</v>
      </c>
      <c r="G10" t="s">
        <v>39</v>
      </c>
      <c r="H10" t="s">
        <v>4031</v>
      </c>
      <c r="I10" t="s">
        <v>5166</v>
      </c>
      <c r="J10" t="s">
        <v>3502</v>
      </c>
      <c r="K10" t="s">
        <v>3458</v>
      </c>
    </row>
    <row r="11" spans="1:11" ht="15" customHeight="1" x14ac:dyDescent="0.25">
      <c r="A11" t="s">
        <v>4002</v>
      </c>
      <c r="B11" t="s">
        <v>5169</v>
      </c>
      <c r="C11" t="s">
        <v>3992</v>
      </c>
      <c r="D11" t="s">
        <v>187</v>
      </c>
      <c r="E11" t="s">
        <v>3458</v>
      </c>
      <c r="F11" t="s">
        <v>5159</v>
      </c>
      <c r="G11" t="s">
        <v>39</v>
      </c>
      <c r="H11" t="s">
        <v>4014</v>
      </c>
      <c r="I11" t="s">
        <v>4002</v>
      </c>
      <c r="J11" t="s">
        <v>41</v>
      </c>
      <c r="K11" t="s">
        <v>3458</v>
      </c>
    </row>
    <row r="12" spans="1:11" ht="15" customHeight="1" x14ac:dyDescent="0.25">
      <c r="A12" t="s">
        <v>5170</v>
      </c>
      <c r="B12" t="s">
        <v>5171</v>
      </c>
      <c r="C12" t="s">
        <v>3983</v>
      </c>
      <c r="D12" t="s">
        <v>187</v>
      </c>
      <c r="E12" t="s">
        <v>3458</v>
      </c>
      <c r="F12" t="s">
        <v>5172</v>
      </c>
      <c r="G12" t="s">
        <v>5173</v>
      </c>
      <c r="H12" t="s">
        <v>4031</v>
      </c>
      <c r="I12" t="s">
        <v>5170</v>
      </c>
      <c r="J12" t="s">
        <v>3502</v>
      </c>
      <c r="K12" t="s">
        <v>3458</v>
      </c>
    </row>
    <row r="13" spans="1:11" ht="15" customHeight="1" x14ac:dyDescent="0.25">
      <c r="A13" t="s">
        <v>5174</v>
      </c>
      <c r="B13" t="s">
        <v>5175</v>
      </c>
      <c r="C13" t="s">
        <v>3992</v>
      </c>
      <c r="D13" t="s">
        <v>187</v>
      </c>
      <c r="E13" t="s">
        <v>3458</v>
      </c>
      <c r="F13" t="s">
        <v>5172</v>
      </c>
      <c r="G13" t="s">
        <v>5176</v>
      </c>
      <c r="H13" t="s">
        <v>4014</v>
      </c>
      <c r="I13" t="s">
        <v>5174</v>
      </c>
      <c r="J13" t="s">
        <v>3458</v>
      </c>
      <c r="K13" t="s">
        <v>3458</v>
      </c>
    </row>
    <row r="14" spans="1:11" ht="15" customHeight="1" x14ac:dyDescent="0.25">
      <c r="A14" t="s">
        <v>5177</v>
      </c>
      <c r="B14" t="s">
        <v>5178</v>
      </c>
      <c r="C14" t="s">
        <v>3992</v>
      </c>
      <c r="D14" t="s">
        <v>187</v>
      </c>
      <c r="E14" t="s">
        <v>3458</v>
      </c>
      <c r="F14" t="s">
        <v>5159</v>
      </c>
      <c r="G14" t="s">
        <v>5173</v>
      </c>
      <c r="H14" t="s">
        <v>4014</v>
      </c>
      <c r="I14" t="s">
        <v>5177</v>
      </c>
      <c r="J14" t="s">
        <v>3458</v>
      </c>
      <c r="K14" t="s">
        <v>3458</v>
      </c>
    </row>
    <row r="15" spans="1:11" ht="15" customHeight="1" x14ac:dyDescent="0.25">
      <c r="A15" t="s">
        <v>5179</v>
      </c>
      <c r="B15" t="s">
        <v>5180</v>
      </c>
      <c r="C15" t="s">
        <v>3992</v>
      </c>
      <c r="D15" t="s">
        <v>187</v>
      </c>
      <c r="E15" t="s">
        <v>3458</v>
      </c>
      <c r="F15" t="s">
        <v>4297</v>
      </c>
      <c r="G15" t="s">
        <v>5176</v>
      </c>
      <c r="H15" t="s">
        <v>4014</v>
      </c>
      <c r="I15" t="s">
        <v>5181</v>
      </c>
      <c r="J15" t="s">
        <v>3458</v>
      </c>
      <c r="K15" t="s">
        <v>3458</v>
      </c>
    </row>
    <row r="16" spans="1:11" ht="15" customHeight="1" x14ac:dyDescent="0.25">
      <c r="A16" t="s">
        <v>5182</v>
      </c>
      <c r="B16" t="s">
        <v>5183</v>
      </c>
      <c r="C16" t="s">
        <v>3739</v>
      </c>
      <c r="D16" t="s">
        <v>3997</v>
      </c>
      <c r="E16" t="s">
        <v>3458</v>
      </c>
      <c r="F16" t="s">
        <v>4297</v>
      </c>
      <c r="G16" t="s">
        <v>39</v>
      </c>
      <c r="H16" t="s">
        <v>4031</v>
      </c>
      <c r="I16" t="s">
        <v>5184</v>
      </c>
      <c r="J16" t="s">
        <v>3458</v>
      </c>
      <c r="K16" t="s">
        <v>3458</v>
      </c>
    </row>
    <row r="17" spans="1:11" ht="15" customHeight="1" x14ac:dyDescent="0.25">
      <c r="A17" t="s">
        <v>3512</v>
      </c>
      <c r="B17" t="s">
        <v>5185</v>
      </c>
      <c r="C17" t="s">
        <v>3983</v>
      </c>
      <c r="D17" t="s">
        <v>187</v>
      </c>
      <c r="E17" t="s">
        <v>3458</v>
      </c>
      <c r="F17" t="s">
        <v>4297</v>
      </c>
      <c r="G17" t="s">
        <v>39</v>
      </c>
      <c r="H17" t="s">
        <v>4031</v>
      </c>
      <c r="I17" t="s">
        <v>3512</v>
      </c>
      <c r="J17" t="s">
        <v>3514</v>
      </c>
      <c r="K17" t="s">
        <v>3458</v>
      </c>
    </row>
    <row r="18" spans="1:11" ht="15" customHeight="1" x14ac:dyDescent="0.25">
      <c r="A18" t="s">
        <v>5186</v>
      </c>
      <c r="B18" t="s">
        <v>5187</v>
      </c>
      <c r="C18" t="s">
        <v>3983</v>
      </c>
      <c r="D18" t="s">
        <v>187</v>
      </c>
      <c r="E18" t="s">
        <v>3458</v>
      </c>
      <c r="F18" t="s">
        <v>5188</v>
      </c>
      <c r="G18" t="s">
        <v>39</v>
      </c>
      <c r="H18" t="s">
        <v>4031</v>
      </c>
      <c r="I18" t="s">
        <v>5186</v>
      </c>
      <c r="J18" t="s">
        <v>3502</v>
      </c>
      <c r="K18" t="s">
        <v>3458</v>
      </c>
    </row>
    <row r="19" spans="1:11" ht="15" customHeight="1" x14ac:dyDescent="0.25">
      <c r="A19" t="s">
        <v>5189</v>
      </c>
      <c r="B19" t="s">
        <v>5190</v>
      </c>
      <c r="C19" t="s">
        <v>3992</v>
      </c>
      <c r="D19" t="s">
        <v>187</v>
      </c>
      <c r="E19" t="s">
        <v>3458</v>
      </c>
      <c r="F19" t="s">
        <v>4297</v>
      </c>
      <c r="G19" t="s">
        <v>39</v>
      </c>
      <c r="H19" t="s">
        <v>4014</v>
      </c>
      <c r="I19" t="s">
        <v>5189</v>
      </c>
      <c r="J19" t="s">
        <v>3514</v>
      </c>
      <c r="K19" t="s">
        <v>3458</v>
      </c>
    </row>
    <row r="20" spans="1:11" ht="15" customHeight="1" x14ac:dyDescent="0.25">
      <c r="A20" t="s">
        <v>5191</v>
      </c>
      <c r="B20" t="s">
        <v>5192</v>
      </c>
      <c r="C20" t="s">
        <v>3983</v>
      </c>
      <c r="D20" t="s">
        <v>187</v>
      </c>
      <c r="E20" t="s">
        <v>3458</v>
      </c>
      <c r="F20" t="s">
        <v>5159</v>
      </c>
      <c r="G20" t="s">
        <v>5173</v>
      </c>
      <c r="H20" t="s">
        <v>4031</v>
      </c>
      <c r="I20" t="s">
        <v>5193</v>
      </c>
      <c r="J20" t="s">
        <v>3502</v>
      </c>
      <c r="K20" t="s">
        <v>3458</v>
      </c>
    </row>
    <row r="21" spans="1:11" ht="15" customHeight="1" x14ac:dyDescent="0.25">
      <c r="A21" t="s">
        <v>5194</v>
      </c>
      <c r="B21" t="s">
        <v>5195</v>
      </c>
      <c r="C21" t="s">
        <v>3992</v>
      </c>
      <c r="D21" t="s">
        <v>187</v>
      </c>
      <c r="E21" t="s">
        <v>3458</v>
      </c>
      <c r="F21" t="s">
        <v>5159</v>
      </c>
      <c r="G21" t="s">
        <v>39</v>
      </c>
      <c r="H21" t="s">
        <v>4014</v>
      </c>
      <c r="I21" t="s">
        <v>5194</v>
      </c>
      <c r="J21" t="s">
        <v>3502</v>
      </c>
      <c r="K21" t="s">
        <v>3458</v>
      </c>
    </row>
    <row r="22" spans="1:11" ht="15" customHeight="1" x14ac:dyDescent="0.25">
      <c r="A22" t="s">
        <v>5196</v>
      </c>
      <c r="B22" t="s">
        <v>5197</v>
      </c>
      <c r="C22" t="s">
        <v>3739</v>
      </c>
      <c r="D22" t="s">
        <v>187</v>
      </c>
      <c r="E22" t="s">
        <v>3458</v>
      </c>
      <c r="F22" t="s">
        <v>4297</v>
      </c>
      <c r="G22" t="s">
        <v>5173</v>
      </c>
      <c r="H22" t="s">
        <v>4031</v>
      </c>
      <c r="I22" t="s">
        <v>5196</v>
      </c>
      <c r="J22" t="s">
        <v>3458</v>
      </c>
      <c r="K22" t="s">
        <v>3458</v>
      </c>
    </row>
    <row r="23" spans="1:11" ht="15" customHeight="1" x14ac:dyDescent="0.25">
      <c r="A23" t="s">
        <v>5198</v>
      </c>
      <c r="B23" t="s">
        <v>5199</v>
      </c>
      <c r="C23" t="s">
        <v>3739</v>
      </c>
      <c r="D23" t="s">
        <v>187</v>
      </c>
      <c r="E23" t="s">
        <v>3458</v>
      </c>
      <c r="F23" t="s">
        <v>4297</v>
      </c>
      <c r="G23" t="s">
        <v>5173</v>
      </c>
      <c r="H23" t="s">
        <v>4031</v>
      </c>
      <c r="I23" t="s">
        <v>5198</v>
      </c>
      <c r="J23" t="s">
        <v>3458</v>
      </c>
      <c r="K23" t="s">
        <v>3458</v>
      </c>
    </row>
    <row r="24" spans="1:11" ht="15" customHeight="1" x14ac:dyDescent="0.25">
      <c r="A24" t="s">
        <v>5200</v>
      </c>
      <c r="B24" t="s">
        <v>5201</v>
      </c>
      <c r="C24" t="s">
        <v>3992</v>
      </c>
      <c r="D24" t="s">
        <v>187</v>
      </c>
      <c r="E24" t="s">
        <v>3458</v>
      </c>
      <c r="F24" t="s">
        <v>5159</v>
      </c>
      <c r="G24" t="s">
        <v>39</v>
      </c>
      <c r="H24" t="s">
        <v>4014</v>
      </c>
      <c r="I24" t="s">
        <v>5202</v>
      </c>
      <c r="J24" t="s">
        <v>3458</v>
      </c>
      <c r="K24" t="s">
        <v>3458</v>
      </c>
    </row>
    <row r="25" spans="1:11" ht="15" customHeight="1" x14ac:dyDescent="0.25">
      <c r="A25" t="s">
        <v>5203</v>
      </c>
      <c r="B25" t="s">
        <v>5204</v>
      </c>
      <c r="C25" t="s">
        <v>3992</v>
      </c>
      <c r="D25" t="s">
        <v>187</v>
      </c>
      <c r="E25" t="s">
        <v>3458</v>
      </c>
      <c r="F25" t="s">
        <v>5205</v>
      </c>
      <c r="G25" t="s">
        <v>5173</v>
      </c>
      <c r="H25" t="s">
        <v>4014</v>
      </c>
      <c r="I25" t="s">
        <v>5203</v>
      </c>
      <c r="J25" t="s">
        <v>3514</v>
      </c>
      <c r="K25" t="s">
        <v>3458</v>
      </c>
    </row>
    <row r="26" spans="1:11" ht="15" customHeight="1" x14ac:dyDescent="0.25">
      <c r="A26" t="s">
        <v>5206</v>
      </c>
      <c r="B26" t="s">
        <v>5207</v>
      </c>
      <c r="C26" t="s">
        <v>3739</v>
      </c>
      <c r="D26" t="s">
        <v>187</v>
      </c>
      <c r="E26" t="s">
        <v>3458</v>
      </c>
      <c r="F26" t="s">
        <v>4297</v>
      </c>
      <c r="G26" t="s">
        <v>5173</v>
      </c>
      <c r="H26" t="s">
        <v>4031</v>
      </c>
      <c r="I26" t="s">
        <v>5208</v>
      </c>
      <c r="J26" t="s">
        <v>3458</v>
      </c>
      <c r="K26" t="s">
        <v>3458</v>
      </c>
    </row>
    <row r="27" spans="1:11" ht="15" customHeight="1" x14ac:dyDescent="0.25">
      <c r="A27" t="s">
        <v>5209</v>
      </c>
      <c r="B27" t="s">
        <v>5210</v>
      </c>
      <c r="C27" t="s">
        <v>3739</v>
      </c>
      <c r="D27" t="s">
        <v>187</v>
      </c>
      <c r="E27" t="s">
        <v>3458</v>
      </c>
      <c r="F27" t="s">
        <v>4297</v>
      </c>
      <c r="G27" t="s">
        <v>5173</v>
      </c>
      <c r="H27" t="s">
        <v>4031</v>
      </c>
      <c r="I27" t="s">
        <v>5211</v>
      </c>
      <c r="J27" t="s">
        <v>3458</v>
      </c>
      <c r="K27" t="s">
        <v>3458</v>
      </c>
    </row>
    <row r="28" spans="1:11" ht="15" customHeight="1" x14ac:dyDescent="0.25">
      <c r="A28" t="s">
        <v>5212</v>
      </c>
      <c r="B28" t="s">
        <v>5213</v>
      </c>
      <c r="C28" t="s">
        <v>3983</v>
      </c>
      <c r="D28" t="s">
        <v>187</v>
      </c>
      <c r="E28" t="s">
        <v>3458</v>
      </c>
      <c r="F28" t="s">
        <v>5172</v>
      </c>
      <c r="G28" t="s">
        <v>39</v>
      </c>
      <c r="H28" t="s">
        <v>4031</v>
      </c>
      <c r="I28" t="s">
        <v>5214</v>
      </c>
      <c r="J28" t="s">
        <v>3514</v>
      </c>
      <c r="K28" t="s">
        <v>3458</v>
      </c>
    </row>
    <row r="29" spans="1:11" ht="15" customHeight="1" x14ac:dyDescent="0.25">
      <c r="A29" t="s">
        <v>5215</v>
      </c>
      <c r="B29" t="s">
        <v>5216</v>
      </c>
      <c r="C29" t="s">
        <v>3739</v>
      </c>
      <c r="D29" t="s">
        <v>3997</v>
      </c>
      <c r="E29" t="s">
        <v>3458</v>
      </c>
      <c r="F29" t="s">
        <v>5217</v>
      </c>
      <c r="G29" t="s">
        <v>5176</v>
      </c>
      <c r="H29" t="s">
        <v>4014</v>
      </c>
      <c r="I29" t="s">
        <v>5215</v>
      </c>
      <c r="J29" t="s">
        <v>3458</v>
      </c>
      <c r="K29" t="s">
        <v>3458</v>
      </c>
    </row>
    <row r="30" spans="1:11" ht="15" customHeight="1" x14ac:dyDescent="0.25">
      <c r="A30" t="s">
        <v>5218</v>
      </c>
      <c r="B30" t="s">
        <v>5219</v>
      </c>
      <c r="C30" t="s">
        <v>3739</v>
      </c>
      <c r="D30" t="s">
        <v>3997</v>
      </c>
      <c r="E30" t="s">
        <v>3458</v>
      </c>
      <c r="F30" t="s">
        <v>4297</v>
      </c>
      <c r="G30" t="s">
        <v>5176</v>
      </c>
      <c r="H30" t="s">
        <v>4042</v>
      </c>
      <c r="I30" t="s">
        <v>5218</v>
      </c>
      <c r="J30" t="s">
        <v>3458</v>
      </c>
      <c r="K30" t="s">
        <v>3458</v>
      </c>
    </row>
    <row r="31" spans="1:11" ht="15" customHeight="1" x14ac:dyDescent="0.25">
      <c r="A31" t="s">
        <v>5220</v>
      </c>
      <c r="B31" t="s">
        <v>5221</v>
      </c>
      <c r="C31" t="s">
        <v>3992</v>
      </c>
      <c r="D31" t="s">
        <v>187</v>
      </c>
      <c r="E31" t="s">
        <v>3458</v>
      </c>
      <c r="F31" t="s">
        <v>5159</v>
      </c>
      <c r="G31" t="s">
        <v>5173</v>
      </c>
      <c r="H31" t="s">
        <v>4014</v>
      </c>
      <c r="I31" t="s">
        <v>5220</v>
      </c>
      <c r="J31" t="s">
        <v>41</v>
      </c>
      <c r="K31" t="s">
        <v>3458</v>
      </c>
    </row>
    <row r="32" spans="1:11" ht="15" customHeight="1" x14ac:dyDescent="0.25">
      <c r="A32" t="s">
        <v>5222</v>
      </c>
      <c r="B32" t="s">
        <v>5223</v>
      </c>
      <c r="C32" t="s">
        <v>3983</v>
      </c>
      <c r="D32" t="s">
        <v>187</v>
      </c>
      <c r="E32" t="s">
        <v>3458</v>
      </c>
      <c r="F32" t="s">
        <v>5159</v>
      </c>
      <c r="G32" t="s">
        <v>39</v>
      </c>
      <c r="H32" t="s">
        <v>4031</v>
      </c>
      <c r="I32" t="s">
        <v>5222</v>
      </c>
      <c r="J32" t="s">
        <v>3502</v>
      </c>
      <c r="K32" t="s">
        <v>3458</v>
      </c>
    </row>
    <row r="33" spans="1:11" ht="15" customHeight="1" x14ac:dyDescent="0.25">
      <c r="A33" t="s">
        <v>5224</v>
      </c>
      <c r="B33" t="s">
        <v>5225</v>
      </c>
      <c r="C33" t="s">
        <v>3992</v>
      </c>
      <c r="D33" t="s">
        <v>187</v>
      </c>
      <c r="E33" t="s">
        <v>3458</v>
      </c>
      <c r="F33" t="s">
        <v>4297</v>
      </c>
      <c r="G33" t="s">
        <v>39</v>
      </c>
      <c r="H33" t="s">
        <v>4014</v>
      </c>
      <c r="I33" t="s">
        <v>5224</v>
      </c>
      <c r="J33" t="s">
        <v>3514</v>
      </c>
      <c r="K33" t="s">
        <v>3458</v>
      </c>
    </row>
    <row r="34" spans="1:11" ht="15" customHeight="1" x14ac:dyDescent="0.25">
      <c r="A34" t="s">
        <v>5226</v>
      </c>
      <c r="B34" t="s">
        <v>5227</v>
      </c>
      <c r="C34" t="s">
        <v>3739</v>
      </c>
      <c r="D34" t="s">
        <v>3997</v>
      </c>
      <c r="E34" t="s">
        <v>3458</v>
      </c>
      <c r="F34" t="s">
        <v>4297</v>
      </c>
      <c r="G34" t="s">
        <v>5176</v>
      </c>
      <c r="H34" t="s">
        <v>4031</v>
      </c>
      <c r="I34" t="s">
        <v>5228</v>
      </c>
      <c r="J34" t="s">
        <v>3458</v>
      </c>
      <c r="K34" t="s">
        <v>3458</v>
      </c>
    </row>
    <row r="35" spans="1:11" ht="15" customHeight="1" x14ac:dyDescent="0.25">
      <c r="A35" t="s">
        <v>5229</v>
      </c>
      <c r="B35" t="s">
        <v>5230</v>
      </c>
      <c r="C35" t="s">
        <v>3983</v>
      </c>
      <c r="D35" t="s">
        <v>5231</v>
      </c>
      <c r="E35" t="s">
        <v>3458</v>
      </c>
      <c r="F35" t="s">
        <v>5232</v>
      </c>
      <c r="G35" t="s">
        <v>5173</v>
      </c>
      <c r="H35" t="s">
        <v>4031</v>
      </c>
      <c r="I35" t="s">
        <v>5233</v>
      </c>
      <c r="J35" t="s">
        <v>41</v>
      </c>
      <c r="K35" t="s">
        <v>3458</v>
      </c>
    </row>
    <row r="36" spans="1:11" ht="15" customHeight="1" x14ac:dyDescent="0.25">
      <c r="A36" t="s">
        <v>5234</v>
      </c>
      <c r="B36" t="s">
        <v>5235</v>
      </c>
      <c r="C36" t="s">
        <v>3983</v>
      </c>
      <c r="D36" t="s">
        <v>5231</v>
      </c>
      <c r="E36" t="s">
        <v>3458</v>
      </c>
      <c r="F36" t="s">
        <v>5232</v>
      </c>
      <c r="G36" t="s">
        <v>5173</v>
      </c>
      <c r="H36" t="s">
        <v>4031</v>
      </c>
      <c r="I36" t="s">
        <v>5236</v>
      </c>
      <c r="J36" t="s">
        <v>3502</v>
      </c>
      <c r="K36" t="s">
        <v>3458</v>
      </c>
    </row>
    <row r="37" spans="1:11" ht="15" customHeight="1" x14ac:dyDescent="0.25">
      <c r="A37" t="s">
        <v>5237</v>
      </c>
      <c r="B37" t="s">
        <v>5238</v>
      </c>
      <c r="C37" t="s">
        <v>3983</v>
      </c>
      <c r="D37" t="s">
        <v>5231</v>
      </c>
      <c r="E37" t="s">
        <v>3458</v>
      </c>
      <c r="F37" t="s">
        <v>5232</v>
      </c>
      <c r="G37" t="s">
        <v>5173</v>
      </c>
      <c r="H37" t="s">
        <v>4031</v>
      </c>
      <c r="I37" t="s">
        <v>5239</v>
      </c>
      <c r="J37" t="s">
        <v>3502</v>
      </c>
      <c r="K37" t="s">
        <v>3458</v>
      </c>
    </row>
    <row r="38" spans="1:11" ht="15" customHeight="1" x14ac:dyDescent="0.25">
      <c r="A38" t="s">
        <v>5240</v>
      </c>
      <c r="B38" t="s">
        <v>5241</v>
      </c>
      <c r="C38" t="s">
        <v>3992</v>
      </c>
      <c r="D38" t="s">
        <v>3997</v>
      </c>
      <c r="E38" t="s">
        <v>3458</v>
      </c>
      <c r="F38" t="s">
        <v>5159</v>
      </c>
      <c r="G38" t="s">
        <v>5173</v>
      </c>
      <c r="H38" t="s">
        <v>4014</v>
      </c>
      <c r="I38" t="s">
        <v>5242</v>
      </c>
      <c r="J38" t="s">
        <v>3458</v>
      </c>
      <c r="K38" t="s">
        <v>3458</v>
      </c>
    </row>
    <row r="39" spans="1:11" ht="15" customHeight="1" x14ac:dyDescent="0.25">
      <c r="A39" t="s">
        <v>5243</v>
      </c>
      <c r="B39" t="s">
        <v>5244</v>
      </c>
      <c r="C39" t="s">
        <v>3992</v>
      </c>
      <c r="D39" t="s">
        <v>187</v>
      </c>
      <c r="E39" t="s">
        <v>3458</v>
      </c>
      <c r="F39" t="s">
        <v>5159</v>
      </c>
      <c r="G39" t="s">
        <v>39</v>
      </c>
      <c r="H39" t="s">
        <v>4014</v>
      </c>
      <c r="I39" t="s">
        <v>5243</v>
      </c>
      <c r="J39" t="s">
        <v>3458</v>
      </c>
      <c r="K39" t="s">
        <v>3458</v>
      </c>
    </row>
    <row r="40" spans="1:11" ht="15" customHeight="1" x14ac:dyDescent="0.25">
      <c r="A40" t="s">
        <v>5245</v>
      </c>
      <c r="B40" t="s">
        <v>5246</v>
      </c>
      <c r="C40" t="s">
        <v>3983</v>
      </c>
      <c r="D40" t="s">
        <v>187</v>
      </c>
      <c r="E40" t="s">
        <v>3458</v>
      </c>
      <c r="F40" t="s">
        <v>4297</v>
      </c>
      <c r="G40" t="s">
        <v>39</v>
      </c>
      <c r="H40" t="s">
        <v>4031</v>
      </c>
      <c r="I40" t="s">
        <v>5245</v>
      </c>
      <c r="J40" t="s">
        <v>3502</v>
      </c>
      <c r="K40" t="s">
        <v>3458</v>
      </c>
    </row>
    <row r="41" spans="1:11" ht="15" customHeight="1" x14ac:dyDescent="0.25">
      <c r="A41" t="s">
        <v>5247</v>
      </c>
      <c r="B41" t="s">
        <v>5248</v>
      </c>
      <c r="C41" t="s">
        <v>3739</v>
      </c>
      <c r="D41" t="s">
        <v>3997</v>
      </c>
      <c r="E41" t="s">
        <v>3458</v>
      </c>
      <c r="F41" t="s">
        <v>4297</v>
      </c>
      <c r="G41" t="s">
        <v>5176</v>
      </c>
      <c r="H41" t="s">
        <v>4042</v>
      </c>
      <c r="I41" t="s">
        <v>5249</v>
      </c>
      <c r="J41" t="s">
        <v>3458</v>
      </c>
      <c r="K41" t="s">
        <v>3458</v>
      </c>
    </row>
    <row r="42" spans="1:11" ht="15" customHeight="1" x14ac:dyDescent="0.25">
      <c r="A42" t="s">
        <v>5250</v>
      </c>
      <c r="B42" t="s">
        <v>5251</v>
      </c>
      <c r="C42" t="s">
        <v>3983</v>
      </c>
      <c r="D42" t="s">
        <v>187</v>
      </c>
      <c r="E42" t="s">
        <v>3458</v>
      </c>
      <c r="F42" t="s">
        <v>5252</v>
      </c>
      <c r="G42" t="s">
        <v>39</v>
      </c>
      <c r="H42" t="s">
        <v>4031</v>
      </c>
      <c r="I42" t="s">
        <v>5253</v>
      </c>
      <c r="J42" t="s">
        <v>3514</v>
      </c>
      <c r="K42" t="s">
        <v>3458</v>
      </c>
    </row>
    <row r="43" spans="1:11" ht="15" customHeight="1" x14ac:dyDescent="0.25">
      <c r="A43" t="s">
        <v>5254</v>
      </c>
      <c r="B43" t="s">
        <v>5255</v>
      </c>
      <c r="C43" t="s">
        <v>3992</v>
      </c>
      <c r="D43" t="s">
        <v>187</v>
      </c>
      <c r="E43" t="s">
        <v>3458</v>
      </c>
      <c r="F43" t="s">
        <v>5256</v>
      </c>
      <c r="G43" t="s">
        <v>39</v>
      </c>
      <c r="H43" t="s">
        <v>4014</v>
      </c>
      <c r="I43" t="s">
        <v>5254</v>
      </c>
      <c r="J43" t="s">
        <v>41</v>
      </c>
      <c r="K43" t="s">
        <v>3458</v>
      </c>
    </row>
    <row r="44" spans="1:11" ht="15" customHeight="1" x14ac:dyDescent="0.25">
      <c r="A44" t="s">
        <v>4597</v>
      </c>
      <c r="B44" t="s">
        <v>5257</v>
      </c>
      <c r="C44" t="s">
        <v>3983</v>
      </c>
      <c r="D44" t="s">
        <v>187</v>
      </c>
      <c r="E44" t="s">
        <v>3458</v>
      </c>
      <c r="F44" t="s">
        <v>4297</v>
      </c>
      <c r="G44" t="s">
        <v>39</v>
      </c>
      <c r="H44" t="s">
        <v>4031</v>
      </c>
      <c r="I44" t="s">
        <v>4597</v>
      </c>
      <c r="J44" t="s">
        <v>3514</v>
      </c>
      <c r="K44" t="s">
        <v>3458</v>
      </c>
    </row>
    <row r="45" spans="1:11" ht="15" customHeight="1" x14ac:dyDescent="0.25">
      <c r="A45" t="s">
        <v>5258</v>
      </c>
      <c r="B45" t="s">
        <v>5259</v>
      </c>
      <c r="C45" t="s">
        <v>3983</v>
      </c>
      <c r="D45" t="s">
        <v>187</v>
      </c>
      <c r="E45" t="s">
        <v>3458</v>
      </c>
      <c r="F45" t="s">
        <v>5159</v>
      </c>
      <c r="G45" t="s">
        <v>39</v>
      </c>
      <c r="H45" t="s">
        <v>4031</v>
      </c>
      <c r="I45" t="s">
        <v>5258</v>
      </c>
      <c r="J45" t="s">
        <v>3514</v>
      </c>
      <c r="K45" t="s">
        <v>3458</v>
      </c>
    </row>
    <row r="46" spans="1:11" ht="15" customHeight="1" x14ac:dyDescent="0.25">
      <c r="A46" t="s">
        <v>5260</v>
      </c>
      <c r="B46" t="s">
        <v>5261</v>
      </c>
      <c r="C46" t="s">
        <v>3739</v>
      </c>
      <c r="D46" t="s">
        <v>3997</v>
      </c>
      <c r="E46" t="s">
        <v>3458</v>
      </c>
      <c r="F46" t="s">
        <v>4297</v>
      </c>
      <c r="G46" t="s">
        <v>5176</v>
      </c>
      <c r="H46" t="s">
        <v>4042</v>
      </c>
      <c r="I46" t="s">
        <v>5260</v>
      </c>
      <c r="J46" t="s">
        <v>3458</v>
      </c>
      <c r="K46" t="s">
        <v>3458</v>
      </c>
    </row>
    <row r="47" spans="1:11" ht="15" customHeight="1" x14ac:dyDescent="0.25">
      <c r="A47" t="s">
        <v>5262</v>
      </c>
      <c r="B47" t="s">
        <v>5263</v>
      </c>
      <c r="C47" t="s">
        <v>3983</v>
      </c>
      <c r="D47" t="s">
        <v>187</v>
      </c>
      <c r="E47" t="s">
        <v>3458</v>
      </c>
      <c r="F47" t="s">
        <v>4297</v>
      </c>
      <c r="G47" t="s">
        <v>39</v>
      </c>
      <c r="H47" t="s">
        <v>4031</v>
      </c>
      <c r="I47" t="s">
        <v>5262</v>
      </c>
      <c r="J47" t="s">
        <v>3502</v>
      </c>
      <c r="K47" t="s">
        <v>3458</v>
      </c>
    </row>
    <row r="48" spans="1:11" ht="15" customHeight="1" x14ac:dyDescent="0.25">
      <c r="A48" t="s">
        <v>5264</v>
      </c>
      <c r="B48" t="s">
        <v>5265</v>
      </c>
      <c r="C48" t="s">
        <v>3992</v>
      </c>
      <c r="D48" t="s">
        <v>187</v>
      </c>
      <c r="E48" t="s">
        <v>3458</v>
      </c>
      <c r="F48" t="s">
        <v>5266</v>
      </c>
      <c r="G48" t="s">
        <v>39</v>
      </c>
      <c r="H48" t="s">
        <v>4014</v>
      </c>
      <c r="I48" t="s">
        <v>5264</v>
      </c>
      <c r="J48" t="s">
        <v>3458</v>
      </c>
      <c r="K48" t="s">
        <v>3458</v>
      </c>
    </row>
    <row r="49" spans="1:11" ht="15" customHeight="1" x14ac:dyDescent="0.25">
      <c r="A49" t="s">
        <v>5267</v>
      </c>
      <c r="B49" t="s">
        <v>5268</v>
      </c>
      <c r="C49" t="s">
        <v>3739</v>
      </c>
      <c r="D49" t="s">
        <v>3997</v>
      </c>
      <c r="E49" t="s">
        <v>3458</v>
      </c>
      <c r="F49" t="s">
        <v>4297</v>
      </c>
      <c r="G49" t="s">
        <v>5176</v>
      </c>
      <c r="H49" t="s">
        <v>4042</v>
      </c>
      <c r="I49" t="s">
        <v>5267</v>
      </c>
      <c r="J49" t="s">
        <v>3458</v>
      </c>
      <c r="K49" t="s">
        <v>3458</v>
      </c>
    </row>
    <row r="50" spans="1:11" ht="15" customHeight="1" x14ac:dyDescent="0.25">
      <c r="A50" t="s">
        <v>5269</v>
      </c>
      <c r="B50" t="s">
        <v>5270</v>
      </c>
      <c r="C50" t="s">
        <v>3983</v>
      </c>
      <c r="D50" t="s">
        <v>187</v>
      </c>
      <c r="E50" t="s">
        <v>3458</v>
      </c>
      <c r="F50" t="s">
        <v>5232</v>
      </c>
      <c r="G50" t="s">
        <v>39</v>
      </c>
      <c r="H50" t="s">
        <v>4031</v>
      </c>
      <c r="I50" t="s">
        <v>5269</v>
      </c>
      <c r="J50" t="s">
        <v>3458</v>
      </c>
      <c r="K50" t="s">
        <v>3458</v>
      </c>
    </row>
    <row r="51" spans="1:11" ht="15" customHeight="1" x14ac:dyDescent="0.25">
      <c r="A51" t="s">
        <v>5271</v>
      </c>
      <c r="B51" t="s">
        <v>5272</v>
      </c>
      <c r="C51" t="s">
        <v>3992</v>
      </c>
      <c r="D51" t="s">
        <v>3997</v>
      </c>
      <c r="E51" t="s">
        <v>3458</v>
      </c>
      <c r="F51" t="s">
        <v>4297</v>
      </c>
      <c r="G51" t="s">
        <v>39</v>
      </c>
      <c r="H51" t="s">
        <v>4014</v>
      </c>
      <c r="I51" t="s">
        <v>5271</v>
      </c>
      <c r="J51" t="s">
        <v>3458</v>
      </c>
      <c r="K51" t="s">
        <v>3458</v>
      </c>
    </row>
    <row r="52" spans="1:11" ht="15" customHeight="1" x14ac:dyDescent="0.25">
      <c r="A52" t="s">
        <v>5273</v>
      </c>
      <c r="B52" t="s">
        <v>5274</v>
      </c>
      <c r="C52" t="s">
        <v>3992</v>
      </c>
      <c r="D52" t="s">
        <v>3997</v>
      </c>
      <c r="E52" t="s">
        <v>3458</v>
      </c>
      <c r="F52" t="s">
        <v>4297</v>
      </c>
      <c r="G52" t="s">
        <v>39</v>
      </c>
      <c r="H52" t="s">
        <v>4014</v>
      </c>
      <c r="I52" t="s">
        <v>5275</v>
      </c>
      <c r="J52" t="s">
        <v>3502</v>
      </c>
      <c r="K52" t="s">
        <v>3458</v>
      </c>
    </row>
    <row r="53" spans="1:11" ht="15" customHeight="1" x14ac:dyDescent="0.25">
      <c r="A53" t="s">
        <v>5276</v>
      </c>
      <c r="B53" t="s">
        <v>5277</v>
      </c>
      <c r="C53" t="s">
        <v>3739</v>
      </c>
      <c r="D53" t="s">
        <v>3997</v>
      </c>
      <c r="E53" t="s">
        <v>3458</v>
      </c>
      <c r="F53" t="s">
        <v>4297</v>
      </c>
      <c r="G53" t="s">
        <v>5176</v>
      </c>
      <c r="H53" t="s">
        <v>4031</v>
      </c>
      <c r="I53" t="s">
        <v>5276</v>
      </c>
      <c r="J53" t="s">
        <v>3458</v>
      </c>
      <c r="K53" t="s">
        <v>3458</v>
      </c>
    </row>
    <row r="54" spans="1:11" ht="15" customHeight="1" x14ac:dyDescent="0.25">
      <c r="A54" t="s">
        <v>5278</v>
      </c>
      <c r="B54" t="s">
        <v>5279</v>
      </c>
      <c r="C54" t="s">
        <v>3739</v>
      </c>
      <c r="D54" t="s">
        <v>3997</v>
      </c>
      <c r="E54" t="s">
        <v>3458</v>
      </c>
      <c r="F54" t="s">
        <v>4297</v>
      </c>
      <c r="G54" t="s">
        <v>5176</v>
      </c>
      <c r="H54" t="s">
        <v>4014</v>
      </c>
      <c r="I54" t="s">
        <v>5280</v>
      </c>
      <c r="J54" t="s">
        <v>3458</v>
      </c>
      <c r="K54" t="s">
        <v>3458</v>
      </c>
    </row>
    <row r="55" spans="1:11" ht="15" customHeight="1" x14ac:dyDescent="0.25">
      <c r="A55" t="s">
        <v>5280</v>
      </c>
      <c r="B55" t="s">
        <v>5281</v>
      </c>
      <c r="C55" t="s">
        <v>3992</v>
      </c>
      <c r="D55" t="s">
        <v>3997</v>
      </c>
      <c r="E55">
        <v>1</v>
      </c>
      <c r="F55" t="s">
        <v>5159</v>
      </c>
      <c r="G55" t="s">
        <v>5176</v>
      </c>
      <c r="H55" t="s">
        <v>4014</v>
      </c>
      <c r="I55" t="s">
        <v>5280</v>
      </c>
      <c r="J55" t="s">
        <v>3458</v>
      </c>
      <c r="K55" t="s">
        <v>3458</v>
      </c>
    </row>
    <row r="56" spans="1:11" ht="15" customHeight="1" x14ac:dyDescent="0.25">
      <c r="A56" t="s">
        <v>5282</v>
      </c>
      <c r="B56" t="s">
        <v>5283</v>
      </c>
      <c r="C56" t="s">
        <v>3983</v>
      </c>
      <c r="D56" t="s">
        <v>187</v>
      </c>
      <c r="E56" t="s">
        <v>3458</v>
      </c>
      <c r="F56" t="s">
        <v>4297</v>
      </c>
      <c r="G56" t="s">
        <v>39</v>
      </c>
      <c r="H56" t="s">
        <v>4031</v>
      </c>
      <c r="I56" t="s">
        <v>5282</v>
      </c>
      <c r="J56" t="s">
        <v>3514</v>
      </c>
      <c r="K56" t="s">
        <v>3458</v>
      </c>
    </row>
    <row r="57" spans="1:11" ht="15" customHeight="1" x14ac:dyDescent="0.25">
      <c r="A57" t="s">
        <v>5284</v>
      </c>
      <c r="B57" t="s">
        <v>5285</v>
      </c>
      <c r="C57" t="s">
        <v>5286</v>
      </c>
      <c r="D57" t="s">
        <v>3997</v>
      </c>
      <c r="E57" t="s">
        <v>3458</v>
      </c>
      <c r="F57" t="s">
        <v>4297</v>
      </c>
      <c r="G57" t="s">
        <v>5176</v>
      </c>
      <c r="H57" t="s">
        <v>4042</v>
      </c>
      <c r="I57" t="s">
        <v>5284</v>
      </c>
      <c r="J57" t="s">
        <v>3458</v>
      </c>
      <c r="K57" t="s">
        <v>3458</v>
      </c>
    </row>
    <row r="58" spans="1:11" ht="15" customHeight="1" x14ac:dyDescent="0.25">
      <c r="A58" t="s">
        <v>5287</v>
      </c>
      <c r="B58" t="s">
        <v>5288</v>
      </c>
      <c r="C58" t="s">
        <v>3992</v>
      </c>
      <c r="D58" t="s">
        <v>187</v>
      </c>
      <c r="E58" t="s">
        <v>3458</v>
      </c>
      <c r="F58" t="s">
        <v>5159</v>
      </c>
      <c r="G58" t="s">
        <v>39</v>
      </c>
      <c r="H58" t="s">
        <v>4014</v>
      </c>
      <c r="I58" t="s">
        <v>5287</v>
      </c>
      <c r="J58" t="s">
        <v>41</v>
      </c>
      <c r="K58" t="s">
        <v>3458</v>
      </c>
    </row>
    <row r="59" spans="1:11" ht="15" customHeight="1" x14ac:dyDescent="0.25">
      <c r="A59" t="s">
        <v>5289</v>
      </c>
      <c r="B59" t="s">
        <v>5290</v>
      </c>
      <c r="C59" t="s">
        <v>3992</v>
      </c>
      <c r="D59" t="s">
        <v>187</v>
      </c>
      <c r="E59" t="s">
        <v>3458</v>
      </c>
      <c r="F59" t="s">
        <v>5159</v>
      </c>
      <c r="G59" t="s">
        <v>39</v>
      </c>
      <c r="H59" t="s">
        <v>4014</v>
      </c>
      <c r="I59" t="s">
        <v>5289</v>
      </c>
      <c r="J59" t="s">
        <v>41</v>
      </c>
      <c r="K59" t="s">
        <v>3458</v>
      </c>
    </row>
    <row r="60" spans="1:11" ht="15" customHeight="1" x14ac:dyDescent="0.25">
      <c r="A60" t="s">
        <v>5291</v>
      </c>
      <c r="B60" t="s">
        <v>5292</v>
      </c>
      <c r="C60" t="s">
        <v>3739</v>
      </c>
      <c r="D60" t="s">
        <v>187</v>
      </c>
      <c r="E60" t="s">
        <v>3458</v>
      </c>
      <c r="F60" t="s">
        <v>5172</v>
      </c>
      <c r="G60" t="s">
        <v>5173</v>
      </c>
      <c r="H60" t="s">
        <v>4031</v>
      </c>
      <c r="I60" t="s">
        <v>5293</v>
      </c>
      <c r="J60" t="s">
        <v>3458</v>
      </c>
      <c r="K60" t="s">
        <v>3458</v>
      </c>
    </row>
    <row r="61" spans="1:11" ht="15" customHeight="1" x14ac:dyDescent="0.25">
      <c r="A61" t="s">
        <v>5294</v>
      </c>
      <c r="B61" t="s">
        <v>5295</v>
      </c>
      <c r="C61" t="s">
        <v>3739</v>
      </c>
      <c r="D61" t="s">
        <v>187</v>
      </c>
      <c r="E61" t="s">
        <v>3458</v>
      </c>
      <c r="F61" t="s">
        <v>5159</v>
      </c>
      <c r="G61" t="s">
        <v>39</v>
      </c>
      <c r="H61" t="s">
        <v>4042</v>
      </c>
      <c r="I61" t="s">
        <v>5294</v>
      </c>
      <c r="J61" t="s">
        <v>3458</v>
      </c>
      <c r="K61" t="s">
        <v>3458</v>
      </c>
    </row>
  </sheetData>
  <pageMargins left="0.7" right="0.7" top="0.75" bottom="0.75" header="0.511811023622047" footer="0.511811023622047"/>
  <pageSetup orientation="portrait" horizontalDpi="300" verticalDpi="300"/>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43"/>
  <sheetViews>
    <sheetView zoomScale="85" zoomScaleNormal="85" workbookViewId="0">
      <selection activeCell="B5" sqref="B5"/>
    </sheetView>
  </sheetViews>
  <sheetFormatPr defaultColWidth="8.7109375" defaultRowHeight="15" x14ac:dyDescent="0.25"/>
  <cols>
    <col min="1" max="1" width="17" bestFit="1" customWidth="1"/>
    <col min="2" max="2" width="112.85546875" customWidth="1"/>
    <col min="3" max="3" width="61" customWidth="1"/>
    <col min="4" max="4" width="7.5703125" customWidth="1"/>
    <col min="5" max="5" width="11.7109375" customWidth="1"/>
    <col min="6" max="6" width="12.140625" customWidth="1"/>
    <col min="7" max="7" width="40.28515625" customWidth="1"/>
    <col min="8" max="8" width="7.5703125" customWidth="1"/>
    <col min="9" max="10" width="13.140625" customWidth="1"/>
    <col min="11" max="11" width="11.140625" customWidth="1"/>
    <col min="12" max="12" width="12.28515625" customWidth="1"/>
    <col min="13" max="13" width="83.42578125" customWidth="1"/>
  </cols>
  <sheetData>
    <row r="1" spans="1:13" ht="15" customHeight="1" x14ac:dyDescent="0.25">
      <c r="A1" t="s">
        <v>165</v>
      </c>
      <c r="B1" t="s">
        <v>3453</v>
      </c>
      <c r="C1" t="s">
        <v>3496</v>
      </c>
      <c r="D1" t="s">
        <v>167</v>
      </c>
      <c r="E1" t="s">
        <v>3981</v>
      </c>
      <c r="F1" t="s">
        <v>5145</v>
      </c>
      <c r="G1" t="s">
        <v>4259</v>
      </c>
      <c r="H1" t="s">
        <v>5146</v>
      </c>
      <c r="I1" t="s">
        <v>4009</v>
      </c>
      <c r="J1" t="s">
        <v>5296</v>
      </c>
      <c r="K1" t="s">
        <v>6</v>
      </c>
      <c r="L1" t="s">
        <v>5297</v>
      </c>
      <c r="M1" t="s">
        <v>5298</v>
      </c>
    </row>
    <row r="2" spans="1:13" ht="15" customHeight="1" x14ac:dyDescent="0.25">
      <c r="A2" t="s">
        <v>5148</v>
      </c>
      <c r="B2" t="s">
        <v>5149</v>
      </c>
      <c r="C2" t="s">
        <v>5299</v>
      </c>
      <c r="D2" t="s">
        <v>3983</v>
      </c>
      <c r="E2" t="s">
        <v>187</v>
      </c>
      <c r="F2" t="s">
        <v>3458</v>
      </c>
      <c r="G2" t="s">
        <v>4297</v>
      </c>
      <c r="H2" t="s">
        <v>39</v>
      </c>
      <c r="I2" t="s">
        <v>4031</v>
      </c>
      <c r="J2" t="s">
        <v>5148</v>
      </c>
      <c r="K2" t="s">
        <v>3514</v>
      </c>
      <c r="L2" t="s">
        <v>187</v>
      </c>
      <c r="M2" t="s">
        <v>3458</v>
      </c>
    </row>
    <row r="3" spans="1:13" ht="15" customHeight="1" x14ac:dyDescent="0.25">
      <c r="A3" t="s">
        <v>5151</v>
      </c>
      <c r="B3" t="s">
        <v>5300</v>
      </c>
      <c r="C3" t="s">
        <v>5301</v>
      </c>
      <c r="D3" t="s">
        <v>3992</v>
      </c>
      <c r="E3" t="s">
        <v>187</v>
      </c>
      <c r="F3" t="s">
        <v>3458</v>
      </c>
      <c r="G3" t="s">
        <v>5302</v>
      </c>
      <c r="H3" t="s">
        <v>39</v>
      </c>
      <c r="I3" t="s">
        <v>4014</v>
      </c>
      <c r="J3" t="s">
        <v>5151</v>
      </c>
      <c r="K3" t="s">
        <v>3514</v>
      </c>
      <c r="L3" t="s">
        <v>3997</v>
      </c>
      <c r="M3" t="s">
        <v>5303</v>
      </c>
    </row>
    <row r="4" spans="1:13" ht="15" customHeight="1" x14ac:dyDescent="0.25">
      <c r="A4" t="s">
        <v>5154</v>
      </c>
      <c r="B4" t="s">
        <v>5304</v>
      </c>
      <c r="C4" t="s">
        <v>5305</v>
      </c>
      <c r="D4" t="s">
        <v>3983</v>
      </c>
      <c r="E4" t="s">
        <v>187</v>
      </c>
      <c r="F4" t="s">
        <v>3458</v>
      </c>
      <c r="G4" t="s">
        <v>4297</v>
      </c>
      <c r="H4" t="s">
        <v>39</v>
      </c>
      <c r="I4" t="s">
        <v>4031</v>
      </c>
      <c r="J4" t="s">
        <v>5156</v>
      </c>
      <c r="K4" t="s">
        <v>3502</v>
      </c>
      <c r="L4" t="s">
        <v>187</v>
      </c>
      <c r="M4" t="s">
        <v>3458</v>
      </c>
    </row>
    <row r="5" spans="1:13" ht="15" customHeight="1" x14ac:dyDescent="0.25">
      <c r="A5" s="4" t="s">
        <v>5157</v>
      </c>
      <c r="B5" s="4" t="s">
        <v>5306</v>
      </c>
      <c r="C5" s="4" t="s">
        <v>5307</v>
      </c>
      <c r="D5" s="4" t="s">
        <v>3992</v>
      </c>
      <c r="E5" s="4" t="s">
        <v>187</v>
      </c>
      <c r="F5" s="4" t="s">
        <v>3458</v>
      </c>
      <c r="G5" s="4" t="s">
        <v>5159</v>
      </c>
      <c r="H5" s="4" t="s">
        <v>39</v>
      </c>
      <c r="I5" s="4" t="s">
        <v>4014</v>
      </c>
      <c r="J5" s="4" t="s">
        <v>5157</v>
      </c>
      <c r="K5" s="4" t="s">
        <v>41</v>
      </c>
      <c r="L5" t="s">
        <v>187</v>
      </c>
      <c r="M5" t="s">
        <v>3458</v>
      </c>
    </row>
    <row r="6" spans="1:13" ht="15" customHeight="1" x14ac:dyDescent="0.25">
      <c r="A6" t="s">
        <v>5164</v>
      </c>
      <c r="B6" t="s">
        <v>5308</v>
      </c>
      <c r="C6" t="s">
        <v>5309</v>
      </c>
      <c r="D6" t="s">
        <v>3992</v>
      </c>
      <c r="E6" t="s">
        <v>187</v>
      </c>
      <c r="F6" t="s">
        <v>3458</v>
      </c>
      <c r="G6" t="s">
        <v>4297</v>
      </c>
      <c r="H6" t="s">
        <v>39</v>
      </c>
      <c r="I6" t="s">
        <v>4014</v>
      </c>
      <c r="J6" t="s">
        <v>5164</v>
      </c>
      <c r="K6" t="s">
        <v>41</v>
      </c>
      <c r="L6" t="s">
        <v>187</v>
      </c>
      <c r="M6" t="s">
        <v>3458</v>
      </c>
    </row>
    <row r="7" spans="1:13" ht="15" customHeight="1" x14ac:dyDescent="0.25">
      <c r="A7" s="5" t="s">
        <v>5166</v>
      </c>
      <c r="B7" s="6" t="s">
        <v>5167</v>
      </c>
      <c r="C7" s="6" t="s">
        <v>5310</v>
      </c>
      <c r="D7" s="6" t="s">
        <v>3983</v>
      </c>
      <c r="E7" s="6" t="s">
        <v>187</v>
      </c>
      <c r="F7" s="6" t="s">
        <v>3458</v>
      </c>
      <c r="G7" s="7" t="s">
        <v>5188</v>
      </c>
      <c r="H7" s="6" t="s">
        <v>39</v>
      </c>
      <c r="I7" s="6" t="s">
        <v>4031</v>
      </c>
      <c r="J7" s="6" t="s">
        <v>5166</v>
      </c>
      <c r="K7" s="6" t="s">
        <v>3502</v>
      </c>
      <c r="L7" t="s">
        <v>187</v>
      </c>
      <c r="M7" t="s">
        <v>3458</v>
      </c>
    </row>
    <row r="8" spans="1:13" ht="15" customHeight="1" x14ac:dyDescent="0.25">
      <c r="A8" t="s">
        <v>4002</v>
      </c>
      <c r="B8" t="s">
        <v>5169</v>
      </c>
      <c r="C8" t="s">
        <v>5311</v>
      </c>
      <c r="D8" t="s">
        <v>3992</v>
      </c>
      <c r="E8" t="s">
        <v>187</v>
      </c>
      <c r="F8" t="s">
        <v>3458</v>
      </c>
      <c r="G8" t="s">
        <v>5159</v>
      </c>
      <c r="H8" t="s">
        <v>39</v>
      </c>
      <c r="I8" t="s">
        <v>4014</v>
      </c>
      <c r="J8" t="s">
        <v>4002</v>
      </c>
      <c r="K8" t="s">
        <v>41</v>
      </c>
      <c r="L8" t="s">
        <v>187</v>
      </c>
      <c r="M8" t="s">
        <v>3458</v>
      </c>
    </row>
    <row r="9" spans="1:13" ht="15" customHeight="1" x14ac:dyDescent="0.25">
      <c r="A9" t="s">
        <v>5177</v>
      </c>
      <c r="B9" s="8" t="s">
        <v>5312</v>
      </c>
      <c r="C9" s="8" t="s">
        <v>5313</v>
      </c>
      <c r="D9" t="s">
        <v>3992</v>
      </c>
      <c r="E9" t="s">
        <v>187</v>
      </c>
      <c r="F9" t="s">
        <v>3458</v>
      </c>
      <c r="G9" t="s">
        <v>5159</v>
      </c>
      <c r="H9" t="s">
        <v>5173</v>
      </c>
      <c r="I9" t="s">
        <v>4014</v>
      </c>
      <c r="J9" t="s">
        <v>5177</v>
      </c>
      <c r="K9" t="s">
        <v>3458</v>
      </c>
      <c r="L9" t="s">
        <v>187</v>
      </c>
      <c r="M9" t="s">
        <v>3458</v>
      </c>
    </row>
    <row r="10" spans="1:13" ht="15" customHeight="1" x14ac:dyDescent="0.25">
      <c r="A10" t="s">
        <v>5314</v>
      </c>
      <c r="B10" t="s">
        <v>5315</v>
      </c>
      <c r="C10" t="s">
        <v>5316</v>
      </c>
      <c r="D10" t="s">
        <v>3983</v>
      </c>
      <c r="E10" t="s">
        <v>187</v>
      </c>
      <c r="F10" t="s">
        <v>3458</v>
      </c>
      <c r="G10" t="s">
        <v>4297</v>
      </c>
      <c r="H10" t="s">
        <v>39</v>
      </c>
      <c r="I10" t="s">
        <v>4031</v>
      </c>
      <c r="J10" t="s">
        <v>5317</v>
      </c>
      <c r="K10" t="s">
        <v>41</v>
      </c>
      <c r="L10" t="s">
        <v>187</v>
      </c>
      <c r="M10" t="s">
        <v>3458</v>
      </c>
    </row>
    <row r="11" spans="1:13" ht="15" customHeight="1" x14ac:dyDescent="0.25">
      <c r="A11" t="s">
        <v>5182</v>
      </c>
      <c r="B11" s="8" t="s">
        <v>5318</v>
      </c>
      <c r="C11" s="8" t="s">
        <v>5319</v>
      </c>
      <c r="D11" t="s">
        <v>3739</v>
      </c>
      <c r="E11" t="s">
        <v>3997</v>
      </c>
      <c r="F11" t="s">
        <v>3458</v>
      </c>
      <c r="G11" t="s">
        <v>4297</v>
      </c>
      <c r="H11" t="s">
        <v>39</v>
      </c>
      <c r="I11" t="s">
        <v>4031</v>
      </c>
      <c r="J11" t="s">
        <v>5184</v>
      </c>
      <c r="K11" t="s">
        <v>3458</v>
      </c>
      <c r="L11" t="s">
        <v>187</v>
      </c>
      <c r="M11" t="s">
        <v>3458</v>
      </c>
    </row>
    <row r="12" spans="1:13" ht="15" customHeight="1" x14ac:dyDescent="0.25">
      <c r="A12" t="s">
        <v>3512</v>
      </c>
      <c r="B12" t="s">
        <v>5185</v>
      </c>
      <c r="C12" t="s">
        <v>5320</v>
      </c>
      <c r="D12" t="s">
        <v>3983</v>
      </c>
      <c r="E12" t="s">
        <v>187</v>
      </c>
      <c r="F12" t="s">
        <v>3458</v>
      </c>
      <c r="G12" t="s">
        <v>4297</v>
      </c>
      <c r="H12" t="s">
        <v>39</v>
      </c>
      <c r="I12" t="s">
        <v>4031</v>
      </c>
      <c r="J12" t="s">
        <v>3512</v>
      </c>
      <c r="K12" t="s">
        <v>3514</v>
      </c>
      <c r="L12" t="s">
        <v>187</v>
      </c>
      <c r="M12" t="s">
        <v>3458</v>
      </c>
    </row>
    <row r="13" spans="1:13" ht="15" customHeight="1" x14ac:dyDescent="0.25">
      <c r="A13" t="s">
        <v>5186</v>
      </c>
      <c r="B13" t="s">
        <v>5187</v>
      </c>
      <c r="C13" t="s">
        <v>5310</v>
      </c>
      <c r="D13" t="s">
        <v>3983</v>
      </c>
      <c r="E13" t="s">
        <v>187</v>
      </c>
      <c r="F13" t="s">
        <v>3458</v>
      </c>
      <c r="G13" t="s">
        <v>5168</v>
      </c>
      <c r="H13" t="s">
        <v>39</v>
      </c>
      <c r="I13" t="s">
        <v>4031</v>
      </c>
      <c r="J13" t="s">
        <v>5186</v>
      </c>
      <c r="K13" t="s">
        <v>3502</v>
      </c>
      <c r="L13" t="s">
        <v>187</v>
      </c>
      <c r="M13" t="s">
        <v>3458</v>
      </c>
    </row>
    <row r="14" spans="1:13" ht="15" customHeight="1" x14ac:dyDescent="0.25">
      <c r="A14" t="s">
        <v>5202</v>
      </c>
      <c r="B14" s="8" t="s">
        <v>5201</v>
      </c>
      <c r="C14" s="8" t="s">
        <v>5321</v>
      </c>
      <c r="D14" t="s">
        <v>3992</v>
      </c>
      <c r="E14" t="s">
        <v>187</v>
      </c>
      <c r="F14" t="s">
        <v>3458</v>
      </c>
      <c r="G14" t="s">
        <v>5159</v>
      </c>
      <c r="H14" t="s">
        <v>39</v>
      </c>
      <c r="I14" t="s">
        <v>4014</v>
      </c>
      <c r="J14" t="s">
        <v>5202</v>
      </c>
      <c r="K14" t="s">
        <v>3458</v>
      </c>
      <c r="L14" t="s">
        <v>187</v>
      </c>
      <c r="M14" t="s">
        <v>3458</v>
      </c>
    </row>
    <row r="15" spans="1:13" ht="15" customHeight="1" x14ac:dyDescent="0.25">
      <c r="A15" t="s">
        <v>5203</v>
      </c>
      <c r="B15" t="s">
        <v>5204</v>
      </c>
      <c r="C15" t="s">
        <v>3458</v>
      </c>
      <c r="D15" t="s">
        <v>3992</v>
      </c>
      <c r="E15" t="s">
        <v>187</v>
      </c>
      <c r="F15" t="s">
        <v>3458</v>
      </c>
      <c r="G15" t="s">
        <v>5205</v>
      </c>
      <c r="H15" t="s">
        <v>5173</v>
      </c>
      <c r="I15" t="s">
        <v>4014</v>
      </c>
      <c r="J15" t="s">
        <v>5203</v>
      </c>
      <c r="K15" t="s">
        <v>3514</v>
      </c>
      <c r="L15" t="s">
        <v>3997</v>
      </c>
      <c r="M15" t="s">
        <v>5322</v>
      </c>
    </row>
    <row r="16" spans="1:13" ht="15" customHeight="1" x14ac:dyDescent="0.25">
      <c r="A16" t="s">
        <v>5220</v>
      </c>
      <c r="B16" t="s">
        <v>5221</v>
      </c>
      <c r="C16" t="s">
        <v>5323</v>
      </c>
      <c r="D16" t="s">
        <v>3992</v>
      </c>
      <c r="E16" t="s">
        <v>187</v>
      </c>
      <c r="F16" t="s">
        <v>3458</v>
      </c>
      <c r="G16" t="s">
        <v>5159</v>
      </c>
      <c r="H16" t="s">
        <v>39</v>
      </c>
      <c r="I16" t="s">
        <v>4014</v>
      </c>
      <c r="J16" t="s">
        <v>5220</v>
      </c>
      <c r="K16" t="s">
        <v>41</v>
      </c>
      <c r="L16" t="s">
        <v>187</v>
      </c>
      <c r="M16" t="s">
        <v>3458</v>
      </c>
    </row>
    <row r="17" spans="1:13" ht="15" customHeight="1" x14ac:dyDescent="0.25">
      <c r="A17" t="s">
        <v>5245</v>
      </c>
      <c r="B17" t="s">
        <v>5246</v>
      </c>
      <c r="C17" t="s">
        <v>5324</v>
      </c>
      <c r="D17" t="s">
        <v>3983</v>
      </c>
      <c r="E17" t="s">
        <v>187</v>
      </c>
      <c r="F17" t="s">
        <v>3458</v>
      </c>
      <c r="G17" t="s">
        <v>4297</v>
      </c>
      <c r="H17" t="s">
        <v>39</v>
      </c>
      <c r="I17" t="s">
        <v>4031</v>
      </c>
      <c r="J17" t="s">
        <v>5245</v>
      </c>
      <c r="K17" t="s">
        <v>3502</v>
      </c>
      <c r="L17" t="s">
        <v>187</v>
      </c>
      <c r="M17" t="s">
        <v>3458</v>
      </c>
    </row>
    <row r="18" spans="1:13" ht="15" customHeight="1" x14ac:dyDescent="0.25">
      <c r="A18" t="s">
        <v>5250</v>
      </c>
      <c r="B18" t="s">
        <v>5251</v>
      </c>
      <c r="C18" t="s">
        <v>5325</v>
      </c>
      <c r="D18" t="s">
        <v>3983</v>
      </c>
      <c r="E18" t="s">
        <v>187</v>
      </c>
      <c r="F18" t="s">
        <v>3458</v>
      </c>
      <c r="G18" s="2" t="s">
        <v>5252</v>
      </c>
      <c r="H18" t="s">
        <v>39</v>
      </c>
      <c r="I18" t="s">
        <v>4031</v>
      </c>
      <c r="J18" t="s">
        <v>5253</v>
      </c>
      <c r="K18" t="s">
        <v>3514</v>
      </c>
      <c r="L18" t="s">
        <v>3458</v>
      </c>
      <c r="M18" t="s">
        <v>3458</v>
      </c>
    </row>
    <row r="19" spans="1:13" ht="15" customHeight="1" x14ac:dyDescent="0.25">
      <c r="A19" t="s">
        <v>5254</v>
      </c>
      <c r="B19" t="s">
        <v>5255</v>
      </c>
      <c r="C19" t="s">
        <v>5326</v>
      </c>
      <c r="D19" t="s">
        <v>3992</v>
      </c>
      <c r="E19" t="s">
        <v>187</v>
      </c>
      <c r="F19" t="s">
        <v>3458</v>
      </c>
      <c r="G19" t="s">
        <v>5256</v>
      </c>
      <c r="H19" t="s">
        <v>39</v>
      </c>
      <c r="I19" t="s">
        <v>4014</v>
      </c>
      <c r="J19" t="s">
        <v>5254</v>
      </c>
      <c r="K19" t="s">
        <v>41</v>
      </c>
      <c r="L19" t="s">
        <v>187</v>
      </c>
      <c r="M19" t="s">
        <v>3458</v>
      </c>
    </row>
    <row r="20" spans="1:13" ht="15" customHeight="1" x14ac:dyDescent="0.25">
      <c r="A20" t="s">
        <v>4597</v>
      </c>
      <c r="B20" t="s">
        <v>5257</v>
      </c>
      <c r="C20" t="s">
        <v>5327</v>
      </c>
      <c r="D20" t="s">
        <v>3983</v>
      </c>
      <c r="E20" t="s">
        <v>187</v>
      </c>
      <c r="F20" t="s">
        <v>3458</v>
      </c>
      <c r="G20" t="s">
        <v>4297</v>
      </c>
      <c r="H20" t="s">
        <v>39</v>
      </c>
      <c r="I20" t="s">
        <v>4031</v>
      </c>
      <c r="J20" t="s">
        <v>4597</v>
      </c>
      <c r="K20" t="s">
        <v>3514</v>
      </c>
      <c r="L20" t="s">
        <v>187</v>
      </c>
      <c r="M20" t="s">
        <v>3458</v>
      </c>
    </row>
    <row r="21" spans="1:13" ht="15" customHeight="1" x14ac:dyDescent="0.25">
      <c r="A21" t="s">
        <v>5258</v>
      </c>
      <c r="B21" t="s">
        <v>5259</v>
      </c>
      <c r="C21" t="s">
        <v>5328</v>
      </c>
      <c r="D21" t="s">
        <v>3983</v>
      </c>
      <c r="E21" t="s">
        <v>187</v>
      </c>
      <c r="F21" t="s">
        <v>3458</v>
      </c>
      <c r="G21" t="s">
        <v>5159</v>
      </c>
      <c r="H21" t="s">
        <v>39</v>
      </c>
      <c r="I21" t="s">
        <v>4031</v>
      </c>
      <c r="J21" t="s">
        <v>5258</v>
      </c>
      <c r="K21" t="s">
        <v>3514</v>
      </c>
      <c r="L21" t="s">
        <v>187</v>
      </c>
      <c r="M21" t="s">
        <v>3458</v>
      </c>
    </row>
    <row r="22" spans="1:13" ht="15" customHeight="1" x14ac:dyDescent="0.25">
      <c r="A22" t="s">
        <v>5262</v>
      </c>
      <c r="B22" s="8" t="s">
        <v>5263</v>
      </c>
      <c r="C22" s="8" t="s">
        <v>5329</v>
      </c>
      <c r="D22" t="s">
        <v>3983</v>
      </c>
      <c r="E22" t="s">
        <v>187</v>
      </c>
      <c r="F22" t="s">
        <v>3458</v>
      </c>
      <c r="G22" t="s">
        <v>4297</v>
      </c>
      <c r="H22" t="s">
        <v>39</v>
      </c>
      <c r="I22" t="s">
        <v>4031</v>
      </c>
      <c r="J22" t="s">
        <v>5262</v>
      </c>
      <c r="K22" t="s">
        <v>3502</v>
      </c>
      <c r="L22" t="s">
        <v>187</v>
      </c>
      <c r="M22" t="s">
        <v>3458</v>
      </c>
    </row>
    <row r="23" spans="1:13" ht="15" customHeight="1" x14ac:dyDescent="0.25">
      <c r="A23" t="s">
        <v>5269</v>
      </c>
      <c r="B23" s="8" t="s">
        <v>5330</v>
      </c>
      <c r="C23" s="8" t="s">
        <v>5331</v>
      </c>
      <c r="D23" t="s">
        <v>3983</v>
      </c>
      <c r="E23" t="s">
        <v>187</v>
      </c>
      <c r="F23" t="s">
        <v>3458</v>
      </c>
      <c r="G23" t="s">
        <v>5232</v>
      </c>
      <c r="H23" t="s">
        <v>39</v>
      </c>
      <c r="I23" t="s">
        <v>4031</v>
      </c>
      <c r="J23" t="s">
        <v>5269</v>
      </c>
      <c r="K23" t="s">
        <v>3458</v>
      </c>
      <c r="L23" t="s">
        <v>187</v>
      </c>
      <c r="M23" t="s">
        <v>3458</v>
      </c>
    </row>
    <row r="24" spans="1:13" ht="15" customHeight="1" x14ac:dyDescent="0.25">
      <c r="A24" t="s">
        <v>5271</v>
      </c>
      <c r="B24" s="8" t="s">
        <v>5332</v>
      </c>
      <c r="C24" s="8" t="s">
        <v>5333</v>
      </c>
      <c r="D24" t="s">
        <v>3992</v>
      </c>
      <c r="E24" t="s">
        <v>3997</v>
      </c>
      <c r="F24" t="s">
        <v>3458</v>
      </c>
      <c r="G24" t="s">
        <v>4297</v>
      </c>
      <c r="H24" t="s">
        <v>39</v>
      </c>
      <c r="I24" t="s">
        <v>4014</v>
      </c>
      <c r="J24" t="s">
        <v>5271</v>
      </c>
      <c r="K24" t="s">
        <v>3458</v>
      </c>
      <c r="L24" t="s">
        <v>187</v>
      </c>
      <c r="M24" t="s">
        <v>3458</v>
      </c>
    </row>
    <row r="25" spans="1:13" ht="15" customHeight="1" x14ac:dyDescent="0.25">
      <c r="A25" t="s">
        <v>5273</v>
      </c>
      <c r="B25" t="s">
        <v>5274</v>
      </c>
      <c r="C25" t="s">
        <v>5334</v>
      </c>
      <c r="D25" t="s">
        <v>3992</v>
      </c>
      <c r="E25" t="s">
        <v>3997</v>
      </c>
      <c r="F25" t="s">
        <v>3458</v>
      </c>
      <c r="G25" t="s">
        <v>4297</v>
      </c>
      <c r="H25" t="s">
        <v>39</v>
      </c>
      <c r="I25" t="s">
        <v>4014</v>
      </c>
      <c r="J25" t="s">
        <v>5275</v>
      </c>
      <c r="K25" t="s">
        <v>3502</v>
      </c>
      <c r="L25" t="s">
        <v>187</v>
      </c>
      <c r="M25" t="s">
        <v>3458</v>
      </c>
    </row>
    <row r="26" spans="1:13" ht="15" customHeight="1" x14ac:dyDescent="0.25">
      <c r="A26" t="s">
        <v>5276</v>
      </c>
      <c r="B26" s="8" t="s">
        <v>5335</v>
      </c>
      <c r="C26" s="8" t="s">
        <v>5336</v>
      </c>
      <c r="D26" t="s">
        <v>3739</v>
      </c>
      <c r="E26" t="s">
        <v>3997</v>
      </c>
      <c r="F26" t="s">
        <v>3458</v>
      </c>
      <c r="G26" t="s">
        <v>4297</v>
      </c>
      <c r="H26" t="s">
        <v>5176</v>
      </c>
      <c r="I26" t="s">
        <v>4031</v>
      </c>
      <c r="J26" t="s">
        <v>5276</v>
      </c>
      <c r="K26" t="s">
        <v>3458</v>
      </c>
      <c r="L26" t="s">
        <v>187</v>
      </c>
      <c r="M26" t="s">
        <v>3458</v>
      </c>
    </row>
    <row r="27" spans="1:13" ht="15" customHeight="1" x14ac:dyDescent="0.25">
      <c r="A27" t="s">
        <v>5282</v>
      </c>
      <c r="B27" t="s">
        <v>5337</v>
      </c>
      <c r="C27" t="s">
        <v>5338</v>
      </c>
      <c r="D27" t="s">
        <v>3983</v>
      </c>
      <c r="E27" t="s">
        <v>187</v>
      </c>
      <c r="F27" t="s">
        <v>3458</v>
      </c>
      <c r="G27" t="s">
        <v>4297</v>
      </c>
      <c r="H27" t="s">
        <v>39</v>
      </c>
      <c r="I27" t="s">
        <v>4031</v>
      </c>
      <c r="J27" t="s">
        <v>5282</v>
      </c>
      <c r="K27" t="s">
        <v>3514</v>
      </c>
      <c r="L27" t="s">
        <v>187</v>
      </c>
      <c r="M27" t="s">
        <v>3458</v>
      </c>
    </row>
    <row r="28" spans="1:13" ht="15" customHeight="1" x14ac:dyDescent="0.25">
      <c r="A28" t="s">
        <v>5287</v>
      </c>
      <c r="B28" t="s">
        <v>5288</v>
      </c>
      <c r="C28" t="s">
        <v>5339</v>
      </c>
      <c r="D28" t="s">
        <v>3992</v>
      </c>
      <c r="E28" t="s">
        <v>187</v>
      </c>
      <c r="F28" t="s">
        <v>3458</v>
      </c>
      <c r="G28" t="s">
        <v>5159</v>
      </c>
      <c r="H28" t="s">
        <v>39</v>
      </c>
      <c r="I28" t="s">
        <v>4014</v>
      </c>
      <c r="J28" t="s">
        <v>5287</v>
      </c>
      <c r="K28" t="s">
        <v>41</v>
      </c>
      <c r="L28" t="s">
        <v>187</v>
      </c>
      <c r="M28" t="s">
        <v>3458</v>
      </c>
    </row>
    <row r="29" spans="1:13" ht="15" customHeight="1" x14ac:dyDescent="0.25">
      <c r="A29" t="s">
        <v>5289</v>
      </c>
      <c r="B29" t="s">
        <v>5290</v>
      </c>
      <c r="C29" t="s">
        <v>5340</v>
      </c>
      <c r="D29" t="s">
        <v>3992</v>
      </c>
      <c r="E29" t="s">
        <v>187</v>
      </c>
      <c r="F29" t="s">
        <v>3458</v>
      </c>
      <c r="G29" t="s">
        <v>5159</v>
      </c>
      <c r="H29" t="s">
        <v>39</v>
      </c>
      <c r="I29" t="s">
        <v>4014</v>
      </c>
      <c r="J29" t="s">
        <v>5289</v>
      </c>
      <c r="K29" t="s">
        <v>41</v>
      </c>
      <c r="L29" t="s">
        <v>187</v>
      </c>
      <c r="M29" t="s">
        <v>3458</v>
      </c>
    </row>
    <row r="30" spans="1:13" ht="15" customHeight="1" x14ac:dyDescent="0.25">
      <c r="A30" t="s">
        <v>5280</v>
      </c>
      <c r="B30" t="s">
        <v>5281</v>
      </c>
      <c r="C30" t="s">
        <v>5341</v>
      </c>
      <c r="D30" t="s">
        <v>3992</v>
      </c>
      <c r="E30" t="s">
        <v>3997</v>
      </c>
      <c r="F30">
        <v>1</v>
      </c>
      <c r="G30" t="s">
        <v>5159</v>
      </c>
      <c r="H30" t="s">
        <v>39</v>
      </c>
      <c r="I30" t="s">
        <v>4014</v>
      </c>
      <c r="J30" t="s">
        <v>5280</v>
      </c>
      <c r="K30" t="s">
        <v>3458</v>
      </c>
      <c r="L30" t="s">
        <v>187</v>
      </c>
      <c r="M30" t="s">
        <v>5342</v>
      </c>
    </row>
    <row r="31" spans="1:13" ht="60" customHeight="1" x14ac:dyDescent="0.25">
      <c r="A31" t="s">
        <v>5237</v>
      </c>
      <c r="B31" s="8" t="s">
        <v>5343</v>
      </c>
      <c r="C31" s="8" t="s">
        <v>5344</v>
      </c>
      <c r="D31" t="s">
        <v>3983</v>
      </c>
      <c r="E31" t="s">
        <v>187</v>
      </c>
      <c r="F31" t="s">
        <v>3458</v>
      </c>
      <c r="G31" t="s">
        <v>5232</v>
      </c>
      <c r="H31" t="s">
        <v>5173</v>
      </c>
      <c r="I31" t="s">
        <v>4031</v>
      </c>
      <c r="J31" t="s">
        <v>5239</v>
      </c>
      <c r="K31" t="s">
        <v>3514</v>
      </c>
      <c r="L31" t="s">
        <v>3997</v>
      </c>
      <c r="M31" s="8" t="s">
        <v>5345</v>
      </c>
    </row>
    <row r="32" spans="1:13" ht="45" customHeight="1" x14ac:dyDescent="0.25">
      <c r="A32" t="s">
        <v>5234</v>
      </c>
      <c r="B32" s="8" t="s">
        <v>5346</v>
      </c>
      <c r="C32" s="8" t="s">
        <v>5347</v>
      </c>
      <c r="D32" t="s">
        <v>3983</v>
      </c>
      <c r="E32" t="s">
        <v>187</v>
      </c>
      <c r="F32" t="s">
        <v>3458</v>
      </c>
      <c r="G32" t="s">
        <v>5232</v>
      </c>
      <c r="H32" t="s">
        <v>5173</v>
      </c>
      <c r="I32" t="s">
        <v>4031</v>
      </c>
      <c r="J32" t="s">
        <v>5236</v>
      </c>
      <c r="K32" t="s">
        <v>3514</v>
      </c>
      <c r="L32" t="s">
        <v>3997</v>
      </c>
      <c r="M32" s="8" t="s">
        <v>5348</v>
      </c>
    </row>
    <row r="33" spans="1:13" ht="60" customHeight="1" x14ac:dyDescent="0.25">
      <c r="A33" t="s">
        <v>5240</v>
      </c>
      <c r="B33" s="8" t="s">
        <v>5349</v>
      </c>
      <c r="C33" s="8" t="s">
        <v>5350</v>
      </c>
      <c r="D33" t="s">
        <v>3992</v>
      </c>
      <c r="E33" t="s">
        <v>187</v>
      </c>
      <c r="F33" t="s">
        <v>3458</v>
      </c>
      <c r="G33" t="s">
        <v>5159</v>
      </c>
      <c r="H33" t="s">
        <v>5173</v>
      </c>
      <c r="I33" t="s">
        <v>4014</v>
      </c>
      <c r="J33" t="s">
        <v>5242</v>
      </c>
      <c r="K33" t="s">
        <v>3458</v>
      </c>
      <c r="L33" t="s">
        <v>3997</v>
      </c>
      <c r="M33" s="8" t="s">
        <v>5351</v>
      </c>
    </row>
    <row r="34" spans="1:13" ht="45" customHeight="1" x14ac:dyDescent="0.25">
      <c r="A34" t="s">
        <v>5222</v>
      </c>
      <c r="B34" s="8" t="s">
        <v>5223</v>
      </c>
      <c r="C34" s="8" t="s">
        <v>5352</v>
      </c>
      <c r="D34" t="s">
        <v>3983</v>
      </c>
      <c r="E34" t="s">
        <v>187</v>
      </c>
      <c r="F34" t="s">
        <v>3458</v>
      </c>
      <c r="G34" t="s">
        <v>5159</v>
      </c>
      <c r="H34" t="s">
        <v>39</v>
      </c>
      <c r="I34" t="s">
        <v>4031</v>
      </c>
      <c r="J34" t="s">
        <v>5222</v>
      </c>
      <c r="K34" t="s">
        <v>3502</v>
      </c>
      <c r="L34" t="s">
        <v>187</v>
      </c>
      <c r="M34" s="8" t="s">
        <v>5353</v>
      </c>
    </row>
    <row r="35" spans="1:13" ht="45" customHeight="1" x14ac:dyDescent="0.25">
      <c r="A35" t="s">
        <v>5174</v>
      </c>
      <c r="B35" s="8" t="s">
        <v>5354</v>
      </c>
      <c r="C35" s="8" t="s">
        <v>5355</v>
      </c>
      <c r="D35" t="s">
        <v>3992</v>
      </c>
      <c r="E35" t="s">
        <v>187</v>
      </c>
      <c r="F35" t="s">
        <v>3458</v>
      </c>
      <c r="G35" t="s">
        <v>5356</v>
      </c>
      <c r="H35" t="s">
        <v>5176</v>
      </c>
      <c r="I35" t="s">
        <v>4014</v>
      </c>
      <c r="J35" t="s">
        <v>5174</v>
      </c>
      <c r="K35" t="s">
        <v>3458</v>
      </c>
      <c r="L35" t="s">
        <v>187</v>
      </c>
      <c r="M35" s="8" t="s">
        <v>5357</v>
      </c>
    </row>
    <row r="36" spans="1:13" x14ac:dyDescent="0.25">
      <c r="A36" t="s">
        <v>5212</v>
      </c>
      <c r="B36" s="8" t="s">
        <v>5358</v>
      </c>
      <c r="C36" s="8" t="s">
        <v>5359</v>
      </c>
      <c r="D36" t="s">
        <v>5360</v>
      </c>
      <c r="E36" t="s">
        <v>187</v>
      </c>
      <c r="F36" t="s">
        <v>3458</v>
      </c>
      <c r="G36" t="s">
        <v>5361</v>
      </c>
      <c r="H36" t="s">
        <v>5173</v>
      </c>
      <c r="I36" t="s">
        <v>4031</v>
      </c>
      <c r="J36" t="s">
        <v>5214</v>
      </c>
      <c r="K36" t="s">
        <v>3514</v>
      </c>
      <c r="L36" t="s">
        <v>3997</v>
      </c>
      <c r="M36" t="s">
        <v>3458</v>
      </c>
    </row>
    <row r="37" spans="1:13" x14ac:dyDescent="0.25">
      <c r="A37" t="s">
        <v>5362</v>
      </c>
      <c r="B37" s="8" t="s">
        <v>5363</v>
      </c>
      <c r="C37" s="8" t="s">
        <v>5359</v>
      </c>
      <c r="D37" t="s">
        <v>5360</v>
      </c>
      <c r="E37" t="s">
        <v>187</v>
      </c>
      <c r="F37" t="s">
        <v>3458</v>
      </c>
      <c r="G37" t="s">
        <v>5361</v>
      </c>
      <c r="H37" t="s">
        <v>5173</v>
      </c>
      <c r="I37" t="s">
        <v>4031</v>
      </c>
      <c r="J37" t="s">
        <v>5362</v>
      </c>
      <c r="K37" t="s">
        <v>3514</v>
      </c>
      <c r="L37" t="s">
        <v>3997</v>
      </c>
      <c r="M37" t="s">
        <v>3458</v>
      </c>
    </row>
    <row r="38" spans="1:13" x14ac:dyDescent="0.25">
      <c r="A38" t="s">
        <v>5364</v>
      </c>
      <c r="B38" s="8" t="s">
        <v>5365</v>
      </c>
      <c r="C38" s="8" t="s">
        <v>5359</v>
      </c>
      <c r="D38" t="s">
        <v>5360</v>
      </c>
      <c r="E38" t="s">
        <v>187</v>
      </c>
      <c r="F38" t="s">
        <v>3458</v>
      </c>
      <c r="G38" t="s">
        <v>5361</v>
      </c>
      <c r="H38" t="s">
        <v>5173</v>
      </c>
      <c r="I38" t="s">
        <v>4031</v>
      </c>
      <c r="J38" t="s">
        <v>5366</v>
      </c>
      <c r="K38" t="s">
        <v>3502</v>
      </c>
      <c r="L38" t="s">
        <v>3997</v>
      </c>
      <c r="M38" t="s">
        <v>3458</v>
      </c>
    </row>
    <row r="39" spans="1:13" x14ac:dyDescent="0.25">
      <c r="A39" t="s">
        <v>5160</v>
      </c>
      <c r="B39" s="8" t="s">
        <v>5367</v>
      </c>
      <c r="C39" s="8" t="s">
        <v>5368</v>
      </c>
      <c r="D39" t="s">
        <v>3983</v>
      </c>
      <c r="E39" t="s">
        <v>187</v>
      </c>
      <c r="F39" t="s">
        <v>3458</v>
      </c>
      <c r="G39" t="s">
        <v>5369</v>
      </c>
      <c r="H39" t="s">
        <v>5173</v>
      </c>
      <c r="I39" t="s">
        <v>4031</v>
      </c>
      <c r="J39" t="s">
        <v>5160</v>
      </c>
      <c r="K39" t="s">
        <v>3514</v>
      </c>
      <c r="L39" t="s">
        <v>3997</v>
      </c>
      <c r="M39" t="s">
        <v>5370</v>
      </c>
    </row>
    <row r="40" spans="1:13" x14ac:dyDescent="0.25">
      <c r="A40" t="s">
        <v>5170</v>
      </c>
      <c r="B40" s="8" t="s">
        <v>5371</v>
      </c>
      <c r="C40" s="8" t="s">
        <v>5359</v>
      </c>
      <c r="D40" t="s">
        <v>5360</v>
      </c>
      <c r="E40" t="s">
        <v>187</v>
      </c>
      <c r="F40" t="s">
        <v>3458</v>
      </c>
      <c r="G40" t="s">
        <v>5361</v>
      </c>
      <c r="H40" t="s">
        <v>5173</v>
      </c>
      <c r="I40" t="s">
        <v>4031</v>
      </c>
      <c r="J40" t="s">
        <v>5170</v>
      </c>
      <c r="K40" t="s">
        <v>3502</v>
      </c>
      <c r="L40" t="s">
        <v>3997</v>
      </c>
      <c r="M40" t="s">
        <v>3458</v>
      </c>
    </row>
    <row r="41" spans="1:13" x14ac:dyDescent="0.25">
      <c r="A41" t="s">
        <v>5229</v>
      </c>
      <c r="B41" s="8" t="s">
        <v>5372</v>
      </c>
      <c r="C41" s="8" t="s">
        <v>5373</v>
      </c>
      <c r="D41" t="s">
        <v>3983</v>
      </c>
      <c r="E41" t="s">
        <v>187</v>
      </c>
      <c r="F41" t="s">
        <v>3458</v>
      </c>
      <c r="G41" t="s">
        <v>5232</v>
      </c>
      <c r="H41" t="s">
        <v>5173</v>
      </c>
      <c r="I41" t="s">
        <v>4031</v>
      </c>
      <c r="J41" t="s">
        <v>5233</v>
      </c>
      <c r="K41" t="s">
        <v>3514</v>
      </c>
      <c r="L41" t="s">
        <v>3997</v>
      </c>
      <c r="M41" t="s">
        <v>5374</v>
      </c>
    </row>
    <row r="42" spans="1:13" x14ac:dyDescent="0.25">
      <c r="A42" t="s">
        <v>5191</v>
      </c>
      <c r="B42" s="8" t="s">
        <v>5375</v>
      </c>
      <c r="C42" s="8" t="s">
        <v>5376</v>
      </c>
      <c r="D42" t="s">
        <v>3983</v>
      </c>
      <c r="E42" t="s">
        <v>187</v>
      </c>
      <c r="F42" t="s">
        <v>3458</v>
      </c>
      <c r="G42" t="s">
        <v>5159</v>
      </c>
      <c r="H42" t="s">
        <v>39</v>
      </c>
      <c r="I42" t="s">
        <v>4031</v>
      </c>
      <c r="J42" t="s">
        <v>5193</v>
      </c>
      <c r="K42" t="s">
        <v>3502</v>
      </c>
      <c r="L42" t="s">
        <v>187</v>
      </c>
      <c r="M42" t="s">
        <v>3458</v>
      </c>
    </row>
    <row r="43" spans="1:13" x14ac:dyDescent="0.25">
      <c r="A43" t="s">
        <v>5179</v>
      </c>
      <c r="B43" s="8" t="s">
        <v>5377</v>
      </c>
      <c r="C43" s="8" t="s">
        <v>5378</v>
      </c>
      <c r="D43" t="s">
        <v>3992</v>
      </c>
      <c r="E43" t="s">
        <v>3997</v>
      </c>
      <c r="F43" t="s">
        <v>3458</v>
      </c>
      <c r="G43" t="s">
        <v>4297</v>
      </c>
      <c r="H43" t="s">
        <v>5176</v>
      </c>
      <c r="I43" t="s">
        <v>4014</v>
      </c>
      <c r="J43" t="s">
        <v>5181</v>
      </c>
      <c r="K43" t="s">
        <v>3502</v>
      </c>
      <c r="L43" t="s">
        <v>3997</v>
      </c>
      <c r="M43" t="s">
        <v>5379</v>
      </c>
    </row>
  </sheetData>
  <pageMargins left="0.7" right="0.7" top="0.75" bottom="0.75" header="0.511811023622047" footer="0.511811023622047"/>
  <pageSetup orientation="portrait" horizontalDpi="300" verticalDpi="300"/>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8"/>
  <sheetViews>
    <sheetView zoomScale="85" zoomScaleNormal="85" workbookViewId="0">
      <selection activeCell="B10" sqref="B10"/>
    </sheetView>
  </sheetViews>
  <sheetFormatPr defaultColWidth="8.7109375" defaultRowHeight="15" x14ac:dyDescent="0.25"/>
  <cols>
    <col min="2" max="2" width="79.42578125" customWidth="1"/>
    <col min="3" max="3" width="23.85546875" customWidth="1"/>
    <col min="4" max="4" width="59" customWidth="1"/>
    <col min="5" max="5" width="11.140625" customWidth="1"/>
  </cols>
  <sheetData>
    <row r="1" spans="1:5" ht="15" customHeight="1" x14ac:dyDescent="0.25">
      <c r="A1" t="s">
        <v>165</v>
      </c>
      <c r="B1" t="s">
        <v>5380</v>
      </c>
      <c r="C1" t="s">
        <v>5381</v>
      </c>
      <c r="D1" t="s">
        <v>5382</v>
      </c>
      <c r="E1" t="s">
        <v>5061</v>
      </c>
    </row>
    <row r="2" spans="1:5" ht="15" customHeight="1" x14ac:dyDescent="0.25">
      <c r="A2" t="s">
        <v>5383</v>
      </c>
      <c r="B2" t="s">
        <v>5384</v>
      </c>
      <c r="E2" t="s">
        <v>5385</v>
      </c>
    </row>
    <row r="3" spans="1:5" ht="15" customHeight="1" x14ac:dyDescent="0.25">
      <c r="A3" t="s">
        <v>5386</v>
      </c>
      <c r="B3" t="s">
        <v>5387</v>
      </c>
      <c r="E3" t="s">
        <v>5388</v>
      </c>
    </row>
    <row r="4" spans="1:5" ht="15" customHeight="1" x14ac:dyDescent="0.25">
      <c r="A4" t="s">
        <v>5389</v>
      </c>
      <c r="B4" t="s">
        <v>3458</v>
      </c>
      <c r="E4" t="s">
        <v>5390</v>
      </c>
    </row>
    <row r="5" spans="1:5" ht="15" customHeight="1" x14ac:dyDescent="0.25">
      <c r="A5" t="s">
        <v>5391</v>
      </c>
      <c r="B5" t="s">
        <v>5392</v>
      </c>
      <c r="E5" t="s">
        <v>5393</v>
      </c>
    </row>
    <row r="6" spans="1:5" ht="15" customHeight="1" x14ac:dyDescent="0.25">
      <c r="A6" t="s">
        <v>4261</v>
      </c>
      <c r="B6" t="s">
        <v>5394</v>
      </c>
      <c r="E6" t="s">
        <v>5395</v>
      </c>
    </row>
    <row r="7" spans="1:5" ht="15" customHeight="1" x14ac:dyDescent="0.25">
      <c r="A7" t="s">
        <v>5254</v>
      </c>
      <c r="B7" t="s">
        <v>5396</v>
      </c>
      <c r="E7" t="s">
        <v>5397</v>
      </c>
    </row>
    <row r="8" spans="1:5" ht="15" customHeight="1" x14ac:dyDescent="0.25">
      <c r="A8" t="s">
        <v>5398</v>
      </c>
      <c r="B8" t="s">
        <v>5399</v>
      </c>
      <c r="C8" t="s">
        <v>5400</v>
      </c>
      <c r="D8" t="s">
        <v>5401</v>
      </c>
      <c r="E8" t="s">
        <v>5402</v>
      </c>
    </row>
  </sheetData>
  <pageMargins left="0.7" right="0.7" top="0.75" bottom="0.75" header="0.511811023622047" footer="0.511811023622047"/>
  <pageSetup orientation="portrait" horizontalDpi="300" verticalDpi="300"/>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30"/>
  <sheetViews>
    <sheetView zoomScale="85" zoomScaleNormal="85" workbookViewId="0">
      <selection activeCell="B33" sqref="B33"/>
    </sheetView>
  </sheetViews>
  <sheetFormatPr defaultColWidth="8.7109375" defaultRowHeight="15" x14ac:dyDescent="0.25"/>
  <cols>
    <col min="1" max="1" width="18.7109375" customWidth="1"/>
    <col min="2" max="2" width="169.7109375" customWidth="1"/>
    <col min="3" max="3" width="21.85546875" customWidth="1"/>
    <col min="4" max="4" width="39" customWidth="1"/>
  </cols>
  <sheetData>
    <row r="1" spans="1:4" ht="15" customHeight="1" x14ac:dyDescent="0.25">
      <c r="A1" t="s">
        <v>165</v>
      </c>
      <c r="B1" t="s">
        <v>3453</v>
      </c>
      <c r="C1" t="s">
        <v>5403</v>
      </c>
      <c r="D1" t="s">
        <v>5404</v>
      </c>
    </row>
    <row r="2" spans="1:4" ht="15" customHeight="1" x14ac:dyDescent="0.25">
      <c r="A2" t="s">
        <v>5405</v>
      </c>
      <c r="B2" t="s">
        <v>5406</v>
      </c>
      <c r="C2" t="s">
        <v>39</v>
      </c>
      <c r="D2" t="s">
        <v>3458</v>
      </c>
    </row>
    <row r="3" spans="1:4" ht="15" customHeight="1" x14ac:dyDescent="0.25">
      <c r="A3" t="s">
        <v>5407</v>
      </c>
      <c r="B3" t="s">
        <v>5408</v>
      </c>
      <c r="C3" t="s">
        <v>5409</v>
      </c>
      <c r="D3" t="s">
        <v>3458</v>
      </c>
    </row>
    <row r="4" spans="1:4" ht="15" customHeight="1" x14ac:dyDescent="0.25">
      <c r="A4" t="s">
        <v>5410</v>
      </c>
      <c r="B4" t="s">
        <v>5411</v>
      </c>
      <c r="C4" t="s">
        <v>39</v>
      </c>
      <c r="D4" t="s">
        <v>3458</v>
      </c>
    </row>
    <row r="5" spans="1:4" ht="15" customHeight="1" x14ac:dyDescent="0.25">
      <c r="A5" t="s">
        <v>5412</v>
      </c>
      <c r="B5" t="s">
        <v>5413</v>
      </c>
      <c r="C5" t="s">
        <v>5409</v>
      </c>
      <c r="D5" t="s">
        <v>3458</v>
      </c>
    </row>
    <row r="6" spans="1:4" ht="15" customHeight="1" x14ac:dyDescent="0.25">
      <c r="A6" t="s">
        <v>5414</v>
      </c>
      <c r="B6" t="s">
        <v>5415</v>
      </c>
      <c r="C6" t="s">
        <v>5409</v>
      </c>
      <c r="D6" t="s">
        <v>3458</v>
      </c>
    </row>
    <row r="7" spans="1:4" ht="15" customHeight="1" x14ac:dyDescent="0.25">
      <c r="A7" t="s">
        <v>5416</v>
      </c>
      <c r="B7" t="s">
        <v>5417</v>
      </c>
      <c r="C7" t="s">
        <v>39</v>
      </c>
      <c r="D7" t="s">
        <v>3458</v>
      </c>
    </row>
    <row r="8" spans="1:4" ht="15" customHeight="1" x14ac:dyDescent="0.25">
      <c r="A8" t="s">
        <v>5418</v>
      </c>
      <c r="B8" t="s">
        <v>5419</v>
      </c>
      <c r="C8" t="s">
        <v>39</v>
      </c>
      <c r="D8" t="s">
        <v>3458</v>
      </c>
    </row>
    <row r="9" spans="1:4" ht="15" customHeight="1" x14ac:dyDescent="0.25">
      <c r="A9" t="s">
        <v>5420</v>
      </c>
      <c r="B9" t="s">
        <v>5421</v>
      </c>
      <c r="C9" t="s">
        <v>39</v>
      </c>
      <c r="D9" t="s">
        <v>3458</v>
      </c>
    </row>
    <row r="10" spans="1:4" ht="15" customHeight="1" x14ac:dyDescent="0.25">
      <c r="A10" t="s">
        <v>5422</v>
      </c>
      <c r="B10" t="s">
        <v>5423</v>
      </c>
      <c r="C10" t="s">
        <v>5424</v>
      </c>
      <c r="D10" t="s">
        <v>3458</v>
      </c>
    </row>
    <row r="11" spans="1:4" ht="15" customHeight="1" x14ac:dyDescent="0.25">
      <c r="A11" t="s">
        <v>5425</v>
      </c>
      <c r="B11" t="s">
        <v>5426</v>
      </c>
      <c r="C11" t="s">
        <v>4428</v>
      </c>
      <c r="D11" t="s">
        <v>3458</v>
      </c>
    </row>
    <row r="12" spans="1:4" ht="15" customHeight="1" x14ac:dyDescent="0.25">
      <c r="A12" t="s">
        <v>5427</v>
      </c>
      <c r="B12" t="s">
        <v>5428</v>
      </c>
      <c r="C12" t="s">
        <v>4428</v>
      </c>
      <c r="D12" t="s">
        <v>3458</v>
      </c>
    </row>
    <row r="13" spans="1:4" ht="15" customHeight="1" x14ac:dyDescent="0.25">
      <c r="A13" t="s">
        <v>5429</v>
      </c>
      <c r="B13" t="s">
        <v>5430</v>
      </c>
      <c r="C13" t="s">
        <v>5409</v>
      </c>
      <c r="D13" t="s">
        <v>3458</v>
      </c>
    </row>
    <row r="14" spans="1:4" ht="15" customHeight="1" x14ac:dyDescent="0.25">
      <c r="A14" t="s">
        <v>5431</v>
      </c>
      <c r="B14" t="s">
        <v>5432</v>
      </c>
      <c r="C14" t="s">
        <v>39</v>
      </c>
      <c r="D14" t="s">
        <v>3458</v>
      </c>
    </row>
    <row r="15" spans="1:4" ht="15" customHeight="1" x14ac:dyDescent="0.25">
      <c r="A15" t="s">
        <v>5433</v>
      </c>
      <c r="B15" t="s">
        <v>5434</v>
      </c>
      <c r="C15" t="s">
        <v>39</v>
      </c>
      <c r="D15" t="s">
        <v>3458</v>
      </c>
    </row>
    <row r="16" spans="1:4" ht="15" customHeight="1" x14ac:dyDescent="0.25">
      <c r="A16" t="s">
        <v>5435</v>
      </c>
      <c r="B16" t="s">
        <v>5436</v>
      </c>
      <c r="C16" t="s">
        <v>5424</v>
      </c>
      <c r="D16" t="s">
        <v>3458</v>
      </c>
    </row>
    <row r="17" spans="1:4" ht="15" customHeight="1" x14ac:dyDescent="0.25">
      <c r="A17" t="s">
        <v>5437</v>
      </c>
      <c r="B17" t="s">
        <v>5438</v>
      </c>
      <c r="C17" t="s">
        <v>39</v>
      </c>
      <c r="D17" t="s">
        <v>3458</v>
      </c>
    </row>
    <row r="18" spans="1:4" ht="15" customHeight="1" x14ac:dyDescent="0.25">
      <c r="A18" t="s">
        <v>5439</v>
      </c>
      <c r="B18" t="s">
        <v>5440</v>
      </c>
      <c r="C18" t="s">
        <v>5441</v>
      </c>
      <c r="D18" t="s">
        <v>3458</v>
      </c>
    </row>
    <row r="19" spans="1:4" ht="15" customHeight="1" x14ac:dyDescent="0.25">
      <c r="A19" t="s">
        <v>5442</v>
      </c>
      <c r="B19" t="s">
        <v>5443</v>
      </c>
      <c r="C19" t="s">
        <v>39</v>
      </c>
      <c r="D19" t="s">
        <v>3458</v>
      </c>
    </row>
    <row r="20" spans="1:4" ht="15" customHeight="1" x14ac:dyDescent="0.25">
      <c r="A20" t="s">
        <v>5444</v>
      </c>
      <c r="B20" t="s">
        <v>5445</v>
      </c>
      <c r="C20" t="s">
        <v>39</v>
      </c>
      <c r="D20" t="s">
        <v>3458</v>
      </c>
    </row>
    <row r="21" spans="1:4" ht="15" customHeight="1" x14ac:dyDescent="0.25">
      <c r="A21" t="s">
        <v>5446</v>
      </c>
      <c r="B21" t="s">
        <v>5447</v>
      </c>
      <c r="C21" t="s">
        <v>39</v>
      </c>
      <c r="D21" t="s">
        <v>5448</v>
      </c>
    </row>
    <row r="22" spans="1:4" ht="15" customHeight="1" x14ac:dyDescent="0.25">
      <c r="A22" t="s">
        <v>5449</v>
      </c>
      <c r="B22" t="s">
        <v>5450</v>
      </c>
      <c r="C22" t="s">
        <v>5451</v>
      </c>
      <c r="D22" t="s">
        <v>3458</v>
      </c>
    </row>
    <row r="23" spans="1:4" ht="15" customHeight="1" x14ac:dyDescent="0.25">
      <c r="A23" t="s">
        <v>5452</v>
      </c>
      <c r="B23" t="s">
        <v>5453</v>
      </c>
      <c r="C23" t="s">
        <v>5424</v>
      </c>
      <c r="D23" t="s">
        <v>3458</v>
      </c>
    </row>
    <row r="24" spans="1:4" ht="15" customHeight="1" x14ac:dyDescent="0.25">
      <c r="A24" t="s">
        <v>5454</v>
      </c>
      <c r="B24" t="s">
        <v>5455</v>
      </c>
      <c r="C24" t="s">
        <v>5424</v>
      </c>
      <c r="D24" t="s">
        <v>5456</v>
      </c>
    </row>
    <row r="25" spans="1:4" ht="15" customHeight="1" x14ac:dyDescent="0.25">
      <c r="A25" t="s">
        <v>5457</v>
      </c>
      <c r="B25" t="s">
        <v>5458</v>
      </c>
      <c r="C25" t="s">
        <v>5441</v>
      </c>
      <c r="D25" t="s">
        <v>3458</v>
      </c>
    </row>
    <row r="26" spans="1:4" ht="15" customHeight="1" x14ac:dyDescent="0.25">
      <c r="A26" t="s">
        <v>5459</v>
      </c>
      <c r="B26" t="s">
        <v>5460</v>
      </c>
      <c r="C26" t="s">
        <v>5409</v>
      </c>
      <c r="D26" t="s">
        <v>3458</v>
      </c>
    </row>
    <row r="27" spans="1:4" ht="15" customHeight="1" x14ac:dyDescent="0.25">
      <c r="A27" t="s">
        <v>5461</v>
      </c>
      <c r="B27" t="s">
        <v>5462</v>
      </c>
      <c r="C27" t="s">
        <v>5424</v>
      </c>
      <c r="D27" t="s">
        <v>3458</v>
      </c>
    </row>
    <row r="28" spans="1:4" ht="15" customHeight="1" x14ac:dyDescent="0.25">
      <c r="A28" t="s">
        <v>5463</v>
      </c>
      <c r="B28" t="s">
        <v>5464</v>
      </c>
      <c r="C28" t="s">
        <v>5424</v>
      </c>
      <c r="D28" t="s">
        <v>3458</v>
      </c>
    </row>
    <row r="29" spans="1:4" ht="15" customHeight="1" x14ac:dyDescent="0.25">
      <c r="A29" t="s">
        <v>5465</v>
      </c>
      <c r="B29" t="s">
        <v>5466</v>
      </c>
      <c r="C29" t="s">
        <v>5467</v>
      </c>
      <c r="D29" t="s">
        <v>3458</v>
      </c>
    </row>
    <row r="30" spans="1:4" ht="15" customHeight="1" x14ac:dyDescent="0.25">
      <c r="A30" t="s">
        <v>5468</v>
      </c>
      <c r="B30" t="s">
        <v>5469</v>
      </c>
      <c r="C30" t="s">
        <v>39</v>
      </c>
      <c r="D30" t="s">
        <v>3458</v>
      </c>
    </row>
  </sheetData>
  <pageMargins left="0.7" right="0.7" top="0.75" bottom="0.75" header="0.511811023622047" footer="0.511811023622047"/>
  <pageSetup orientation="portrait" horizontalDpi="300" verticalDpi="300"/>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23"/>
  <sheetViews>
    <sheetView zoomScale="85" zoomScaleNormal="85" workbookViewId="0">
      <selection activeCell="C26" sqref="C26"/>
    </sheetView>
  </sheetViews>
  <sheetFormatPr defaultColWidth="8.7109375" defaultRowHeight="15" x14ac:dyDescent="0.25"/>
  <cols>
    <col min="1" max="1" width="14.28515625" customWidth="1"/>
    <col min="2" max="2" width="78" customWidth="1"/>
    <col min="3" max="3" width="77" customWidth="1"/>
    <col min="4" max="4" width="94" customWidth="1"/>
    <col min="5" max="5" width="12" customWidth="1"/>
    <col min="6" max="6" width="8.85546875" customWidth="1"/>
    <col min="8" max="8" width="14.28515625" customWidth="1"/>
    <col min="9" max="9" width="17.85546875" customWidth="1"/>
    <col min="10" max="10" width="20" customWidth="1"/>
    <col min="11" max="11" width="29.5703125" customWidth="1"/>
    <col min="12" max="13" width="20" customWidth="1"/>
  </cols>
  <sheetData>
    <row r="1" spans="1:13" ht="15" customHeight="1" x14ac:dyDescent="0.25">
      <c r="A1" t="s">
        <v>165</v>
      </c>
      <c r="B1" t="s">
        <v>182</v>
      </c>
      <c r="C1" t="s">
        <v>176</v>
      </c>
      <c r="D1" t="s">
        <v>222</v>
      </c>
      <c r="E1" t="s">
        <v>5470</v>
      </c>
      <c r="F1" t="s">
        <v>5471</v>
      </c>
      <c r="G1" t="s">
        <v>5404</v>
      </c>
      <c r="H1" t="s">
        <v>5472</v>
      </c>
      <c r="I1" t="s">
        <v>5473</v>
      </c>
      <c r="J1" t="s">
        <v>5474</v>
      </c>
      <c r="K1" t="s">
        <v>5475</v>
      </c>
      <c r="L1" t="s">
        <v>5476</v>
      </c>
      <c r="M1" t="s">
        <v>5477</v>
      </c>
    </row>
    <row r="2" spans="1:13" ht="15" customHeight="1" x14ac:dyDescent="0.25">
      <c r="A2" t="s">
        <v>5410</v>
      </c>
      <c r="B2" t="s">
        <v>5411</v>
      </c>
      <c r="C2" t="s">
        <v>5478</v>
      </c>
      <c r="D2" t="s">
        <v>5479</v>
      </c>
      <c r="E2" t="s">
        <v>3997</v>
      </c>
      <c r="F2" t="s">
        <v>39</v>
      </c>
      <c r="G2" t="s">
        <v>3458</v>
      </c>
      <c r="H2" t="s">
        <v>5480</v>
      </c>
      <c r="I2" t="s">
        <v>5481</v>
      </c>
      <c r="J2" t="s">
        <v>5482</v>
      </c>
    </row>
    <row r="3" spans="1:13" ht="15" customHeight="1" x14ac:dyDescent="0.25">
      <c r="A3" t="s">
        <v>5416</v>
      </c>
      <c r="B3" t="s">
        <v>5417</v>
      </c>
      <c r="C3" t="s">
        <v>5417</v>
      </c>
      <c r="D3" t="s">
        <v>5417</v>
      </c>
      <c r="E3" t="s">
        <v>3997</v>
      </c>
      <c r="F3" t="s">
        <v>39</v>
      </c>
      <c r="G3" t="s">
        <v>3458</v>
      </c>
      <c r="H3" t="s">
        <v>5483</v>
      </c>
      <c r="I3" t="s">
        <v>5484</v>
      </c>
    </row>
    <row r="4" spans="1:13" ht="15" customHeight="1" x14ac:dyDescent="0.25">
      <c r="A4" t="s">
        <v>5485</v>
      </c>
      <c r="B4" s="8" t="s">
        <v>5486</v>
      </c>
      <c r="C4" s="8" t="s">
        <v>5486</v>
      </c>
      <c r="D4" s="8" t="s">
        <v>5486</v>
      </c>
      <c r="E4" t="s">
        <v>187</v>
      </c>
      <c r="F4" t="s">
        <v>39</v>
      </c>
      <c r="G4" t="s">
        <v>3458</v>
      </c>
      <c r="H4" t="s">
        <v>5487</v>
      </c>
      <c r="I4" t="s">
        <v>5488</v>
      </c>
    </row>
    <row r="5" spans="1:13" ht="15" customHeight="1" x14ac:dyDescent="0.25">
      <c r="A5" t="s">
        <v>5489</v>
      </c>
      <c r="B5" t="s">
        <v>5490</v>
      </c>
      <c r="C5" t="s">
        <v>5490</v>
      </c>
      <c r="D5" t="s">
        <v>5490</v>
      </c>
      <c r="E5" t="s">
        <v>3997</v>
      </c>
      <c r="F5" t="s">
        <v>5424</v>
      </c>
      <c r="G5" t="s">
        <v>3458</v>
      </c>
      <c r="H5" t="s">
        <v>5491</v>
      </c>
      <c r="I5" t="s">
        <v>5484</v>
      </c>
    </row>
    <row r="6" spans="1:13" ht="15" customHeight="1" x14ac:dyDescent="0.25">
      <c r="A6" t="s">
        <v>5422</v>
      </c>
      <c r="B6" t="s">
        <v>5423</v>
      </c>
      <c r="C6" t="s">
        <v>5492</v>
      </c>
      <c r="D6" t="s">
        <v>5423</v>
      </c>
      <c r="E6" t="s">
        <v>3997</v>
      </c>
      <c r="F6" t="s">
        <v>5424</v>
      </c>
      <c r="G6" t="s">
        <v>3458</v>
      </c>
      <c r="H6" t="s">
        <v>5493</v>
      </c>
      <c r="I6" t="s">
        <v>5484</v>
      </c>
      <c r="K6" t="s">
        <v>5494</v>
      </c>
      <c r="L6" t="s">
        <v>5495</v>
      </c>
    </row>
    <row r="7" spans="1:13" ht="15" customHeight="1" x14ac:dyDescent="0.25">
      <c r="A7" t="s">
        <v>5496</v>
      </c>
      <c r="B7" t="s">
        <v>5497</v>
      </c>
      <c r="C7" t="s">
        <v>5498</v>
      </c>
      <c r="D7" t="s">
        <v>5497</v>
      </c>
      <c r="E7" t="s">
        <v>3997</v>
      </c>
      <c r="F7" t="s">
        <v>5424</v>
      </c>
      <c r="G7" t="s">
        <v>3458</v>
      </c>
      <c r="H7" t="s">
        <v>5499</v>
      </c>
      <c r="I7" t="s">
        <v>5484</v>
      </c>
      <c r="K7" t="s">
        <v>5500</v>
      </c>
      <c r="L7" t="s">
        <v>5501</v>
      </c>
    </row>
    <row r="8" spans="1:13" ht="15" customHeight="1" x14ac:dyDescent="0.25">
      <c r="A8" t="s">
        <v>5425</v>
      </c>
      <c r="B8" t="s">
        <v>5502</v>
      </c>
      <c r="C8" t="s">
        <v>5503</v>
      </c>
      <c r="D8" t="s">
        <v>5503</v>
      </c>
      <c r="E8" t="s">
        <v>3997</v>
      </c>
      <c r="F8" t="s">
        <v>4428</v>
      </c>
      <c r="G8" t="s">
        <v>3458</v>
      </c>
      <c r="H8" t="s">
        <v>5504</v>
      </c>
      <c r="I8" t="s">
        <v>5505</v>
      </c>
      <c r="J8" t="s">
        <v>5504</v>
      </c>
    </row>
    <row r="9" spans="1:13" ht="15" customHeight="1" x14ac:dyDescent="0.25">
      <c r="A9" t="s">
        <v>5427</v>
      </c>
      <c r="B9" t="s">
        <v>5428</v>
      </c>
      <c r="C9" t="s">
        <v>5428</v>
      </c>
      <c r="D9" t="s">
        <v>5428</v>
      </c>
      <c r="E9" t="s">
        <v>3997</v>
      </c>
      <c r="F9" t="s">
        <v>39</v>
      </c>
      <c r="G9" t="s">
        <v>3458</v>
      </c>
      <c r="H9" t="s">
        <v>5506</v>
      </c>
      <c r="I9" t="s">
        <v>5507</v>
      </c>
      <c r="J9" t="s">
        <v>3846</v>
      </c>
    </row>
    <row r="10" spans="1:13" ht="15" customHeight="1" x14ac:dyDescent="0.25">
      <c r="A10" t="s">
        <v>5431</v>
      </c>
      <c r="B10" t="s">
        <v>5432</v>
      </c>
      <c r="C10" t="s">
        <v>5508</v>
      </c>
      <c r="D10" t="s">
        <v>5508</v>
      </c>
      <c r="E10" t="s">
        <v>3997</v>
      </c>
      <c r="F10" t="s">
        <v>39</v>
      </c>
      <c r="G10" t="s">
        <v>3458</v>
      </c>
      <c r="H10" t="s">
        <v>5509</v>
      </c>
      <c r="I10" t="s">
        <v>5505</v>
      </c>
      <c r="J10" t="s">
        <v>5509</v>
      </c>
    </row>
    <row r="11" spans="1:13" ht="15" customHeight="1" x14ac:dyDescent="0.25">
      <c r="A11" t="s">
        <v>5510</v>
      </c>
      <c r="B11" t="s">
        <v>5434</v>
      </c>
      <c r="C11" t="s">
        <v>5511</v>
      </c>
      <c r="D11" t="s">
        <v>5434</v>
      </c>
      <c r="E11" t="s">
        <v>187</v>
      </c>
      <c r="F11" t="s">
        <v>39</v>
      </c>
      <c r="G11" t="s">
        <v>3458</v>
      </c>
      <c r="H11" t="s">
        <v>5512</v>
      </c>
      <c r="I11" t="s">
        <v>5488</v>
      </c>
    </row>
    <row r="12" spans="1:13" ht="15" customHeight="1" x14ac:dyDescent="0.25">
      <c r="A12" t="s">
        <v>5435</v>
      </c>
      <c r="B12" t="s">
        <v>5436</v>
      </c>
      <c r="C12" t="s">
        <v>5513</v>
      </c>
      <c r="D12" t="s">
        <v>5436</v>
      </c>
      <c r="E12" t="s">
        <v>3997</v>
      </c>
      <c r="F12" t="s">
        <v>5424</v>
      </c>
      <c r="G12" t="s">
        <v>3458</v>
      </c>
      <c r="H12" t="s">
        <v>5514</v>
      </c>
      <c r="I12" t="s">
        <v>5484</v>
      </c>
      <c r="K12" t="s">
        <v>5515</v>
      </c>
      <c r="L12" t="s">
        <v>5516</v>
      </c>
    </row>
    <row r="13" spans="1:13" ht="15" customHeight="1" x14ac:dyDescent="0.25">
      <c r="A13" t="s">
        <v>5437</v>
      </c>
      <c r="B13" t="s">
        <v>5438</v>
      </c>
      <c r="C13" t="s">
        <v>5438</v>
      </c>
      <c r="D13" t="s">
        <v>5438</v>
      </c>
      <c r="E13" t="s">
        <v>3997</v>
      </c>
      <c r="F13" t="s">
        <v>39</v>
      </c>
      <c r="G13" t="s">
        <v>3458</v>
      </c>
      <c r="H13" t="s">
        <v>5517</v>
      </c>
      <c r="I13" t="s">
        <v>5505</v>
      </c>
      <c r="J13" t="s">
        <v>5517</v>
      </c>
    </row>
    <row r="14" spans="1:13" ht="15" customHeight="1" x14ac:dyDescent="0.25">
      <c r="A14" t="s">
        <v>5442</v>
      </c>
      <c r="B14" t="s">
        <v>5518</v>
      </c>
      <c r="C14" t="s">
        <v>5519</v>
      </c>
      <c r="D14" t="s">
        <v>5519</v>
      </c>
      <c r="E14" t="s">
        <v>3997</v>
      </c>
      <c r="F14" t="s">
        <v>39</v>
      </c>
      <c r="G14" t="s">
        <v>3458</v>
      </c>
      <c r="H14" t="s">
        <v>5520</v>
      </c>
      <c r="I14" t="s">
        <v>5484</v>
      </c>
    </row>
    <row r="15" spans="1:13" ht="15" customHeight="1" x14ac:dyDescent="0.25">
      <c r="A15" t="s">
        <v>5521</v>
      </c>
      <c r="B15" t="s">
        <v>5522</v>
      </c>
      <c r="C15" t="s">
        <v>5522</v>
      </c>
      <c r="D15" t="s">
        <v>5522</v>
      </c>
      <c r="E15" t="s">
        <v>3997</v>
      </c>
      <c r="F15" t="s">
        <v>5523</v>
      </c>
      <c r="G15" t="s">
        <v>3458</v>
      </c>
      <c r="H15" t="s">
        <v>5524</v>
      </c>
      <c r="I15" t="s">
        <v>5524</v>
      </c>
    </row>
    <row r="16" spans="1:13" ht="15" customHeight="1" x14ac:dyDescent="0.25">
      <c r="A16" t="s">
        <v>5525</v>
      </c>
      <c r="B16" t="s">
        <v>5526</v>
      </c>
      <c r="C16" t="s">
        <v>5526</v>
      </c>
      <c r="D16" t="s">
        <v>5526</v>
      </c>
      <c r="E16" t="s">
        <v>187</v>
      </c>
      <c r="F16" t="s">
        <v>5523</v>
      </c>
      <c r="G16" t="s">
        <v>3458</v>
      </c>
      <c r="H16" t="s">
        <v>5527</v>
      </c>
      <c r="I16" t="s">
        <v>5527</v>
      </c>
    </row>
    <row r="17" spans="1:12" ht="15" customHeight="1" x14ac:dyDescent="0.25">
      <c r="A17" t="s">
        <v>5449</v>
      </c>
      <c r="B17" t="s">
        <v>5450</v>
      </c>
      <c r="C17" t="s">
        <v>5528</v>
      </c>
      <c r="D17" t="s">
        <v>5528</v>
      </c>
      <c r="E17" t="s">
        <v>3997</v>
      </c>
      <c r="F17" t="s">
        <v>39</v>
      </c>
      <c r="G17" t="s">
        <v>3458</v>
      </c>
      <c r="H17" t="s">
        <v>5529</v>
      </c>
      <c r="I17" t="s">
        <v>5484</v>
      </c>
    </row>
    <row r="18" spans="1:12" ht="15" customHeight="1" x14ac:dyDescent="0.25">
      <c r="A18" t="s">
        <v>5530</v>
      </c>
      <c r="B18" t="s">
        <v>5531</v>
      </c>
      <c r="C18" t="s">
        <v>5531</v>
      </c>
      <c r="D18" t="s">
        <v>5532</v>
      </c>
      <c r="E18" t="s">
        <v>187</v>
      </c>
      <c r="F18" t="s">
        <v>5424</v>
      </c>
      <c r="G18" t="s">
        <v>3458</v>
      </c>
      <c r="H18" t="s">
        <v>5533</v>
      </c>
      <c r="I18" t="s">
        <v>5534</v>
      </c>
    </row>
    <row r="19" spans="1:12" ht="15" customHeight="1" x14ac:dyDescent="0.25">
      <c r="A19" t="s">
        <v>5452</v>
      </c>
      <c r="B19" t="s">
        <v>5453</v>
      </c>
      <c r="C19" t="s">
        <v>5535</v>
      </c>
      <c r="D19" t="s">
        <v>5453</v>
      </c>
      <c r="E19" t="s">
        <v>3997</v>
      </c>
      <c r="F19" t="s">
        <v>5424</v>
      </c>
      <c r="G19" t="s">
        <v>3458</v>
      </c>
      <c r="H19" t="s">
        <v>5536</v>
      </c>
      <c r="I19" t="s">
        <v>5484</v>
      </c>
    </row>
    <row r="20" spans="1:12" ht="15" customHeight="1" x14ac:dyDescent="0.25">
      <c r="A20" t="s">
        <v>5461</v>
      </c>
      <c r="B20" t="s">
        <v>5537</v>
      </c>
      <c r="C20" t="s">
        <v>5538</v>
      </c>
      <c r="D20" t="s">
        <v>5537</v>
      </c>
      <c r="E20" t="s">
        <v>3997</v>
      </c>
      <c r="F20" t="s">
        <v>5424</v>
      </c>
      <c r="G20" t="s">
        <v>3458</v>
      </c>
      <c r="H20" t="s">
        <v>5539</v>
      </c>
      <c r="I20" t="s">
        <v>5484</v>
      </c>
    </row>
    <row r="21" spans="1:12" ht="15" customHeight="1" x14ac:dyDescent="0.25">
      <c r="A21" t="s">
        <v>5463</v>
      </c>
      <c r="B21" t="s">
        <v>5540</v>
      </c>
      <c r="C21" t="s">
        <v>5492</v>
      </c>
      <c r="D21" t="s">
        <v>5540</v>
      </c>
      <c r="E21" t="s">
        <v>3997</v>
      </c>
      <c r="F21" t="s">
        <v>5424</v>
      </c>
      <c r="G21" t="s">
        <v>3458</v>
      </c>
      <c r="H21" t="s">
        <v>5541</v>
      </c>
      <c r="I21" t="s">
        <v>5484</v>
      </c>
      <c r="K21" t="s">
        <v>5542</v>
      </c>
      <c r="L21" t="s">
        <v>5495</v>
      </c>
    </row>
    <row r="22" spans="1:12" ht="15" customHeight="1" x14ac:dyDescent="0.25">
      <c r="A22" t="s">
        <v>5465</v>
      </c>
      <c r="B22" t="s">
        <v>5543</v>
      </c>
      <c r="C22" t="s">
        <v>5543</v>
      </c>
      <c r="D22" t="s">
        <v>5543</v>
      </c>
      <c r="E22" t="s">
        <v>3997</v>
      </c>
      <c r="F22" t="s">
        <v>4428</v>
      </c>
      <c r="G22" t="s">
        <v>3458</v>
      </c>
      <c r="H22" t="s">
        <v>5544</v>
      </c>
      <c r="I22" t="s">
        <v>5545</v>
      </c>
    </row>
    <row r="23" spans="1:12" ht="15" customHeight="1" x14ac:dyDescent="0.25">
      <c r="A23" t="s">
        <v>5468</v>
      </c>
      <c r="B23" t="s">
        <v>5469</v>
      </c>
      <c r="C23" t="s">
        <v>5469</v>
      </c>
      <c r="D23" t="s">
        <v>5469</v>
      </c>
      <c r="E23" t="s">
        <v>3997</v>
      </c>
      <c r="F23" t="s">
        <v>39</v>
      </c>
      <c r="G23" t="s">
        <v>3458</v>
      </c>
      <c r="H23" t="s">
        <v>5546</v>
      </c>
      <c r="I23" t="s">
        <v>5507</v>
      </c>
      <c r="J23" t="s">
        <v>5547</v>
      </c>
    </row>
  </sheetData>
  <pageMargins left="0.7" right="0.7" top="0.75" bottom="0.75" header="0.511811023622047" footer="0.511811023622047"/>
  <pageSetup orientation="portrait" horizontalDpi="300" verticalDpi="300"/>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13"/>
  <sheetViews>
    <sheetView zoomScale="85" zoomScaleNormal="85" workbookViewId="0">
      <selection activeCell="A8" sqref="A8"/>
    </sheetView>
  </sheetViews>
  <sheetFormatPr defaultColWidth="8.7109375" defaultRowHeight="15" x14ac:dyDescent="0.25"/>
  <cols>
    <col min="1" max="1" width="26.7109375" customWidth="1"/>
    <col min="2" max="2" width="11.140625" customWidth="1"/>
    <col min="3" max="3" width="63.5703125" customWidth="1"/>
    <col min="4" max="4" width="43.140625" customWidth="1"/>
    <col min="5" max="5" width="63.7109375" customWidth="1"/>
    <col min="6" max="6" width="34.140625" customWidth="1"/>
    <col min="7" max="7" width="70.28515625" customWidth="1"/>
    <col min="8" max="8" width="42.28515625" customWidth="1"/>
    <col min="9" max="9" width="62" customWidth="1"/>
    <col min="10" max="10" width="40.5703125" customWidth="1"/>
    <col min="11" max="11" width="16.85546875" customWidth="1"/>
    <col min="12" max="12" width="17.7109375" customWidth="1"/>
    <col min="13" max="13" width="16.28515625" customWidth="1"/>
  </cols>
  <sheetData>
    <row r="1" spans="1:13" ht="15" customHeight="1" x14ac:dyDescent="0.25">
      <c r="A1" t="s">
        <v>165</v>
      </c>
      <c r="B1" t="s">
        <v>6</v>
      </c>
      <c r="C1" t="s">
        <v>5548</v>
      </c>
      <c r="D1" t="s">
        <v>5549</v>
      </c>
      <c r="E1" t="s">
        <v>5550</v>
      </c>
      <c r="F1" t="s">
        <v>5551</v>
      </c>
      <c r="G1" t="s">
        <v>5552</v>
      </c>
      <c r="H1" t="s">
        <v>5553</v>
      </c>
      <c r="I1" t="s">
        <v>5554</v>
      </c>
      <c r="J1" t="s">
        <v>5555</v>
      </c>
      <c r="K1" t="s">
        <v>3497</v>
      </c>
      <c r="L1" t="s">
        <v>4009</v>
      </c>
      <c r="M1" t="s">
        <v>171</v>
      </c>
    </row>
    <row r="2" spans="1:13" ht="15" customHeight="1" x14ac:dyDescent="0.25">
      <c r="A2" t="s">
        <v>5556</v>
      </c>
      <c r="B2" t="s">
        <v>3514</v>
      </c>
      <c r="C2" t="s">
        <v>5557</v>
      </c>
      <c r="D2" t="s">
        <v>101</v>
      </c>
      <c r="E2" t="s">
        <v>5557</v>
      </c>
      <c r="F2" t="s">
        <v>101</v>
      </c>
      <c r="G2" t="s">
        <v>5557</v>
      </c>
      <c r="H2" t="s">
        <v>101</v>
      </c>
      <c r="I2" t="s">
        <v>5557</v>
      </c>
      <c r="J2" t="s">
        <v>101</v>
      </c>
      <c r="K2" t="s">
        <v>2154</v>
      </c>
      <c r="L2" t="s">
        <v>4042</v>
      </c>
    </row>
    <row r="3" spans="1:13" ht="15" customHeight="1" x14ac:dyDescent="0.25">
      <c r="A3" t="s">
        <v>4013</v>
      </c>
      <c r="B3" t="s">
        <v>3514</v>
      </c>
      <c r="C3" t="s">
        <v>5558</v>
      </c>
      <c r="D3" t="s">
        <v>5559</v>
      </c>
      <c r="E3" t="s">
        <v>5560</v>
      </c>
      <c r="F3" t="s">
        <v>5561</v>
      </c>
      <c r="G3" t="s">
        <v>5562</v>
      </c>
      <c r="H3" t="s">
        <v>5563</v>
      </c>
      <c r="I3" t="s">
        <v>5564</v>
      </c>
      <c r="J3" t="s">
        <v>5565</v>
      </c>
      <c r="K3" t="s">
        <v>2154</v>
      </c>
      <c r="L3" t="s">
        <v>4014</v>
      </c>
    </row>
    <row r="4" spans="1:13" ht="15" customHeight="1" x14ac:dyDescent="0.25">
      <c r="A4" t="s">
        <v>4019</v>
      </c>
      <c r="B4" t="s">
        <v>3514</v>
      </c>
      <c r="C4" t="s">
        <v>5566</v>
      </c>
      <c r="D4" t="s">
        <v>5567</v>
      </c>
      <c r="E4" t="s">
        <v>5568</v>
      </c>
      <c r="F4" t="s">
        <v>5569</v>
      </c>
      <c r="G4" t="s">
        <v>5570</v>
      </c>
      <c r="H4" t="s">
        <v>5571</v>
      </c>
      <c r="I4" t="s">
        <v>5572</v>
      </c>
      <c r="J4" t="s">
        <v>5573</v>
      </c>
      <c r="K4" t="s">
        <v>1284</v>
      </c>
      <c r="L4" t="s">
        <v>4014</v>
      </c>
      <c r="M4" t="s">
        <v>4022</v>
      </c>
    </row>
    <row r="5" spans="1:13" ht="15" customHeight="1" x14ac:dyDescent="0.25">
      <c r="A5" t="s">
        <v>5574</v>
      </c>
      <c r="B5" t="s">
        <v>3514</v>
      </c>
      <c r="C5" t="s">
        <v>5575</v>
      </c>
      <c r="D5" t="s">
        <v>5576</v>
      </c>
      <c r="E5" t="s">
        <v>5577</v>
      </c>
      <c r="F5" t="s">
        <v>5578</v>
      </c>
      <c r="G5" t="s">
        <v>5579</v>
      </c>
      <c r="H5" t="s">
        <v>5580</v>
      </c>
      <c r="I5" t="s">
        <v>5581</v>
      </c>
      <c r="J5" t="s">
        <v>5582</v>
      </c>
      <c r="K5" t="s">
        <v>1725</v>
      </c>
      <c r="L5" t="s">
        <v>4031</v>
      </c>
    </row>
    <row r="6" spans="1:13" ht="15" customHeight="1" x14ac:dyDescent="0.25">
      <c r="A6" t="s">
        <v>4025</v>
      </c>
      <c r="B6" t="s">
        <v>41</v>
      </c>
      <c r="C6" t="s">
        <v>5583</v>
      </c>
      <c r="D6" t="s">
        <v>5584</v>
      </c>
      <c r="E6" t="s">
        <v>5585</v>
      </c>
      <c r="F6" t="s">
        <v>5586</v>
      </c>
      <c r="G6" t="s">
        <v>5587</v>
      </c>
      <c r="H6" t="s">
        <v>5588</v>
      </c>
      <c r="I6" t="s">
        <v>5589</v>
      </c>
      <c r="J6" t="s">
        <v>5590</v>
      </c>
      <c r="K6" t="s">
        <v>2154</v>
      </c>
      <c r="L6" t="s">
        <v>4014</v>
      </c>
    </row>
    <row r="7" spans="1:13" ht="15" customHeight="1" x14ac:dyDescent="0.25">
      <c r="A7" t="s">
        <v>5591</v>
      </c>
      <c r="B7" t="s">
        <v>41</v>
      </c>
      <c r="C7" t="s">
        <v>5592</v>
      </c>
      <c r="D7" t="s">
        <v>5593</v>
      </c>
      <c r="E7" t="s">
        <v>5594</v>
      </c>
      <c r="F7" t="s">
        <v>5595</v>
      </c>
      <c r="G7" t="s">
        <v>5596</v>
      </c>
      <c r="H7" t="s">
        <v>5597</v>
      </c>
      <c r="I7" t="s">
        <v>5598</v>
      </c>
      <c r="J7" t="s">
        <v>5599</v>
      </c>
      <c r="K7" t="s">
        <v>2154</v>
      </c>
      <c r="L7" t="s">
        <v>4031</v>
      </c>
      <c r="M7" t="s">
        <v>5600</v>
      </c>
    </row>
    <row r="8" spans="1:13" ht="15" customHeight="1" x14ac:dyDescent="0.25">
      <c r="A8" t="s">
        <v>4048</v>
      </c>
      <c r="B8" t="s">
        <v>3514</v>
      </c>
      <c r="C8" t="s">
        <v>5601</v>
      </c>
      <c r="D8" t="s">
        <v>5602</v>
      </c>
      <c r="E8" t="s">
        <v>5603</v>
      </c>
      <c r="F8" t="s">
        <v>5604</v>
      </c>
      <c r="G8" t="s">
        <v>5605</v>
      </c>
      <c r="H8" t="s">
        <v>5606</v>
      </c>
      <c r="I8" t="s">
        <v>5607</v>
      </c>
      <c r="J8" t="s">
        <v>5608</v>
      </c>
      <c r="K8" t="s">
        <v>1284</v>
      </c>
      <c r="L8" t="s">
        <v>4014</v>
      </c>
    </row>
    <row r="9" spans="1:13" ht="15" customHeight="1" x14ac:dyDescent="0.25">
      <c r="A9" t="s">
        <v>4030</v>
      </c>
      <c r="B9" t="s">
        <v>41</v>
      </c>
      <c r="C9" t="s">
        <v>5609</v>
      </c>
      <c r="D9" t="s">
        <v>5610</v>
      </c>
      <c r="E9" t="s">
        <v>5611</v>
      </c>
      <c r="F9" t="s">
        <v>5612</v>
      </c>
      <c r="G9" t="s">
        <v>5613</v>
      </c>
      <c r="H9" t="s">
        <v>5614</v>
      </c>
      <c r="I9" t="s">
        <v>5615</v>
      </c>
      <c r="J9" t="s">
        <v>5616</v>
      </c>
      <c r="K9" t="s">
        <v>2154</v>
      </c>
      <c r="L9" t="s">
        <v>4031</v>
      </c>
      <c r="M9" t="s">
        <v>4034</v>
      </c>
    </row>
    <row r="10" spans="1:13" ht="15" customHeight="1" x14ac:dyDescent="0.25">
      <c r="A10" t="s">
        <v>4037</v>
      </c>
      <c r="B10" t="s">
        <v>3514</v>
      </c>
      <c r="C10" t="s">
        <v>5617</v>
      </c>
      <c r="D10" t="s">
        <v>5618</v>
      </c>
      <c r="E10" t="s">
        <v>5619</v>
      </c>
      <c r="F10" t="s">
        <v>5620</v>
      </c>
      <c r="G10" t="s">
        <v>5621</v>
      </c>
      <c r="H10" t="s">
        <v>4038</v>
      </c>
      <c r="I10" t="s">
        <v>5622</v>
      </c>
      <c r="J10" t="s">
        <v>5623</v>
      </c>
      <c r="K10" t="s">
        <v>2154</v>
      </c>
      <c r="L10" t="s">
        <v>4031</v>
      </c>
    </row>
    <row r="11" spans="1:13" ht="15" customHeight="1" x14ac:dyDescent="0.25">
      <c r="A11" t="s">
        <v>5624</v>
      </c>
      <c r="B11" t="s">
        <v>3514</v>
      </c>
      <c r="C11" t="s">
        <v>5625</v>
      </c>
      <c r="D11" t="s">
        <v>5626</v>
      </c>
      <c r="E11" t="s">
        <v>5627</v>
      </c>
      <c r="F11" t="s">
        <v>5628</v>
      </c>
      <c r="G11" t="s">
        <v>5629</v>
      </c>
      <c r="H11" t="s">
        <v>5630</v>
      </c>
      <c r="I11" t="s">
        <v>5631</v>
      </c>
      <c r="J11" t="s">
        <v>5632</v>
      </c>
      <c r="K11" t="s">
        <v>2154</v>
      </c>
      <c r="L11" t="s">
        <v>4014</v>
      </c>
    </row>
    <row r="12" spans="1:13" ht="15" customHeight="1" x14ac:dyDescent="0.25">
      <c r="A12" t="s">
        <v>5633</v>
      </c>
      <c r="B12" t="s">
        <v>41</v>
      </c>
      <c r="C12" t="s">
        <v>5634</v>
      </c>
      <c r="D12" t="s">
        <v>5635</v>
      </c>
      <c r="E12" t="s">
        <v>5636</v>
      </c>
      <c r="F12" t="s">
        <v>5637</v>
      </c>
      <c r="G12" t="s">
        <v>5638</v>
      </c>
      <c r="H12" t="s">
        <v>5639</v>
      </c>
      <c r="I12" t="s">
        <v>5640</v>
      </c>
      <c r="J12" t="s">
        <v>5641</v>
      </c>
      <c r="K12" t="s">
        <v>2154</v>
      </c>
      <c r="L12" t="s">
        <v>4042</v>
      </c>
      <c r="M12" t="s">
        <v>4045</v>
      </c>
    </row>
    <row r="13" spans="1:13" ht="15" customHeight="1" x14ac:dyDescent="0.25">
      <c r="A13" t="s">
        <v>5642</v>
      </c>
      <c r="B13" t="s">
        <v>3502</v>
      </c>
      <c r="C13" t="s">
        <v>5643</v>
      </c>
      <c r="D13" t="s">
        <v>5644</v>
      </c>
      <c r="E13" t="s">
        <v>5645</v>
      </c>
      <c r="F13" t="s">
        <v>5646</v>
      </c>
      <c r="G13" t="s">
        <v>5647</v>
      </c>
      <c r="H13" t="s">
        <v>5648</v>
      </c>
      <c r="I13" t="s">
        <v>5649</v>
      </c>
      <c r="J13" t="s">
        <v>5650</v>
      </c>
      <c r="K13" t="s">
        <v>2154</v>
      </c>
      <c r="L13" t="s">
        <v>4031</v>
      </c>
    </row>
  </sheetData>
  <pageMargins left="0.7" right="0.7" top="0.75" bottom="0.75" header="0.511811023622047" footer="0.511811023622047"/>
  <pageSetup orientation="portrait" horizontalDpi="300" verticalDpi="300"/>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13"/>
  <sheetViews>
    <sheetView zoomScale="85" zoomScaleNormal="85" workbookViewId="0">
      <selection sqref="A1:E13"/>
    </sheetView>
  </sheetViews>
  <sheetFormatPr defaultColWidth="8.7109375" defaultRowHeight="15" x14ac:dyDescent="0.25"/>
  <cols>
    <col min="1" max="1" width="18.28515625" customWidth="1"/>
    <col min="2" max="2" width="11.140625" customWidth="1"/>
    <col min="3" max="3" width="28.42578125" customWidth="1"/>
    <col min="4" max="4" width="13.140625" customWidth="1"/>
    <col min="5" max="5" width="17.85546875" customWidth="1"/>
    <col min="7" max="7" width="10.28515625" customWidth="1"/>
  </cols>
  <sheetData>
    <row r="1" spans="1:5" ht="15" customHeight="1" x14ac:dyDescent="0.25">
      <c r="A1" t="s">
        <v>165</v>
      </c>
      <c r="B1" t="s">
        <v>6</v>
      </c>
      <c r="C1" t="s">
        <v>3496</v>
      </c>
      <c r="D1" t="s">
        <v>3497</v>
      </c>
      <c r="E1" t="s">
        <v>171</v>
      </c>
    </row>
    <row r="2" spans="1:5" ht="15" customHeight="1" x14ac:dyDescent="0.25">
      <c r="A2" t="s">
        <v>4161</v>
      </c>
      <c r="B2" t="s">
        <v>41</v>
      </c>
      <c r="C2" t="s">
        <v>5651</v>
      </c>
      <c r="D2" t="s">
        <v>90</v>
      </c>
      <c r="E2" t="s">
        <v>4162</v>
      </c>
    </row>
    <row r="3" spans="1:5" ht="15" customHeight="1" x14ac:dyDescent="0.25">
      <c r="A3" t="s">
        <v>4163</v>
      </c>
      <c r="B3" t="s">
        <v>41</v>
      </c>
      <c r="C3" t="s">
        <v>5652</v>
      </c>
      <c r="D3" t="s">
        <v>90</v>
      </c>
      <c r="E3" t="s">
        <v>4166</v>
      </c>
    </row>
    <row r="4" spans="1:5" ht="15" customHeight="1" x14ac:dyDescent="0.25">
      <c r="A4" t="s">
        <v>5653</v>
      </c>
      <c r="B4" t="s">
        <v>41</v>
      </c>
      <c r="C4" t="s">
        <v>5654</v>
      </c>
      <c r="D4" t="s">
        <v>90</v>
      </c>
      <c r="E4" t="s">
        <v>5655</v>
      </c>
    </row>
    <row r="5" spans="1:5" ht="15" customHeight="1" x14ac:dyDescent="0.25">
      <c r="A5" t="s">
        <v>5656</v>
      </c>
      <c r="B5" t="s">
        <v>41</v>
      </c>
      <c r="C5" t="s">
        <v>5657</v>
      </c>
      <c r="D5" t="s">
        <v>90</v>
      </c>
      <c r="E5" t="s">
        <v>5658</v>
      </c>
    </row>
    <row r="6" spans="1:5" ht="15" customHeight="1" x14ac:dyDescent="0.25">
      <c r="A6" t="s">
        <v>5659</v>
      </c>
      <c r="B6" t="s">
        <v>41</v>
      </c>
      <c r="C6" t="s">
        <v>5660</v>
      </c>
      <c r="D6" t="s">
        <v>90</v>
      </c>
      <c r="E6" t="s">
        <v>5661</v>
      </c>
    </row>
    <row r="7" spans="1:5" ht="15" customHeight="1" x14ac:dyDescent="0.25">
      <c r="A7" t="s">
        <v>4167</v>
      </c>
      <c r="B7" t="s">
        <v>41</v>
      </c>
      <c r="C7" t="s">
        <v>5662</v>
      </c>
      <c r="D7" t="s">
        <v>90</v>
      </c>
      <c r="E7" t="s">
        <v>4172</v>
      </c>
    </row>
    <row r="8" spans="1:5" ht="15" customHeight="1" x14ac:dyDescent="0.25">
      <c r="A8" t="s">
        <v>4173</v>
      </c>
      <c r="B8" t="s">
        <v>41</v>
      </c>
      <c r="C8" t="s">
        <v>5663</v>
      </c>
      <c r="D8" t="s">
        <v>90</v>
      </c>
      <c r="E8" t="s">
        <v>4178</v>
      </c>
    </row>
    <row r="9" spans="1:5" ht="15" customHeight="1" x14ac:dyDescent="0.25">
      <c r="A9" t="s">
        <v>4179</v>
      </c>
      <c r="B9" t="s">
        <v>3502</v>
      </c>
      <c r="C9" t="s">
        <v>5664</v>
      </c>
      <c r="D9" t="s">
        <v>90</v>
      </c>
      <c r="E9" t="s">
        <v>4182</v>
      </c>
    </row>
    <row r="10" spans="1:5" ht="15" customHeight="1" x14ac:dyDescent="0.25">
      <c r="A10" t="s">
        <v>4183</v>
      </c>
      <c r="B10" t="s">
        <v>41</v>
      </c>
      <c r="C10" t="s">
        <v>5665</v>
      </c>
      <c r="D10" t="s">
        <v>90</v>
      </c>
      <c r="E10" t="s">
        <v>4188</v>
      </c>
    </row>
    <row r="11" spans="1:5" ht="15" customHeight="1" x14ac:dyDescent="0.25">
      <c r="A11" t="s">
        <v>4189</v>
      </c>
      <c r="B11" t="s">
        <v>41</v>
      </c>
      <c r="C11" t="s">
        <v>5666</v>
      </c>
      <c r="D11" t="s">
        <v>90</v>
      </c>
      <c r="E11" t="s">
        <v>4194</v>
      </c>
    </row>
    <row r="12" spans="1:5" ht="15" customHeight="1" x14ac:dyDescent="0.25">
      <c r="A12" t="s">
        <v>4195</v>
      </c>
      <c r="B12" t="s">
        <v>41</v>
      </c>
      <c r="C12" t="s">
        <v>5667</v>
      </c>
      <c r="D12" t="s">
        <v>90</v>
      </c>
      <c r="E12" t="s">
        <v>4200</v>
      </c>
    </row>
    <row r="13" spans="1:5" ht="15" customHeight="1" x14ac:dyDescent="0.25">
      <c r="A13" t="s">
        <v>5668</v>
      </c>
      <c r="B13" t="s">
        <v>3514</v>
      </c>
      <c r="C13" t="s">
        <v>5669</v>
      </c>
      <c r="D13" t="s">
        <v>90</v>
      </c>
      <c r="E13" t="s">
        <v>5670</v>
      </c>
    </row>
  </sheetData>
  <pageMargins left="0.7" right="0.7" top="0.75" bottom="0.75" header="0.511811023622047" footer="0.511811023622047"/>
  <pageSetup orientation="portrait" horizontalDpi="300" verticalDpi="300"/>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X7"/>
  <sheetViews>
    <sheetView zoomScale="85" zoomScaleNormal="85" workbookViewId="0">
      <selection activeCell="H59" sqref="H59"/>
    </sheetView>
  </sheetViews>
  <sheetFormatPr defaultColWidth="8.7109375" defaultRowHeight="15" x14ac:dyDescent="0.25"/>
  <cols>
    <col min="1" max="1" width="8.5703125" customWidth="1"/>
    <col min="2" max="2" width="18.7109375" customWidth="1"/>
    <col min="3" max="3" width="9.140625" customWidth="1"/>
    <col min="4" max="4" width="9.28515625" customWidth="1"/>
    <col min="5" max="5" width="5.7109375" customWidth="1"/>
    <col min="6" max="6" width="6.5703125" customWidth="1"/>
    <col min="7" max="7" width="5.7109375" customWidth="1"/>
    <col min="8" max="8" width="6.5703125" customWidth="1"/>
    <col min="9" max="9" width="10.5703125" customWidth="1"/>
    <col min="10" max="10" width="8.5703125" customWidth="1"/>
    <col min="11" max="11" width="7.5703125" customWidth="1"/>
    <col min="12" max="12" width="7" customWidth="1"/>
    <col min="13" max="13" width="11.85546875" customWidth="1"/>
    <col min="14" max="14" width="7.140625" customWidth="1"/>
    <col min="15" max="15" width="10.5703125" customWidth="1"/>
    <col min="16" max="16" width="35.85546875" customWidth="1"/>
    <col min="17" max="17" width="21.5703125" customWidth="1"/>
    <col min="18" max="18" width="82.85546875" customWidth="1"/>
    <col min="19" max="19" width="15" customWidth="1"/>
    <col min="20" max="20" width="9.28515625" customWidth="1"/>
    <col min="21" max="21" width="10.7109375" customWidth="1"/>
    <col min="22" max="23" width="11.28515625" customWidth="1"/>
    <col min="24" max="24" width="16.42578125" customWidth="1"/>
    <col min="25" max="25" width="15.28515625" customWidth="1"/>
  </cols>
  <sheetData>
    <row r="1" spans="1:24" ht="15" customHeight="1" x14ac:dyDescent="0.25">
      <c r="A1" t="s">
        <v>165</v>
      </c>
      <c r="B1" t="s">
        <v>1</v>
      </c>
      <c r="C1" t="s">
        <v>3441</v>
      </c>
      <c r="D1" t="s">
        <v>4533</v>
      </c>
      <c r="E1" t="s">
        <v>5671</v>
      </c>
      <c r="F1" t="s">
        <v>5672</v>
      </c>
      <c r="G1" t="s">
        <v>5673</v>
      </c>
      <c r="H1" t="s">
        <v>5674</v>
      </c>
      <c r="I1" t="s">
        <v>3450</v>
      </c>
      <c r="J1" t="s">
        <v>5675</v>
      </c>
      <c r="K1" t="s">
        <v>3444</v>
      </c>
      <c r="L1" t="s">
        <v>5676</v>
      </c>
      <c r="M1" t="s">
        <v>3838</v>
      </c>
      <c r="N1" t="s">
        <v>5677</v>
      </c>
      <c r="O1" t="s">
        <v>5678</v>
      </c>
      <c r="P1" t="s">
        <v>3451</v>
      </c>
      <c r="Q1" t="s">
        <v>3452</v>
      </c>
      <c r="R1" t="s">
        <v>3453</v>
      </c>
      <c r="S1" t="s">
        <v>5679</v>
      </c>
      <c r="T1" t="s">
        <v>5680</v>
      </c>
      <c r="U1" t="s">
        <v>5681</v>
      </c>
      <c r="V1" t="s">
        <v>5682</v>
      </c>
      <c r="W1" t="s">
        <v>5683</v>
      </c>
      <c r="X1" t="s">
        <v>3454</v>
      </c>
    </row>
    <row r="2" spans="1:24" ht="15" customHeight="1" x14ac:dyDescent="0.25">
      <c r="A2" t="s">
        <v>3485</v>
      </c>
      <c r="B2" t="s">
        <v>2154</v>
      </c>
      <c r="C2">
        <v>75</v>
      </c>
      <c r="D2">
        <v>3</v>
      </c>
      <c r="E2">
        <v>0</v>
      </c>
      <c r="F2">
        <v>0</v>
      </c>
      <c r="G2">
        <v>0</v>
      </c>
      <c r="H2">
        <v>0</v>
      </c>
      <c r="I2">
        <v>2</v>
      </c>
      <c r="J2">
        <v>0</v>
      </c>
      <c r="K2">
        <v>0</v>
      </c>
      <c r="L2">
        <v>0</v>
      </c>
      <c r="M2">
        <v>0</v>
      </c>
      <c r="N2">
        <v>0</v>
      </c>
      <c r="O2">
        <v>0</v>
      </c>
      <c r="P2" t="s">
        <v>3486</v>
      </c>
      <c r="Q2" t="s">
        <v>5684</v>
      </c>
      <c r="R2" t="s">
        <v>3487</v>
      </c>
      <c r="S2" t="s">
        <v>5424</v>
      </c>
      <c r="T2">
        <v>5</v>
      </c>
      <c r="U2">
        <v>5</v>
      </c>
      <c r="X2" t="s">
        <v>3458</v>
      </c>
    </row>
    <row r="3" spans="1:24" ht="15" customHeight="1" x14ac:dyDescent="0.25">
      <c r="A3" t="s">
        <v>3468</v>
      </c>
      <c r="B3" t="s">
        <v>160</v>
      </c>
      <c r="C3">
        <v>75</v>
      </c>
      <c r="D3">
        <v>3</v>
      </c>
      <c r="E3">
        <v>0</v>
      </c>
      <c r="F3">
        <v>0</v>
      </c>
      <c r="G3">
        <v>0</v>
      </c>
      <c r="H3">
        <v>0</v>
      </c>
      <c r="I3">
        <v>0</v>
      </c>
      <c r="J3">
        <v>2</v>
      </c>
      <c r="K3">
        <v>0</v>
      </c>
      <c r="L3">
        <v>0</v>
      </c>
      <c r="M3">
        <v>0</v>
      </c>
      <c r="N3">
        <v>0</v>
      </c>
      <c r="O3">
        <v>0</v>
      </c>
      <c r="P3" t="s">
        <v>5685</v>
      </c>
      <c r="Q3" t="s">
        <v>5686</v>
      </c>
      <c r="R3" t="s">
        <v>3470</v>
      </c>
      <c r="S3" t="s">
        <v>5441</v>
      </c>
      <c r="T3">
        <v>5</v>
      </c>
      <c r="U3">
        <v>4</v>
      </c>
      <c r="V3" t="s">
        <v>5687</v>
      </c>
      <c r="X3" t="s">
        <v>3471</v>
      </c>
    </row>
    <row r="4" spans="1:24" ht="15" customHeight="1" x14ac:dyDescent="0.25">
      <c r="A4" t="s">
        <v>3491</v>
      </c>
      <c r="B4" t="s">
        <v>1322</v>
      </c>
      <c r="C4">
        <v>60</v>
      </c>
      <c r="D4">
        <v>3</v>
      </c>
      <c r="E4">
        <v>0</v>
      </c>
      <c r="F4">
        <v>1</v>
      </c>
      <c r="G4">
        <v>0</v>
      </c>
      <c r="H4">
        <v>0</v>
      </c>
      <c r="I4">
        <v>0</v>
      </c>
      <c r="J4">
        <v>0</v>
      </c>
      <c r="K4">
        <v>1</v>
      </c>
      <c r="L4">
        <v>0</v>
      </c>
      <c r="M4">
        <v>0</v>
      </c>
      <c r="N4">
        <v>0</v>
      </c>
      <c r="O4">
        <v>0</v>
      </c>
      <c r="P4" t="s">
        <v>3492</v>
      </c>
      <c r="Q4" t="s">
        <v>5688</v>
      </c>
      <c r="R4" t="s">
        <v>3494</v>
      </c>
      <c r="S4" t="s">
        <v>4550</v>
      </c>
      <c r="T4">
        <v>5</v>
      </c>
      <c r="U4">
        <v>5</v>
      </c>
      <c r="X4" t="s">
        <v>3458</v>
      </c>
    </row>
    <row r="5" spans="1:24" ht="15" customHeight="1" x14ac:dyDescent="0.25">
      <c r="A5" t="s">
        <v>3475</v>
      </c>
      <c r="B5" t="s">
        <v>1817</v>
      </c>
      <c r="C5">
        <v>60</v>
      </c>
      <c r="D5">
        <v>3</v>
      </c>
      <c r="E5">
        <v>0</v>
      </c>
      <c r="F5">
        <v>0</v>
      </c>
      <c r="G5">
        <v>1</v>
      </c>
      <c r="H5">
        <v>1</v>
      </c>
      <c r="I5">
        <v>0</v>
      </c>
      <c r="J5">
        <v>0</v>
      </c>
      <c r="K5">
        <v>0</v>
      </c>
      <c r="L5">
        <v>0</v>
      </c>
      <c r="M5">
        <v>0</v>
      </c>
      <c r="N5">
        <v>0</v>
      </c>
      <c r="O5">
        <v>0</v>
      </c>
      <c r="P5" t="s">
        <v>3476</v>
      </c>
      <c r="Q5" t="s">
        <v>5689</v>
      </c>
      <c r="R5" t="s">
        <v>3478</v>
      </c>
      <c r="S5" t="s">
        <v>5690</v>
      </c>
      <c r="T5">
        <v>5</v>
      </c>
      <c r="U5">
        <v>5</v>
      </c>
      <c r="X5" t="s">
        <v>3458</v>
      </c>
    </row>
    <row r="6" spans="1:24" ht="15" customHeight="1" x14ac:dyDescent="0.25">
      <c r="A6" t="s">
        <v>3464</v>
      </c>
      <c r="B6" t="s">
        <v>90</v>
      </c>
      <c r="C6">
        <v>80</v>
      </c>
      <c r="D6">
        <v>3</v>
      </c>
      <c r="E6">
        <v>2</v>
      </c>
      <c r="F6">
        <v>0</v>
      </c>
      <c r="G6">
        <v>0</v>
      </c>
      <c r="H6">
        <v>0</v>
      </c>
      <c r="I6">
        <v>0</v>
      </c>
      <c r="J6">
        <v>0</v>
      </c>
      <c r="K6">
        <v>0</v>
      </c>
      <c r="L6">
        <v>0</v>
      </c>
      <c r="M6">
        <v>0</v>
      </c>
      <c r="N6">
        <v>0</v>
      </c>
      <c r="O6">
        <v>0</v>
      </c>
      <c r="P6" t="s">
        <v>5691</v>
      </c>
      <c r="Q6" t="s">
        <v>5692</v>
      </c>
      <c r="R6" t="s">
        <v>3466</v>
      </c>
      <c r="S6" t="s">
        <v>5424</v>
      </c>
      <c r="T6">
        <v>5</v>
      </c>
      <c r="U6">
        <v>4</v>
      </c>
      <c r="V6" t="s">
        <v>3443</v>
      </c>
      <c r="X6" t="s">
        <v>3467</v>
      </c>
    </row>
    <row r="7" spans="1:24" ht="15" customHeight="1" x14ac:dyDescent="0.25">
      <c r="A7" t="s">
        <v>5693</v>
      </c>
      <c r="B7" t="s">
        <v>90</v>
      </c>
      <c r="C7">
        <v>70</v>
      </c>
      <c r="D7">
        <v>3</v>
      </c>
      <c r="E7">
        <v>0</v>
      </c>
      <c r="F7">
        <v>2</v>
      </c>
      <c r="G7">
        <v>0</v>
      </c>
      <c r="H7">
        <v>0</v>
      </c>
      <c r="I7">
        <v>0</v>
      </c>
      <c r="J7">
        <v>0</v>
      </c>
      <c r="K7">
        <v>0</v>
      </c>
      <c r="L7">
        <v>0</v>
      </c>
      <c r="M7">
        <v>0</v>
      </c>
      <c r="N7">
        <v>0</v>
      </c>
      <c r="O7">
        <v>0</v>
      </c>
      <c r="P7" t="s">
        <v>5691</v>
      </c>
      <c r="Q7" t="s">
        <v>5694</v>
      </c>
      <c r="R7" t="s">
        <v>5695</v>
      </c>
      <c r="S7" t="s">
        <v>5424</v>
      </c>
      <c r="T7">
        <v>5</v>
      </c>
      <c r="U7">
        <v>5</v>
      </c>
      <c r="V7" t="s">
        <v>5696</v>
      </c>
      <c r="W7" t="s">
        <v>5697</v>
      </c>
      <c r="X7" t="s">
        <v>4802</v>
      </c>
    </row>
  </sheetData>
  <pageMargins left="0.7" right="0.7" top="0.75" bottom="0.75" header="0.511811023622047" footer="0.511811023622047"/>
  <pageSetup orientation="portrait" horizontalDpi="300" verticalDpi="300"/>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209"/>
  <sheetViews>
    <sheetView topLeftCell="J126" zoomScale="85" zoomScaleNormal="85" workbookViewId="0">
      <selection activeCell="T186" sqref="T186"/>
    </sheetView>
  </sheetViews>
  <sheetFormatPr defaultColWidth="8.7109375" defaultRowHeight="15" x14ac:dyDescent="0.25"/>
  <cols>
    <col min="1" max="1" width="17.85546875" customWidth="1"/>
    <col min="2" max="2" width="11.140625" customWidth="1"/>
    <col min="3" max="3" width="8.140625" customWidth="1"/>
    <col min="4" max="4" width="7.140625" customWidth="1"/>
    <col min="5" max="5" width="97.28515625" customWidth="1"/>
    <col min="6" max="6" width="104.5703125" customWidth="1"/>
    <col min="7" max="7" width="16.42578125" customWidth="1"/>
    <col min="8" max="8" width="17.42578125" customWidth="1"/>
    <col min="9" max="9" width="18.7109375" customWidth="1"/>
    <col min="10" max="10" width="31.42578125" customWidth="1"/>
    <col min="11" max="11" width="5.28515625" customWidth="1"/>
    <col min="12" max="12" width="5.42578125" customWidth="1"/>
    <col min="13" max="13" width="7.7109375" customWidth="1"/>
    <col min="14" max="14" width="4.28515625" customWidth="1"/>
  </cols>
  <sheetData>
    <row r="1" spans="1:10" ht="15" customHeight="1" x14ac:dyDescent="0.25">
      <c r="A1" t="s">
        <v>165</v>
      </c>
      <c r="B1" t="s">
        <v>6</v>
      </c>
      <c r="C1" t="s">
        <v>167</v>
      </c>
      <c r="D1" t="s">
        <v>5698</v>
      </c>
      <c r="E1" t="s">
        <v>3453</v>
      </c>
      <c r="F1" t="s">
        <v>5699</v>
      </c>
      <c r="G1" t="s">
        <v>5700</v>
      </c>
      <c r="H1" t="s">
        <v>4260</v>
      </c>
      <c r="I1" t="s">
        <v>1</v>
      </c>
      <c r="J1" t="s">
        <v>170</v>
      </c>
    </row>
    <row r="2" spans="1:10" ht="15" customHeight="1" x14ac:dyDescent="0.25">
      <c r="A2" t="s">
        <v>5701</v>
      </c>
      <c r="B2" t="s">
        <v>3514</v>
      </c>
      <c r="C2" t="s">
        <v>4597</v>
      </c>
      <c r="D2">
        <v>1</v>
      </c>
      <c r="E2" t="s">
        <v>5702</v>
      </c>
      <c r="F2" t="s">
        <v>5703</v>
      </c>
      <c r="G2">
        <v>1</v>
      </c>
      <c r="H2" t="s">
        <v>5701</v>
      </c>
      <c r="I2" t="s">
        <v>90</v>
      </c>
      <c r="J2" t="s">
        <v>5704</v>
      </c>
    </row>
    <row r="3" spans="1:10" ht="15" customHeight="1" x14ac:dyDescent="0.25">
      <c r="A3" t="s">
        <v>5705</v>
      </c>
      <c r="B3" t="s">
        <v>41</v>
      </c>
      <c r="C3" t="s">
        <v>5360</v>
      </c>
      <c r="D3">
        <v>1</v>
      </c>
      <c r="E3" t="s">
        <v>5706</v>
      </c>
      <c r="F3" t="s">
        <v>5707</v>
      </c>
      <c r="G3">
        <v>1</v>
      </c>
      <c r="H3" t="s">
        <v>5705</v>
      </c>
      <c r="I3" t="s">
        <v>90</v>
      </c>
      <c r="J3" t="s">
        <v>5708</v>
      </c>
    </row>
    <row r="4" spans="1:10" ht="15" customHeight="1" x14ac:dyDescent="0.25">
      <c r="A4" t="s">
        <v>5709</v>
      </c>
      <c r="B4" t="s">
        <v>3502</v>
      </c>
      <c r="C4" t="s">
        <v>5360</v>
      </c>
      <c r="D4">
        <v>0</v>
      </c>
      <c r="E4" t="s">
        <v>5710</v>
      </c>
      <c r="F4" t="s">
        <v>5711</v>
      </c>
      <c r="G4">
        <v>0</v>
      </c>
      <c r="H4" t="s">
        <v>5709</v>
      </c>
      <c r="I4" t="s">
        <v>90</v>
      </c>
      <c r="J4" t="s">
        <v>5712</v>
      </c>
    </row>
    <row r="5" spans="1:10" ht="15" customHeight="1" x14ac:dyDescent="0.25">
      <c r="A5" t="s">
        <v>5713</v>
      </c>
      <c r="B5" t="s">
        <v>3502</v>
      </c>
      <c r="C5" t="s">
        <v>4597</v>
      </c>
      <c r="D5">
        <v>1</v>
      </c>
      <c r="E5" t="s">
        <v>5714</v>
      </c>
      <c r="F5" t="s">
        <v>5715</v>
      </c>
      <c r="G5">
        <v>1</v>
      </c>
      <c r="H5" t="s">
        <v>5716</v>
      </c>
      <c r="I5" t="s">
        <v>90</v>
      </c>
      <c r="J5" t="s">
        <v>5717</v>
      </c>
    </row>
    <row r="6" spans="1:10" ht="15" customHeight="1" x14ac:dyDescent="0.25">
      <c r="A6" t="s">
        <v>5718</v>
      </c>
      <c r="B6" t="s">
        <v>3502</v>
      </c>
      <c r="C6" t="s">
        <v>5360</v>
      </c>
      <c r="D6">
        <v>1</v>
      </c>
      <c r="E6" t="s">
        <v>5719</v>
      </c>
      <c r="F6" t="s">
        <v>5719</v>
      </c>
      <c r="G6">
        <v>0</v>
      </c>
      <c r="H6" t="s">
        <v>5718</v>
      </c>
      <c r="I6" t="s">
        <v>90</v>
      </c>
      <c r="J6" t="s">
        <v>5720</v>
      </c>
    </row>
    <row r="7" spans="1:10" ht="15" customHeight="1" x14ac:dyDescent="0.25">
      <c r="A7" t="s">
        <v>5721</v>
      </c>
      <c r="B7" t="s">
        <v>3502</v>
      </c>
      <c r="C7" t="s">
        <v>5722</v>
      </c>
      <c r="D7">
        <v>2</v>
      </c>
      <c r="E7" t="s">
        <v>5723</v>
      </c>
      <c r="F7" t="s">
        <v>5724</v>
      </c>
      <c r="G7">
        <v>2</v>
      </c>
      <c r="H7" t="s">
        <v>5725</v>
      </c>
      <c r="I7" t="s">
        <v>90</v>
      </c>
      <c r="J7" t="s">
        <v>5726</v>
      </c>
    </row>
    <row r="8" spans="1:10" ht="15" customHeight="1" x14ac:dyDescent="0.25">
      <c r="A8" t="s">
        <v>5727</v>
      </c>
      <c r="B8" t="s">
        <v>3514</v>
      </c>
      <c r="C8" t="s">
        <v>5722</v>
      </c>
      <c r="D8">
        <v>1</v>
      </c>
      <c r="E8" t="s">
        <v>5728</v>
      </c>
      <c r="F8" t="s">
        <v>5729</v>
      </c>
      <c r="G8">
        <v>1</v>
      </c>
      <c r="H8" t="s">
        <v>5730</v>
      </c>
      <c r="I8" t="s">
        <v>90</v>
      </c>
      <c r="J8" t="s">
        <v>5731</v>
      </c>
    </row>
    <row r="9" spans="1:10" ht="15" customHeight="1" x14ac:dyDescent="0.25">
      <c r="A9" t="s">
        <v>5732</v>
      </c>
      <c r="B9" t="s">
        <v>41</v>
      </c>
      <c r="C9" t="s">
        <v>5722</v>
      </c>
      <c r="D9">
        <v>0</v>
      </c>
      <c r="E9" t="s">
        <v>5733</v>
      </c>
      <c r="F9" t="s">
        <v>5734</v>
      </c>
      <c r="G9">
        <v>0</v>
      </c>
      <c r="H9" t="s">
        <v>5732</v>
      </c>
      <c r="I9" t="s">
        <v>90</v>
      </c>
      <c r="J9" t="s">
        <v>5735</v>
      </c>
    </row>
    <row r="10" spans="1:10" ht="15" customHeight="1" x14ac:dyDescent="0.25">
      <c r="A10" t="s">
        <v>5736</v>
      </c>
      <c r="B10" t="s">
        <v>41</v>
      </c>
      <c r="C10" t="s">
        <v>5360</v>
      </c>
      <c r="D10">
        <v>1</v>
      </c>
      <c r="E10" t="s">
        <v>5737</v>
      </c>
      <c r="F10" t="s">
        <v>5738</v>
      </c>
      <c r="G10">
        <v>1</v>
      </c>
      <c r="H10" t="s">
        <v>5736</v>
      </c>
      <c r="I10" t="s">
        <v>90</v>
      </c>
      <c r="J10" t="s">
        <v>5739</v>
      </c>
    </row>
    <row r="11" spans="1:10" ht="15" customHeight="1" x14ac:dyDescent="0.25">
      <c r="A11" t="s">
        <v>5740</v>
      </c>
      <c r="B11" t="s">
        <v>41</v>
      </c>
      <c r="C11" t="s">
        <v>5360</v>
      </c>
      <c r="D11">
        <v>1</v>
      </c>
      <c r="E11" t="s">
        <v>5741</v>
      </c>
      <c r="F11" t="s">
        <v>5742</v>
      </c>
      <c r="G11">
        <v>1</v>
      </c>
      <c r="H11" t="s">
        <v>5740</v>
      </c>
      <c r="I11" t="s">
        <v>90</v>
      </c>
      <c r="J11" t="s">
        <v>5743</v>
      </c>
    </row>
    <row r="12" spans="1:10" ht="15" customHeight="1" x14ac:dyDescent="0.25">
      <c r="A12" t="s">
        <v>5744</v>
      </c>
      <c r="B12" t="s">
        <v>3514</v>
      </c>
      <c r="C12" t="s">
        <v>5722</v>
      </c>
      <c r="D12">
        <v>0</v>
      </c>
      <c r="E12" t="s">
        <v>5745</v>
      </c>
      <c r="F12" t="s">
        <v>5746</v>
      </c>
      <c r="G12">
        <v>0</v>
      </c>
      <c r="H12" t="s">
        <v>5744</v>
      </c>
      <c r="I12" t="s">
        <v>90</v>
      </c>
      <c r="J12" t="s">
        <v>5747</v>
      </c>
    </row>
    <row r="13" spans="1:10" ht="15" customHeight="1" x14ac:dyDescent="0.25">
      <c r="A13" t="s">
        <v>4427</v>
      </c>
      <c r="B13" t="s">
        <v>3514</v>
      </c>
      <c r="C13" t="s">
        <v>5360</v>
      </c>
      <c r="D13">
        <v>1</v>
      </c>
      <c r="E13" t="s">
        <v>5748</v>
      </c>
      <c r="F13" t="s">
        <v>5748</v>
      </c>
      <c r="G13">
        <v>1</v>
      </c>
      <c r="H13" t="s">
        <v>4432</v>
      </c>
      <c r="I13" t="s">
        <v>1649</v>
      </c>
      <c r="J13" t="s">
        <v>5749</v>
      </c>
    </row>
    <row r="14" spans="1:10" ht="15" customHeight="1" x14ac:dyDescent="0.25">
      <c r="A14" t="s">
        <v>5750</v>
      </c>
      <c r="B14" t="s">
        <v>41</v>
      </c>
      <c r="C14" t="s">
        <v>5722</v>
      </c>
      <c r="D14">
        <v>1</v>
      </c>
      <c r="E14" t="s">
        <v>5751</v>
      </c>
      <c r="F14" t="s">
        <v>5752</v>
      </c>
      <c r="G14">
        <v>1</v>
      </c>
      <c r="H14" t="s">
        <v>5750</v>
      </c>
      <c r="I14" t="s">
        <v>90</v>
      </c>
      <c r="J14" t="s">
        <v>5753</v>
      </c>
    </row>
    <row r="15" spans="1:10" ht="15" customHeight="1" x14ac:dyDescent="0.25">
      <c r="A15" t="s">
        <v>4438</v>
      </c>
      <c r="B15" t="s">
        <v>3514</v>
      </c>
      <c r="C15" t="s">
        <v>5722</v>
      </c>
      <c r="D15">
        <v>1</v>
      </c>
      <c r="E15" t="s">
        <v>5754</v>
      </c>
      <c r="F15" t="s">
        <v>5754</v>
      </c>
      <c r="G15">
        <v>1</v>
      </c>
      <c r="H15" t="s">
        <v>4438</v>
      </c>
      <c r="I15" t="s">
        <v>1046</v>
      </c>
      <c r="J15" t="s">
        <v>5755</v>
      </c>
    </row>
    <row r="16" spans="1:10" ht="15" customHeight="1" x14ac:dyDescent="0.25">
      <c r="A16" t="s">
        <v>3521</v>
      </c>
      <c r="B16" t="s">
        <v>3502</v>
      </c>
      <c r="C16" t="s">
        <v>4597</v>
      </c>
      <c r="D16">
        <v>3</v>
      </c>
      <c r="E16" t="s">
        <v>5756</v>
      </c>
      <c r="F16" t="s">
        <v>5756</v>
      </c>
      <c r="G16">
        <v>2</v>
      </c>
      <c r="H16" t="s">
        <v>3521</v>
      </c>
      <c r="I16" t="s">
        <v>90</v>
      </c>
      <c r="J16" t="s">
        <v>5739</v>
      </c>
    </row>
    <row r="17" spans="1:10" ht="15" customHeight="1" x14ac:dyDescent="0.25">
      <c r="A17" t="s">
        <v>3443</v>
      </c>
      <c r="B17" t="s">
        <v>3546</v>
      </c>
      <c r="C17" t="s">
        <v>5722</v>
      </c>
      <c r="D17">
        <v>2</v>
      </c>
      <c r="E17" t="s">
        <v>5757</v>
      </c>
      <c r="F17" t="s">
        <v>5758</v>
      </c>
      <c r="G17">
        <v>2</v>
      </c>
      <c r="H17" t="s">
        <v>3443</v>
      </c>
      <c r="I17" t="s">
        <v>90</v>
      </c>
      <c r="J17" t="s">
        <v>5735</v>
      </c>
    </row>
    <row r="18" spans="1:10" ht="15" customHeight="1" x14ac:dyDescent="0.25">
      <c r="A18" t="s">
        <v>5759</v>
      </c>
      <c r="B18" t="s">
        <v>3514</v>
      </c>
      <c r="C18" t="s">
        <v>5360</v>
      </c>
      <c r="D18">
        <v>0</v>
      </c>
      <c r="E18" t="s">
        <v>5760</v>
      </c>
      <c r="F18" t="s">
        <v>5761</v>
      </c>
      <c r="G18">
        <v>0</v>
      </c>
      <c r="H18" t="s">
        <v>5762</v>
      </c>
      <c r="I18" t="s">
        <v>90</v>
      </c>
      <c r="J18" t="s">
        <v>5763</v>
      </c>
    </row>
    <row r="19" spans="1:10" ht="15" customHeight="1" x14ac:dyDescent="0.25">
      <c r="A19" t="s">
        <v>5764</v>
      </c>
      <c r="B19" t="s">
        <v>41</v>
      </c>
      <c r="C19" t="s">
        <v>5722</v>
      </c>
      <c r="D19">
        <v>0</v>
      </c>
      <c r="E19" t="s">
        <v>5765</v>
      </c>
      <c r="F19" t="s">
        <v>5766</v>
      </c>
      <c r="G19">
        <v>0</v>
      </c>
      <c r="H19" t="s">
        <v>5767</v>
      </c>
      <c r="I19" t="s">
        <v>90</v>
      </c>
      <c r="J19" t="s">
        <v>5768</v>
      </c>
    </row>
    <row r="20" spans="1:10" ht="15" customHeight="1" x14ac:dyDescent="0.25">
      <c r="A20" t="s">
        <v>5769</v>
      </c>
      <c r="B20" t="s">
        <v>3502</v>
      </c>
      <c r="C20" t="s">
        <v>4597</v>
      </c>
      <c r="D20">
        <v>0</v>
      </c>
      <c r="E20" t="s">
        <v>5770</v>
      </c>
      <c r="F20" t="s">
        <v>5771</v>
      </c>
      <c r="G20">
        <v>0</v>
      </c>
      <c r="H20" t="s">
        <v>5769</v>
      </c>
      <c r="I20" t="s">
        <v>90</v>
      </c>
      <c r="J20" t="s">
        <v>5772</v>
      </c>
    </row>
    <row r="21" spans="1:10" ht="15" customHeight="1" x14ac:dyDescent="0.25">
      <c r="A21" t="s">
        <v>5773</v>
      </c>
      <c r="B21" t="s">
        <v>41</v>
      </c>
      <c r="C21" t="s">
        <v>5360</v>
      </c>
      <c r="D21">
        <v>1</v>
      </c>
      <c r="E21" t="s">
        <v>5774</v>
      </c>
      <c r="F21" t="s">
        <v>5775</v>
      </c>
      <c r="G21">
        <v>1</v>
      </c>
      <c r="H21" t="s">
        <v>5776</v>
      </c>
      <c r="I21" t="s">
        <v>90</v>
      </c>
      <c r="J21" t="s">
        <v>5777</v>
      </c>
    </row>
    <row r="22" spans="1:10" ht="15" customHeight="1" x14ac:dyDescent="0.25">
      <c r="A22" t="s">
        <v>4465</v>
      </c>
      <c r="B22" t="s">
        <v>41</v>
      </c>
      <c r="C22" t="s">
        <v>5722</v>
      </c>
      <c r="D22">
        <v>1</v>
      </c>
      <c r="E22" t="s">
        <v>5778</v>
      </c>
      <c r="F22" t="s">
        <v>5778</v>
      </c>
      <c r="G22">
        <v>1</v>
      </c>
      <c r="H22" t="s">
        <v>4468</v>
      </c>
      <c r="I22" t="s">
        <v>1104</v>
      </c>
      <c r="J22" t="s">
        <v>5755</v>
      </c>
    </row>
    <row r="23" spans="1:10" ht="15" customHeight="1" x14ac:dyDescent="0.25">
      <c r="A23" t="s">
        <v>5779</v>
      </c>
      <c r="B23" t="s">
        <v>3514</v>
      </c>
      <c r="C23" t="s">
        <v>5722</v>
      </c>
      <c r="D23">
        <v>4</v>
      </c>
      <c r="E23" t="s">
        <v>5780</v>
      </c>
      <c r="F23" t="s">
        <v>5781</v>
      </c>
      <c r="G23">
        <v>3</v>
      </c>
      <c r="H23" t="s">
        <v>5782</v>
      </c>
      <c r="I23" t="s">
        <v>90</v>
      </c>
      <c r="J23" t="s">
        <v>5763</v>
      </c>
    </row>
    <row r="24" spans="1:10" ht="15" customHeight="1" x14ac:dyDescent="0.25">
      <c r="A24" t="s">
        <v>4469</v>
      </c>
      <c r="B24" t="s">
        <v>3502</v>
      </c>
      <c r="C24" t="s">
        <v>5722</v>
      </c>
      <c r="D24">
        <v>1</v>
      </c>
      <c r="E24" t="s">
        <v>5783</v>
      </c>
      <c r="F24" t="s">
        <v>5783</v>
      </c>
      <c r="G24">
        <v>1</v>
      </c>
      <c r="H24" t="s">
        <v>4472</v>
      </c>
      <c r="I24" t="s">
        <v>1621</v>
      </c>
      <c r="J24" t="s">
        <v>5755</v>
      </c>
    </row>
    <row r="25" spans="1:10" ht="15" customHeight="1" x14ac:dyDescent="0.25">
      <c r="A25" t="s">
        <v>5784</v>
      </c>
      <c r="B25" t="s">
        <v>3514</v>
      </c>
      <c r="C25" t="s">
        <v>5360</v>
      </c>
      <c r="D25">
        <v>0</v>
      </c>
      <c r="E25" t="s">
        <v>5785</v>
      </c>
      <c r="F25" t="s">
        <v>5786</v>
      </c>
      <c r="G25">
        <v>0</v>
      </c>
      <c r="H25" t="s">
        <v>5784</v>
      </c>
      <c r="I25" t="s">
        <v>90</v>
      </c>
      <c r="J25" t="s">
        <v>5772</v>
      </c>
    </row>
    <row r="26" spans="1:10" ht="15" customHeight="1" x14ac:dyDescent="0.25">
      <c r="A26" t="s">
        <v>5787</v>
      </c>
      <c r="B26" t="s">
        <v>3502</v>
      </c>
      <c r="C26" t="s">
        <v>5722</v>
      </c>
      <c r="D26">
        <v>3</v>
      </c>
      <c r="E26" t="s">
        <v>5788</v>
      </c>
      <c r="F26" t="s">
        <v>5789</v>
      </c>
      <c r="G26">
        <v>3</v>
      </c>
      <c r="H26" t="s">
        <v>5787</v>
      </c>
      <c r="I26" t="s">
        <v>90</v>
      </c>
      <c r="J26" t="s">
        <v>5735</v>
      </c>
    </row>
    <row r="27" spans="1:10" ht="15" customHeight="1" x14ac:dyDescent="0.25">
      <c r="A27" t="s">
        <v>5790</v>
      </c>
      <c r="B27" t="s">
        <v>4297</v>
      </c>
      <c r="C27" t="s">
        <v>3656</v>
      </c>
      <c r="D27">
        <v>1</v>
      </c>
      <c r="E27" t="s">
        <v>5791</v>
      </c>
      <c r="F27" t="s">
        <v>3458</v>
      </c>
      <c r="G27" t="s">
        <v>3458</v>
      </c>
      <c r="H27" t="s">
        <v>5792</v>
      </c>
      <c r="I27" t="s">
        <v>501</v>
      </c>
      <c r="J27" t="s">
        <v>5793</v>
      </c>
    </row>
    <row r="28" spans="1:10" ht="15" customHeight="1" x14ac:dyDescent="0.25">
      <c r="A28" t="s">
        <v>5160</v>
      </c>
      <c r="B28" t="s">
        <v>3514</v>
      </c>
      <c r="C28" t="s">
        <v>5360</v>
      </c>
      <c r="D28">
        <v>1</v>
      </c>
      <c r="E28" t="s">
        <v>5794</v>
      </c>
      <c r="F28" t="s">
        <v>5795</v>
      </c>
      <c r="G28">
        <v>1</v>
      </c>
      <c r="H28" t="s">
        <v>5160</v>
      </c>
      <c r="I28" t="s">
        <v>90</v>
      </c>
      <c r="J28" t="s">
        <v>5717</v>
      </c>
    </row>
    <row r="29" spans="1:10" ht="15" customHeight="1" x14ac:dyDescent="0.25">
      <c r="A29" t="s">
        <v>5796</v>
      </c>
      <c r="B29" t="s">
        <v>41</v>
      </c>
      <c r="C29" t="s">
        <v>5722</v>
      </c>
      <c r="D29">
        <v>1</v>
      </c>
      <c r="E29" t="s">
        <v>5797</v>
      </c>
      <c r="F29" t="s">
        <v>5797</v>
      </c>
      <c r="G29">
        <v>0</v>
      </c>
      <c r="H29" t="s">
        <v>5798</v>
      </c>
      <c r="I29" t="s">
        <v>90</v>
      </c>
      <c r="J29" t="s">
        <v>5735</v>
      </c>
    </row>
    <row r="30" spans="1:10" ht="15" customHeight="1" x14ac:dyDescent="0.25">
      <c r="A30" t="s">
        <v>5799</v>
      </c>
      <c r="B30" t="s">
        <v>3514</v>
      </c>
      <c r="C30" t="s">
        <v>5360</v>
      </c>
      <c r="D30">
        <v>0</v>
      </c>
      <c r="E30" t="s">
        <v>5800</v>
      </c>
      <c r="F30" t="s">
        <v>5801</v>
      </c>
      <c r="G30">
        <v>0</v>
      </c>
      <c r="H30" t="s">
        <v>5802</v>
      </c>
      <c r="I30" t="s">
        <v>90</v>
      </c>
      <c r="J30" t="s">
        <v>5803</v>
      </c>
    </row>
    <row r="31" spans="1:10" ht="15" customHeight="1" x14ac:dyDescent="0.25">
      <c r="A31" t="s">
        <v>5804</v>
      </c>
      <c r="B31" t="s">
        <v>3514</v>
      </c>
      <c r="C31" t="s">
        <v>5805</v>
      </c>
      <c r="D31">
        <v>3</v>
      </c>
      <c r="E31" t="s">
        <v>5806</v>
      </c>
      <c r="F31" t="s">
        <v>5807</v>
      </c>
      <c r="G31">
        <v>3</v>
      </c>
      <c r="H31" t="s">
        <v>5808</v>
      </c>
      <c r="I31" t="s">
        <v>1672</v>
      </c>
    </row>
    <row r="32" spans="1:10" ht="15" customHeight="1" x14ac:dyDescent="0.25">
      <c r="A32" t="s">
        <v>5809</v>
      </c>
      <c r="B32" t="s">
        <v>3514</v>
      </c>
      <c r="C32" t="s">
        <v>5360</v>
      </c>
      <c r="D32">
        <v>2</v>
      </c>
      <c r="E32" t="s">
        <v>5810</v>
      </c>
      <c r="F32" t="s">
        <v>5811</v>
      </c>
      <c r="G32">
        <v>2</v>
      </c>
      <c r="H32" t="s">
        <v>5812</v>
      </c>
      <c r="I32" t="s">
        <v>90</v>
      </c>
      <c r="J32" t="s">
        <v>5813</v>
      </c>
    </row>
    <row r="33" spans="1:10" ht="15" customHeight="1" x14ac:dyDescent="0.25">
      <c r="A33" t="s">
        <v>5814</v>
      </c>
      <c r="B33" t="s">
        <v>3502</v>
      </c>
      <c r="C33" t="s">
        <v>4597</v>
      </c>
      <c r="D33">
        <v>0</v>
      </c>
      <c r="E33" t="s">
        <v>5815</v>
      </c>
      <c r="F33" t="s">
        <v>5816</v>
      </c>
      <c r="G33">
        <v>0</v>
      </c>
      <c r="H33" t="s">
        <v>5814</v>
      </c>
      <c r="I33" t="s">
        <v>90</v>
      </c>
      <c r="J33" t="s">
        <v>5763</v>
      </c>
    </row>
    <row r="34" spans="1:10" ht="15" customHeight="1" x14ac:dyDescent="0.25">
      <c r="A34" t="s">
        <v>5166</v>
      </c>
      <c r="B34" t="s">
        <v>3502</v>
      </c>
      <c r="C34" t="s">
        <v>4597</v>
      </c>
      <c r="D34">
        <v>2</v>
      </c>
      <c r="E34" t="s">
        <v>5817</v>
      </c>
      <c r="F34" t="s">
        <v>5818</v>
      </c>
      <c r="G34">
        <v>2</v>
      </c>
      <c r="H34" t="s">
        <v>5166</v>
      </c>
      <c r="I34" t="s">
        <v>90</v>
      </c>
      <c r="J34" t="s">
        <v>5819</v>
      </c>
    </row>
    <row r="35" spans="1:10" ht="15" customHeight="1" x14ac:dyDescent="0.25">
      <c r="A35" t="s">
        <v>5820</v>
      </c>
      <c r="B35" t="s">
        <v>3502</v>
      </c>
      <c r="C35" t="s">
        <v>5360</v>
      </c>
      <c r="D35">
        <v>3</v>
      </c>
      <c r="E35" t="s">
        <v>5821</v>
      </c>
      <c r="F35" t="s">
        <v>5821</v>
      </c>
      <c r="G35">
        <v>2</v>
      </c>
      <c r="H35" t="s">
        <v>5822</v>
      </c>
      <c r="I35" t="s">
        <v>90</v>
      </c>
      <c r="J35" t="s">
        <v>5823</v>
      </c>
    </row>
    <row r="36" spans="1:10" ht="15" customHeight="1" x14ac:dyDescent="0.25">
      <c r="A36" t="s">
        <v>4002</v>
      </c>
      <c r="B36" t="s">
        <v>4297</v>
      </c>
      <c r="C36" t="s">
        <v>3656</v>
      </c>
      <c r="D36" t="s">
        <v>3997</v>
      </c>
      <c r="E36" t="s">
        <v>5824</v>
      </c>
      <c r="F36" t="s">
        <v>5825</v>
      </c>
      <c r="G36" t="s">
        <v>3997</v>
      </c>
      <c r="H36" t="s">
        <v>4002</v>
      </c>
      <c r="I36" t="s">
        <v>90</v>
      </c>
    </row>
    <row r="37" spans="1:10" ht="15" customHeight="1" x14ac:dyDescent="0.25">
      <c r="A37" t="s">
        <v>5826</v>
      </c>
      <c r="B37" t="s">
        <v>3514</v>
      </c>
      <c r="C37" t="s">
        <v>5360</v>
      </c>
      <c r="D37">
        <v>1</v>
      </c>
      <c r="E37" t="s">
        <v>5827</v>
      </c>
      <c r="F37" t="s">
        <v>5828</v>
      </c>
      <c r="G37">
        <v>1</v>
      </c>
      <c r="H37" t="s">
        <v>5829</v>
      </c>
      <c r="I37" t="s">
        <v>90</v>
      </c>
      <c r="J37" t="s">
        <v>5830</v>
      </c>
    </row>
    <row r="38" spans="1:10" ht="15" customHeight="1" x14ac:dyDescent="0.25">
      <c r="A38" t="s">
        <v>5170</v>
      </c>
      <c r="B38" t="s">
        <v>3502</v>
      </c>
      <c r="C38" t="s">
        <v>5360</v>
      </c>
      <c r="D38">
        <v>1</v>
      </c>
      <c r="E38" t="s">
        <v>5831</v>
      </c>
      <c r="F38" t="s">
        <v>5832</v>
      </c>
      <c r="G38">
        <v>1</v>
      </c>
      <c r="H38" t="s">
        <v>5170</v>
      </c>
      <c r="I38" t="s">
        <v>90</v>
      </c>
      <c r="J38" t="s">
        <v>5823</v>
      </c>
    </row>
    <row r="39" spans="1:10" ht="15" customHeight="1" x14ac:dyDescent="0.25">
      <c r="A39" t="s">
        <v>5833</v>
      </c>
      <c r="B39" t="s">
        <v>3514</v>
      </c>
      <c r="C39" t="s">
        <v>5360</v>
      </c>
      <c r="D39">
        <v>0</v>
      </c>
      <c r="E39" t="s">
        <v>5834</v>
      </c>
      <c r="F39" t="s">
        <v>5835</v>
      </c>
      <c r="G39">
        <v>0</v>
      </c>
      <c r="H39" t="s">
        <v>5836</v>
      </c>
      <c r="I39" t="s">
        <v>90</v>
      </c>
      <c r="J39" t="s">
        <v>5837</v>
      </c>
    </row>
    <row r="40" spans="1:10" ht="15" customHeight="1" x14ac:dyDescent="0.25">
      <c r="A40" t="s">
        <v>5838</v>
      </c>
      <c r="B40" t="s">
        <v>3514</v>
      </c>
      <c r="C40" t="s">
        <v>4597</v>
      </c>
      <c r="D40">
        <v>1</v>
      </c>
      <c r="E40" t="s">
        <v>5669</v>
      </c>
      <c r="F40" t="s">
        <v>5839</v>
      </c>
      <c r="G40">
        <v>1</v>
      </c>
      <c r="H40" t="s">
        <v>5838</v>
      </c>
      <c r="I40" t="s">
        <v>90</v>
      </c>
      <c r="J40" t="s">
        <v>5717</v>
      </c>
    </row>
    <row r="41" spans="1:10" ht="15" customHeight="1" x14ac:dyDescent="0.25">
      <c r="A41" t="s">
        <v>5840</v>
      </c>
      <c r="B41" t="s">
        <v>3514</v>
      </c>
      <c r="C41" t="s">
        <v>5722</v>
      </c>
      <c r="D41">
        <v>2</v>
      </c>
      <c r="E41" t="s">
        <v>5841</v>
      </c>
      <c r="F41" t="s">
        <v>5842</v>
      </c>
      <c r="G41">
        <v>2</v>
      </c>
      <c r="H41" t="s">
        <v>5840</v>
      </c>
      <c r="I41" t="s">
        <v>90</v>
      </c>
      <c r="J41" t="s">
        <v>5735</v>
      </c>
    </row>
    <row r="42" spans="1:10" ht="15" customHeight="1" x14ac:dyDescent="0.25">
      <c r="A42" t="s">
        <v>5843</v>
      </c>
      <c r="B42" t="s">
        <v>3514</v>
      </c>
      <c r="C42" t="s">
        <v>5360</v>
      </c>
      <c r="D42">
        <v>1</v>
      </c>
      <c r="E42" t="s">
        <v>5844</v>
      </c>
      <c r="F42" t="s">
        <v>5845</v>
      </c>
      <c r="G42">
        <v>1</v>
      </c>
      <c r="H42" t="s">
        <v>5843</v>
      </c>
      <c r="I42" t="s">
        <v>90</v>
      </c>
      <c r="J42" t="s">
        <v>5813</v>
      </c>
    </row>
    <row r="43" spans="1:10" ht="15" customHeight="1" x14ac:dyDescent="0.25">
      <c r="A43" t="s">
        <v>5846</v>
      </c>
      <c r="B43" t="s">
        <v>3514</v>
      </c>
      <c r="C43" t="s">
        <v>5722</v>
      </c>
      <c r="D43">
        <v>2</v>
      </c>
      <c r="E43" t="s">
        <v>5847</v>
      </c>
      <c r="F43" t="s">
        <v>5848</v>
      </c>
      <c r="G43">
        <v>2</v>
      </c>
      <c r="H43" t="s">
        <v>5846</v>
      </c>
      <c r="I43" t="s">
        <v>90</v>
      </c>
      <c r="J43" t="s">
        <v>5849</v>
      </c>
    </row>
    <row r="44" spans="1:10" ht="15" customHeight="1" x14ac:dyDescent="0.25">
      <c r="A44" t="s">
        <v>5850</v>
      </c>
      <c r="B44" t="s">
        <v>41</v>
      </c>
      <c r="C44" t="s">
        <v>5722</v>
      </c>
      <c r="D44">
        <v>0</v>
      </c>
      <c r="E44" t="s">
        <v>5851</v>
      </c>
      <c r="F44" t="s">
        <v>5852</v>
      </c>
      <c r="G44">
        <v>0</v>
      </c>
      <c r="H44" t="s">
        <v>5850</v>
      </c>
      <c r="I44" t="s">
        <v>90</v>
      </c>
      <c r="J44" t="s">
        <v>5735</v>
      </c>
    </row>
    <row r="45" spans="1:10" ht="15" customHeight="1" x14ac:dyDescent="0.25">
      <c r="A45" t="s">
        <v>5853</v>
      </c>
      <c r="B45" t="s">
        <v>41</v>
      </c>
      <c r="C45" t="s">
        <v>5722</v>
      </c>
      <c r="D45">
        <v>0</v>
      </c>
      <c r="E45" t="s">
        <v>5854</v>
      </c>
      <c r="F45" t="s">
        <v>5855</v>
      </c>
      <c r="G45">
        <v>0</v>
      </c>
      <c r="H45" t="s">
        <v>5853</v>
      </c>
      <c r="I45" t="s">
        <v>90</v>
      </c>
      <c r="J45" t="s">
        <v>5856</v>
      </c>
    </row>
    <row r="46" spans="1:10" ht="15" customHeight="1" x14ac:dyDescent="0.25">
      <c r="A46" t="s">
        <v>5410</v>
      </c>
      <c r="B46" t="s">
        <v>41</v>
      </c>
      <c r="C46" t="s">
        <v>5722</v>
      </c>
      <c r="D46">
        <v>1</v>
      </c>
      <c r="E46" t="s">
        <v>5857</v>
      </c>
      <c r="F46" t="s">
        <v>5858</v>
      </c>
      <c r="G46">
        <v>1</v>
      </c>
      <c r="H46" t="s">
        <v>5410</v>
      </c>
      <c r="I46" t="s">
        <v>90</v>
      </c>
      <c r="J46" t="s">
        <v>5859</v>
      </c>
    </row>
    <row r="47" spans="1:10" ht="15" customHeight="1" x14ac:dyDescent="0.25">
      <c r="A47" t="s">
        <v>5860</v>
      </c>
      <c r="B47" t="s">
        <v>41</v>
      </c>
      <c r="C47" t="s">
        <v>5360</v>
      </c>
      <c r="D47">
        <v>1</v>
      </c>
      <c r="E47" t="s">
        <v>5861</v>
      </c>
      <c r="F47" t="s">
        <v>5862</v>
      </c>
      <c r="G47">
        <v>1</v>
      </c>
      <c r="H47" t="s">
        <v>5863</v>
      </c>
      <c r="I47" t="s">
        <v>90</v>
      </c>
      <c r="J47" t="s">
        <v>5717</v>
      </c>
    </row>
    <row r="48" spans="1:10" ht="15" customHeight="1" x14ac:dyDescent="0.25">
      <c r="A48" t="s">
        <v>5864</v>
      </c>
      <c r="B48" t="s">
        <v>41</v>
      </c>
      <c r="C48" t="s">
        <v>5722</v>
      </c>
      <c r="D48">
        <v>2</v>
      </c>
      <c r="E48" t="s">
        <v>5865</v>
      </c>
      <c r="F48" t="s">
        <v>5866</v>
      </c>
      <c r="G48">
        <v>2</v>
      </c>
      <c r="H48" t="s">
        <v>5864</v>
      </c>
      <c r="I48" t="s">
        <v>90</v>
      </c>
      <c r="J48" t="s">
        <v>5867</v>
      </c>
    </row>
    <row r="49" spans="1:10" ht="15" customHeight="1" x14ac:dyDescent="0.25">
      <c r="A49" t="s">
        <v>5868</v>
      </c>
      <c r="B49" t="s">
        <v>4297</v>
      </c>
      <c r="C49" t="s">
        <v>4245</v>
      </c>
      <c r="D49" t="s">
        <v>3997</v>
      </c>
      <c r="E49" t="s">
        <v>5869</v>
      </c>
      <c r="F49" t="s">
        <v>3458</v>
      </c>
      <c r="G49" t="s">
        <v>3458</v>
      </c>
      <c r="H49" t="s">
        <v>5868</v>
      </c>
      <c r="I49" t="s">
        <v>90</v>
      </c>
      <c r="J49" t="s">
        <v>5870</v>
      </c>
    </row>
    <row r="50" spans="1:10" ht="15" customHeight="1" x14ac:dyDescent="0.25">
      <c r="A50" t="s">
        <v>5868</v>
      </c>
      <c r="B50" t="s">
        <v>41</v>
      </c>
      <c r="C50" t="s">
        <v>5441</v>
      </c>
      <c r="D50">
        <v>1</v>
      </c>
      <c r="E50" t="s">
        <v>5871</v>
      </c>
      <c r="F50" t="s">
        <v>5872</v>
      </c>
      <c r="G50">
        <v>1</v>
      </c>
      <c r="H50" t="s">
        <v>5868</v>
      </c>
      <c r="I50" t="s">
        <v>5873</v>
      </c>
      <c r="J50" t="s">
        <v>5874</v>
      </c>
    </row>
    <row r="51" spans="1:10" ht="15" customHeight="1" x14ac:dyDescent="0.25">
      <c r="A51" t="s">
        <v>5875</v>
      </c>
      <c r="B51" t="s">
        <v>3514</v>
      </c>
      <c r="C51" t="s">
        <v>4597</v>
      </c>
      <c r="D51">
        <v>1</v>
      </c>
      <c r="E51" t="s">
        <v>5876</v>
      </c>
      <c r="F51" t="s">
        <v>5877</v>
      </c>
      <c r="G51">
        <v>1</v>
      </c>
      <c r="H51" t="s">
        <v>5875</v>
      </c>
      <c r="I51" t="s">
        <v>90</v>
      </c>
      <c r="J51" t="s">
        <v>5735</v>
      </c>
    </row>
    <row r="52" spans="1:10" ht="15" customHeight="1" x14ac:dyDescent="0.25">
      <c r="A52" t="s">
        <v>5878</v>
      </c>
      <c r="B52" t="s">
        <v>3514</v>
      </c>
      <c r="C52" t="s">
        <v>5360</v>
      </c>
      <c r="D52">
        <v>0</v>
      </c>
      <c r="E52" t="s">
        <v>5879</v>
      </c>
      <c r="F52" t="s">
        <v>5880</v>
      </c>
      <c r="G52">
        <v>0</v>
      </c>
      <c r="H52" t="s">
        <v>5878</v>
      </c>
      <c r="I52" t="s">
        <v>90</v>
      </c>
      <c r="J52" t="s">
        <v>5881</v>
      </c>
    </row>
    <row r="53" spans="1:10" ht="15" customHeight="1" x14ac:dyDescent="0.25">
      <c r="A53" t="s">
        <v>5179</v>
      </c>
      <c r="B53" t="s">
        <v>3502</v>
      </c>
      <c r="C53" t="s">
        <v>5360</v>
      </c>
      <c r="D53">
        <v>2</v>
      </c>
      <c r="E53" t="s">
        <v>5882</v>
      </c>
      <c r="F53" t="s">
        <v>5883</v>
      </c>
      <c r="G53">
        <v>2</v>
      </c>
      <c r="H53" t="s">
        <v>5181</v>
      </c>
      <c r="I53" t="s">
        <v>90</v>
      </c>
      <c r="J53" t="s">
        <v>5884</v>
      </c>
    </row>
    <row r="54" spans="1:10" ht="15" customHeight="1" x14ac:dyDescent="0.25">
      <c r="A54" t="s">
        <v>5885</v>
      </c>
      <c r="B54" t="s">
        <v>3502</v>
      </c>
      <c r="C54" t="s">
        <v>4597</v>
      </c>
      <c r="D54">
        <v>3</v>
      </c>
      <c r="E54" t="s">
        <v>5886</v>
      </c>
      <c r="F54" t="s">
        <v>5886</v>
      </c>
      <c r="G54">
        <v>2</v>
      </c>
      <c r="H54" t="s">
        <v>5885</v>
      </c>
      <c r="I54" t="s">
        <v>90</v>
      </c>
      <c r="J54" t="s">
        <v>5772</v>
      </c>
    </row>
    <row r="55" spans="1:10" ht="15" customHeight="1" x14ac:dyDescent="0.25">
      <c r="A55" t="s">
        <v>5887</v>
      </c>
      <c r="B55" t="s">
        <v>3514</v>
      </c>
      <c r="C55" t="s">
        <v>5360</v>
      </c>
      <c r="D55">
        <v>2</v>
      </c>
      <c r="E55" t="s">
        <v>5888</v>
      </c>
      <c r="F55" t="s">
        <v>5889</v>
      </c>
      <c r="G55">
        <v>2</v>
      </c>
      <c r="H55" t="s">
        <v>5890</v>
      </c>
      <c r="I55" t="s">
        <v>90</v>
      </c>
      <c r="J55" t="s">
        <v>5884</v>
      </c>
    </row>
    <row r="56" spans="1:10" ht="15" customHeight="1" x14ac:dyDescent="0.25">
      <c r="A56" t="s">
        <v>5891</v>
      </c>
      <c r="B56" t="s">
        <v>3502</v>
      </c>
      <c r="C56" t="s">
        <v>5441</v>
      </c>
      <c r="D56">
        <v>1</v>
      </c>
      <c r="E56" t="s">
        <v>5871</v>
      </c>
      <c r="F56" t="s">
        <v>5872</v>
      </c>
      <c r="G56">
        <v>1</v>
      </c>
      <c r="H56" t="s">
        <v>5891</v>
      </c>
      <c r="I56" t="s">
        <v>5873</v>
      </c>
      <c r="J56" t="s">
        <v>5874</v>
      </c>
    </row>
    <row r="57" spans="1:10" ht="15" customHeight="1" x14ac:dyDescent="0.25">
      <c r="A57" t="s">
        <v>5892</v>
      </c>
      <c r="B57" t="s">
        <v>41</v>
      </c>
      <c r="C57" t="s">
        <v>5722</v>
      </c>
      <c r="D57">
        <v>1</v>
      </c>
      <c r="E57" t="s">
        <v>5893</v>
      </c>
      <c r="F57" t="s">
        <v>5894</v>
      </c>
      <c r="G57">
        <v>1</v>
      </c>
      <c r="H57" t="s">
        <v>5895</v>
      </c>
      <c r="I57" t="s">
        <v>90</v>
      </c>
      <c r="J57" t="s">
        <v>5896</v>
      </c>
    </row>
    <row r="58" spans="1:10" ht="15" customHeight="1" x14ac:dyDescent="0.25">
      <c r="A58" t="s">
        <v>5897</v>
      </c>
      <c r="B58" t="s">
        <v>41</v>
      </c>
      <c r="C58" t="s">
        <v>5722</v>
      </c>
      <c r="D58">
        <v>1</v>
      </c>
      <c r="E58" t="s">
        <v>5898</v>
      </c>
      <c r="F58" t="s">
        <v>5899</v>
      </c>
      <c r="G58">
        <v>1</v>
      </c>
      <c r="H58" t="s">
        <v>5900</v>
      </c>
      <c r="I58" t="s">
        <v>90</v>
      </c>
      <c r="J58" t="s">
        <v>5901</v>
      </c>
    </row>
    <row r="59" spans="1:10" ht="15" customHeight="1" x14ac:dyDescent="0.25">
      <c r="A59" t="s">
        <v>5902</v>
      </c>
      <c r="B59" t="s">
        <v>3514</v>
      </c>
      <c r="C59" t="s">
        <v>4597</v>
      </c>
      <c r="D59">
        <v>2</v>
      </c>
      <c r="E59" t="s">
        <v>5903</v>
      </c>
      <c r="F59" t="s">
        <v>5903</v>
      </c>
      <c r="G59">
        <v>1</v>
      </c>
      <c r="H59" t="s">
        <v>5904</v>
      </c>
      <c r="I59" t="s">
        <v>90</v>
      </c>
      <c r="J59" t="s">
        <v>5830</v>
      </c>
    </row>
    <row r="60" spans="1:10" ht="15" customHeight="1" x14ac:dyDescent="0.25">
      <c r="A60" t="s">
        <v>3444</v>
      </c>
      <c r="B60" t="s">
        <v>3514</v>
      </c>
      <c r="C60" t="s">
        <v>5722</v>
      </c>
      <c r="D60">
        <v>2</v>
      </c>
      <c r="E60" t="s">
        <v>5905</v>
      </c>
      <c r="F60" t="s">
        <v>5906</v>
      </c>
      <c r="G60">
        <v>2</v>
      </c>
      <c r="H60" t="s">
        <v>3444</v>
      </c>
      <c r="I60" t="s">
        <v>90</v>
      </c>
      <c r="J60" t="s">
        <v>5907</v>
      </c>
    </row>
    <row r="61" spans="1:10" ht="15" customHeight="1" x14ac:dyDescent="0.25">
      <c r="A61" t="s">
        <v>5908</v>
      </c>
      <c r="B61" t="s">
        <v>4297</v>
      </c>
      <c r="C61" t="s">
        <v>3656</v>
      </c>
      <c r="D61" t="s">
        <v>3997</v>
      </c>
      <c r="E61" t="s">
        <v>5909</v>
      </c>
      <c r="F61" t="s">
        <v>3458</v>
      </c>
      <c r="G61" t="s">
        <v>3997</v>
      </c>
      <c r="H61" t="s">
        <v>5908</v>
      </c>
      <c r="I61" t="s">
        <v>90</v>
      </c>
    </row>
    <row r="62" spans="1:10" ht="15" customHeight="1" x14ac:dyDescent="0.25">
      <c r="A62" t="s">
        <v>5910</v>
      </c>
      <c r="B62" t="s">
        <v>41</v>
      </c>
      <c r="C62" t="s">
        <v>5360</v>
      </c>
      <c r="D62">
        <v>1</v>
      </c>
      <c r="E62" t="s">
        <v>5911</v>
      </c>
      <c r="F62" t="s">
        <v>5912</v>
      </c>
      <c r="G62">
        <v>1</v>
      </c>
      <c r="H62" t="s">
        <v>5913</v>
      </c>
      <c r="I62" t="s">
        <v>90</v>
      </c>
      <c r="J62" t="s">
        <v>5813</v>
      </c>
    </row>
    <row r="63" spans="1:10" ht="15" customHeight="1" x14ac:dyDescent="0.25">
      <c r="A63" t="s">
        <v>4259</v>
      </c>
      <c r="B63" t="s">
        <v>4297</v>
      </c>
      <c r="C63" t="s">
        <v>4245</v>
      </c>
      <c r="D63" t="s">
        <v>3997</v>
      </c>
      <c r="E63" t="s">
        <v>5914</v>
      </c>
      <c r="F63" t="s">
        <v>3458</v>
      </c>
      <c r="G63" t="s">
        <v>3458</v>
      </c>
      <c r="H63" t="s">
        <v>4259</v>
      </c>
      <c r="I63" t="s">
        <v>90</v>
      </c>
      <c r="J63" t="s">
        <v>5870</v>
      </c>
    </row>
    <row r="64" spans="1:10" ht="15" customHeight="1" x14ac:dyDescent="0.25">
      <c r="A64" t="s">
        <v>5915</v>
      </c>
      <c r="B64" t="s">
        <v>3546</v>
      </c>
      <c r="C64" t="s">
        <v>5360</v>
      </c>
      <c r="D64">
        <v>1</v>
      </c>
      <c r="E64" t="s">
        <v>5916</v>
      </c>
      <c r="F64" t="s">
        <v>5917</v>
      </c>
      <c r="G64">
        <v>1</v>
      </c>
      <c r="H64" t="s">
        <v>3458</v>
      </c>
      <c r="I64" t="s">
        <v>3458</v>
      </c>
    </row>
    <row r="65" spans="1:10" ht="15" customHeight="1" x14ac:dyDescent="0.25">
      <c r="A65" t="s">
        <v>5918</v>
      </c>
      <c r="B65" t="s">
        <v>41</v>
      </c>
      <c r="C65" t="s">
        <v>5441</v>
      </c>
      <c r="D65">
        <v>1</v>
      </c>
      <c r="E65" t="s">
        <v>5871</v>
      </c>
      <c r="F65" t="s">
        <v>5872</v>
      </c>
      <c r="G65">
        <v>1</v>
      </c>
      <c r="H65" t="s">
        <v>5918</v>
      </c>
      <c r="I65" t="s">
        <v>5873</v>
      </c>
      <c r="J65" t="s">
        <v>5919</v>
      </c>
    </row>
    <row r="66" spans="1:10" ht="15" customHeight="1" x14ac:dyDescent="0.25">
      <c r="A66" t="s">
        <v>5920</v>
      </c>
      <c r="B66" t="s">
        <v>41</v>
      </c>
      <c r="C66" t="s">
        <v>5360</v>
      </c>
      <c r="D66">
        <v>0</v>
      </c>
      <c r="E66" t="s">
        <v>5921</v>
      </c>
      <c r="F66" t="s">
        <v>5922</v>
      </c>
      <c r="G66">
        <v>0</v>
      </c>
      <c r="H66" t="s">
        <v>5920</v>
      </c>
      <c r="I66" t="s">
        <v>90</v>
      </c>
      <c r="J66" t="s">
        <v>5717</v>
      </c>
    </row>
    <row r="67" spans="1:10" ht="15" customHeight="1" x14ac:dyDescent="0.25">
      <c r="A67" t="s">
        <v>5923</v>
      </c>
      <c r="B67" t="s">
        <v>3502</v>
      </c>
      <c r="C67" t="s">
        <v>4597</v>
      </c>
      <c r="D67">
        <v>3</v>
      </c>
      <c r="E67" t="s">
        <v>5924</v>
      </c>
      <c r="F67" t="s">
        <v>5925</v>
      </c>
      <c r="G67">
        <v>3</v>
      </c>
      <c r="H67" t="s">
        <v>5926</v>
      </c>
      <c r="I67" t="s">
        <v>90</v>
      </c>
      <c r="J67" t="s">
        <v>5927</v>
      </c>
    </row>
    <row r="68" spans="1:10" ht="15" customHeight="1" x14ac:dyDescent="0.25">
      <c r="A68" t="s">
        <v>4582</v>
      </c>
      <c r="B68" t="s">
        <v>3514</v>
      </c>
      <c r="C68" t="s">
        <v>5722</v>
      </c>
      <c r="D68">
        <v>0</v>
      </c>
      <c r="E68" t="s">
        <v>5928</v>
      </c>
      <c r="F68" t="s">
        <v>5928</v>
      </c>
      <c r="G68">
        <v>1</v>
      </c>
      <c r="H68" t="s">
        <v>4582</v>
      </c>
      <c r="I68" t="s">
        <v>1621</v>
      </c>
      <c r="J68" t="s">
        <v>5755</v>
      </c>
    </row>
    <row r="69" spans="1:10" ht="15" customHeight="1" x14ac:dyDescent="0.25">
      <c r="A69" t="s">
        <v>5929</v>
      </c>
      <c r="B69" t="s">
        <v>3502</v>
      </c>
      <c r="C69" t="s">
        <v>5722</v>
      </c>
      <c r="D69">
        <v>1</v>
      </c>
      <c r="E69" t="s">
        <v>5930</v>
      </c>
      <c r="F69" t="s">
        <v>5931</v>
      </c>
      <c r="G69">
        <v>1</v>
      </c>
      <c r="H69" t="s">
        <v>5932</v>
      </c>
      <c r="I69" t="s">
        <v>90</v>
      </c>
      <c r="J69" t="s">
        <v>5933</v>
      </c>
    </row>
    <row r="70" spans="1:10" ht="15" customHeight="1" x14ac:dyDescent="0.25">
      <c r="A70" t="s">
        <v>5934</v>
      </c>
      <c r="B70" t="s">
        <v>3514</v>
      </c>
      <c r="C70" t="s">
        <v>5360</v>
      </c>
      <c r="D70">
        <v>1</v>
      </c>
      <c r="E70" t="s">
        <v>5935</v>
      </c>
      <c r="F70" t="s">
        <v>5936</v>
      </c>
      <c r="G70">
        <v>1</v>
      </c>
      <c r="H70" t="s">
        <v>5934</v>
      </c>
      <c r="I70" t="s">
        <v>90</v>
      </c>
      <c r="J70" t="s">
        <v>5937</v>
      </c>
    </row>
    <row r="71" spans="1:10" ht="15" customHeight="1" x14ac:dyDescent="0.25">
      <c r="A71" t="s">
        <v>5938</v>
      </c>
      <c r="B71" t="s">
        <v>3514</v>
      </c>
      <c r="C71" t="s">
        <v>5360</v>
      </c>
      <c r="D71">
        <v>1</v>
      </c>
      <c r="E71" t="s">
        <v>5939</v>
      </c>
      <c r="F71" t="s">
        <v>5939</v>
      </c>
      <c r="G71">
        <v>0</v>
      </c>
      <c r="H71" t="s">
        <v>5938</v>
      </c>
      <c r="I71" t="s">
        <v>90</v>
      </c>
      <c r="J71" t="s">
        <v>5940</v>
      </c>
    </row>
    <row r="72" spans="1:10" ht="15" customHeight="1" x14ac:dyDescent="0.25">
      <c r="A72" t="s">
        <v>5941</v>
      </c>
      <c r="B72" t="s">
        <v>41</v>
      </c>
      <c r="C72" t="s">
        <v>5360</v>
      </c>
      <c r="D72">
        <v>1</v>
      </c>
      <c r="E72" t="s">
        <v>5942</v>
      </c>
      <c r="F72" t="s">
        <v>5943</v>
      </c>
      <c r="G72">
        <v>1</v>
      </c>
      <c r="H72" t="s">
        <v>5944</v>
      </c>
      <c r="I72" t="s">
        <v>90</v>
      </c>
      <c r="J72" t="s">
        <v>5717</v>
      </c>
    </row>
    <row r="73" spans="1:10" ht="15" customHeight="1" x14ac:dyDescent="0.25">
      <c r="A73" t="s">
        <v>5945</v>
      </c>
      <c r="B73" t="s">
        <v>3502</v>
      </c>
      <c r="C73" t="s">
        <v>5360</v>
      </c>
      <c r="D73" t="s">
        <v>5946</v>
      </c>
      <c r="E73" t="s">
        <v>5947</v>
      </c>
      <c r="F73" t="s">
        <v>5948</v>
      </c>
      <c r="G73" t="s">
        <v>5946</v>
      </c>
      <c r="H73" t="s">
        <v>5945</v>
      </c>
      <c r="I73" t="s">
        <v>90</v>
      </c>
      <c r="J73" t="s">
        <v>5949</v>
      </c>
    </row>
    <row r="74" spans="1:10" ht="15" customHeight="1" x14ac:dyDescent="0.25">
      <c r="A74" t="s">
        <v>5364</v>
      </c>
      <c r="B74" t="s">
        <v>3502</v>
      </c>
      <c r="C74" t="s">
        <v>5360</v>
      </c>
      <c r="D74">
        <v>1</v>
      </c>
      <c r="E74" t="s">
        <v>5950</v>
      </c>
      <c r="F74" t="s">
        <v>5951</v>
      </c>
      <c r="G74">
        <v>1</v>
      </c>
      <c r="H74" t="s">
        <v>5366</v>
      </c>
      <c r="I74" t="s">
        <v>90</v>
      </c>
      <c r="J74" t="s">
        <v>5952</v>
      </c>
    </row>
    <row r="75" spans="1:10" ht="15" customHeight="1" x14ac:dyDescent="0.25">
      <c r="A75" t="s">
        <v>5953</v>
      </c>
      <c r="B75" t="s">
        <v>4297</v>
      </c>
      <c r="C75" t="s">
        <v>4245</v>
      </c>
      <c r="D75" t="s">
        <v>3997</v>
      </c>
      <c r="E75" t="s">
        <v>5954</v>
      </c>
      <c r="F75" t="s">
        <v>3458</v>
      </c>
      <c r="G75" t="s">
        <v>3458</v>
      </c>
      <c r="H75" t="s">
        <v>5953</v>
      </c>
      <c r="I75" t="s">
        <v>90</v>
      </c>
      <c r="J75" t="s">
        <v>5870</v>
      </c>
    </row>
    <row r="76" spans="1:10" ht="15" customHeight="1" x14ac:dyDescent="0.25">
      <c r="A76" t="s">
        <v>5955</v>
      </c>
      <c r="B76" t="s">
        <v>3514</v>
      </c>
      <c r="C76" t="s">
        <v>5722</v>
      </c>
      <c r="D76">
        <v>1</v>
      </c>
      <c r="E76" t="s">
        <v>5956</v>
      </c>
      <c r="F76" t="s">
        <v>5957</v>
      </c>
      <c r="G76">
        <v>1</v>
      </c>
      <c r="H76" t="s">
        <v>5955</v>
      </c>
      <c r="I76" t="s">
        <v>90</v>
      </c>
      <c r="J76" t="s">
        <v>5958</v>
      </c>
    </row>
    <row r="77" spans="1:10" ht="15" customHeight="1" x14ac:dyDescent="0.25">
      <c r="A77" t="s">
        <v>5959</v>
      </c>
      <c r="B77" t="s">
        <v>3514</v>
      </c>
      <c r="C77" t="s">
        <v>5441</v>
      </c>
      <c r="D77">
        <v>1</v>
      </c>
      <c r="E77" t="s">
        <v>5960</v>
      </c>
      <c r="F77" t="s">
        <v>5961</v>
      </c>
      <c r="G77">
        <v>1</v>
      </c>
      <c r="H77" t="s">
        <v>5959</v>
      </c>
      <c r="I77" t="s">
        <v>5873</v>
      </c>
      <c r="J77" t="s">
        <v>5962</v>
      </c>
    </row>
    <row r="78" spans="1:10" ht="15" customHeight="1" x14ac:dyDescent="0.25">
      <c r="A78" t="s">
        <v>5963</v>
      </c>
      <c r="B78" t="s">
        <v>3514</v>
      </c>
      <c r="C78" t="s">
        <v>5360</v>
      </c>
      <c r="D78">
        <v>1</v>
      </c>
      <c r="E78" t="s">
        <v>5964</v>
      </c>
      <c r="F78" t="s">
        <v>5965</v>
      </c>
      <c r="G78">
        <v>1</v>
      </c>
      <c r="H78" t="s">
        <v>5966</v>
      </c>
      <c r="I78" t="s">
        <v>90</v>
      </c>
      <c r="J78" t="s">
        <v>5763</v>
      </c>
    </row>
    <row r="79" spans="1:10" ht="15" customHeight="1" x14ac:dyDescent="0.25">
      <c r="A79" t="s">
        <v>5967</v>
      </c>
      <c r="B79" t="s">
        <v>3514</v>
      </c>
      <c r="C79" t="s">
        <v>5722</v>
      </c>
      <c r="D79">
        <v>0</v>
      </c>
      <c r="E79" t="s">
        <v>5968</v>
      </c>
      <c r="F79" t="s">
        <v>5969</v>
      </c>
      <c r="G79">
        <v>0</v>
      </c>
      <c r="H79" t="s">
        <v>5970</v>
      </c>
      <c r="I79" t="s">
        <v>90</v>
      </c>
      <c r="J79" t="s">
        <v>5777</v>
      </c>
    </row>
    <row r="80" spans="1:10" ht="15" customHeight="1" x14ac:dyDescent="0.25">
      <c r="A80" t="s">
        <v>5971</v>
      </c>
      <c r="B80" t="s">
        <v>3514</v>
      </c>
      <c r="C80" t="s">
        <v>5360</v>
      </c>
      <c r="D80">
        <v>2</v>
      </c>
      <c r="E80" t="s">
        <v>5972</v>
      </c>
      <c r="F80" t="s">
        <v>5972</v>
      </c>
      <c r="G80">
        <v>1</v>
      </c>
      <c r="H80" t="s">
        <v>5971</v>
      </c>
      <c r="I80" t="s">
        <v>90</v>
      </c>
      <c r="J80" t="s">
        <v>5739</v>
      </c>
    </row>
    <row r="81" spans="1:10" ht="15" customHeight="1" x14ac:dyDescent="0.25">
      <c r="A81" t="s">
        <v>5196</v>
      </c>
      <c r="B81" t="s">
        <v>3502</v>
      </c>
      <c r="C81" t="s">
        <v>4597</v>
      </c>
      <c r="D81">
        <v>2</v>
      </c>
      <c r="E81" t="s">
        <v>5973</v>
      </c>
      <c r="F81" t="s">
        <v>5973</v>
      </c>
      <c r="G81">
        <v>1</v>
      </c>
      <c r="H81" t="s">
        <v>5196</v>
      </c>
      <c r="I81" t="s">
        <v>90</v>
      </c>
      <c r="J81" t="s">
        <v>5849</v>
      </c>
    </row>
    <row r="82" spans="1:10" ht="15" customHeight="1" x14ac:dyDescent="0.25">
      <c r="A82" t="s">
        <v>5974</v>
      </c>
      <c r="B82" t="s">
        <v>3514</v>
      </c>
      <c r="C82" t="s">
        <v>5360</v>
      </c>
      <c r="D82">
        <v>0</v>
      </c>
      <c r="E82" t="s">
        <v>5975</v>
      </c>
      <c r="F82" t="s">
        <v>5976</v>
      </c>
      <c r="G82">
        <v>0</v>
      </c>
      <c r="H82" t="s">
        <v>5977</v>
      </c>
      <c r="I82" t="s">
        <v>90</v>
      </c>
      <c r="J82" t="s">
        <v>5978</v>
      </c>
    </row>
    <row r="83" spans="1:10" ht="15" customHeight="1" x14ac:dyDescent="0.25">
      <c r="A83" t="s">
        <v>5979</v>
      </c>
      <c r="B83" t="s">
        <v>3514</v>
      </c>
      <c r="C83" t="s">
        <v>5722</v>
      </c>
      <c r="D83">
        <v>3</v>
      </c>
      <c r="E83" t="s">
        <v>5980</v>
      </c>
      <c r="F83" t="s">
        <v>5981</v>
      </c>
      <c r="G83">
        <v>3</v>
      </c>
      <c r="H83" t="s">
        <v>5979</v>
      </c>
      <c r="I83" t="s">
        <v>90</v>
      </c>
      <c r="J83" t="s">
        <v>5982</v>
      </c>
    </row>
    <row r="84" spans="1:10" ht="15" customHeight="1" x14ac:dyDescent="0.25">
      <c r="A84" t="s">
        <v>5198</v>
      </c>
      <c r="B84" t="s">
        <v>3514</v>
      </c>
      <c r="C84" t="s">
        <v>4597</v>
      </c>
      <c r="D84">
        <v>1</v>
      </c>
      <c r="E84" t="s">
        <v>5983</v>
      </c>
      <c r="F84" t="s">
        <v>5984</v>
      </c>
      <c r="G84">
        <v>1</v>
      </c>
      <c r="H84" t="s">
        <v>5198</v>
      </c>
      <c r="I84" t="s">
        <v>90</v>
      </c>
      <c r="J84" t="s">
        <v>5985</v>
      </c>
    </row>
    <row r="85" spans="1:10" ht="15" customHeight="1" x14ac:dyDescent="0.25">
      <c r="A85" t="s">
        <v>5986</v>
      </c>
      <c r="B85" t="s">
        <v>3502</v>
      </c>
      <c r="C85" t="s">
        <v>5360</v>
      </c>
      <c r="D85">
        <v>1</v>
      </c>
      <c r="E85" t="s">
        <v>5987</v>
      </c>
      <c r="F85" t="s">
        <v>5987</v>
      </c>
      <c r="G85">
        <v>0</v>
      </c>
      <c r="H85" t="s">
        <v>5986</v>
      </c>
      <c r="I85" t="s">
        <v>90</v>
      </c>
      <c r="J85" t="s">
        <v>5988</v>
      </c>
    </row>
    <row r="86" spans="1:10" ht="15" customHeight="1" x14ac:dyDescent="0.25">
      <c r="A86" t="s">
        <v>5989</v>
      </c>
      <c r="B86" t="s">
        <v>3514</v>
      </c>
      <c r="C86" t="s">
        <v>5360</v>
      </c>
      <c r="D86">
        <v>1</v>
      </c>
      <c r="E86" t="s">
        <v>5990</v>
      </c>
      <c r="F86" t="s">
        <v>5991</v>
      </c>
      <c r="G86">
        <v>1</v>
      </c>
      <c r="H86" t="s">
        <v>5989</v>
      </c>
      <c r="I86" t="s">
        <v>90</v>
      </c>
      <c r="J86" t="s">
        <v>5992</v>
      </c>
    </row>
    <row r="87" spans="1:10" ht="15" customHeight="1" x14ac:dyDescent="0.25">
      <c r="A87" t="s">
        <v>5993</v>
      </c>
      <c r="B87" t="s">
        <v>3502</v>
      </c>
      <c r="C87" t="s">
        <v>5722</v>
      </c>
      <c r="D87">
        <v>1</v>
      </c>
      <c r="E87" t="s">
        <v>5994</v>
      </c>
      <c r="F87" t="s">
        <v>5995</v>
      </c>
      <c r="G87">
        <v>1</v>
      </c>
      <c r="H87" t="s">
        <v>5993</v>
      </c>
      <c r="I87" t="s">
        <v>90</v>
      </c>
      <c r="J87" t="s">
        <v>5996</v>
      </c>
    </row>
    <row r="88" spans="1:10" ht="15" customHeight="1" x14ac:dyDescent="0.25">
      <c r="A88" t="s">
        <v>5206</v>
      </c>
      <c r="B88" t="s">
        <v>3514</v>
      </c>
      <c r="C88" t="s">
        <v>4597</v>
      </c>
      <c r="D88">
        <v>1</v>
      </c>
      <c r="E88" t="s">
        <v>5997</v>
      </c>
      <c r="F88" t="s">
        <v>5998</v>
      </c>
      <c r="G88">
        <v>1</v>
      </c>
      <c r="H88" t="s">
        <v>5208</v>
      </c>
      <c r="I88" t="s">
        <v>90</v>
      </c>
      <c r="J88" t="s">
        <v>5999</v>
      </c>
    </row>
    <row r="89" spans="1:10" ht="15" customHeight="1" x14ac:dyDescent="0.25">
      <c r="A89" t="s">
        <v>6000</v>
      </c>
      <c r="B89" t="s">
        <v>3502</v>
      </c>
      <c r="C89" t="s">
        <v>5722</v>
      </c>
      <c r="D89">
        <v>2</v>
      </c>
      <c r="E89" t="s">
        <v>6001</v>
      </c>
      <c r="F89" t="s">
        <v>6002</v>
      </c>
      <c r="G89">
        <v>2</v>
      </c>
      <c r="H89" t="s">
        <v>6003</v>
      </c>
      <c r="I89" t="s">
        <v>90</v>
      </c>
      <c r="J89" t="s">
        <v>6004</v>
      </c>
    </row>
    <row r="90" spans="1:10" ht="15" customHeight="1" x14ac:dyDescent="0.25">
      <c r="A90" t="s">
        <v>6005</v>
      </c>
      <c r="B90" t="s">
        <v>41</v>
      </c>
      <c r="C90" t="s">
        <v>5441</v>
      </c>
      <c r="D90">
        <v>1</v>
      </c>
      <c r="E90" t="s">
        <v>5871</v>
      </c>
      <c r="F90" t="s">
        <v>5872</v>
      </c>
      <c r="G90">
        <v>1</v>
      </c>
      <c r="H90" t="s">
        <v>6005</v>
      </c>
      <c r="I90" t="s">
        <v>2361</v>
      </c>
      <c r="J90" t="s">
        <v>6006</v>
      </c>
    </row>
    <row r="91" spans="1:10" ht="15" customHeight="1" x14ac:dyDescent="0.25">
      <c r="A91" t="s">
        <v>6007</v>
      </c>
      <c r="B91" t="s">
        <v>3514</v>
      </c>
      <c r="C91" t="s">
        <v>5722</v>
      </c>
      <c r="D91">
        <v>1</v>
      </c>
      <c r="E91" t="s">
        <v>6008</v>
      </c>
      <c r="F91" t="s">
        <v>6009</v>
      </c>
      <c r="G91">
        <v>1</v>
      </c>
      <c r="H91" t="s">
        <v>6007</v>
      </c>
      <c r="I91" t="s">
        <v>90</v>
      </c>
      <c r="J91" t="s">
        <v>5777</v>
      </c>
    </row>
    <row r="92" spans="1:10" ht="15" customHeight="1" x14ac:dyDescent="0.25">
      <c r="A92" t="s">
        <v>5209</v>
      </c>
      <c r="B92" t="s">
        <v>3514</v>
      </c>
      <c r="C92" t="s">
        <v>4597</v>
      </c>
      <c r="D92">
        <v>1</v>
      </c>
      <c r="E92" t="s">
        <v>6010</v>
      </c>
      <c r="F92" t="s">
        <v>6011</v>
      </c>
      <c r="G92">
        <v>1</v>
      </c>
      <c r="H92" t="s">
        <v>5211</v>
      </c>
      <c r="I92" t="s">
        <v>90</v>
      </c>
      <c r="J92" t="s">
        <v>6012</v>
      </c>
    </row>
    <row r="93" spans="1:10" ht="15" customHeight="1" x14ac:dyDescent="0.25">
      <c r="A93" t="s">
        <v>5212</v>
      </c>
      <c r="B93" t="s">
        <v>3514</v>
      </c>
      <c r="C93" t="s">
        <v>5360</v>
      </c>
      <c r="D93">
        <v>2</v>
      </c>
      <c r="E93" t="s">
        <v>6013</v>
      </c>
      <c r="F93" t="s">
        <v>6014</v>
      </c>
      <c r="G93">
        <v>2</v>
      </c>
      <c r="H93" t="s">
        <v>5214</v>
      </c>
      <c r="I93" t="s">
        <v>90</v>
      </c>
      <c r="J93" t="s">
        <v>5739</v>
      </c>
    </row>
    <row r="94" spans="1:10" ht="15" customHeight="1" x14ac:dyDescent="0.25">
      <c r="A94" t="s">
        <v>6015</v>
      </c>
      <c r="B94" t="s">
        <v>3514</v>
      </c>
      <c r="C94" t="s">
        <v>5722</v>
      </c>
      <c r="D94">
        <v>1</v>
      </c>
      <c r="E94" t="s">
        <v>6016</v>
      </c>
      <c r="F94" t="s">
        <v>6017</v>
      </c>
      <c r="G94">
        <v>1</v>
      </c>
      <c r="H94" t="s">
        <v>6015</v>
      </c>
      <c r="I94" t="s">
        <v>90</v>
      </c>
      <c r="J94" t="s">
        <v>5777</v>
      </c>
    </row>
    <row r="95" spans="1:10" ht="15" customHeight="1" x14ac:dyDescent="0.25">
      <c r="A95" t="s">
        <v>6018</v>
      </c>
      <c r="B95" t="s">
        <v>41</v>
      </c>
      <c r="C95" t="s">
        <v>5360</v>
      </c>
      <c r="D95">
        <v>0</v>
      </c>
      <c r="E95" t="s">
        <v>6019</v>
      </c>
      <c r="F95" t="s">
        <v>6020</v>
      </c>
      <c r="G95">
        <v>0</v>
      </c>
      <c r="H95" t="s">
        <v>6018</v>
      </c>
      <c r="I95" t="s">
        <v>90</v>
      </c>
      <c r="J95" t="s">
        <v>5735</v>
      </c>
    </row>
    <row r="96" spans="1:10" ht="15" customHeight="1" x14ac:dyDescent="0.25">
      <c r="A96" t="s">
        <v>6021</v>
      </c>
      <c r="B96" t="s">
        <v>41</v>
      </c>
      <c r="C96" t="s">
        <v>5722</v>
      </c>
      <c r="D96">
        <v>1</v>
      </c>
      <c r="E96" t="s">
        <v>6022</v>
      </c>
      <c r="F96" t="s">
        <v>6023</v>
      </c>
      <c r="G96">
        <v>1</v>
      </c>
      <c r="H96" t="s">
        <v>6024</v>
      </c>
      <c r="I96" t="s">
        <v>90</v>
      </c>
      <c r="J96" t="s">
        <v>6025</v>
      </c>
    </row>
    <row r="97" spans="1:10" ht="15" customHeight="1" x14ac:dyDescent="0.25">
      <c r="A97" t="s">
        <v>6026</v>
      </c>
      <c r="B97" t="s">
        <v>3514</v>
      </c>
      <c r="C97" t="s">
        <v>4597</v>
      </c>
      <c r="D97">
        <v>1</v>
      </c>
      <c r="E97" t="s">
        <v>5665</v>
      </c>
      <c r="F97" t="s">
        <v>6027</v>
      </c>
      <c r="G97">
        <v>1</v>
      </c>
      <c r="H97" t="s">
        <v>6026</v>
      </c>
      <c r="I97" t="s">
        <v>90</v>
      </c>
      <c r="J97" t="s">
        <v>5717</v>
      </c>
    </row>
    <row r="98" spans="1:10" ht="15" customHeight="1" x14ac:dyDescent="0.25">
      <c r="A98" t="s">
        <v>6028</v>
      </c>
      <c r="B98" t="s">
        <v>3514</v>
      </c>
      <c r="C98" t="s">
        <v>5441</v>
      </c>
      <c r="D98">
        <v>1</v>
      </c>
      <c r="E98" t="s">
        <v>5871</v>
      </c>
      <c r="F98" t="s">
        <v>5872</v>
      </c>
      <c r="G98">
        <v>1</v>
      </c>
      <c r="H98" t="s">
        <v>6028</v>
      </c>
      <c r="I98" t="s">
        <v>2361</v>
      </c>
      <c r="J98" t="s">
        <v>5874</v>
      </c>
    </row>
    <row r="99" spans="1:10" ht="15" customHeight="1" x14ac:dyDescent="0.25">
      <c r="A99" t="s">
        <v>6029</v>
      </c>
      <c r="B99" t="s">
        <v>3514</v>
      </c>
      <c r="C99" t="s">
        <v>5360</v>
      </c>
      <c r="D99">
        <v>1</v>
      </c>
      <c r="E99" t="s">
        <v>6030</v>
      </c>
      <c r="F99" t="s">
        <v>6031</v>
      </c>
      <c r="G99">
        <v>1</v>
      </c>
      <c r="H99" t="s">
        <v>6032</v>
      </c>
      <c r="I99" t="s">
        <v>90</v>
      </c>
      <c r="J99" t="s">
        <v>5739</v>
      </c>
    </row>
    <row r="100" spans="1:10" ht="15" customHeight="1" x14ac:dyDescent="0.25">
      <c r="A100" t="s">
        <v>6033</v>
      </c>
      <c r="B100" t="s">
        <v>3514</v>
      </c>
      <c r="C100" t="s">
        <v>5441</v>
      </c>
      <c r="D100">
        <v>1</v>
      </c>
      <c r="E100" t="s">
        <v>5871</v>
      </c>
      <c r="F100" t="s">
        <v>5872</v>
      </c>
      <c r="G100">
        <v>1</v>
      </c>
      <c r="H100" t="s">
        <v>6033</v>
      </c>
      <c r="I100" t="s">
        <v>2361</v>
      </c>
      <c r="J100" t="s">
        <v>6006</v>
      </c>
    </row>
    <row r="101" spans="1:10" ht="15" customHeight="1" x14ac:dyDescent="0.25">
      <c r="A101" t="s">
        <v>6034</v>
      </c>
      <c r="B101" t="s">
        <v>3502</v>
      </c>
      <c r="C101" t="s">
        <v>5722</v>
      </c>
      <c r="D101">
        <v>1</v>
      </c>
      <c r="E101" t="s">
        <v>6035</v>
      </c>
      <c r="F101" t="s">
        <v>6036</v>
      </c>
      <c r="G101">
        <v>1</v>
      </c>
      <c r="H101" t="s">
        <v>6037</v>
      </c>
      <c r="I101" t="s">
        <v>90</v>
      </c>
      <c r="J101" t="s">
        <v>5777</v>
      </c>
    </row>
    <row r="102" spans="1:10" ht="15" customHeight="1" x14ac:dyDescent="0.25">
      <c r="A102" t="s">
        <v>6038</v>
      </c>
      <c r="B102" t="s">
        <v>41</v>
      </c>
      <c r="C102" t="s">
        <v>5722</v>
      </c>
      <c r="D102">
        <v>0</v>
      </c>
      <c r="E102" t="s">
        <v>6039</v>
      </c>
      <c r="F102" t="s">
        <v>6040</v>
      </c>
      <c r="G102">
        <v>0</v>
      </c>
      <c r="H102" t="s">
        <v>6041</v>
      </c>
      <c r="I102" t="s">
        <v>90</v>
      </c>
      <c r="J102" t="s">
        <v>5768</v>
      </c>
    </row>
    <row r="103" spans="1:10" ht="15" customHeight="1" x14ac:dyDescent="0.25">
      <c r="A103" t="s">
        <v>6042</v>
      </c>
      <c r="B103" t="s">
        <v>3502</v>
      </c>
      <c r="C103" t="s">
        <v>5722</v>
      </c>
      <c r="D103">
        <v>0</v>
      </c>
      <c r="E103" t="s">
        <v>6043</v>
      </c>
      <c r="F103" t="s">
        <v>6044</v>
      </c>
      <c r="G103">
        <v>0</v>
      </c>
      <c r="H103" t="s">
        <v>6045</v>
      </c>
      <c r="I103" t="s">
        <v>90</v>
      </c>
      <c r="J103" t="s">
        <v>5777</v>
      </c>
    </row>
    <row r="104" spans="1:10" ht="15" customHeight="1" x14ac:dyDescent="0.25">
      <c r="A104" t="s">
        <v>5132</v>
      </c>
      <c r="B104" t="s">
        <v>4297</v>
      </c>
      <c r="C104" t="s">
        <v>4245</v>
      </c>
      <c r="D104" t="s">
        <v>3997</v>
      </c>
      <c r="E104" t="s">
        <v>6046</v>
      </c>
      <c r="F104" t="s">
        <v>3458</v>
      </c>
      <c r="G104" t="s">
        <v>3458</v>
      </c>
      <c r="H104" t="s">
        <v>5132</v>
      </c>
      <c r="I104" t="s">
        <v>38</v>
      </c>
      <c r="J104" t="s">
        <v>5870</v>
      </c>
    </row>
    <row r="105" spans="1:10" ht="15" customHeight="1" x14ac:dyDescent="0.25">
      <c r="A105" t="s">
        <v>6047</v>
      </c>
      <c r="B105" t="s">
        <v>41</v>
      </c>
      <c r="C105" t="s">
        <v>5360</v>
      </c>
      <c r="D105">
        <v>1</v>
      </c>
      <c r="E105" t="s">
        <v>6048</v>
      </c>
      <c r="F105" t="s">
        <v>6048</v>
      </c>
      <c r="G105">
        <v>0</v>
      </c>
      <c r="H105" t="s">
        <v>6047</v>
      </c>
      <c r="I105" t="s">
        <v>90</v>
      </c>
      <c r="J105" t="s">
        <v>6004</v>
      </c>
    </row>
    <row r="106" spans="1:10" ht="15" customHeight="1" x14ac:dyDescent="0.25">
      <c r="A106" t="s">
        <v>6049</v>
      </c>
      <c r="B106" t="s">
        <v>41</v>
      </c>
      <c r="C106" t="s">
        <v>5722</v>
      </c>
      <c r="D106">
        <v>1</v>
      </c>
      <c r="E106" t="s">
        <v>6050</v>
      </c>
      <c r="F106" t="s">
        <v>6051</v>
      </c>
      <c r="G106">
        <v>1</v>
      </c>
      <c r="H106" t="s">
        <v>6049</v>
      </c>
      <c r="I106" t="s">
        <v>90</v>
      </c>
      <c r="J106" t="s">
        <v>5735</v>
      </c>
    </row>
    <row r="107" spans="1:10" ht="15" customHeight="1" x14ac:dyDescent="0.25">
      <c r="A107" t="s">
        <v>6052</v>
      </c>
      <c r="B107" t="s">
        <v>41</v>
      </c>
      <c r="C107" t="s">
        <v>5441</v>
      </c>
      <c r="D107">
        <v>1</v>
      </c>
      <c r="E107" t="s">
        <v>6053</v>
      </c>
      <c r="F107" t="s">
        <v>6054</v>
      </c>
      <c r="G107">
        <v>1</v>
      </c>
      <c r="H107" t="s">
        <v>6052</v>
      </c>
      <c r="I107" t="s">
        <v>2361</v>
      </c>
      <c r="J107" t="s">
        <v>5962</v>
      </c>
    </row>
    <row r="108" spans="1:10" ht="15" customHeight="1" x14ac:dyDescent="0.25">
      <c r="A108" t="s">
        <v>6055</v>
      </c>
      <c r="B108" t="s">
        <v>41</v>
      </c>
      <c r="C108" t="s">
        <v>5722</v>
      </c>
      <c r="D108">
        <v>2</v>
      </c>
      <c r="E108" t="s">
        <v>6056</v>
      </c>
      <c r="F108" t="s">
        <v>6057</v>
      </c>
      <c r="G108">
        <v>2</v>
      </c>
      <c r="H108" t="s">
        <v>6058</v>
      </c>
      <c r="I108" t="s">
        <v>90</v>
      </c>
      <c r="J108" t="s">
        <v>6059</v>
      </c>
    </row>
    <row r="109" spans="1:10" ht="15" customHeight="1" x14ac:dyDescent="0.25">
      <c r="A109" t="s">
        <v>6060</v>
      </c>
      <c r="B109" t="s">
        <v>3514</v>
      </c>
      <c r="C109" t="s">
        <v>5722</v>
      </c>
      <c r="D109">
        <v>1</v>
      </c>
      <c r="E109" t="s">
        <v>6061</v>
      </c>
      <c r="F109" t="s">
        <v>6062</v>
      </c>
      <c r="G109">
        <v>1</v>
      </c>
      <c r="H109" t="s">
        <v>6063</v>
      </c>
      <c r="I109" t="s">
        <v>90</v>
      </c>
      <c r="J109" t="s">
        <v>5849</v>
      </c>
    </row>
    <row r="110" spans="1:10" ht="15" customHeight="1" x14ac:dyDescent="0.25">
      <c r="A110" t="s">
        <v>6064</v>
      </c>
      <c r="B110" t="s">
        <v>3514</v>
      </c>
      <c r="C110" t="s">
        <v>5722</v>
      </c>
      <c r="D110">
        <v>1</v>
      </c>
      <c r="E110" t="s">
        <v>6065</v>
      </c>
      <c r="F110" t="s">
        <v>6066</v>
      </c>
      <c r="G110">
        <v>1</v>
      </c>
      <c r="H110" t="s">
        <v>6064</v>
      </c>
      <c r="I110" t="s">
        <v>90</v>
      </c>
      <c r="J110" t="s">
        <v>5735</v>
      </c>
    </row>
    <row r="111" spans="1:10" ht="15" customHeight="1" x14ac:dyDescent="0.25">
      <c r="A111" t="s">
        <v>6067</v>
      </c>
      <c r="B111" t="s">
        <v>41</v>
      </c>
      <c r="C111" t="s">
        <v>5360</v>
      </c>
      <c r="D111">
        <v>1</v>
      </c>
      <c r="E111" t="s">
        <v>6068</v>
      </c>
      <c r="F111" t="s">
        <v>6069</v>
      </c>
      <c r="G111">
        <v>1</v>
      </c>
      <c r="H111" t="s">
        <v>6067</v>
      </c>
      <c r="I111" t="s">
        <v>90</v>
      </c>
      <c r="J111" t="s">
        <v>6070</v>
      </c>
    </row>
    <row r="112" spans="1:10" ht="15" customHeight="1" x14ac:dyDescent="0.25">
      <c r="A112" t="s">
        <v>6071</v>
      </c>
      <c r="B112" t="s">
        <v>3502</v>
      </c>
      <c r="C112" t="s">
        <v>5722</v>
      </c>
      <c r="D112">
        <v>2</v>
      </c>
      <c r="E112" t="s">
        <v>6072</v>
      </c>
      <c r="F112" t="s">
        <v>6073</v>
      </c>
      <c r="G112">
        <v>2</v>
      </c>
      <c r="H112" t="s">
        <v>6071</v>
      </c>
      <c r="I112" t="s">
        <v>90</v>
      </c>
      <c r="J112" t="s">
        <v>5735</v>
      </c>
    </row>
    <row r="113" spans="1:10" ht="15" customHeight="1" x14ac:dyDescent="0.25">
      <c r="A113" t="s">
        <v>6074</v>
      </c>
      <c r="B113" t="s">
        <v>3502</v>
      </c>
      <c r="C113" t="s">
        <v>5360</v>
      </c>
      <c r="D113">
        <v>2</v>
      </c>
      <c r="E113" t="s">
        <v>6075</v>
      </c>
      <c r="F113" t="s">
        <v>6076</v>
      </c>
      <c r="G113">
        <v>2</v>
      </c>
      <c r="H113" t="s">
        <v>6074</v>
      </c>
      <c r="I113" t="s">
        <v>90</v>
      </c>
      <c r="J113" t="s">
        <v>5999</v>
      </c>
    </row>
    <row r="114" spans="1:10" ht="15" customHeight="1" x14ac:dyDescent="0.25">
      <c r="A114" t="s">
        <v>6077</v>
      </c>
      <c r="B114" t="s">
        <v>3514</v>
      </c>
      <c r="C114" t="s">
        <v>5360</v>
      </c>
      <c r="D114">
        <v>1</v>
      </c>
      <c r="E114" t="s">
        <v>6078</v>
      </c>
      <c r="F114" t="s">
        <v>6078</v>
      </c>
      <c r="G114">
        <v>0</v>
      </c>
      <c r="H114" t="s">
        <v>6079</v>
      </c>
      <c r="I114" t="s">
        <v>90</v>
      </c>
      <c r="J114" t="s">
        <v>6080</v>
      </c>
    </row>
    <row r="115" spans="1:10" ht="15" customHeight="1" x14ac:dyDescent="0.25">
      <c r="A115" t="s">
        <v>6081</v>
      </c>
      <c r="B115" t="s">
        <v>3514</v>
      </c>
      <c r="C115" t="s">
        <v>4597</v>
      </c>
      <c r="D115">
        <v>1</v>
      </c>
      <c r="E115" t="s">
        <v>6082</v>
      </c>
      <c r="F115" t="s">
        <v>6083</v>
      </c>
      <c r="G115">
        <v>1</v>
      </c>
      <c r="H115" t="s">
        <v>6084</v>
      </c>
      <c r="I115" t="s">
        <v>90</v>
      </c>
      <c r="J115" t="s">
        <v>5777</v>
      </c>
    </row>
    <row r="116" spans="1:10" ht="15" customHeight="1" x14ac:dyDescent="0.25">
      <c r="A116" t="s">
        <v>6085</v>
      </c>
      <c r="B116" t="s">
        <v>3514</v>
      </c>
      <c r="C116" t="s">
        <v>4597</v>
      </c>
      <c r="D116">
        <v>1</v>
      </c>
      <c r="E116" t="s">
        <v>6086</v>
      </c>
      <c r="F116" t="s">
        <v>6087</v>
      </c>
      <c r="G116">
        <v>1</v>
      </c>
      <c r="H116" t="s">
        <v>6085</v>
      </c>
      <c r="I116" t="s">
        <v>90</v>
      </c>
      <c r="J116" t="s">
        <v>5927</v>
      </c>
    </row>
    <row r="117" spans="1:10" ht="15" customHeight="1" x14ac:dyDescent="0.25">
      <c r="A117" t="s">
        <v>4253</v>
      </c>
      <c r="B117" t="s">
        <v>4297</v>
      </c>
      <c r="C117" t="s">
        <v>4245</v>
      </c>
      <c r="D117" t="s">
        <v>3997</v>
      </c>
      <c r="E117" t="s">
        <v>6088</v>
      </c>
      <c r="F117" t="s">
        <v>3458</v>
      </c>
      <c r="G117" t="s">
        <v>3458</v>
      </c>
      <c r="H117" t="s">
        <v>4253</v>
      </c>
      <c r="I117" t="s">
        <v>90</v>
      </c>
      <c r="J117" t="s">
        <v>5870</v>
      </c>
    </row>
    <row r="118" spans="1:10" ht="15" customHeight="1" x14ac:dyDescent="0.25">
      <c r="A118" t="s">
        <v>6089</v>
      </c>
      <c r="B118" t="s">
        <v>3514</v>
      </c>
      <c r="C118" t="s">
        <v>5360</v>
      </c>
      <c r="D118">
        <v>0</v>
      </c>
      <c r="E118" t="s">
        <v>6090</v>
      </c>
      <c r="F118" t="s">
        <v>6091</v>
      </c>
      <c r="G118">
        <v>0</v>
      </c>
      <c r="H118" t="s">
        <v>6089</v>
      </c>
      <c r="I118" t="s">
        <v>90</v>
      </c>
      <c r="J118" t="s">
        <v>5937</v>
      </c>
    </row>
    <row r="119" spans="1:10" ht="15" customHeight="1" x14ac:dyDescent="0.25">
      <c r="A119" t="s">
        <v>6092</v>
      </c>
      <c r="B119" t="s">
        <v>41</v>
      </c>
      <c r="C119" t="s">
        <v>5722</v>
      </c>
      <c r="D119">
        <v>1</v>
      </c>
      <c r="E119" t="s">
        <v>6093</v>
      </c>
      <c r="F119" t="s">
        <v>6094</v>
      </c>
      <c r="G119">
        <v>1</v>
      </c>
      <c r="H119" t="s">
        <v>6095</v>
      </c>
      <c r="I119" t="s">
        <v>90</v>
      </c>
      <c r="J119" t="s">
        <v>6096</v>
      </c>
    </row>
    <row r="120" spans="1:10" ht="15" customHeight="1" x14ac:dyDescent="0.25">
      <c r="A120" t="s">
        <v>5687</v>
      </c>
      <c r="B120" t="s">
        <v>3546</v>
      </c>
      <c r="C120" t="s">
        <v>5441</v>
      </c>
      <c r="D120">
        <v>1</v>
      </c>
      <c r="E120" s="3" t="s">
        <v>6097</v>
      </c>
      <c r="F120" s="3" t="s">
        <v>6097</v>
      </c>
      <c r="G120" s="3">
        <v>0</v>
      </c>
      <c r="H120" t="s">
        <v>3458</v>
      </c>
      <c r="I120" t="s">
        <v>160</v>
      </c>
    </row>
    <row r="121" spans="1:10" ht="15" customHeight="1" x14ac:dyDescent="0.25">
      <c r="A121" t="s">
        <v>6098</v>
      </c>
      <c r="B121" t="s">
        <v>3514</v>
      </c>
      <c r="C121" t="s">
        <v>5441</v>
      </c>
      <c r="D121">
        <v>1</v>
      </c>
      <c r="E121" t="s">
        <v>6099</v>
      </c>
      <c r="F121" t="s">
        <v>6100</v>
      </c>
      <c r="G121">
        <v>1</v>
      </c>
      <c r="H121" t="s">
        <v>6098</v>
      </c>
      <c r="I121" t="s">
        <v>2361</v>
      </c>
      <c r="J121" t="s">
        <v>6101</v>
      </c>
    </row>
    <row r="122" spans="1:10" ht="15" customHeight="1" x14ac:dyDescent="0.25">
      <c r="A122" t="s">
        <v>6102</v>
      </c>
      <c r="B122" t="s">
        <v>3502</v>
      </c>
      <c r="C122" t="s">
        <v>4597</v>
      </c>
      <c r="D122">
        <v>2</v>
      </c>
      <c r="E122" t="s">
        <v>6103</v>
      </c>
      <c r="F122" t="s">
        <v>6104</v>
      </c>
      <c r="G122">
        <v>2</v>
      </c>
      <c r="H122" t="s">
        <v>6102</v>
      </c>
      <c r="I122" t="s">
        <v>90</v>
      </c>
      <c r="J122" t="s">
        <v>6096</v>
      </c>
    </row>
    <row r="123" spans="1:10" ht="15" customHeight="1" x14ac:dyDescent="0.25">
      <c r="A123" t="s">
        <v>6105</v>
      </c>
      <c r="B123" t="s">
        <v>3514</v>
      </c>
      <c r="C123" t="s">
        <v>5441</v>
      </c>
      <c r="D123">
        <v>1</v>
      </c>
      <c r="E123" t="s">
        <v>5871</v>
      </c>
      <c r="F123" t="s">
        <v>5872</v>
      </c>
      <c r="G123">
        <v>1</v>
      </c>
      <c r="H123" t="s">
        <v>6105</v>
      </c>
      <c r="I123" t="s">
        <v>2361</v>
      </c>
      <c r="J123" t="s">
        <v>5874</v>
      </c>
    </row>
    <row r="124" spans="1:10" ht="15" customHeight="1" x14ac:dyDescent="0.25">
      <c r="A124" t="s">
        <v>6106</v>
      </c>
      <c r="B124" t="s">
        <v>41</v>
      </c>
      <c r="C124" t="s">
        <v>5441</v>
      </c>
      <c r="D124">
        <v>1</v>
      </c>
      <c r="E124" t="s">
        <v>5871</v>
      </c>
      <c r="F124" t="s">
        <v>5872</v>
      </c>
      <c r="G124">
        <v>1</v>
      </c>
      <c r="H124" t="s">
        <v>6106</v>
      </c>
      <c r="I124" t="s">
        <v>2361</v>
      </c>
      <c r="J124" t="s">
        <v>6006</v>
      </c>
    </row>
    <row r="125" spans="1:10" ht="15" customHeight="1" x14ac:dyDescent="0.25">
      <c r="A125" t="s">
        <v>6107</v>
      </c>
      <c r="B125" t="s">
        <v>41</v>
      </c>
      <c r="C125" t="s">
        <v>5360</v>
      </c>
      <c r="D125">
        <v>1</v>
      </c>
      <c r="E125" t="s">
        <v>6108</v>
      </c>
      <c r="F125" t="s">
        <v>6109</v>
      </c>
      <c r="G125">
        <v>1</v>
      </c>
      <c r="H125" t="s">
        <v>6107</v>
      </c>
      <c r="I125" t="s">
        <v>90</v>
      </c>
      <c r="J125" t="s">
        <v>5819</v>
      </c>
    </row>
    <row r="126" spans="1:10" ht="15" customHeight="1" x14ac:dyDescent="0.25">
      <c r="A126" t="s">
        <v>6110</v>
      </c>
      <c r="B126" t="s">
        <v>3514</v>
      </c>
      <c r="C126" t="s">
        <v>5360</v>
      </c>
      <c r="D126">
        <v>2</v>
      </c>
      <c r="E126" t="s">
        <v>6111</v>
      </c>
      <c r="F126" t="s">
        <v>6112</v>
      </c>
      <c r="G126">
        <v>2</v>
      </c>
      <c r="H126" t="s">
        <v>6113</v>
      </c>
      <c r="I126" t="s">
        <v>90</v>
      </c>
      <c r="J126" t="s">
        <v>6114</v>
      </c>
    </row>
    <row r="127" spans="1:10" ht="15" customHeight="1" x14ac:dyDescent="0.25">
      <c r="A127" t="s">
        <v>4693</v>
      </c>
      <c r="B127" t="s">
        <v>41</v>
      </c>
      <c r="C127" t="s">
        <v>5722</v>
      </c>
      <c r="D127">
        <v>1</v>
      </c>
      <c r="E127" t="s">
        <v>6115</v>
      </c>
      <c r="F127" t="s">
        <v>6115</v>
      </c>
      <c r="G127">
        <v>1</v>
      </c>
      <c r="H127" t="s">
        <v>4696</v>
      </c>
      <c r="I127" t="s">
        <v>1046</v>
      </c>
      <c r="J127" t="s">
        <v>5755</v>
      </c>
    </row>
    <row r="128" spans="1:10" ht="15" customHeight="1" x14ac:dyDescent="0.25">
      <c r="A128" t="s">
        <v>6116</v>
      </c>
      <c r="B128" t="s">
        <v>3502</v>
      </c>
      <c r="C128" t="s">
        <v>5360</v>
      </c>
      <c r="D128">
        <v>1</v>
      </c>
      <c r="E128" t="s">
        <v>6117</v>
      </c>
      <c r="F128" t="s">
        <v>6118</v>
      </c>
      <c r="G128">
        <v>1</v>
      </c>
      <c r="H128" t="s">
        <v>6119</v>
      </c>
      <c r="I128" t="s">
        <v>90</v>
      </c>
      <c r="J128" t="s">
        <v>5927</v>
      </c>
    </row>
    <row r="129" spans="1:10" ht="15" customHeight="1" x14ac:dyDescent="0.25">
      <c r="A129" t="s">
        <v>6120</v>
      </c>
      <c r="B129" t="s">
        <v>3502</v>
      </c>
      <c r="C129" t="s">
        <v>4597</v>
      </c>
      <c r="D129">
        <v>1</v>
      </c>
      <c r="E129" t="s">
        <v>6121</v>
      </c>
      <c r="F129" t="s">
        <v>6122</v>
      </c>
      <c r="G129">
        <v>1</v>
      </c>
      <c r="H129" t="s">
        <v>6123</v>
      </c>
      <c r="I129" t="s">
        <v>90</v>
      </c>
      <c r="J129" t="s">
        <v>6124</v>
      </c>
    </row>
    <row r="130" spans="1:10" ht="15" customHeight="1" x14ac:dyDescent="0.25">
      <c r="A130" t="s">
        <v>6125</v>
      </c>
      <c r="B130" t="s">
        <v>41</v>
      </c>
      <c r="C130" t="s">
        <v>5441</v>
      </c>
      <c r="D130">
        <v>1</v>
      </c>
      <c r="E130" t="s">
        <v>6126</v>
      </c>
      <c r="F130" t="s">
        <v>6127</v>
      </c>
      <c r="G130">
        <v>1</v>
      </c>
      <c r="H130" t="s">
        <v>6125</v>
      </c>
      <c r="I130" t="s">
        <v>2361</v>
      </c>
      <c r="J130" t="s">
        <v>6101</v>
      </c>
    </row>
    <row r="131" spans="1:10" ht="15" customHeight="1" x14ac:dyDescent="0.25">
      <c r="A131" t="s">
        <v>6128</v>
      </c>
      <c r="B131" t="s">
        <v>3502</v>
      </c>
      <c r="C131" t="s">
        <v>5360</v>
      </c>
      <c r="D131" t="s">
        <v>5946</v>
      </c>
      <c r="E131" t="s">
        <v>6129</v>
      </c>
      <c r="F131" t="s">
        <v>6130</v>
      </c>
      <c r="G131" t="s">
        <v>5946</v>
      </c>
      <c r="H131" t="s">
        <v>6128</v>
      </c>
      <c r="I131" t="s">
        <v>90</v>
      </c>
      <c r="J131" t="s">
        <v>6131</v>
      </c>
    </row>
    <row r="132" spans="1:10" ht="15" customHeight="1" x14ac:dyDescent="0.25">
      <c r="A132" t="s">
        <v>6132</v>
      </c>
      <c r="B132" t="s">
        <v>3514</v>
      </c>
      <c r="C132" t="s">
        <v>5722</v>
      </c>
      <c r="D132">
        <v>0</v>
      </c>
      <c r="E132" t="s">
        <v>6133</v>
      </c>
      <c r="F132" t="s">
        <v>6134</v>
      </c>
      <c r="G132">
        <v>0</v>
      </c>
      <c r="H132" t="s">
        <v>6135</v>
      </c>
      <c r="I132" t="s">
        <v>90</v>
      </c>
      <c r="J132" t="s">
        <v>5777</v>
      </c>
    </row>
    <row r="133" spans="1:10" ht="15" customHeight="1" x14ac:dyDescent="0.25">
      <c r="A133" t="s">
        <v>6136</v>
      </c>
      <c r="B133" t="s">
        <v>3514</v>
      </c>
      <c r="C133" t="s">
        <v>4597</v>
      </c>
      <c r="D133">
        <v>1</v>
      </c>
      <c r="E133" t="s">
        <v>6137</v>
      </c>
      <c r="F133" t="s">
        <v>6138</v>
      </c>
      <c r="G133">
        <v>1</v>
      </c>
      <c r="H133" t="s">
        <v>6136</v>
      </c>
      <c r="I133" t="s">
        <v>90</v>
      </c>
      <c r="J133" t="s">
        <v>5739</v>
      </c>
    </row>
    <row r="134" spans="1:10" ht="15" customHeight="1" x14ac:dyDescent="0.25">
      <c r="A134" t="s">
        <v>6139</v>
      </c>
      <c r="B134" t="s">
        <v>3502</v>
      </c>
      <c r="C134" t="s">
        <v>5805</v>
      </c>
      <c r="D134">
        <v>5</v>
      </c>
      <c r="E134" t="s">
        <v>6140</v>
      </c>
      <c r="F134" t="s">
        <v>6140</v>
      </c>
      <c r="G134">
        <v>4</v>
      </c>
      <c r="H134" t="s">
        <v>6141</v>
      </c>
      <c r="I134" t="s">
        <v>1672</v>
      </c>
    </row>
    <row r="135" spans="1:10" ht="15" customHeight="1" x14ac:dyDescent="0.25">
      <c r="A135" t="s">
        <v>6142</v>
      </c>
      <c r="B135" t="s">
        <v>41</v>
      </c>
      <c r="C135" t="s">
        <v>5441</v>
      </c>
      <c r="D135">
        <v>1</v>
      </c>
      <c r="E135" t="s">
        <v>6143</v>
      </c>
      <c r="F135" t="s">
        <v>6144</v>
      </c>
      <c r="G135">
        <v>1</v>
      </c>
      <c r="H135" t="s">
        <v>6142</v>
      </c>
      <c r="I135" t="s">
        <v>2361</v>
      </c>
      <c r="J135" t="s">
        <v>5962</v>
      </c>
    </row>
    <row r="136" spans="1:10" ht="15" customHeight="1" x14ac:dyDescent="0.25">
      <c r="A136" t="s">
        <v>5697</v>
      </c>
      <c r="B136" t="s">
        <v>3546</v>
      </c>
      <c r="C136" t="s">
        <v>5722</v>
      </c>
      <c r="D136">
        <v>0</v>
      </c>
      <c r="E136" t="s">
        <v>6145</v>
      </c>
      <c r="F136" t="s">
        <v>6146</v>
      </c>
      <c r="G136">
        <v>0</v>
      </c>
      <c r="H136" t="s">
        <v>5697</v>
      </c>
      <c r="I136" t="s">
        <v>90</v>
      </c>
      <c r="J136" t="s">
        <v>5753</v>
      </c>
    </row>
    <row r="137" spans="1:10" ht="15" customHeight="1" x14ac:dyDescent="0.25">
      <c r="A137" t="s">
        <v>6147</v>
      </c>
      <c r="B137" t="s">
        <v>3502</v>
      </c>
      <c r="C137" t="s">
        <v>5360</v>
      </c>
      <c r="D137">
        <v>3</v>
      </c>
      <c r="E137" t="s">
        <v>6148</v>
      </c>
      <c r="F137" t="s">
        <v>6148</v>
      </c>
      <c r="G137">
        <v>2</v>
      </c>
      <c r="H137" t="s">
        <v>6147</v>
      </c>
      <c r="I137" t="s">
        <v>90</v>
      </c>
      <c r="J137" t="s">
        <v>5992</v>
      </c>
    </row>
    <row r="138" spans="1:10" ht="15" customHeight="1" x14ac:dyDescent="0.25">
      <c r="A138" t="s">
        <v>6149</v>
      </c>
      <c r="B138" t="s">
        <v>3514</v>
      </c>
      <c r="C138" t="s">
        <v>4597</v>
      </c>
      <c r="D138">
        <v>1</v>
      </c>
      <c r="E138" t="s">
        <v>6150</v>
      </c>
      <c r="F138" t="s">
        <v>6151</v>
      </c>
      <c r="G138">
        <v>1</v>
      </c>
      <c r="H138" t="s">
        <v>6152</v>
      </c>
      <c r="I138" t="s">
        <v>90</v>
      </c>
      <c r="J138" t="s">
        <v>5884</v>
      </c>
    </row>
    <row r="139" spans="1:10" ht="15" customHeight="1" x14ac:dyDescent="0.25">
      <c r="A139" t="s">
        <v>6153</v>
      </c>
      <c r="B139" t="s">
        <v>3502</v>
      </c>
      <c r="C139" t="s">
        <v>5360</v>
      </c>
      <c r="D139">
        <v>0</v>
      </c>
      <c r="E139" t="s">
        <v>6154</v>
      </c>
      <c r="F139" t="s">
        <v>6155</v>
      </c>
      <c r="G139">
        <v>0</v>
      </c>
      <c r="H139" t="s">
        <v>6153</v>
      </c>
      <c r="I139" t="s">
        <v>90</v>
      </c>
      <c r="J139" t="s">
        <v>6156</v>
      </c>
    </row>
    <row r="140" spans="1:10" ht="15" customHeight="1" x14ac:dyDescent="0.25">
      <c r="A140" t="s">
        <v>6157</v>
      </c>
      <c r="B140" t="s">
        <v>41</v>
      </c>
      <c r="C140" t="s">
        <v>5360</v>
      </c>
      <c r="D140">
        <v>1</v>
      </c>
      <c r="E140" t="s">
        <v>6158</v>
      </c>
      <c r="F140" t="s">
        <v>6159</v>
      </c>
      <c r="G140">
        <v>1</v>
      </c>
      <c r="H140" t="s">
        <v>6157</v>
      </c>
      <c r="I140" t="s">
        <v>90</v>
      </c>
      <c r="J140" t="s">
        <v>5823</v>
      </c>
    </row>
    <row r="141" spans="1:10" ht="15" customHeight="1" x14ac:dyDescent="0.25">
      <c r="A141" t="s">
        <v>6160</v>
      </c>
      <c r="B141" t="s">
        <v>4297</v>
      </c>
      <c r="C141" t="s">
        <v>4245</v>
      </c>
      <c r="D141" t="s">
        <v>3997</v>
      </c>
      <c r="E141" t="s">
        <v>6161</v>
      </c>
      <c r="F141" t="s">
        <v>3458</v>
      </c>
      <c r="G141" t="s">
        <v>3458</v>
      </c>
      <c r="H141" t="s">
        <v>6160</v>
      </c>
      <c r="I141" t="s">
        <v>90</v>
      </c>
      <c r="J141" t="s">
        <v>5870</v>
      </c>
    </row>
    <row r="142" spans="1:10" ht="15" customHeight="1" x14ac:dyDescent="0.25">
      <c r="A142" t="s">
        <v>6162</v>
      </c>
      <c r="B142" t="s">
        <v>41</v>
      </c>
      <c r="C142" t="s">
        <v>5722</v>
      </c>
      <c r="D142">
        <v>2</v>
      </c>
      <c r="E142" t="s">
        <v>6163</v>
      </c>
      <c r="F142" t="s">
        <v>6164</v>
      </c>
      <c r="G142">
        <v>2</v>
      </c>
      <c r="H142" t="s">
        <v>6165</v>
      </c>
      <c r="I142" t="s">
        <v>90</v>
      </c>
      <c r="J142" t="s">
        <v>5735</v>
      </c>
    </row>
    <row r="143" spans="1:10" ht="15" customHeight="1" x14ac:dyDescent="0.25">
      <c r="A143" t="s">
        <v>6166</v>
      </c>
      <c r="B143" t="s">
        <v>3502</v>
      </c>
      <c r="C143" t="s">
        <v>5360</v>
      </c>
      <c r="D143">
        <v>1</v>
      </c>
      <c r="E143" t="s">
        <v>6167</v>
      </c>
      <c r="F143" t="s">
        <v>6167</v>
      </c>
      <c r="G143">
        <v>0</v>
      </c>
      <c r="H143" t="s">
        <v>6168</v>
      </c>
      <c r="I143" t="s">
        <v>90</v>
      </c>
      <c r="J143" t="s">
        <v>5777</v>
      </c>
    </row>
    <row r="144" spans="1:10" ht="15" customHeight="1" x14ac:dyDescent="0.25">
      <c r="A144" t="s">
        <v>6169</v>
      </c>
      <c r="B144" t="s">
        <v>41</v>
      </c>
      <c r="C144" t="s">
        <v>5360</v>
      </c>
      <c r="D144">
        <v>1</v>
      </c>
      <c r="E144" t="s">
        <v>6170</v>
      </c>
      <c r="F144" t="s">
        <v>6171</v>
      </c>
      <c r="G144">
        <v>1</v>
      </c>
      <c r="H144" t="s">
        <v>6172</v>
      </c>
      <c r="I144" t="s">
        <v>90</v>
      </c>
      <c r="J144" t="s">
        <v>6131</v>
      </c>
    </row>
    <row r="145" spans="1:10" ht="15" customHeight="1" x14ac:dyDescent="0.25">
      <c r="A145" t="s">
        <v>6173</v>
      </c>
      <c r="B145" t="s">
        <v>41</v>
      </c>
      <c r="C145" t="s">
        <v>5722</v>
      </c>
      <c r="D145">
        <v>1</v>
      </c>
      <c r="E145" t="s">
        <v>6174</v>
      </c>
      <c r="F145" t="s">
        <v>6175</v>
      </c>
      <c r="G145">
        <v>1</v>
      </c>
      <c r="H145" t="s">
        <v>6176</v>
      </c>
      <c r="I145" t="s">
        <v>90</v>
      </c>
      <c r="J145" t="s">
        <v>5753</v>
      </c>
    </row>
    <row r="146" spans="1:10" ht="15" customHeight="1" x14ac:dyDescent="0.25">
      <c r="A146" t="s">
        <v>6177</v>
      </c>
      <c r="B146" t="s">
        <v>41</v>
      </c>
      <c r="C146" t="s">
        <v>5722</v>
      </c>
      <c r="D146">
        <v>1</v>
      </c>
      <c r="E146" t="s">
        <v>6178</v>
      </c>
      <c r="F146" t="s">
        <v>6179</v>
      </c>
      <c r="G146">
        <v>1</v>
      </c>
      <c r="H146" t="s">
        <v>6180</v>
      </c>
      <c r="I146" t="s">
        <v>90</v>
      </c>
      <c r="J146" t="s">
        <v>6181</v>
      </c>
    </row>
    <row r="147" spans="1:10" ht="15" customHeight="1" x14ac:dyDescent="0.25">
      <c r="A147" t="s">
        <v>6182</v>
      </c>
      <c r="B147" t="s">
        <v>3514</v>
      </c>
      <c r="C147" t="s">
        <v>5360</v>
      </c>
      <c r="D147">
        <v>1</v>
      </c>
      <c r="E147" t="s">
        <v>6183</v>
      </c>
      <c r="F147" t="s">
        <v>6184</v>
      </c>
      <c r="G147">
        <v>1</v>
      </c>
      <c r="H147" t="s">
        <v>6185</v>
      </c>
      <c r="I147" t="s">
        <v>90</v>
      </c>
      <c r="J147" t="s">
        <v>6186</v>
      </c>
    </row>
    <row r="148" spans="1:10" ht="15" customHeight="1" x14ac:dyDescent="0.25">
      <c r="A148" t="s">
        <v>6187</v>
      </c>
      <c r="B148" t="s">
        <v>3514</v>
      </c>
      <c r="C148" t="s">
        <v>5722</v>
      </c>
      <c r="D148">
        <v>2</v>
      </c>
      <c r="E148" t="s">
        <v>6188</v>
      </c>
      <c r="F148" t="s">
        <v>6189</v>
      </c>
      <c r="G148">
        <v>2</v>
      </c>
      <c r="H148" t="s">
        <v>6187</v>
      </c>
      <c r="I148" t="s">
        <v>90</v>
      </c>
      <c r="J148" t="s">
        <v>6025</v>
      </c>
    </row>
    <row r="149" spans="1:10" ht="15" customHeight="1" x14ac:dyDescent="0.25">
      <c r="A149" t="s">
        <v>6190</v>
      </c>
      <c r="B149" t="s">
        <v>41</v>
      </c>
      <c r="C149" t="s">
        <v>5360</v>
      </c>
      <c r="D149">
        <v>0</v>
      </c>
      <c r="E149" t="s">
        <v>6191</v>
      </c>
      <c r="F149" t="s">
        <v>6192</v>
      </c>
      <c r="G149">
        <v>0</v>
      </c>
      <c r="H149" t="s">
        <v>6190</v>
      </c>
      <c r="I149" t="s">
        <v>90</v>
      </c>
      <c r="J149" t="s">
        <v>5708</v>
      </c>
    </row>
    <row r="150" spans="1:10" ht="15" customHeight="1" x14ac:dyDescent="0.25">
      <c r="A150" t="s">
        <v>6193</v>
      </c>
      <c r="B150" t="s">
        <v>3514</v>
      </c>
      <c r="C150" t="s">
        <v>5722</v>
      </c>
      <c r="D150">
        <v>1</v>
      </c>
      <c r="E150" t="s">
        <v>6194</v>
      </c>
      <c r="F150" t="s">
        <v>6195</v>
      </c>
      <c r="G150">
        <v>1</v>
      </c>
      <c r="H150" t="s">
        <v>6193</v>
      </c>
      <c r="I150" t="s">
        <v>90</v>
      </c>
      <c r="J150" t="s">
        <v>6004</v>
      </c>
    </row>
    <row r="151" spans="1:10" ht="15" customHeight="1" x14ac:dyDescent="0.25">
      <c r="A151" t="s">
        <v>5144</v>
      </c>
      <c r="B151" t="s">
        <v>4297</v>
      </c>
      <c r="C151" t="s">
        <v>4245</v>
      </c>
      <c r="D151" t="s">
        <v>3997</v>
      </c>
      <c r="E151" t="s">
        <v>6196</v>
      </c>
      <c r="F151" t="s">
        <v>3458</v>
      </c>
      <c r="G151" t="s">
        <v>3997</v>
      </c>
      <c r="H151" t="s">
        <v>6197</v>
      </c>
      <c r="I151" t="s">
        <v>1649</v>
      </c>
    </row>
    <row r="152" spans="1:10" ht="15" customHeight="1" x14ac:dyDescent="0.25">
      <c r="A152" t="s">
        <v>6198</v>
      </c>
      <c r="B152" t="s">
        <v>4297</v>
      </c>
      <c r="C152" t="s">
        <v>3656</v>
      </c>
      <c r="D152">
        <v>1</v>
      </c>
      <c r="E152" t="s">
        <v>6199</v>
      </c>
      <c r="F152" t="s">
        <v>3458</v>
      </c>
      <c r="G152" t="s">
        <v>3458</v>
      </c>
      <c r="H152" t="s">
        <v>6200</v>
      </c>
      <c r="I152" t="s">
        <v>501</v>
      </c>
      <c r="J152" t="s">
        <v>5793</v>
      </c>
    </row>
    <row r="153" spans="1:10" ht="15" customHeight="1" x14ac:dyDescent="0.25">
      <c r="A153" t="s">
        <v>6201</v>
      </c>
      <c r="B153" t="s">
        <v>41</v>
      </c>
      <c r="C153" t="s">
        <v>5722</v>
      </c>
      <c r="D153">
        <v>1</v>
      </c>
      <c r="E153" t="s">
        <v>6202</v>
      </c>
      <c r="F153" t="s">
        <v>6203</v>
      </c>
      <c r="G153">
        <v>1</v>
      </c>
      <c r="H153" t="s">
        <v>6204</v>
      </c>
      <c r="I153" t="s">
        <v>90</v>
      </c>
      <c r="J153" t="s">
        <v>6205</v>
      </c>
    </row>
    <row r="154" spans="1:10" ht="15" customHeight="1" x14ac:dyDescent="0.25">
      <c r="A154" t="s">
        <v>5362</v>
      </c>
      <c r="B154" t="s">
        <v>3514</v>
      </c>
      <c r="C154" t="s">
        <v>5360</v>
      </c>
      <c r="D154">
        <v>0</v>
      </c>
      <c r="E154" t="s">
        <v>6206</v>
      </c>
      <c r="F154" t="s">
        <v>6207</v>
      </c>
      <c r="G154">
        <v>0</v>
      </c>
      <c r="H154" t="s">
        <v>5362</v>
      </c>
      <c r="I154" t="s">
        <v>90</v>
      </c>
      <c r="J154" t="s">
        <v>5739</v>
      </c>
    </row>
    <row r="155" spans="1:10" ht="15" customHeight="1" x14ac:dyDescent="0.25">
      <c r="A155" t="s">
        <v>6208</v>
      </c>
      <c r="B155" t="s">
        <v>3514</v>
      </c>
      <c r="C155" t="s">
        <v>5722</v>
      </c>
      <c r="D155">
        <v>1</v>
      </c>
      <c r="E155" t="s">
        <v>6209</v>
      </c>
      <c r="F155" t="s">
        <v>6210</v>
      </c>
      <c r="G155">
        <v>1</v>
      </c>
      <c r="H155" t="s">
        <v>6208</v>
      </c>
      <c r="I155" t="s">
        <v>90</v>
      </c>
      <c r="J155" t="s">
        <v>6059</v>
      </c>
    </row>
    <row r="156" spans="1:10" ht="15" customHeight="1" x14ac:dyDescent="0.25">
      <c r="A156" t="s">
        <v>6211</v>
      </c>
      <c r="B156" t="s">
        <v>3514</v>
      </c>
      <c r="C156" t="s">
        <v>5441</v>
      </c>
      <c r="D156">
        <v>1</v>
      </c>
      <c r="E156" t="s">
        <v>5871</v>
      </c>
      <c r="F156" t="s">
        <v>5872</v>
      </c>
      <c r="G156">
        <v>1</v>
      </c>
      <c r="H156" t="s">
        <v>6211</v>
      </c>
      <c r="I156" t="s">
        <v>2361</v>
      </c>
      <c r="J156" t="s">
        <v>5874</v>
      </c>
    </row>
    <row r="157" spans="1:10" ht="15" customHeight="1" x14ac:dyDescent="0.25">
      <c r="A157" t="s">
        <v>6212</v>
      </c>
      <c r="B157" t="s">
        <v>3502</v>
      </c>
      <c r="C157" t="s">
        <v>5722</v>
      </c>
      <c r="D157">
        <v>2</v>
      </c>
      <c r="E157" t="s">
        <v>6213</v>
      </c>
      <c r="F157" t="s">
        <v>6214</v>
      </c>
      <c r="G157">
        <v>2</v>
      </c>
      <c r="H157" t="s">
        <v>6212</v>
      </c>
      <c r="I157" t="s">
        <v>90</v>
      </c>
      <c r="J157" t="s">
        <v>5996</v>
      </c>
    </row>
    <row r="158" spans="1:10" ht="15" customHeight="1" x14ac:dyDescent="0.25">
      <c r="A158" t="s">
        <v>6215</v>
      </c>
      <c r="B158" t="s">
        <v>3514</v>
      </c>
      <c r="C158" t="s">
        <v>5722</v>
      </c>
      <c r="D158">
        <v>0</v>
      </c>
      <c r="E158" t="s">
        <v>6216</v>
      </c>
      <c r="F158" t="s">
        <v>6217</v>
      </c>
      <c r="G158">
        <v>0</v>
      </c>
      <c r="H158" t="s">
        <v>6218</v>
      </c>
      <c r="I158" t="s">
        <v>90</v>
      </c>
      <c r="J158" t="s">
        <v>6219</v>
      </c>
    </row>
    <row r="159" spans="1:10" ht="15" customHeight="1" x14ac:dyDescent="0.25">
      <c r="A159" t="s">
        <v>6220</v>
      </c>
      <c r="B159" t="s">
        <v>4297</v>
      </c>
      <c r="C159" t="s">
        <v>3656</v>
      </c>
      <c r="D159">
        <v>1</v>
      </c>
      <c r="E159" t="s">
        <v>6221</v>
      </c>
      <c r="F159" t="s">
        <v>3458</v>
      </c>
      <c r="G159" t="s">
        <v>3458</v>
      </c>
      <c r="H159" t="s">
        <v>6222</v>
      </c>
      <c r="I159" t="s">
        <v>501</v>
      </c>
      <c r="J159" t="s">
        <v>5793</v>
      </c>
    </row>
    <row r="160" spans="1:10" ht="15" customHeight="1" x14ac:dyDescent="0.25">
      <c r="A160" t="s">
        <v>6223</v>
      </c>
      <c r="B160" t="s">
        <v>3514</v>
      </c>
      <c r="C160" t="s">
        <v>5360</v>
      </c>
      <c r="D160" t="s">
        <v>3997</v>
      </c>
      <c r="E160" t="s">
        <v>6224</v>
      </c>
      <c r="F160" t="s">
        <v>6225</v>
      </c>
      <c r="G160" t="s">
        <v>3997</v>
      </c>
      <c r="H160" t="s">
        <v>6223</v>
      </c>
      <c r="I160" t="s">
        <v>90</v>
      </c>
      <c r="J160" t="s">
        <v>5837</v>
      </c>
    </row>
    <row r="161" spans="1:10" ht="15" customHeight="1" x14ac:dyDescent="0.25">
      <c r="A161" t="s">
        <v>5109</v>
      </c>
      <c r="B161" t="s">
        <v>4297</v>
      </c>
      <c r="C161" t="s">
        <v>4245</v>
      </c>
      <c r="D161" t="s">
        <v>3997</v>
      </c>
      <c r="E161" t="s">
        <v>6226</v>
      </c>
      <c r="F161" t="s">
        <v>3458</v>
      </c>
      <c r="G161" t="s">
        <v>3458</v>
      </c>
      <c r="H161" t="s">
        <v>5109</v>
      </c>
      <c r="I161" t="s">
        <v>90</v>
      </c>
      <c r="J161" t="s">
        <v>5870</v>
      </c>
    </row>
    <row r="162" spans="1:10" ht="15" customHeight="1" x14ac:dyDescent="0.25">
      <c r="A162" t="s">
        <v>6227</v>
      </c>
      <c r="B162" t="s">
        <v>3514</v>
      </c>
      <c r="C162" t="s">
        <v>5722</v>
      </c>
      <c r="D162">
        <v>2</v>
      </c>
      <c r="E162" t="s">
        <v>6228</v>
      </c>
      <c r="F162" t="s">
        <v>6229</v>
      </c>
      <c r="G162">
        <v>2</v>
      </c>
      <c r="H162" t="s">
        <v>6230</v>
      </c>
      <c r="I162" t="s">
        <v>90</v>
      </c>
      <c r="J162" t="s">
        <v>5777</v>
      </c>
    </row>
    <row r="163" spans="1:10" ht="15" customHeight="1" x14ac:dyDescent="0.25">
      <c r="A163" t="s">
        <v>6231</v>
      </c>
      <c r="B163" t="s">
        <v>3514</v>
      </c>
      <c r="C163" t="s">
        <v>5805</v>
      </c>
      <c r="D163">
        <v>2</v>
      </c>
      <c r="E163" t="s">
        <v>6232</v>
      </c>
      <c r="F163" t="s">
        <v>6233</v>
      </c>
      <c r="G163">
        <v>2</v>
      </c>
      <c r="H163" t="s">
        <v>6234</v>
      </c>
      <c r="I163" t="s">
        <v>1672</v>
      </c>
    </row>
    <row r="164" spans="1:10" ht="15" customHeight="1" x14ac:dyDescent="0.25">
      <c r="A164" t="s">
        <v>6235</v>
      </c>
      <c r="B164" t="s">
        <v>3514</v>
      </c>
      <c r="C164" t="s">
        <v>4597</v>
      </c>
      <c r="D164">
        <v>1</v>
      </c>
      <c r="E164" t="s">
        <v>6236</v>
      </c>
      <c r="F164" t="s">
        <v>6237</v>
      </c>
      <c r="G164">
        <v>1</v>
      </c>
      <c r="H164" t="s">
        <v>6235</v>
      </c>
      <c r="I164" t="s">
        <v>90</v>
      </c>
      <c r="J164" t="s">
        <v>5927</v>
      </c>
    </row>
    <row r="165" spans="1:10" ht="15" customHeight="1" x14ac:dyDescent="0.25">
      <c r="A165" t="s">
        <v>4816</v>
      </c>
      <c r="B165" t="s">
        <v>3514</v>
      </c>
      <c r="C165" t="s">
        <v>5360</v>
      </c>
      <c r="D165">
        <v>1</v>
      </c>
      <c r="E165" t="s">
        <v>6238</v>
      </c>
      <c r="F165" t="s">
        <v>6238</v>
      </c>
      <c r="G165">
        <v>1</v>
      </c>
      <c r="H165" t="s">
        <v>4819</v>
      </c>
      <c r="I165" t="s">
        <v>1649</v>
      </c>
      <c r="J165" t="s">
        <v>5755</v>
      </c>
    </row>
    <row r="166" spans="1:10" ht="15" customHeight="1" x14ac:dyDescent="0.25">
      <c r="A166" t="s">
        <v>6239</v>
      </c>
      <c r="B166" t="s">
        <v>3514</v>
      </c>
      <c r="C166" t="s">
        <v>5722</v>
      </c>
      <c r="D166">
        <v>2</v>
      </c>
      <c r="E166" t="s">
        <v>6240</v>
      </c>
      <c r="F166" t="s">
        <v>3458</v>
      </c>
      <c r="G166">
        <v>2</v>
      </c>
      <c r="H166" t="s">
        <v>6241</v>
      </c>
      <c r="I166" t="s">
        <v>90</v>
      </c>
      <c r="J166" t="s">
        <v>6059</v>
      </c>
    </row>
    <row r="167" spans="1:10" ht="15" customHeight="1" x14ac:dyDescent="0.25">
      <c r="A167" t="s">
        <v>6242</v>
      </c>
      <c r="B167" t="s">
        <v>3514</v>
      </c>
      <c r="C167" t="s">
        <v>5360</v>
      </c>
      <c r="D167">
        <v>1</v>
      </c>
      <c r="E167" t="s">
        <v>6243</v>
      </c>
      <c r="F167" t="s">
        <v>6244</v>
      </c>
      <c r="G167">
        <v>1</v>
      </c>
      <c r="H167" t="s">
        <v>6245</v>
      </c>
      <c r="I167" t="s">
        <v>90</v>
      </c>
      <c r="J167" t="s">
        <v>5999</v>
      </c>
    </row>
    <row r="168" spans="1:10" ht="15" customHeight="1" x14ac:dyDescent="0.25">
      <c r="A168" t="s">
        <v>6246</v>
      </c>
      <c r="B168" t="s">
        <v>3514</v>
      </c>
      <c r="C168" t="s">
        <v>5360</v>
      </c>
      <c r="D168">
        <v>1</v>
      </c>
      <c r="E168" t="s">
        <v>6247</v>
      </c>
      <c r="F168" t="s">
        <v>6247</v>
      </c>
      <c r="G168">
        <v>0</v>
      </c>
      <c r="H168" t="s">
        <v>6248</v>
      </c>
      <c r="I168" t="s">
        <v>90</v>
      </c>
      <c r="J168" t="s">
        <v>6249</v>
      </c>
    </row>
    <row r="169" spans="1:10" ht="15" customHeight="1" x14ac:dyDescent="0.25">
      <c r="A169" t="s">
        <v>6250</v>
      </c>
      <c r="B169" t="s">
        <v>3502</v>
      </c>
      <c r="C169" t="s">
        <v>5360</v>
      </c>
      <c r="D169">
        <v>0</v>
      </c>
      <c r="E169" t="s">
        <v>6251</v>
      </c>
      <c r="F169" t="s">
        <v>6252</v>
      </c>
      <c r="G169">
        <v>0</v>
      </c>
      <c r="H169" t="s">
        <v>6250</v>
      </c>
      <c r="I169" t="s">
        <v>90</v>
      </c>
      <c r="J169" t="s">
        <v>6253</v>
      </c>
    </row>
    <row r="170" spans="1:10" ht="15" customHeight="1" x14ac:dyDescent="0.25">
      <c r="A170" t="s">
        <v>6254</v>
      </c>
      <c r="B170" t="s">
        <v>3514</v>
      </c>
      <c r="C170" t="s">
        <v>5360</v>
      </c>
      <c r="D170">
        <v>1</v>
      </c>
      <c r="E170" t="s">
        <v>6255</v>
      </c>
      <c r="F170" t="s">
        <v>6256</v>
      </c>
      <c r="G170">
        <v>1</v>
      </c>
      <c r="H170" t="s">
        <v>6254</v>
      </c>
      <c r="I170" t="s">
        <v>90</v>
      </c>
      <c r="J170" t="s">
        <v>5999</v>
      </c>
    </row>
    <row r="171" spans="1:10" ht="15" customHeight="1" x14ac:dyDescent="0.25">
      <c r="A171" t="s">
        <v>6257</v>
      </c>
      <c r="B171" t="s">
        <v>3514</v>
      </c>
      <c r="C171" t="s">
        <v>5360</v>
      </c>
      <c r="D171">
        <v>1</v>
      </c>
      <c r="E171" t="s">
        <v>6258</v>
      </c>
      <c r="F171" t="s">
        <v>6258</v>
      </c>
      <c r="G171">
        <v>0</v>
      </c>
      <c r="H171" t="s">
        <v>6257</v>
      </c>
      <c r="I171" t="s">
        <v>90</v>
      </c>
      <c r="J171" t="s">
        <v>5823</v>
      </c>
    </row>
    <row r="172" spans="1:10" ht="15" customHeight="1" x14ac:dyDescent="0.25">
      <c r="A172" t="s">
        <v>6259</v>
      </c>
      <c r="B172" t="s">
        <v>3514</v>
      </c>
      <c r="C172" t="s">
        <v>5722</v>
      </c>
      <c r="D172">
        <v>2</v>
      </c>
      <c r="E172" t="s">
        <v>6260</v>
      </c>
      <c r="F172" t="s">
        <v>6261</v>
      </c>
      <c r="G172">
        <v>2</v>
      </c>
      <c r="H172" t="s">
        <v>6262</v>
      </c>
      <c r="I172" t="s">
        <v>90</v>
      </c>
      <c r="J172" t="s">
        <v>6004</v>
      </c>
    </row>
    <row r="173" spans="1:10" ht="15" customHeight="1" x14ac:dyDescent="0.25">
      <c r="A173" t="s">
        <v>6263</v>
      </c>
      <c r="B173" t="s">
        <v>4297</v>
      </c>
      <c r="C173" t="s">
        <v>4245</v>
      </c>
      <c r="D173" t="s">
        <v>3997</v>
      </c>
      <c r="E173" t="s">
        <v>6264</v>
      </c>
      <c r="F173" t="s">
        <v>3458</v>
      </c>
      <c r="G173" t="s">
        <v>3458</v>
      </c>
      <c r="H173" t="s">
        <v>6263</v>
      </c>
      <c r="I173" t="s">
        <v>90</v>
      </c>
      <c r="J173" t="s">
        <v>5870</v>
      </c>
    </row>
    <row r="174" spans="1:10" ht="15" customHeight="1" x14ac:dyDescent="0.25">
      <c r="A174" t="s">
        <v>6265</v>
      </c>
      <c r="B174" t="s">
        <v>4297</v>
      </c>
      <c r="C174" t="s">
        <v>5722</v>
      </c>
      <c r="D174">
        <v>0</v>
      </c>
      <c r="E174" t="s">
        <v>6266</v>
      </c>
      <c r="F174" t="s">
        <v>6267</v>
      </c>
      <c r="G174">
        <v>0</v>
      </c>
      <c r="H174" t="s">
        <v>6265</v>
      </c>
      <c r="I174" t="s">
        <v>90</v>
      </c>
    </row>
    <row r="175" spans="1:10" ht="15" customHeight="1" x14ac:dyDescent="0.25">
      <c r="A175" t="s">
        <v>6268</v>
      </c>
      <c r="B175" t="s">
        <v>3514</v>
      </c>
      <c r="C175" t="s">
        <v>5360</v>
      </c>
      <c r="D175">
        <v>2</v>
      </c>
      <c r="E175" t="s">
        <v>6269</v>
      </c>
      <c r="F175" t="s">
        <v>6270</v>
      </c>
      <c r="G175">
        <v>2</v>
      </c>
      <c r="H175" t="s">
        <v>6268</v>
      </c>
      <c r="I175" t="s">
        <v>90</v>
      </c>
      <c r="J175" t="s">
        <v>5937</v>
      </c>
    </row>
    <row r="176" spans="1:10" ht="15" customHeight="1" x14ac:dyDescent="0.25">
      <c r="A176" t="s">
        <v>6271</v>
      </c>
      <c r="B176" t="s">
        <v>41</v>
      </c>
      <c r="C176" t="s">
        <v>5360</v>
      </c>
      <c r="D176">
        <v>1</v>
      </c>
      <c r="E176" t="s">
        <v>6272</v>
      </c>
      <c r="F176" t="s">
        <v>6273</v>
      </c>
      <c r="G176">
        <v>1</v>
      </c>
      <c r="H176" t="s">
        <v>6274</v>
      </c>
      <c r="I176" t="s">
        <v>90</v>
      </c>
      <c r="J176" t="s">
        <v>6275</v>
      </c>
    </row>
    <row r="177" spans="1:10" ht="15" customHeight="1" x14ac:dyDescent="0.25">
      <c r="A177" t="s">
        <v>6276</v>
      </c>
      <c r="B177" t="s">
        <v>3514</v>
      </c>
      <c r="C177" t="s">
        <v>5722</v>
      </c>
      <c r="D177" t="s">
        <v>5946</v>
      </c>
      <c r="E177" t="s">
        <v>6277</v>
      </c>
      <c r="F177" t="s">
        <v>6278</v>
      </c>
      <c r="G177" t="s">
        <v>5946</v>
      </c>
      <c r="H177" t="s">
        <v>6276</v>
      </c>
      <c r="I177" t="s">
        <v>90</v>
      </c>
      <c r="J177" t="s">
        <v>5777</v>
      </c>
    </row>
    <row r="178" spans="1:10" ht="15" customHeight="1" x14ac:dyDescent="0.25">
      <c r="A178" t="s">
        <v>6279</v>
      </c>
      <c r="B178" t="s">
        <v>41</v>
      </c>
      <c r="C178" t="s">
        <v>5722</v>
      </c>
      <c r="D178">
        <v>0</v>
      </c>
      <c r="E178" t="s">
        <v>6280</v>
      </c>
      <c r="F178" t="s">
        <v>6281</v>
      </c>
      <c r="G178">
        <v>0</v>
      </c>
      <c r="H178" t="s">
        <v>6279</v>
      </c>
      <c r="I178" t="s">
        <v>90</v>
      </c>
      <c r="J178" t="s">
        <v>5777</v>
      </c>
    </row>
    <row r="179" spans="1:10" ht="15" customHeight="1" x14ac:dyDescent="0.25">
      <c r="A179" t="s">
        <v>6282</v>
      </c>
      <c r="B179" t="s">
        <v>4297</v>
      </c>
      <c r="C179" t="s">
        <v>3656</v>
      </c>
      <c r="D179">
        <v>1</v>
      </c>
      <c r="E179" t="s">
        <v>6283</v>
      </c>
      <c r="F179" t="s">
        <v>3458</v>
      </c>
      <c r="G179" t="s">
        <v>3458</v>
      </c>
      <c r="H179" t="s">
        <v>6282</v>
      </c>
      <c r="I179" t="s">
        <v>90</v>
      </c>
    </row>
    <row r="180" spans="1:10" ht="15" customHeight="1" x14ac:dyDescent="0.25">
      <c r="A180" t="s">
        <v>6284</v>
      </c>
      <c r="B180" t="s">
        <v>41</v>
      </c>
      <c r="C180" t="s">
        <v>5722</v>
      </c>
      <c r="D180">
        <v>2</v>
      </c>
      <c r="E180" t="s">
        <v>6285</v>
      </c>
      <c r="F180" t="s">
        <v>6286</v>
      </c>
      <c r="G180">
        <v>2</v>
      </c>
      <c r="H180" t="s">
        <v>6287</v>
      </c>
      <c r="I180" t="s">
        <v>90</v>
      </c>
      <c r="J180" t="s">
        <v>6025</v>
      </c>
    </row>
    <row r="181" spans="1:10" ht="15" customHeight="1" x14ac:dyDescent="0.25">
      <c r="A181" t="s">
        <v>6288</v>
      </c>
      <c r="B181" t="s">
        <v>3514</v>
      </c>
      <c r="C181" t="s">
        <v>5441</v>
      </c>
      <c r="D181">
        <v>1</v>
      </c>
      <c r="E181" t="s">
        <v>5871</v>
      </c>
      <c r="F181" t="s">
        <v>5872</v>
      </c>
      <c r="G181">
        <v>1</v>
      </c>
      <c r="H181" t="s">
        <v>6288</v>
      </c>
      <c r="I181" t="s">
        <v>2361</v>
      </c>
      <c r="J181" t="s">
        <v>6006</v>
      </c>
    </row>
    <row r="182" spans="1:10" ht="15" customHeight="1" x14ac:dyDescent="0.25">
      <c r="A182" t="s">
        <v>6289</v>
      </c>
      <c r="B182" t="s">
        <v>3514</v>
      </c>
      <c r="C182" t="s">
        <v>5360</v>
      </c>
      <c r="D182">
        <v>1</v>
      </c>
      <c r="E182" t="s">
        <v>6290</v>
      </c>
      <c r="F182" t="s">
        <v>6291</v>
      </c>
      <c r="G182">
        <v>1</v>
      </c>
      <c r="H182" t="s">
        <v>6292</v>
      </c>
      <c r="I182" t="s">
        <v>90</v>
      </c>
      <c r="J182" t="s">
        <v>5927</v>
      </c>
    </row>
    <row r="183" spans="1:10" ht="15" customHeight="1" x14ac:dyDescent="0.25">
      <c r="A183" t="s">
        <v>6293</v>
      </c>
      <c r="B183" t="s">
        <v>3502</v>
      </c>
      <c r="C183" t="s">
        <v>5360</v>
      </c>
      <c r="D183">
        <v>1</v>
      </c>
      <c r="E183" t="s">
        <v>6294</v>
      </c>
      <c r="F183" t="s">
        <v>6295</v>
      </c>
      <c r="G183">
        <v>1</v>
      </c>
      <c r="H183" t="s">
        <v>6296</v>
      </c>
      <c r="I183" t="s">
        <v>90</v>
      </c>
      <c r="J183" t="s">
        <v>6297</v>
      </c>
    </row>
    <row r="184" spans="1:10" ht="15" customHeight="1" x14ac:dyDescent="0.25">
      <c r="A184" t="s">
        <v>6298</v>
      </c>
      <c r="B184" t="s">
        <v>3546</v>
      </c>
      <c r="C184" t="s">
        <v>5722</v>
      </c>
      <c r="D184">
        <v>1</v>
      </c>
      <c r="E184" t="s">
        <v>6280</v>
      </c>
      <c r="F184" t="s">
        <v>6281</v>
      </c>
      <c r="G184">
        <v>1</v>
      </c>
      <c r="H184" t="s">
        <v>3458</v>
      </c>
      <c r="I184" t="s">
        <v>3458</v>
      </c>
    </row>
    <row r="185" spans="1:10" ht="15" customHeight="1" x14ac:dyDescent="0.25">
      <c r="A185" t="s">
        <v>6299</v>
      </c>
      <c r="B185" t="s">
        <v>41</v>
      </c>
      <c r="C185" t="s">
        <v>5722</v>
      </c>
      <c r="D185">
        <v>1</v>
      </c>
      <c r="E185" t="s">
        <v>6300</v>
      </c>
      <c r="F185" t="s">
        <v>6301</v>
      </c>
      <c r="G185">
        <v>1</v>
      </c>
      <c r="H185" t="s">
        <v>6302</v>
      </c>
      <c r="I185" t="s">
        <v>90</v>
      </c>
      <c r="J185" t="s">
        <v>5753</v>
      </c>
    </row>
    <row r="186" spans="1:10" ht="15" customHeight="1" x14ac:dyDescent="0.25">
      <c r="A186" t="s">
        <v>5696</v>
      </c>
      <c r="B186" t="s">
        <v>3546</v>
      </c>
      <c r="C186" t="s">
        <v>5360</v>
      </c>
      <c r="D186">
        <v>1</v>
      </c>
      <c r="E186" t="s">
        <v>6303</v>
      </c>
      <c r="F186" t="s">
        <v>6304</v>
      </c>
      <c r="G186">
        <v>1</v>
      </c>
      <c r="H186" t="s">
        <v>5696</v>
      </c>
      <c r="I186" t="s">
        <v>90</v>
      </c>
      <c r="J186" t="s">
        <v>6305</v>
      </c>
    </row>
    <row r="187" spans="1:10" ht="15" customHeight="1" x14ac:dyDescent="0.25">
      <c r="A187" t="s">
        <v>6306</v>
      </c>
      <c r="B187" t="s">
        <v>41</v>
      </c>
      <c r="C187" t="s">
        <v>5722</v>
      </c>
      <c r="D187">
        <v>1</v>
      </c>
      <c r="E187" t="s">
        <v>6307</v>
      </c>
      <c r="F187" t="s">
        <v>6308</v>
      </c>
      <c r="G187">
        <v>1</v>
      </c>
      <c r="H187" t="s">
        <v>6309</v>
      </c>
      <c r="I187" t="s">
        <v>90</v>
      </c>
      <c r="J187" t="s">
        <v>6310</v>
      </c>
    </row>
    <row r="188" spans="1:10" ht="15" customHeight="1" x14ac:dyDescent="0.25">
      <c r="A188" t="s">
        <v>6311</v>
      </c>
      <c r="B188" t="s">
        <v>41</v>
      </c>
      <c r="C188" t="s">
        <v>5722</v>
      </c>
      <c r="D188">
        <v>1</v>
      </c>
      <c r="E188" t="s">
        <v>6312</v>
      </c>
      <c r="F188" t="s">
        <v>6313</v>
      </c>
      <c r="G188">
        <v>1</v>
      </c>
      <c r="H188" t="s">
        <v>6314</v>
      </c>
      <c r="I188" t="s">
        <v>90</v>
      </c>
      <c r="J188" t="s">
        <v>5735</v>
      </c>
    </row>
    <row r="189" spans="1:10" ht="15" customHeight="1" x14ac:dyDescent="0.25">
      <c r="A189" t="s">
        <v>6315</v>
      </c>
      <c r="B189" t="s">
        <v>3514</v>
      </c>
      <c r="C189" t="s">
        <v>5360</v>
      </c>
      <c r="D189" t="s">
        <v>3997</v>
      </c>
      <c r="E189" t="s">
        <v>6316</v>
      </c>
      <c r="F189" t="s">
        <v>6317</v>
      </c>
      <c r="G189" t="s">
        <v>3997</v>
      </c>
      <c r="H189" t="s">
        <v>6315</v>
      </c>
      <c r="I189" t="s">
        <v>90</v>
      </c>
      <c r="J189" t="s">
        <v>6318</v>
      </c>
    </row>
    <row r="190" spans="1:10" ht="15" customHeight="1" x14ac:dyDescent="0.25">
      <c r="A190" t="s">
        <v>6319</v>
      </c>
      <c r="B190" t="s">
        <v>3514</v>
      </c>
      <c r="C190" t="s">
        <v>5805</v>
      </c>
      <c r="D190">
        <v>3</v>
      </c>
      <c r="E190" t="s">
        <v>6320</v>
      </c>
      <c r="F190" t="s">
        <v>6321</v>
      </c>
      <c r="G190">
        <v>3</v>
      </c>
      <c r="H190" t="s">
        <v>6322</v>
      </c>
      <c r="I190" t="s">
        <v>1672</v>
      </c>
    </row>
    <row r="191" spans="1:10" ht="15" customHeight="1" x14ac:dyDescent="0.25">
      <c r="A191" t="s">
        <v>6323</v>
      </c>
      <c r="B191" t="s">
        <v>3514</v>
      </c>
      <c r="C191" t="s">
        <v>5360</v>
      </c>
      <c r="D191">
        <v>1</v>
      </c>
      <c r="E191" t="s">
        <v>6324</v>
      </c>
      <c r="F191" t="s">
        <v>6324</v>
      </c>
      <c r="G191">
        <v>0</v>
      </c>
      <c r="H191" t="s">
        <v>6323</v>
      </c>
      <c r="I191" t="s">
        <v>90</v>
      </c>
      <c r="J191" t="s">
        <v>6131</v>
      </c>
    </row>
    <row r="192" spans="1:10" ht="15" customHeight="1" x14ac:dyDescent="0.25">
      <c r="A192" t="s">
        <v>6325</v>
      </c>
      <c r="B192" t="s">
        <v>41</v>
      </c>
      <c r="C192" t="s">
        <v>5722</v>
      </c>
      <c r="D192">
        <v>1</v>
      </c>
      <c r="E192" t="s">
        <v>6326</v>
      </c>
      <c r="F192" t="s">
        <v>6327</v>
      </c>
      <c r="G192">
        <v>1</v>
      </c>
      <c r="H192" t="s">
        <v>6325</v>
      </c>
      <c r="I192" t="s">
        <v>90</v>
      </c>
      <c r="J192" t="s">
        <v>5867</v>
      </c>
    </row>
    <row r="193" spans="1:10" ht="15" customHeight="1" x14ac:dyDescent="0.25">
      <c r="A193" t="s">
        <v>6328</v>
      </c>
      <c r="B193" t="s">
        <v>3502</v>
      </c>
      <c r="C193" t="s">
        <v>4597</v>
      </c>
      <c r="D193">
        <v>1</v>
      </c>
      <c r="E193" t="s">
        <v>6329</v>
      </c>
      <c r="F193" t="s">
        <v>6329</v>
      </c>
      <c r="G193">
        <v>0</v>
      </c>
      <c r="H193" t="s">
        <v>6330</v>
      </c>
      <c r="I193" t="s">
        <v>90</v>
      </c>
      <c r="J193" t="s">
        <v>5708</v>
      </c>
    </row>
    <row r="194" spans="1:10" ht="15" customHeight="1" x14ac:dyDescent="0.25">
      <c r="A194" t="s">
        <v>6331</v>
      </c>
      <c r="B194" t="s">
        <v>41</v>
      </c>
      <c r="C194" t="s">
        <v>5360</v>
      </c>
      <c r="D194">
        <v>1</v>
      </c>
      <c r="E194" t="s">
        <v>6332</v>
      </c>
      <c r="F194" t="s">
        <v>6333</v>
      </c>
      <c r="G194">
        <v>1</v>
      </c>
      <c r="H194" t="s">
        <v>6334</v>
      </c>
      <c r="I194" t="s">
        <v>90</v>
      </c>
      <c r="J194" t="s">
        <v>5999</v>
      </c>
    </row>
    <row r="195" spans="1:10" ht="15" customHeight="1" x14ac:dyDescent="0.25">
      <c r="A195" t="s">
        <v>6335</v>
      </c>
      <c r="B195" t="s">
        <v>41</v>
      </c>
      <c r="C195" t="s">
        <v>5722</v>
      </c>
      <c r="D195">
        <v>1</v>
      </c>
      <c r="E195" t="s">
        <v>6336</v>
      </c>
      <c r="F195" t="s">
        <v>6337</v>
      </c>
      <c r="G195">
        <v>1</v>
      </c>
      <c r="H195" t="s">
        <v>6338</v>
      </c>
      <c r="I195" t="s">
        <v>90</v>
      </c>
      <c r="J195" t="s">
        <v>5735</v>
      </c>
    </row>
    <row r="196" spans="1:10" ht="15" customHeight="1" x14ac:dyDescent="0.25">
      <c r="A196" t="s">
        <v>6339</v>
      </c>
      <c r="B196" t="s">
        <v>3502</v>
      </c>
      <c r="C196" t="s">
        <v>5722</v>
      </c>
      <c r="D196">
        <v>1</v>
      </c>
      <c r="E196" t="s">
        <v>6340</v>
      </c>
      <c r="F196" t="s">
        <v>6341</v>
      </c>
      <c r="G196">
        <v>1</v>
      </c>
      <c r="H196" t="s">
        <v>6339</v>
      </c>
      <c r="I196" t="s">
        <v>90</v>
      </c>
      <c r="J196" t="s">
        <v>5982</v>
      </c>
    </row>
    <row r="197" spans="1:10" ht="15" customHeight="1" x14ac:dyDescent="0.25">
      <c r="A197" t="s">
        <v>6342</v>
      </c>
      <c r="B197" t="s">
        <v>3514</v>
      </c>
      <c r="C197" t="s">
        <v>5722</v>
      </c>
      <c r="D197">
        <v>2</v>
      </c>
      <c r="E197" t="s">
        <v>6343</v>
      </c>
      <c r="F197" t="s">
        <v>6344</v>
      </c>
      <c r="G197">
        <v>2</v>
      </c>
      <c r="H197" t="s">
        <v>6342</v>
      </c>
      <c r="I197" t="s">
        <v>90</v>
      </c>
      <c r="J197" t="s">
        <v>5867</v>
      </c>
    </row>
    <row r="198" spans="1:10" ht="15" customHeight="1" x14ac:dyDescent="0.25">
      <c r="A198" t="s">
        <v>6345</v>
      </c>
      <c r="B198" t="s">
        <v>3502</v>
      </c>
      <c r="C198" t="s">
        <v>5441</v>
      </c>
      <c r="D198">
        <v>1</v>
      </c>
      <c r="E198" t="s">
        <v>5871</v>
      </c>
      <c r="F198" t="s">
        <v>5872</v>
      </c>
      <c r="G198">
        <v>1</v>
      </c>
      <c r="H198" t="s">
        <v>6345</v>
      </c>
      <c r="I198" t="s">
        <v>2361</v>
      </c>
      <c r="J198" t="s">
        <v>6006</v>
      </c>
    </row>
    <row r="199" spans="1:10" ht="15" customHeight="1" x14ac:dyDescent="0.25">
      <c r="A199" t="s">
        <v>6346</v>
      </c>
      <c r="B199" t="s">
        <v>41</v>
      </c>
      <c r="C199" t="s">
        <v>5360</v>
      </c>
      <c r="D199">
        <v>0</v>
      </c>
      <c r="E199" t="s">
        <v>6347</v>
      </c>
      <c r="F199" t="s">
        <v>6348</v>
      </c>
      <c r="G199">
        <v>0</v>
      </c>
      <c r="H199" t="s">
        <v>6346</v>
      </c>
      <c r="I199" t="s">
        <v>90</v>
      </c>
      <c r="J199" t="s">
        <v>5763</v>
      </c>
    </row>
    <row r="200" spans="1:10" ht="15" customHeight="1" x14ac:dyDescent="0.25">
      <c r="A200" t="s">
        <v>6349</v>
      </c>
      <c r="B200" t="s">
        <v>3514</v>
      </c>
      <c r="C200" t="s">
        <v>5441</v>
      </c>
      <c r="D200">
        <v>1</v>
      </c>
      <c r="E200" t="s">
        <v>5871</v>
      </c>
      <c r="F200" t="s">
        <v>5872</v>
      </c>
      <c r="G200">
        <v>1</v>
      </c>
      <c r="H200" t="s">
        <v>6349</v>
      </c>
      <c r="I200" t="s">
        <v>2361</v>
      </c>
      <c r="J200" t="s">
        <v>5919</v>
      </c>
    </row>
    <row r="201" spans="1:10" ht="15" customHeight="1" x14ac:dyDescent="0.25">
      <c r="A201" t="s">
        <v>5291</v>
      </c>
      <c r="B201" t="s">
        <v>3514</v>
      </c>
      <c r="C201" t="s">
        <v>4597</v>
      </c>
      <c r="D201">
        <v>1</v>
      </c>
      <c r="E201" t="s">
        <v>6350</v>
      </c>
      <c r="F201" t="s">
        <v>6351</v>
      </c>
      <c r="G201">
        <v>1</v>
      </c>
      <c r="H201" t="s">
        <v>5293</v>
      </c>
      <c r="I201" t="s">
        <v>90</v>
      </c>
      <c r="J201" t="s">
        <v>5992</v>
      </c>
    </row>
    <row r="202" spans="1:10" ht="15" customHeight="1" x14ac:dyDescent="0.25">
      <c r="A202" t="s">
        <v>6352</v>
      </c>
      <c r="B202" t="s">
        <v>3514</v>
      </c>
      <c r="C202" t="s">
        <v>5722</v>
      </c>
      <c r="D202" t="s">
        <v>5946</v>
      </c>
      <c r="E202" t="s">
        <v>6353</v>
      </c>
      <c r="F202" t="s">
        <v>6354</v>
      </c>
      <c r="G202" t="s">
        <v>5946</v>
      </c>
      <c r="H202" t="s">
        <v>6352</v>
      </c>
      <c r="I202" t="s">
        <v>90</v>
      </c>
      <c r="J202" t="s">
        <v>5735</v>
      </c>
    </row>
    <row r="203" spans="1:10" ht="15" customHeight="1" x14ac:dyDescent="0.25">
      <c r="A203" t="s">
        <v>6355</v>
      </c>
      <c r="B203" t="s">
        <v>3514</v>
      </c>
      <c r="C203" t="s">
        <v>5360</v>
      </c>
      <c r="D203">
        <v>1</v>
      </c>
      <c r="E203" t="s">
        <v>6356</v>
      </c>
      <c r="F203" t="s">
        <v>6356</v>
      </c>
      <c r="G203">
        <v>0</v>
      </c>
      <c r="H203" t="s">
        <v>6357</v>
      </c>
      <c r="I203" t="s">
        <v>90</v>
      </c>
      <c r="J203" t="s">
        <v>6358</v>
      </c>
    </row>
    <row r="204" spans="1:10" ht="15" customHeight="1" x14ac:dyDescent="0.25">
      <c r="A204" t="s">
        <v>6359</v>
      </c>
      <c r="B204" t="s">
        <v>41</v>
      </c>
      <c r="C204" t="s">
        <v>5722</v>
      </c>
      <c r="D204">
        <v>1</v>
      </c>
      <c r="E204" t="s">
        <v>6360</v>
      </c>
      <c r="F204" t="s">
        <v>6361</v>
      </c>
      <c r="G204">
        <v>1</v>
      </c>
      <c r="H204" t="s">
        <v>6362</v>
      </c>
      <c r="I204" t="s">
        <v>90</v>
      </c>
      <c r="J204" t="s">
        <v>5985</v>
      </c>
    </row>
    <row r="205" spans="1:10" ht="15" customHeight="1" x14ac:dyDescent="0.25">
      <c r="A205" t="s">
        <v>6363</v>
      </c>
      <c r="B205" t="s">
        <v>4297</v>
      </c>
      <c r="C205" t="s">
        <v>3656</v>
      </c>
      <c r="D205" t="s">
        <v>3997</v>
      </c>
      <c r="E205" t="s">
        <v>6088</v>
      </c>
      <c r="F205" t="s">
        <v>3458</v>
      </c>
      <c r="G205" t="s">
        <v>3997</v>
      </c>
      <c r="H205" t="s">
        <v>6363</v>
      </c>
      <c r="I205" t="s">
        <v>90</v>
      </c>
    </row>
    <row r="206" spans="1:10" ht="15" customHeight="1" x14ac:dyDescent="0.25">
      <c r="A206" t="s">
        <v>6364</v>
      </c>
      <c r="B206" t="s">
        <v>3502</v>
      </c>
      <c r="C206" t="s">
        <v>4597</v>
      </c>
      <c r="D206">
        <v>3</v>
      </c>
      <c r="E206" t="s">
        <v>6365</v>
      </c>
      <c r="F206" t="s">
        <v>6366</v>
      </c>
      <c r="G206">
        <v>3</v>
      </c>
      <c r="H206" t="s">
        <v>6367</v>
      </c>
      <c r="I206" t="s">
        <v>90</v>
      </c>
      <c r="J206" t="s">
        <v>5717</v>
      </c>
    </row>
    <row r="207" spans="1:10" ht="15" customHeight="1" x14ac:dyDescent="0.25">
      <c r="A207" t="s">
        <v>6368</v>
      </c>
      <c r="B207" t="s">
        <v>4297</v>
      </c>
      <c r="C207" t="s">
        <v>4245</v>
      </c>
      <c r="D207" t="s">
        <v>3997</v>
      </c>
      <c r="E207" t="s">
        <v>6369</v>
      </c>
      <c r="F207" t="s">
        <v>3458</v>
      </c>
      <c r="G207" t="s">
        <v>3458</v>
      </c>
      <c r="H207" t="s">
        <v>6368</v>
      </c>
      <c r="I207" t="s">
        <v>90</v>
      </c>
      <c r="J207" t="s">
        <v>5870</v>
      </c>
    </row>
    <row r="208" spans="1:10" ht="15" customHeight="1" x14ac:dyDescent="0.25">
      <c r="A208" t="s">
        <v>6370</v>
      </c>
      <c r="B208" t="s">
        <v>4297</v>
      </c>
      <c r="C208" t="s">
        <v>3656</v>
      </c>
      <c r="D208">
        <v>1</v>
      </c>
      <c r="E208" t="s">
        <v>6371</v>
      </c>
      <c r="F208" t="s">
        <v>3458</v>
      </c>
      <c r="G208" t="s">
        <v>3458</v>
      </c>
      <c r="H208" t="s">
        <v>6372</v>
      </c>
      <c r="I208" t="s">
        <v>501</v>
      </c>
      <c r="J208" t="s">
        <v>5793</v>
      </c>
    </row>
    <row r="209" spans="1:10" ht="15" customHeight="1" x14ac:dyDescent="0.25">
      <c r="A209" t="s">
        <v>4702</v>
      </c>
      <c r="B209" t="s">
        <v>41</v>
      </c>
      <c r="C209" t="s">
        <v>5722</v>
      </c>
      <c r="D209">
        <v>1</v>
      </c>
      <c r="E209" t="s">
        <v>6115</v>
      </c>
      <c r="F209" t="s">
        <v>6115</v>
      </c>
      <c r="G209">
        <v>1</v>
      </c>
      <c r="H209" t="s">
        <v>4705</v>
      </c>
      <c r="I209" t="s">
        <v>1046</v>
      </c>
      <c r="J209" t="s">
        <v>5755</v>
      </c>
    </row>
  </sheetData>
  <pageMargins left="0.7" right="0.7" top="0.75" bottom="0.75" header="0.511811023622047" footer="0.511811023622047"/>
  <pageSetup orientation="portrait" horizontalDpi="300" verticalDpi="300"/>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O171"/>
  <sheetViews>
    <sheetView topLeftCell="A111" zoomScale="70" zoomScaleNormal="70" workbookViewId="0">
      <selection activeCell="E126" sqref="E126"/>
    </sheetView>
  </sheetViews>
  <sheetFormatPr defaultColWidth="8.7109375" defaultRowHeight="15" x14ac:dyDescent="0.25"/>
  <cols>
    <col min="1" max="1" width="17.85546875" bestFit="1" customWidth="1"/>
    <col min="2" max="2" width="11.140625" customWidth="1"/>
    <col min="3" max="3" width="7.5703125" customWidth="1"/>
    <col min="4" max="4" width="8.140625" bestFit="1" customWidth="1"/>
    <col min="5" max="5" width="103.85546875" customWidth="1"/>
    <col min="6" max="6" width="63.7109375" customWidth="1"/>
    <col min="7" max="7" width="100.28515625" bestFit="1" customWidth="1"/>
    <col min="8" max="8" width="61.28515625" customWidth="1"/>
    <col min="9" max="9" width="9.5703125" customWidth="1"/>
    <col min="10" max="10" width="30" customWidth="1"/>
    <col min="11" max="11" width="16.28515625" customWidth="1"/>
    <col min="12" max="12" width="17.85546875" bestFit="1" customWidth="1"/>
    <col min="13" max="13" width="19.85546875" customWidth="1"/>
    <col min="14" max="14" width="10.7109375" customWidth="1"/>
    <col min="15" max="15" width="27.5703125" customWidth="1"/>
  </cols>
  <sheetData>
    <row r="1" spans="1:15" ht="15" customHeight="1" x14ac:dyDescent="0.25">
      <c r="A1" t="s">
        <v>165</v>
      </c>
      <c r="B1" t="s">
        <v>6</v>
      </c>
      <c r="C1" t="s">
        <v>167</v>
      </c>
      <c r="D1" t="s">
        <v>5698</v>
      </c>
      <c r="E1" t="s">
        <v>3453</v>
      </c>
      <c r="F1" t="s">
        <v>6373</v>
      </c>
      <c r="G1" t="s">
        <v>6374</v>
      </c>
      <c r="H1" t="s">
        <v>6375</v>
      </c>
      <c r="I1" t="s">
        <v>6376</v>
      </c>
      <c r="J1" t="s">
        <v>5722</v>
      </c>
      <c r="K1" t="s">
        <v>4260</v>
      </c>
      <c r="L1" t="s">
        <v>1</v>
      </c>
      <c r="M1" t="s">
        <v>6377</v>
      </c>
      <c r="N1" t="s">
        <v>6378</v>
      </c>
      <c r="O1" t="s">
        <v>170</v>
      </c>
    </row>
    <row r="2" spans="1:15" ht="15" customHeight="1" x14ac:dyDescent="0.25">
      <c r="A2" t="s">
        <v>5701</v>
      </c>
      <c r="B2" t="s">
        <v>3514</v>
      </c>
      <c r="C2" t="s">
        <v>4597</v>
      </c>
      <c r="D2">
        <v>1</v>
      </c>
      <c r="E2" t="s">
        <v>5702</v>
      </c>
      <c r="F2" t="s">
        <v>6379</v>
      </c>
      <c r="G2" t="s">
        <v>5703</v>
      </c>
      <c r="H2" t="s">
        <v>6380</v>
      </c>
      <c r="I2">
        <v>1</v>
      </c>
      <c r="J2" t="s">
        <v>3458</v>
      </c>
      <c r="K2" t="s">
        <v>5701</v>
      </c>
      <c r="L2" t="s">
        <v>90</v>
      </c>
      <c r="M2" t="s">
        <v>3458</v>
      </c>
      <c r="N2" t="s">
        <v>3458</v>
      </c>
      <c r="O2" t="s">
        <v>5704</v>
      </c>
    </row>
    <row r="3" spans="1:15" ht="15" customHeight="1" x14ac:dyDescent="0.25">
      <c r="A3" t="s">
        <v>5705</v>
      </c>
      <c r="B3" t="s">
        <v>41</v>
      </c>
      <c r="C3" t="s">
        <v>5360</v>
      </c>
      <c r="D3">
        <v>1</v>
      </c>
      <c r="E3" t="s">
        <v>5706</v>
      </c>
      <c r="F3" t="s">
        <v>6381</v>
      </c>
      <c r="G3" t="s">
        <v>5707</v>
      </c>
      <c r="H3" t="s">
        <v>6382</v>
      </c>
      <c r="I3">
        <v>1</v>
      </c>
      <c r="J3" t="s">
        <v>3458</v>
      </c>
      <c r="K3" t="s">
        <v>5705</v>
      </c>
      <c r="L3" t="s">
        <v>90</v>
      </c>
      <c r="M3" t="s">
        <v>3458</v>
      </c>
      <c r="N3" t="s">
        <v>3458</v>
      </c>
      <c r="O3" t="s">
        <v>5708</v>
      </c>
    </row>
    <row r="4" spans="1:15" ht="15" customHeight="1" x14ac:dyDescent="0.25">
      <c r="A4" t="s">
        <v>5709</v>
      </c>
      <c r="B4" t="s">
        <v>3502</v>
      </c>
      <c r="C4" t="s">
        <v>5360</v>
      </c>
      <c r="D4">
        <v>0</v>
      </c>
      <c r="E4" t="s">
        <v>5710</v>
      </c>
      <c r="F4" t="s">
        <v>6383</v>
      </c>
      <c r="G4" t="s">
        <v>5711</v>
      </c>
      <c r="H4" t="s">
        <v>6384</v>
      </c>
      <c r="I4">
        <v>0</v>
      </c>
      <c r="J4" t="s">
        <v>3458</v>
      </c>
      <c r="K4" t="s">
        <v>5709</v>
      </c>
      <c r="L4" t="s">
        <v>90</v>
      </c>
      <c r="M4" t="s">
        <v>5496</v>
      </c>
      <c r="N4" t="s">
        <v>3458</v>
      </c>
      <c r="O4" t="s">
        <v>5712</v>
      </c>
    </row>
    <row r="5" spans="1:15" ht="15" customHeight="1" x14ac:dyDescent="0.25">
      <c r="A5" t="s">
        <v>5713</v>
      </c>
      <c r="B5" t="s">
        <v>3502</v>
      </c>
      <c r="C5" t="s">
        <v>4597</v>
      </c>
      <c r="D5">
        <v>1</v>
      </c>
      <c r="E5" t="s">
        <v>5714</v>
      </c>
      <c r="F5" t="s">
        <v>6385</v>
      </c>
      <c r="G5" t="s">
        <v>5715</v>
      </c>
      <c r="H5" t="s">
        <v>6385</v>
      </c>
      <c r="I5">
        <v>1</v>
      </c>
      <c r="J5" t="s">
        <v>3458</v>
      </c>
      <c r="K5" t="s">
        <v>5716</v>
      </c>
      <c r="L5" t="s">
        <v>90</v>
      </c>
      <c r="M5" t="s">
        <v>5435</v>
      </c>
      <c r="N5" t="s">
        <v>3458</v>
      </c>
      <c r="O5" t="s">
        <v>5717</v>
      </c>
    </row>
    <row r="6" spans="1:15" ht="15" customHeight="1" x14ac:dyDescent="0.25">
      <c r="A6" t="s">
        <v>5718</v>
      </c>
      <c r="B6" t="s">
        <v>3502</v>
      </c>
      <c r="C6" t="s">
        <v>5360</v>
      </c>
      <c r="D6">
        <v>1</v>
      </c>
      <c r="E6" t="s">
        <v>5719</v>
      </c>
      <c r="F6" t="s">
        <v>6386</v>
      </c>
      <c r="G6" t="s">
        <v>5719</v>
      </c>
      <c r="H6" t="s">
        <v>6386</v>
      </c>
      <c r="I6">
        <v>0</v>
      </c>
      <c r="J6" t="s">
        <v>3458</v>
      </c>
      <c r="K6" t="s">
        <v>5718</v>
      </c>
      <c r="L6" t="s">
        <v>90</v>
      </c>
      <c r="M6" t="s">
        <v>5496</v>
      </c>
      <c r="N6" t="s">
        <v>3458</v>
      </c>
      <c r="O6" t="s">
        <v>6387</v>
      </c>
    </row>
    <row r="7" spans="1:15" ht="15" customHeight="1" x14ac:dyDescent="0.25">
      <c r="A7" t="s">
        <v>5721</v>
      </c>
      <c r="B7" t="s">
        <v>3502</v>
      </c>
      <c r="C7" t="s">
        <v>5722</v>
      </c>
      <c r="D7">
        <v>2</v>
      </c>
      <c r="E7" t="s">
        <v>6388</v>
      </c>
      <c r="F7" t="s">
        <v>6389</v>
      </c>
      <c r="G7" t="s">
        <v>6390</v>
      </c>
      <c r="H7" t="s">
        <v>6391</v>
      </c>
      <c r="I7">
        <v>2</v>
      </c>
      <c r="J7" t="s">
        <v>6392</v>
      </c>
      <c r="K7" t="s">
        <v>5725</v>
      </c>
      <c r="L7" t="s">
        <v>90</v>
      </c>
      <c r="M7" t="s">
        <v>3458</v>
      </c>
      <c r="N7" t="s">
        <v>3458</v>
      </c>
      <c r="O7" t="s">
        <v>5726</v>
      </c>
    </row>
    <row r="8" spans="1:15" ht="15" customHeight="1" x14ac:dyDescent="0.25">
      <c r="A8" t="s">
        <v>5727</v>
      </c>
      <c r="B8" t="s">
        <v>3514</v>
      </c>
      <c r="C8" t="s">
        <v>5722</v>
      </c>
      <c r="D8">
        <v>1</v>
      </c>
      <c r="E8" t="s">
        <v>6393</v>
      </c>
      <c r="F8" t="s">
        <v>6394</v>
      </c>
      <c r="G8" t="s">
        <v>6395</v>
      </c>
      <c r="H8" t="s">
        <v>6396</v>
      </c>
      <c r="I8">
        <v>1</v>
      </c>
      <c r="J8" t="s">
        <v>6397</v>
      </c>
      <c r="K8" t="s">
        <v>5730</v>
      </c>
      <c r="L8" t="s">
        <v>90</v>
      </c>
      <c r="M8" t="s">
        <v>3458</v>
      </c>
      <c r="N8" t="s">
        <v>3458</v>
      </c>
      <c r="O8" t="s">
        <v>5731</v>
      </c>
    </row>
    <row r="9" spans="1:15" ht="15" customHeight="1" x14ac:dyDescent="0.25">
      <c r="A9" t="s">
        <v>5732</v>
      </c>
      <c r="B9" t="s">
        <v>41</v>
      </c>
      <c r="C9" t="s">
        <v>5722</v>
      </c>
      <c r="D9">
        <v>0</v>
      </c>
      <c r="E9" t="s">
        <v>5733</v>
      </c>
      <c r="F9" t="s">
        <v>6398</v>
      </c>
      <c r="G9" t="s">
        <v>5734</v>
      </c>
      <c r="H9" t="s">
        <v>6399</v>
      </c>
      <c r="I9">
        <v>0</v>
      </c>
      <c r="J9" t="s">
        <v>6400</v>
      </c>
      <c r="K9" t="s">
        <v>5732</v>
      </c>
      <c r="L9" t="s">
        <v>90</v>
      </c>
      <c r="M9" t="s">
        <v>3458</v>
      </c>
      <c r="N9" t="s">
        <v>3458</v>
      </c>
      <c r="O9" t="s">
        <v>5735</v>
      </c>
    </row>
    <row r="10" spans="1:15" ht="15" customHeight="1" x14ac:dyDescent="0.25">
      <c r="A10" t="s">
        <v>5736</v>
      </c>
      <c r="B10" t="s">
        <v>41</v>
      </c>
      <c r="C10" t="s">
        <v>5360</v>
      </c>
      <c r="D10">
        <v>1</v>
      </c>
      <c r="E10" t="s">
        <v>5737</v>
      </c>
      <c r="F10" t="s">
        <v>6401</v>
      </c>
      <c r="G10" t="s">
        <v>5738</v>
      </c>
      <c r="H10" t="s">
        <v>6402</v>
      </c>
      <c r="I10">
        <v>1</v>
      </c>
      <c r="J10" t="s">
        <v>3458</v>
      </c>
      <c r="K10" t="s">
        <v>5736</v>
      </c>
      <c r="L10" t="s">
        <v>90</v>
      </c>
      <c r="M10" t="s">
        <v>3458</v>
      </c>
      <c r="N10" t="s">
        <v>3458</v>
      </c>
      <c r="O10" t="s">
        <v>5739</v>
      </c>
    </row>
    <row r="11" spans="1:15" ht="15" customHeight="1" x14ac:dyDescent="0.25">
      <c r="A11" t="s">
        <v>5740</v>
      </c>
      <c r="B11" t="s">
        <v>41</v>
      </c>
      <c r="C11" t="s">
        <v>5360</v>
      </c>
      <c r="D11">
        <v>1</v>
      </c>
      <c r="E11" t="s">
        <v>5741</v>
      </c>
      <c r="F11" t="s">
        <v>6403</v>
      </c>
      <c r="G11" t="s">
        <v>5742</v>
      </c>
      <c r="H11" t="s">
        <v>6404</v>
      </c>
      <c r="I11">
        <v>1</v>
      </c>
      <c r="J11" t="s">
        <v>3458</v>
      </c>
      <c r="K11" t="s">
        <v>5740</v>
      </c>
      <c r="L11" t="s">
        <v>90</v>
      </c>
      <c r="M11" t="s">
        <v>3458</v>
      </c>
      <c r="N11" t="s">
        <v>3458</v>
      </c>
      <c r="O11" t="s">
        <v>5743</v>
      </c>
    </row>
    <row r="12" spans="1:15" ht="15" customHeight="1" x14ac:dyDescent="0.25">
      <c r="A12" t="s">
        <v>5744</v>
      </c>
      <c r="B12" t="s">
        <v>3514</v>
      </c>
      <c r="C12" t="s">
        <v>5722</v>
      </c>
      <c r="D12">
        <v>0</v>
      </c>
      <c r="E12" t="s">
        <v>5745</v>
      </c>
      <c r="F12" t="s">
        <v>6405</v>
      </c>
      <c r="G12" t="s">
        <v>5746</v>
      </c>
      <c r="H12" t="s">
        <v>6406</v>
      </c>
      <c r="I12">
        <v>0</v>
      </c>
      <c r="J12" t="s">
        <v>6392</v>
      </c>
      <c r="K12" t="s">
        <v>5744</v>
      </c>
      <c r="L12" t="s">
        <v>90</v>
      </c>
      <c r="M12" t="s">
        <v>6407</v>
      </c>
      <c r="N12" t="s">
        <v>3458</v>
      </c>
      <c r="O12" t="s">
        <v>5747</v>
      </c>
    </row>
    <row r="13" spans="1:15" ht="15" customHeight="1" x14ac:dyDescent="0.25">
      <c r="A13" t="s">
        <v>4427</v>
      </c>
      <c r="B13" t="s">
        <v>3514</v>
      </c>
      <c r="C13" t="s">
        <v>5360</v>
      </c>
      <c r="D13">
        <v>1</v>
      </c>
      <c r="E13" t="s">
        <v>5748</v>
      </c>
      <c r="F13" t="s">
        <v>6408</v>
      </c>
      <c r="G13" t="s">
        <v>5748</v>
      </c>
      <c r="H13" t="s">
        <v>6408</v>
      </c>
      <c r="I13">
        <v>1</v>
      </c>
      <c r="J13" t="s">
        <v>6409</v>
      </c>
      <c r="K13" t="s">
        <v>4432</v>
      </c>
      <c r="L13" t="s">
        <v>1649</v>
      </c>
      <c r="M13" t="s">
        <v>3458</v>
      </c>
      <c r="N13" t="s">
        <v>3458</v>
      </c>
      <c r="O13" t="s">
        <v>6410</v>
      </c>
    </row>
    <row r="14" spans="1:15" ht="15" customHeight="1" x14ac:dyDescent="0.25">
      <c r="A14" t="s">
        <v>5750</v>
      </c>
      <c r="B14" t="s">
        <v>41</v>
      </c>
      <c r="C14" t="s">
        <v>5722</v>
      </c>
      <c r="D14">
        <v>1</v>
      </c>
      <c r="E14" t="s">
        <v>6411</v>
      </c>
      <c r="F14" t="s">
        <v>6412</v>
      </c>
      <c r="G14" t="s">
        <v>6413</v>
      </c>
      <c r="H14" t="s">
        <v>6414</v>
      </c>
      <c r="I14">
        <v>1</v>
      </c>
      <c r="J14" t="s">
        <v>6409</v>
      </c>
      <c r="K14" t="s">
        <v>5750</v>
      </c>
      <c r="L14" t="s">
        <v>90</v>
      </c>
      <c r="M14" t="s">
        <v>3458</v>
      </c>
      <c r="N14" t="s">
        <v>3458</v>
      </c>
      <c r="O14" t="s">
        <v>6415</v>
      </c>
    </row>
    <row r="15" spans="1:15" ht="15" customHeight="1" x14ac:dyDescent="0.25">
      <c r="A15" t="s">
        <v>4438</v>
      </c>
      <c r="B15" t="s">
        <v>3514</v>
      </c>
      <c r="C15" t="s">
        <v>5722</v>
      </c>
      <c r="D15">
        <v>1</v>
      </c>
      <c r="E15" t="s">
        <v>5754</v>
      </c>
      <c r="F15" t="s">
        <v>6416</v>
      </c>
      <c r="G15" t="s">
        <v>5754</v>
      </c>
      <c r="H15" t="s">
        <v>6416</v>
      </c>
      <c r="I15">
        <v>1</v>
      </c>
      <c r="J15" t="s">
        <v>6417</v>
      </c>
      <c r="K15" t="s">
        <v>4438</v>
      </c>
      <c r="L15" t="s">
        <v>1046</v>
      </c>
      <c r="M15" t="s">
        <v>5427</v>
      </c>
      <c r="N15" t="s">
        <v>3458</v>
      </c>
      <c r="O15" t="s">
        <v>5755</v>
      </c>
    </row>
    <row r="16" spans="1:15" ht="15" customHeight="1" x14ac:dyDescent="0.25">
      <c r="A16" t="s">
        <v>3521</v>
      </c>
      <c r="B16" t="s">
        <v>3502</v>
      </c>
      <c r="C16" t="s">
        <v>4597</v>
      </c>
      <c r="D16">
        <v>3</v>
      </c>
      <c r="E16" s="8" t="s">
        <v>6418</v>
      </c>
      <c r="F16" t="s">
        <v>6419</v>
      </c>
      <c r="G16" s="8" t="s">
        <v>6418</v>
      </c>
      <c r="H16" t="s">
        <v>6419</v>
      </c>
      <c r="I16">
        <v>2</v>
      </c>
      <c r="J16" t="s">
        <v>3458</v>
      </c>
      <c r="K16" t="s">
        <v>3521</v>
      </c>
      <c r="L16" t="s">
        <v>90</v>
      </c>
      <c r="M16" t="s">
        <v>3458</v>
      </c>
      <c r="N16" t="s">
        <v>3458</v>
      </c>
      <c r="O16" t="s">
        <v>6420</v>
      </c>
    </row>
    <row r="17" spans="1:15" ht="15" customHeight="1" x14ac:dyDescent="0.25">
      <c r="A17" t="s">
        <v>3443</v>
      </c>
      <c r="B17" t="s">
        <v>3546</v>
      </c>
      <c r="C17" t="s">
        <v>5722</v>
      </c>
      <c r="D17">
        <v>2</v>
      </c>
      <c r="E17" t="s">
        <v>5757</v>
      </c>
      <c r="F17" t="s">
        <v>6421</v>
      </c>
      <c r="G17" t="s">
        <v>5758</v>
      </c>
      <c r="H17" t="s">
        <v>6422</v>
      </c>
      <c r="I17">
        <v>2</v>
      </c>
      <c r="J17" t="s">
        <v>6423</v>
      </c>
      <c r="K17" t="s">
        <v>3443</v>
      </c>
      <c r="L17" t="s">
        <v>90</v>
      </c>
      <c r="M17" t="s">
        <v>3458</v>
      </c>
      <c r="N17" t="s">
        <v>3458</v>
      </c>
      <c r="O17" t="s">
        <v>5735</v>
      </c>
    </row>
    <row r="18" spans="1:15" ht="15" customHeight="1" x14ac:dyDescent="0.25">
      <c r="A18" t="s">
        <v>5759</v>
      </c>
      <c r="B18" t="s">
        <v>3514</v>
      </c>
      <c r="C18" t="s">
        <v>5360</v>
      </c>
      <c r="D18">
        <v>0</v>
      </c>
      <c r="E18" s="8" t="s">
        <v>6424</v>
      </c>
      <c r="F18" t="s">
        <v>6425</v>
      </c>
      <c r="G18" s="8" t="s">
        <v>6426</v>
      </c>
      <c r="H18" t="s">
        <v>6427</v>
      </c>
      <c r="I18" t="s">
        <v>3458</v>
      </c>
      <c r="J18" t="s">
        <v>3458</v>
      </c>
      <c r="K18" t="s">
        <v>5762</v>
      </c>
      <c r="L18" t="s">
        <v>90</v>
      </c>
      <c r="M18" t="s">
        <v>3458</v>
      </c>
      <c r="N18" t="s">
        <v>3458</v>
      </c>
      <c r="O18" t="s">
        <v>5763</v>
      </c>
    </row>
    <row r="19" spans="1:15" ht="15" customHeight="1" x14ac:dyDescent="0.25">
      <c r="A19" t="s">
        <v>5764</v>
      </c>
      <c r="B19" t="s">
        <v>41</v>
      </c>
      <c r="C19" t="s">
        <v>5722</v>
      </c>
      <c r="D19">
        <v>0</v>
      </c>
      <c r="E19" t="s">
        <v>5765</v>
      </c>
      <c r="F19" t="s">
        <v>6428</v>
      </c>
      <c r="G19" t="s">
        <v>5766</v>
      </c>
      <c r="H19" t="s">
        <v>6429</v>
      </c>
      <c r="I19">
        <v>0</v>
      </c>
      <c r="J19" t="s">
        <v>6430</v>
      </c>
      <c r="K19" t="s">
        <v>5767</v>
      </c>
      <c r="L19" t="s">
        <v>90</v>
      </c>
      <c r="M19" t="s">
        <v>3458</v>
      </c>
      <c r="N19" t="s">
        <v>3458</v>
      </c>
      <c r="O19" t="s">
        <v>5768</v>
      </c>
    </row>
    <row r="20" spans="1:15" ht="15" customHeight="1" x14ac:dyDescent="0.25">
      <c r="A20" t="s">
        <v>5773</v>
      </c>
      <c r="B20" t="s">
        <v>41</v>
      </c>
      <c r="C20" t="s">
        <v>5360</v>
      </c>
      <c r="D20">
        <v>1</v>
      </c>
      <c r="E20" t="s">
        <v>5774</v>
      </c>
      <c r="F20" t="s">
        <v>6431</v>
      </c>
      <c r="G20" t="s">
        <v>5775</v>
      </c>
      <c r="H20" t="s">
        <v>6432</v>
      </c>
      <c r="I20">
        <v>1</v>
      </c>
      <c r="J20" t="s">
        <v>3458</v>
      </c>
      <c r="K20" t="s">
        <v>5776</v>
      </c>
      <c r="L20" t="s">
        <v>90</v>
      </c>
      <c r="M20" t="s">
        <v>3458</v>
      </c>
      <c r="N20" t="s">
        <v>3458</v>
      </c>
      <c r="O20" t="s">
        <v>5777</v>
      </c>
    </row>
    <row r="21" spans="1:15" ht="15" customHeight="1" x14ac:dyDescent="0.25">
      <c r="A21" t="s">
        <v>4465</v>
      </c>
      <c r="B21" t="s">
        <v>41</v>
      </c>
      <c r="C21" t="s">
        <v>5722</v>
      </c>
      <c r="D21">
        <v>1</v>
      </c>
      <c r="E21" t="s">
        <v>5778</v>
      </c>
      <c r="F21" t="s">
        <v>6433</v>
      </c>
      <c r="G21" t="s">
        <v>5778</v>
      </c>
      <c r="H21" t="s">
        <v>6433</v>
      </c>
      <c r="I21">
        <v>1</v>
      </c>
      <c r="J21" t="s">
        <v>6417</v>
      </c>
      <c r="K21" t="s">
        <v>4468</v>
      </c>
      <c r="L21" t="s">
        <v>1104</v>
      </c>
      <c r="M21" t="s">
        <v>5468</v>
      </c>
      <c r="N21" t="s">
        <v>3458</v>
      </c>
      <c r="O21" t="s">
        <v>5755</v>
      </c>
    </row>
    <row r="22" spans="1:15" ht="15" customHeight="1" x14ac:dyDescent="0.25">
      <c r="A22" t="s">
        <v>5779</v>
      </c>
      <c r="B22" t="s">
        <v>3514</v>
      </c>
      <c r="C22" t="s">
        <v>5722</v>
      </c>
      <c r="D22">
        <v>4</v>
      </c>
      <c r="E22" s="8" t="s">
        <v>5780</v>
      </c>
      <c r="F22" t="s">
        <v>6434</v>
      </c>
      <c r="G22" s="8" t="s">
        <v>5781</v>
      </c>
      <c r="H22" t="s">
        <v>6435</v>
      </c>
      <c r="I22">
        <v>3</v>
      </c>
      <c r="J22" t="s">
        <v>6400</v>
      </c>
      <c r="K22" t="s">
        <v>5782</v>
      </c>
      <c r="L22" t="s">
        <v>90</v>
      </c>
      <c r="M22" t="s">
        <v>3458</v>
      </c>
      <c r="N22" t="s">
        <v>3458</v>
      </c>
      <c r="O22" t="s">
        <v>5763</v>
      </c>
    </row>
    <row r="23" spans="1:15" ht="15" customHeight="1" x14ac:dyDescent="0.25">
      <c r="A23" t="s">
        <v>4469</v>
      </c>
      <c r="B23" t="s">
        <v>3502</v>
      </c>
      <c r="C23" t="s">
        <v>5722</v>
      </c>
      <c r="D23">
        <v>1</v>
      </c>
      <c r="E23" t="s">
        <v>6436</v>
      </c>
      <c r="F23" t="s">
        <v>6437</v>
      </c>
      <c r="G23" t="s">
        <v>6436</v>
      </c>
      <c r="H23" t="s">
        <v>6437</v>
      </c>
      <c r="I23">
        <v>1</v>
      </c>
      <c r="J23" t="s">
        <v>6438</v>
      </c>
      <c r="K23" t="s">
        <v>4472</v>
      </c>
      <c r="L23" t="s">
        <v>1621</v>
      </c>
      <c r="M23" t="s">
        <v>5431</v>
      </c>
      <c r="N23" t="s">
        <v>5383</v>
      </c>
      <c r="O23" t="s">
        <v>5755</v>
      </c>
    </row>
    <row r="24" spans="1:15" ht="15" customHeight="1" x14ac:dyDescent="0.25">
      <c r="A24" t="s">
        <v>5784</v>
      </c>
      <c r="B24" t="s">
        <v>41</v>
      </c>
      <c r="C24" t="s">
        <v>5360</v>
      </c>
      <c r="D24">
        <v>0</v>
      </c>
      <c r="E24" t="s">
        <v>5785</v>
      </c>
      <c r="F24" t="s">
        <v>6439</v>
      </c>
      <c r="G24" t="s">
        <v>5786</v>
      </c>
      <c r="H24" t="s">
        <v>6440</v>
      </c>
      <c r="I24">
        <v>0</v>
      </c>
      <c r="J24" t="s">
        <v>3458</v>
      </c>
      <c r="K24" t="s">
        <v>5784</v>
      </c>
      <c r="L24" t="s">
        <v>90</v>
      </c>
      <c r="M24" t="s">
        <v>3458</v>
      </c>
      <c r="N24" t="s">
        <v>3458</v>
      </c>
      <c r="O24" t="s">
        <v>5772</v>
      </c>
    </row>
    <row r="25" spans="1:15" ht="15" customHeight="1" x14ac:dyDescent="0.25">
      <c r="A25" t="s">
        <v>5787</v>
      </c>
      <c r="B25" t="s">
        <v>3502</v>
      </c>
      <c r="C25" t="s">
        <v>5722</v>
      </c>
      <c r="D25">
        <v>3</v>
      </c>
      <c r="E25" t="s">
        <v>5788</v>
      </c>
      <c r="F25" t="s">
        <v>6441</v>
      </c>
      <c r="G25" t="s">
        <v>5789</v>
      </c>
      <c r="H25" t="s">
        <v>6442</v>
      </c>
      <c r="I25">
        <v>3</v>
      </c>
      <c r="J25" t="s">
        <v>6443</v>
      </c>
      <c r="K25" t="s">
        <v>5787</v>
      </c>
      <c r="L25" t="s">
        <v>90</v>
      </c>
      <c r="M25" t="s">
        <v>3458</v>
      </c>
      <c r="N25" t="s">
        <v>3458</v>
      </c>
      <c r="O25" t="s">
        <v>5735</v>
      </c>
    </row>
    <row r="26" spans="1:15" ht="15" customHeight="1" x14ac:dyDescent="0.25">
      <c r="A26" t="s">
        <v>5160</v>
      </c>
      <c r="B26" t="s">
        <v>3514</v>
      </c>
      <c r="C26" t="s">
        <v>5360</v>
      </c>
      <c r="D26">
        <v>1</v>
      </c>
      <c r="E26" s="8" t="s">
        <v>6444</v>
      </c>
      <c r="F26" t="s">
        <v>6445</v>
      </c>
      <c r="G26" s="8" t="s">
        <v>6446</v>
      </c>
      <c r="H26" t="s">
        <v>6447</v>
      </c>
      <c r="I26">
        <v>1</v>
      </c>
      <c r="J26" t="s">
        <v>3458</v>
      </c>
      <c r="K26" t="s">
        <v>5160</v>
      </c>
      <c r="L26" t="s">
        <v>90</v>
      </c>
      <c r="M26" t="s">
        <v>3458</v>
      </c>
      <c r="N26" t="s">
        <v>3458</v>
      </c>
      <c r="O26" t="s">
        <v>5717</v>
      </c>
    </row>
    <row r="27" spans="1:15" ht="15" customHeight="1" x14ac:dyDescent="0.25">
      <c r="A27" t="s">
        <v>5796</v>
      </c>
      <c r="B27" t="s">
        <v>41</v>
      </c>
      <c r="C27" t="s">
        <v>5722</v>
      </c>
      <c r="D27">
        <v>1</v>
      </c>
      <c r="E27" t="s">
        <v>6448</v>
      </c>
      <c r="F27" t="s">
        <v>6449</v>
      </c>
      <c r="G27" t="s">
        <v>6448</v>
      </c>
      <c r="H27" t="s">
        <v>6449</v>
      </c>
      <c r="I27">
        <v>0</v>
      </c>
      <c r="J27" t="s">
        <v>6450</v>
      </c>
      <c r="K27" t="s">
        <v>5798</v>
      </c>
      <c r="L27" t="s">
        <v>90</v>
      </c>
      <c r="M27" t="s">
        <v>3458</v>
      </c>
      <c r="N27" t="s">
        <v>3458</v>
      </c>
      <c r="O27" t="s">
        <v>5735</v>
      </c>
    </row>
    <row r="28" spans="1:15" ht="15" customHeight="1" x14ac:dyDescent="0.25">
      <c r="A28" t="s">
        <v>5799</v>
      </c>
      <c r="B28" t="s">
        <v>3514</v>
      </c>
      <c r="C28" t="s">
        <v>5360</v>
      </c>
      <c r="D28">
        <v>0</v>
      </c>
      <c r="E28" t="s">
        <v>5800</v>
      </c>
      <c r="F28" t="s">
        <v>6451</v>
      </c>
      <c r="G28" t="s">
        <v>5801</v>
      </c>
      <c r="H28" t="s">
        <v>6452</v>
      </c>
      <c r="I28">
        <v>0</v>
      </c>
      <c r="J28" t="s">
        <v>3458</v>
      </c>
      <c r="K28" t="s">
        <v>5802</v>
      </c>
      <c r="L28" t="s">
        <v>90</v>
      </c>
      <c r="M28" t="s">
        <v>6407</v>
      </c>
      <c r="N28" t="s">
        <v>3458</v>
      </c>
      <c r="O28" t="s">
        <v>5803</v>
      </c>
    </row>
    <row r="29" spans="1:15" ht="15" customHeight="1" x14ac:dyDescent="0.25">
      <c r="A29" t="s">
        <v>5809</v>
      </c>
      <c r="B29" t="s">
        <v>3514</v>
      </c>
      <c r="C29" t="s">
        <v>5360</v>
      </c>
      <c r="D29">
        <v>2</v>
      </c>
      <c r="E29" t="s">
        <v>5810</v>
      </c>
      <c r="F29" t="s">
        <v>6453</v>
      </c>
      <c r="G29" t="s">
        <v>5811</v>
      </c>
      <c r="H29" t="s">
        <v>6454</v>
      </c>
      <c r="I29">
        <v>2</v>
      </c>
      <c r="J29" t="s">
        <v>6455</v>
      </c>
      <c r="K29" t="s">
        <v>5812</v>
      </c>
      <c r="L29" t="s">
        <v>90</v>
      </c>
      <c r="M29" t="s">
        <v>5431</v>
      </c>
      <c r="N29" t="s">
        <v>5254</v>
      </c>
      <c r="O29" t="s">
        <v>6456</v>
      </c>
    </row>
    <row r="30" spans="1:15" ht="15" customHeight="1" x14ac:dyDescent="0.25">
      <c r="A30" t="s">
        <v>5820</v>
      </c>
      <c r="B30" t="s">
        <v>3502</v>
      </c>
      <c r="C30" t="s">
        <v>5360</v>
      </c>
      <c r="D30">
        <v>3</v>
      </c>
      <c r="E30" s="8" t="s">
        <v>5821</v>
      </c>
      <c r="F30" t="s">
        <v>6457</v>
      </c>
      <c r="G30" s="8" t="s">
        <v>5821</v>
      </c>
      <c r="H30" t="s">
        <v>6457</v>
      </c>
      <c r="I30">
        <v>2</v>
      </c>
      <c r="J30" t="s">
        <v>3458</v>
      </c>
      <c r="K30" t="s">
        <v>5822</v>
      </c>
      <c r="L30" t="s">
        <v>90</v>
      </c>
      <c r="M30" t="s">
        <v>3458</v>
      </c>
      <c r="N30" t="s">
        <v>3458</v>
      </c>
      <c r="O30" t="s">
        <v>5823</v>
      </c>
    </row>
    <row r="31" spans="1:15" ht="15" customHeight="1" x14ac:dyDescent="0.25">
      <c r="A31" t="s">
        <v>4002</v>
      </c>
      <c r="B31" t="s">
        <v>4297</v>
      </c>
      <c r="C31" t="s">
        <v>3656</v>
      </c>
      <c r="D31" t="s">
        <v>3997</v>
      </c>
      <c r="E31" s="8" t="s">
        <v>5824</v>
      </c>
      <c r="F31" t="s">
        <v>6458</v>
      </c>
      <c r="G31" s="8" t="s">
        <v>3458</v>
      </c>
      <c r="H31" t="s">
        <v>3458</v>
      </c>
      <c r="I31" t="s">
        <v>3458</v>
      </c>
      <c r="J31" t="s">
        <v>3458</v>
      </c>
      <c r="K31" t="s">
        <v>4002</v>
      </c>
      <c r="L31" t="s">
        <v>90</v>
      </c>
      <c r="M31" t="s">
        <v>5463</v>
      </c>
      <c r="N31" t="s">
        <v>3458</v>
      </c>
      <c r="O31" t="s">
        <v>6459</v>
      </c>
    </row>
    <row r="32" spans="1:15" ht="15" customHeight="1" x14ac:dyDescent="0.25">
      <c r="A32" t="s">
        <v>5826</v>
      </c>
      <c r="B32" t="s">
        <v>3514</v>
      </c>
      <c r="C32" t="s">
        <v>5360</v>
      </c>
      <c r="D32">
        <v>1</v>
      </c>
      <c r="E32" t="s">
        <v>5827</v>
      </c>
      <c r="F32" t="s">
        <v>6460</v>
      </c>
      <c r="G32" t="s">
        <v>5828</v>
      </c>
      <c r="H32" t="s">
        <v>6461</v>
      </c>
      <c r="I32">
        <v>1</v>
      </c>
      <c r="J32" t="s">
        <v>3458</v>
      </c>
      <c r="K32" t="s">
        <v>5829</v>
      </c>
      <c r="L32" t="s">
        <v>90</v>
      </c>
      <c r="M32" t="s">
        <v>5496</v>
      </c>
      <c r="N32" t="s">
        <v>3458</v>
      </c>
      <c r="O32" t="s">
        <v>5830</v>
      </c>
    </row>
    <row r="33" spans="1:15" ht="15" customHeight="1" x14ac:dyDescent="0.25">
      <c r="A33" t="s">
        <v>5170</v>
      </c>
      <c r="B33" t="s">
        <v>3502</v>
      </c>
      <c r="C33" t="s">
        <v>5360</v>
      </c>
      <c r="D33">
        <v>1</v>
      </c>
      <c r="E33" s="8" t="s">
        <v>6462</v>
      </c>
      <c r="F33" t="s">
        <v>6463</v>
      </c>
      <c r="G33" s="8" t="s">
        <v>6464</v>
      </c>
      <c r="H33" t="s">
        <v>6465</v>
      </c>
      <c r="I33">
        <v>1</v>
      </c>
      <c r="J33" t="s">
        <v>3458</v>
      </c>
      <c r="K33" t="s">
        <v>5170</v>
      </c>
      <c r="L33" t="s">
        <v>90</v>
      </c>
      <c r="M33" t="s">
        <v>3458</v>
      </c>
      <c r="N33" t="s">
        <v>3458</v>
      </c>
      <c r="O33" t="s">
        <v>5823</v>
      </c>
    </row>
    <row r="34" spans="1:15" ht="15" customHeight="1" x14ac:dyDescent="0.25">
      <c r="A34" t="s">
        <v>5833</v>
      </c>
      <c r="B34" t="s">
        <v>3514</v>
      </c>
      <c r="C34" t="s">
        <v>5360</v>
      </c>
      <c r="D34">
        <v>0</v>
      </c>
      <c r="E34" s="8" t="s">
        <v>6466</v>
      </c>
      <c r="F34" t="s">
        <v>6467</v>
      </c>
      <c r="G34" s="8" t="s">
        <v>6468</v>
      </c>
      <c r="H34" t="s">
        <v>6469</v>
      </c>
      <c r="I34">
        <v>0</v>
      </c>
      <c r="J34" t="s">
        <v>3458</v>
      </c>
      <c r="K34" t="s">
        <v>5836</v>
      </c>
      <c r="L34" t="s">
        <v>90</v>
      </c>
      <c r="M34" t="s">
        <v>3458</v>
      </c>
      <c r="N34" t="s">
        <v>3458</v>
      </c>
      <c r="O34" t="s">
        <v>5837</v>
      </c>
    </row>
    <row r="35" spans="1:15" ht="15" customHeight="1" x14ac:dyDescent="0.25">
      <c r="A35" t="s">
        <v>5840</v>
      </c>
      <c r="B35" t="s">
        <v>3514</v>
      </c>
      <c r="C35" t="s">
        <v>5722</v>
      </c>
      <c r="D35">
        <v>2</v>
      </c>
      <c r="E35" t="s">
        <v>6470</v>
      </c>
      <c r="F35" t="s">
        <v>6471</v>
      </c>
      <c r="G35" t="s">
        <v>5842</v>
      </c>
      <c r="H35" t="s">
        <v>6472</v>
      </c>
      <c r="I35">
        <v>2</v>
      </c>
      <c r="J35" t="s">
        <v>6423</v>
      </c>
      <c r="K35" t="s">
        <v>5840</v>
      </c>
      <c r="L35" t="s">
        <v>90</v>
      </c>
      <c r="M35" t="s">
        <v>5422</v>
      </c>
      <c r="N35" t="s">
        <v>3458</v>
      </c>
      <c r="O35" t="s">
        <v>5735</v>
      </c>
    </row>
    <row r="36" spans="1:15" ht="15" customHeight="1" x14ac:dyDescent="0.25">
      <c r="A36" t="s">
        <v>5843</v>
      </c>
      <c r="B36" t="s">
        <v>3514</v>
      </c>
      <c r="C36" t="s">
        <v>5360</v>
      </c>
      <c r="D36">
        <v>1</v>
      </c>
      <c r="E36" s="8" t="s">
        <v>6473</v>
      </c>
      <c r="F36" t="s">
        <v>6474</v>
      </c>
      <c r="G36" s="8" t="s">
        <v>6475</v>
      </c>
      <c r="H36" t="s">
        <v>6476</v>
      </c>
      <c r="I36">
        <v>1</v>
      </c>
      <c r="J36" t="s">
        <v>3458</v>
      </c>
      <c r="K36" t="s">
        <v>5843</v>
      </c>
      <c r="L36" t="s">
        <v>90</v>
      </c>
      <c r="M36" t="s">
        <v>5496</v>
      </c>
      <c r="N36" t="s">
        <v>3458</v>
      </c>
      <c r="O36" t="s">
        <v>6477</v>
      </c>
    </row>
    <row r="37" spans="1:15" ht="15" customHeight="1" x14ac:dyDescent="0.25">
      <c r="A37" t="s">
        <v>5846</v>
      </c>
      <c r="B37" t="s">
        <v>3514</v>
      </c>
      <c r="C37" t="s">
        <v>5722</v>
      </c>
      <c r="D37">
        <v>2</v>
      </c>
      <c r="E37" s="8" t="s">
        <v>5847</v>
      </c>
      <c r="F37" t="s">
        <v>6478</v>
      </c>
      <c r="G37" s="8" t="s">
        <v>5848</v>
      </c>
      <c r="H37" t="s">
        <v>6479</v>
      </c>
      <c r="I37">
        <v>2</v>
      </c>
      <c r="J37" t="s">
        <v>6400</v>
      </c>
      <c r="K37" t="s">
        <v>5846</v>
      </c>
      <c r="L37" t="s">
        <v>90</v>
      </c>
      <c r="M37" t="s">
        <v>3458</v>
      </c>
      <c r="N37" t="s">
        <v>3458</v>
      </c>
      <c r="O37" t="s">
        <v>5849</v>
      </c>
    </row>
    <row r="38" spans="1:15" ht="15" customHeight="1" x14ac:dyDescent="0.25">
      <c r="A38" t="s">
        <v>5850</v>
      </c>
      <c r="B38" t="s">
        <v>41</v>
      </c>
      <c r="C38" t="s">
        <v>5722</v>
      </c>
      <c r="D38">
        <v>0</v>
      </c>
      <c r="E38" s="8" t="s">
        <v>6480</v>
      </c>
      <c r="F38" t="s">
        <v>6481</v>
      </c>
      <c r="G38" s="8" t="s">
        <v>6482</v>
      </c>
      <c r="H38" t="s">
        <v>6483</v>
      </c>
      <c r="I38">
        <v>0</v>
      </c>
      <c r="J38" t="s">
        <v>6484</v>
      </c>
      <c r="K38" t="s">
        <v>5850</v>
      </c>
      <c r="L38" t="s">
        <v>90</v>
      </c>
      <c r="M38" t="s">
        <v>3458</v>
      </c>
      <c r="N38" t="s">
        <v>3458</v>
      </c>
      <c r="O38" t="s">
        <v>5735</v>
      </c>
    </row>
    <row r="39" spans="1:15" ht="15" customHeight="1" x14ac:dyDescent="0.25">
      <c r="A39" t="s">
        <v>5853</v>
      </c>
      <c r="B39" t="s">
        <v>41</v>
      </c>
      <c r="C39" t="s">
        <v>5722</v>
      </c>
      <c r="D39">
        <v>0</v>
      </c>
      <c r="E39" t="s">
        <v>5854</v>
      </c>
      <c r="F39" t="s">
        <v>6485</v>
      </c>
      <c r="G39" t="s">
        <v>5855</v>
      </c>
      <c r="H39" t="s">
        <v>6486</v>
      </c>
      <c r="I39">
        <v>0</v>
      </c>
      <c r="J39" t="s">
        <v>6484</v>
      </c>
      <c r="K39" t="s">
        <v>5853</v>
      </c>
      <c r="L39" t="s">
        <v>90</v>
      </c>
      <c r="M39" t="s">
        <v>3458</v>
      </c>
      <c r="N39" t="s">
        <v>3458</v>
      </c>
      <c r="O39" t="s">
        <v>5856</v>
      </c>
    </row>
    <row r="40" spans="1:15" ht="15" customHeight="1" x14ac:dyDescent="0.25">
      <c r="A40" t="s">
        <v>5410</v>
      </c>
      <c r="B40" t="s">
        <v>41</v>
      </c>
      <c r="C40" t="s">
        <v>5722</v>
      </c>
      <c r="D40">
        <v>1</v>
      </c>
      <c r="E40" t="s">
        <v>5857</v>
      </c>
      <c r="F40" t="s">
        <v>6487</v>
      </c>
      <c r="G40" t="s">
        <v>5858</v>
      </c>
      <c r="H40" t="s">
        <v>6488</v>
      </c>
      <c r="I40">
        <v>1</v>
      </c>
      <c r="J40" t="s">
        <v>6489</v>
      </c>
      <c r="K40" t="s">
        <v>5410</v>
      </c>
      <c r="L40" t="s">
        <v>90</v>
      </c>
      <c r="M40" t="s">
        <v>3458</v>
      </c>
      <c r="N40" t="s">
        <v>3458</v>
      </c>
      <c r="O40" t="s">
        <v>6490</v>
      </c>
    </row>
    <row r="41" spans="1:15" ht="15" customHeight="1" x14ac:dyDescent="0.25">
      <c r="A41" t="s">
        <v>5860</v>
      </c>
      <c r="B41" t="s">
        <v>41</v>
      </c>
      <c r="C41" t="s">
        <v>5360</v>
      </c>
      <c r="D41">
        <v>1</v>
      </c>
      <c r="E41" t="s">
        <v>5861</v>
      </c>
      <c r="F41" t="s">
        <v>6491</v>
      </c>
      <c r="G41" t="s">
        <v>5862</v>
      </c>
      <c r="H41" t="s">
        <v>6492</v>
      </c>
      <c r="I41">
        <v>1</v>
      </c>
      <c r="J41" t="s">
        <v>3458</v>
      </c>
      <c r="K41" t="s">
        <v>5863</v>
      </c>
      <c r="L41" t="s">
        <v>90</v>
      </c>
      <c r="M41" t="s">
        <v>3458</v>
      </c>
      <c r="N41" t="s">
        <v>3458</v>
      </c>
      <c r="O41" t="s">
        <v>5717</v>
      </c>
    </row>
    <row r="42" spans="1:15" ht="15" customHeight="1" x14ac:dyDescent="0.25">
      <c r="A42" t="s">
        <v>5864</v>
      </c>
      <c r="B42" t="s">
        <v>41</v>
      </c>
      <c r="C42" t="s">
        <v>5722</v>
      </c>
      <c r="D42">
        <v>2</v>
      </c>
      <c r="E42" s="8" t="s">
        <v>6493</v>
      </c>
      <c r="F42" t="s">
        <v>6494</v>
      </c>
      <c r="G42" s="8" t="s">
        <v>6495</v>
      </c>
      <c r="H42" t="s">
        <v>6496</v>
      </c>
      <c r="I42" t="s">
        <v>3458</v>
      </c>
      <c r="J42" t="s">
        <v>6409</v>
      </c>
      <c r="K42" t="s">
        <v>5864</v>
      </c>
      <c r="L42" t="s">
        <v>90</v>
      </c>
      <c r="M42" t="s">
        <v>3458</v>
      </c>
      <c r="N42" t="s">
        <v>3458</v>
      </c>
      <c r="O42" t="s">
        <v>5867</v>
      </c>
    </row>
    <row r="43" spans="1:15" ht="15" customHeight="1" x14ac:dyDescent="0.25">
      <c r="A43" t="s">
        <v>5868</v>
      </c>
      <c r="B43" t="s">
        <v>4297</v>
      </c>
      <c r="C43" t="s">
        <v>4245</v>
      </c>
      <c r="D43" t="s">
        <v>3997</v>
      </c>
      <c r="E43" t="s">
        <v>5869</v>
      </c>
      <c r="F43" t="s">
        <v>4215</v>
      </c>
      <c r="G43" t="s">
        <v>3458</v>
      </c>
      <c r="H43" t="s">
        <v>3458</v>
      </c>
      <c r="I43" t="s">
        <v>3458</v>
      </c>
      <c r="J43" t="s">
        <v>3458</v>
      </c>
      <c r="K43" t="s">
        <v>5868</v>
      </c>
      <c r="L43" t="s">
        <v>90</v>
      </c>
      <c r="M43" t="s">
        <v>6497</v>
      </c>
      <c r="N43" t="s">
        <v>3458</v>
      </c>
      <c r="O43" t="s">
        <v>5870</v>
      </c>
    </row>
    <row r="44" spans="1:15" ht="15" customHeight="1" x14ac:dyDescent="0.25">
      <c r="A44" t="s">
        <v>5878</v>
      </c>
      <c r="B44" t="s">
        <v>3514</v>
      </c>
      <c r="C44" t="s">
        <v>5360</v>
      </c>
      <c r="D44">
        <v>0</v>
      </c>
      <c r="E44" s="8" t="s">
        <v>6498</v>
      </c>
      <c r="F44" t="s">
        <v>6499</v>
      </c>
      <c r="G44" s="8" t="s">
        <v>6500</v>
      </c>
      <c r="H44" t="s">
        <v>6501</v>
      </c>
      <c r="I44" t="s">
        <v>3458</v>
      </c>
      <c r="J44" t="s">
        <v>3458</v>
      </c>
      <c r="K44" t="s">
        <v>5878</v>
      </c>
      <c r="L44" t="s">
        <v>90</v>
      </c>
      <c r="M44" t="s">
        <v>3458</v>
      </c>
      <c r="N44" t="s">
        <v>3458</v>
      </c>
      <c r="O44" t="s">
        <v>6502</v>
      </c>
    </row>
    <row r="45" spans="1:15" ht="15" customHeight="1" x14ac:dyDescent="0.25">
      <c r="A45" t="s">
        <v>5179</v>
      </c>
      <c r="B45" t="s">
        <v>3502</v>
      </c>
      <c r="C45" t="s">
        <v>5360</v>
      </c>
      <c r="D45">
        <v>2</v>
      </c>
      <c r="E45" s="8" t="s">
        <v>5882</v>
      </c>
      <c r="F45" t="s">
        <v>6503</v>
      </c>
      <c r="G45" s="8" t="s">
        <v>5883</v>
      </c>
      <c r="H45" t="s">
        <v>6504</v>
      </c>
      <c r="I45">
        <v>2</v>
      </c>
      <c r="J45" t="s">
        <v>6505</v>
      </c>
      <c r="K45" t="s">
        <v>5181</v>
      </c>
      <c r="L45" t="s">
        <v>90</v>
      </c>
      <c r="M45" t="s">
        <v>3458</v>
      </c>
      <c r="N45" t="s">
        <v>3458</v>
      </c>
      <c r="O45" t="s">
        <v>6506</v>
      </c>
    </row>
    <row r="46" spans="1:15" ht="15" customHeight="1" x14ac:dyDescent="0.25">
      <c r="A46" t="s">
        <v>5887</v>
      </c>
      <c r="B46" t="s">
        <v>3514</v>
      </c>
      <c r="C46" t="s">
        <v>5360</v>
      </c>
      <c r="D46">
        <v>0</v>
      </c>
      <c r="E46" s="8" t="s">
        <v>6507</v>
      </c>
      <c r="F46" t="s">
        <v>6508</v>
      </c>
      <c r="G46" s="8" t="s">
        <v>6509</v>
      </c>
      <c r="H46" t="s">
        <v>6510</v>
      </c>
      <c r="I46" t="s">
        <v>3458</v>
      </c>
      <c r="J46" t="s">
        <v>6511</v>
      </c>
      <c r="K46" t="s">
        <v>5890</v>
      </c>
      <c r="L46" t="s">
        <v>90</v>
      </c>
      <c r="M46" t="s">
        <v>5496</v>
      </c>
      <c r="N46" t="s">
        <v>3458</v>
      </c>
      <c r="O46" t="s">
        <v>6512</v>
      </c>
    </row>
    <row r="47" spans="1:15" ht="15" customHeight="1" x14ac:dyDescent="0.25">
      <c r="A47" t="s">
        <v>5892</v>
      </c>
      <c r="B47" t="s">
        <v>41</v>
      </c>
      <c r="C47" t="s">
        <v>5722</v>
      </c>
      <c r="D47">
        <v>1</v>
      </c>
      <c r="E47" t="s">
        <v>5893</v>
      </c>
      <c r="F47" t="s">
        <v>6513</v>
      </c>
      <c r="G47" t="s">
        <v>5894</v>
      </c>
      <c r="H47" t="s">
        <v>6514</v>
      </c>
      <c r="I47">
        <v>1</v>
      </c>
      <c r="J47" t="s">
        <v>6515</v>
      </c>
      <c r="K47" t="s">
        <v>5895</v>
      </c>
      <c r="L47" t="s">
        <v>90</v>
      </c>
      <c r="M47" t="s">
        <v>3458</v>
      </c>
      <c r="N47" t="s">
        <v>3458</v>
      </c>
      <c r="O47" t="s">
        <v>5896</v>
      </c>
    </row>
    <row r="48" spans="1:15" ht="15" customHeight="1" x14ac:dyDescent="0.25">
      <c r="A48" t="s">
        <v>5897</v>
      </c>
      <c r="B48" t="s">
        <v>41</v>
      </c>
      <c r="C48" t="s">
        <v>5722</v>
      </c>
      <c r="D48">
        <v>1</v>
      </c>
      <c r="E48" t="s">
        <v>5898</v>
      </c>
      <c r="F48" t="s">
        <v>6516</v>
      </c>
      <c r="G48" t="s">
        <v>5899</v>
      </c>
      <c r="H48" t="s">
        <v>6517</v>
      </c>
      <c r="I48">
        <v>1</v>
      </c>
      <c r="J48" t="s">
        <v>6417</v>
      </c>
      <c r="K48" t="s">
        <v>5900</v>
      </c>
      <c r="L48" t="s">
        <v>90</v>
      </c>
      <c r="M48" t="s">
        <v>3458</v>
      </c>
      <c r="N48" t="s">
        <v>3458</v>
      </c>
      <c r="O48" t="s">
        <v>5901</v>
      </c>
    </row>
    <row r="49" spans="1:15" ht="15" customHeight="1" x14ac:dyDescent="0.25">
      <c r="A49" t="s">
        <v>3444</v>
      </c>
      <c r="B49" t="s">
        <v>3514</v>
      </c>
      <c r="C49" t="s">
        <v>5722</v>
      </c>
      <c r="D49">
        <v>2</v>
      </c>
      <c r="E49" s="8" t="s">
        <v>5905</v>
      </c>
      <c r="F49" t="s">
        <v>6518</v>
      </c>
      <c r="G49" s="8" t="s">
        <v>5906</v>
      </c>
      <c r="H49" t="s">
        <v>6519</v>
      </c>
      <c r="I49">
        <v>2</v>
      </c>
      <c r="J49" t="s">
        <v>6392</v>
      </c>
      <c r="K49" t="s">
        <v>3444</v>
      </c>
      <c r="L49" t="s">
        <v>90</v>
      </c>
      <c r="M49" t="s">
        <v>3458</v>
      </c>
      <c r="N49" t="s">
        <v>3458</v>
      </c>
      <c r="O49" t="s">
        <v>5907</v>
      </c>
    </row>
    <row r="50" spans="1:15" ht="15" customHeight="1" x14ac:dyDescent="0.25">
      <c r="A50" t="s">
        <v>5908</v>
      </c>
      <c r="B50" t="s">
        <v>4297</v>
      </c>
      <c r="C50" t="s">
        <v>3656</v>
      </c>
      <c r="D50" t="s">
        <v>3997</v>
      </c>
      <c r="E50" s="8" t="s">
        <v>6520</v>
      </c>
      <c r="F50" t="s">
        <v>4215</v>
      </c>
      <c r="G50" s="8" t="s">
        <v>3458</v>
      </c>
      <c r="H50" t="s">
        <v>3458</v>
      </c>
      <c r="I50" t="s">
        <v>3458</v>
      </c>
      <c r="J50" t="s">
        <v>3458</v>
      </c>
      <c r="K50" t="s">
        <v>5908</v>
      </c>
      <c r="L50" t="s">
        <v>90</v>
      </c>
      <c r="M50" t="s">
        <v>5422</v>
      </c>
      <c r="N50" t="s">
        <v>3458</v>
      </c>
      <c r="O50" t="s">
        <v>6459</v>
      </c>
    </row>
    <row r="51" spans="1:15" ht="15" customHeight="1" x14ac:dyDescent="0.25">
      <c r="A51" t="s">
        <v>5910</v>
      </c>
      <c r="B51" t="s">
        <v>41</v>
      </c>
      <c r="C51" t="s">
        <v>5360</v>
      </c>
      <c r="D51">
        <v>1</v>
      </c>
      <c r="E51" s="8" t="s">
        <v>5911</v>
      </c>
      <c r="F51" t="s">
        <v>6521</v>
      </c>
      <c r="G51" s="8" t="s">
        <v>5912</v>
      </c>
      <c r="H51" t="s">
        <v>6522</v>
      </c>
      <c r="I51">
        <v>1</v>
      </c>
      <c r="J51" t="s">
        <v>3458</v>
      </c>
      <c r="K51" t="s">
        <v>5913</v>
      </c>
      <c r="L51" t="s">
        <v>90</v>
      </c>
      <c r="M51" t="s">
        <v>3458</v>
      </c>
      <c r="N51" t="s">
        <v>3458</v>
      </c>
      <c r="O51" t="s">
        <v>6456</v>
      </c>
    </row>
    <row r="52" spans="1:15" ht="15" customHeight="1" x14ac:dyDescent="0.25">
      <c r="A52" t="s">
        <v>4259</v>
      </c>
      <c r="B52" t="s">
        <v>4297</v>
      </c>
      <c r="C52" t="s">
        <v>4245</v>
      </c>
      <c r="D52" t="s">
        <v>3997</v>
      </c>
      <c r="E52" t="s">
        <v>5914</v>
      </c>
      <c r="F52" t="s">
        <v>6458</v>
      </c>
      <c r="G52" t="s">
        <v>3458</v>
      </c>
      <c r="H52" t="s">
        <v>3458</v>
      </c>
      <c r="I52" t="s">
        <v>3458</v>
      </c>
      <c r="J52" t="s">
        <v>3458</v>
      </c>
      <c r="K52" t="s">
        <v>4259</v>
      </c>
      <c r="L52" t="s">
        <v>90</v>
      </c>
      <c r="M52" t="s">
        <v>5463</v>
      </c>
      <c r="N52" t="s">
        <v>3458</v>
      </c>
      <c r="O52" t="s">
        <v>5870</v>
      </c>
    </row>
    <row r="53" spans="1:15" ht="15" customHeight="1" x14ac:dyDescent="0.25">
      <c r="A53" t="s">
        <v>6523</v>
      </c>
      <c r="B53" t="s">
        <v>3546</v>
      </c>
      <c r="C53" t="s">
        <v>5360</v>
      </c>
      <c r="D53">
        <v>1</v>
      </c>
      <c r="E53" t="s">
        <v>5916</v>
      </c>
      <c r="F53" t="s">
        <v>6524</v>
      </c>
      <c r="G53" t="s">
        <v>5917</v>
      </c>
      <c r="H53" t="s">
        <v>6525</v>
      </c>
      <c r="I53">
        <v>1</v>
      </c>
      <c r="J53" t="s">
        <v>3458</v>
      </c>
      <c r="K53" t="s">
        <v>6526</v>
      </c>
      <c r="L53" t="s">
        <v>90</v>
      </c>
      <c r="M53" t="s">
        <v>3458</v>
      </c>
      <c r="N53" t="s">
        <v>3458</v>
      </c>
      <c r="O53" t="s">
        <v>6527</v>
      </c>
    </row>
    <row r="54" spans="1:15" ht="15" customHeight="1" x14ac:dyDescent="0.25">
      <c r="A54" t="s">
        <v>6528</v>
      </c>
      <c r="B54" t="s">
        <v>3546</v>
      </c>
      <c r="C54" t="s">
        <v>5360</v>
      </c>
      <c r="D54">
        <v>1</v>
      </c>
      <c r="E54" t="s">
        <v>5916</v>
      </c>
      <c r="F54" t="s">
        <v>6524</v>
      </c>
      <c r="G54" t="s">
        <v>5917</v>
      </c>
      <c r="H54" t="s">
        <v>6525</v>
      </c>
      <c r="I54">
        <v>1</v>
      </c>
      <c r="J54" t="s">
        <v>3458</v>
      </c>
      <c r="K54" t="s">
        <v>6529</v>
      </c>
      <c r="L54" t="s">
        <v>90</v>
      </c>
      <c r="M54" t="s">
        <v>3458</v>
      </c>
      <c r="N54" t="s">
        <v>3458</v>
      </c>
      <c r="O54" t="s">
        <v>6527</v>
      </c>
    </row>
    <row r="55" spans="1:15" ht="15" customHeight="1" x14ac:dyDescent="0.25">
      <c r="A55" t="s">
        <v>5920</v>
      </c>
      <c r="B55" t="s">
        <v>41</v>
      </c>
      <c r="C55" t="s">
        <v>5360</v>
      </c>
      <c r="D55">
        <v>0</v>
      </c>
      <c r="E55" s="8" t="s">
        <v>5921</v>
      </c>
      <c r="F55" t="s">
        <v>6530</v>
      </c>
      <c r="G55" s="8" t="s">
        <v>6531</v>
      </c>
      <c r="H55" t="s">
        <v>6532</v>
      </c>
      <c r="I55">
        <v>0</v>
      </c>
      <c r="J55" t="s">
        <v>3458</v>
      </c>
      <c r="K55" t="s">
        <v>5920</v>
      </c>
      <c r="L55" t="s">
        <v>90</v>
      </c>
      <c r="M55" t="s">
        <v>3458</v>
      </c>
      <c r="N55" t="s">
        <v>3458</v>
      </c>
      <c r="O55" t="s">
        <v>5717</v>
      </c>
    </row>
    <row r="56" spans="1:15" ht="15" customHeight="1" x14ac:dyDescent="0.25">
      <c r="A56" t="s">
        <v>4582</v>
      </c>
      <c r="B56" t="s">
        <v>3514</v>
      </c>
      <c r="C56" t="s">
        <v>5722</v>
      </c>
      <c r="D56">
        <v>1</v>
      </c>
      <c r="E56" t="s">
        <v>6533</v>
      </c>
      <c r="F56" t="s">
        <v>6534</v>
      </c>
      <c r="G56" t="s">
        <v>6533</v>
      </c>
      <c r="H56" t="s">
        <v>6534</v>
      </c>
      <c r="I56">
        <v>1</v>
      </c>
      <c r="J56" t="s">
        <v>6392</v>
      </c>
      <c r="K56" t="s">
        <v>4582</v>
      </c>
      <c r="L56" t="s">
        <v>1621</v>
      </c>
      <c r="M56" t="s">
        <v>5425</v>
      </c>
      <c r="N56" t="s">
        <v>3458</v>
      </c>
      <c r="O56" t="s">
        <v>5755</v>
      </c>
    </row>
    <row r="57" spans="1:15" ht="15" customHeight="1" x14ac:dyDescent="0.25">
      <c r="A57" t="s">
        <v>5929</v>
      </c>
      <c r="B57" t="s">
        <v>3502</v>
      </c>
      <c r="C57" t="s">
        <v>5722</v>
      </c>
      <c r="D57">
        <v>1</v>
      </c>
      <c r="E57" t="s">
        <v>5930</v>
      </c>
      <c r="F57" t="s">
        <v>6535</v>
      </c>
      <c r="G57" t="s">
        <v>5931</v>
      </c>
      <c r="H57" t="s">
        <v>6536</v>
      </c>
      <c r="I57">
        <v>1</v>
      </c>
      <c r="J57" t="s">
        <v>6537</v>
      </c>
      <c r="K57" t="s">
        <v>5932</v>
      </c>
      <c r="L57" t="s">
        <v>90</v>
      </c>
      <c r="M57" t="s">
        <v>5496</v>
      </c>
      <c r="N57" t="s">
        <v>3458</v>
      </c>
      <c r="O57" t="s">
        <v>5933</v>
      </c>
    </row>
    <row r="58" spans="1:15" ht="15" customHeight="1" x14ac:dyDescent="0.25">
      <c r="A58" t="s">
        <v>5934</v>
      </c>
      <c r="B58" t="s">
        <v>3514</v>
      </c>
      <c r="C58" t="s">
        <v>5360</v>
      </c>
      <c r="D58">
        <v>1</v>
      </c>
      <c r="E58" s="8" t="s">
        <v>5935</v>
      </c>
      <c r="F58" t="s">
        <v>6538</v>
      </c>
      <c r="G58" s="8" t="s">
        <v>5936</v>
      </c>
      <c r="H58" t="s">
        <v>6539</v>
      </c>
      <c r="I58">
        <v>1</v>
      </c>
      <c r="J58" t="s">
        <v>3458</v>
      </c>
      <c r="K58" t="s">
        <v>5934</v>
      </c>
      <c r="L58" t="s">
        <v>90</v>
      </c>
      <c r="M58" t="s">
        <v>5496</v>
      </c>
      <c r="N58" t="s">
        <v>3458</v>
      </c>
      <c r="O58" t="s">
        <v>5937</v>
      </c>
    </row>
    <row r="59" spans="1:15" ht="15" customHeight="1" x14ac:dyDescent="0.25">
      <c r="A59" t="s">
        <v>5938</v>
      </c>
      <c r="B59" t="s">
        <v>3514</v>
      </c>
      <c r="C59" t="s">
        <v>5360</v>
      </c>
      <c r="D59">
        <v>1</v>
      </c>
      <c r="E59" s="8" t="s">
        <v>5939</v>
      </c>
      <c r="F59" t="s">
        <v>6540</v>
      </c>
      <c r="G59" s="8" t="s">
        <v>5939</v>
      </c>
      <c r="H59" t="s">
        <v>6540</v>
      </c>
      <c r="I59">
        <v>0</v>
      </c>
      <c r="J59" t="s">
        <v>3458</v>
      </c>
      <c r="K59" t="s">
        <v>5938</v>
      </c>
      <c r="L59" t="s">
        <v>90</v>
      </c>
      <c r="M59" t="s">
        <v>5496</v>
      </c>
      <c r="N59" t="s">
        <v>3458</v>
      </c>
      <c r="O59" t="s">
        <v>5940</v>
      </c>
    </row>
    <row r="60" spans="1:15" ht="15" customHeight="1" x14ac:dyDescent="0.25">
      <c r="A60" t="s">
        <v>5941</v>
      </c>
      <c r="B60" t="s">
        <v>41</v>
      </c>
      <c r="C60" t="s">
        <v>5360</v>
      </c>
      <c r="D60">
        <v>1</v>
      </c>
      <c r="E60" s="8" t="s">
        <v>6541</v>
      </c>
      <c r="F60" t="s">
        <v>6542</v>
      </c>
      <c r="G60" s="8" t="s">
        <v>6543</v>
      </c>
      <c r="H60" t="s">
        <v>6544</v>
      </c>
      <c r="I60">
        <v>1</v>
      </c>
      <c r="J60" t="s">
        <v>3458</v>
      </c>
      <c r="K60" t="s">
        <v>5944</v>
      </c>
      <c r="L60" t="s">
        <v>90</v>
      </c>
      <c r="M60" t="s">
        <v>3458</v>
      </c>
      <c r="N60" t="s">
        <v>3458</v>
      </c>
      <c r="O60" t="s">
        <v>5717</v>
      </c>
    </row>
    <row r="61" spans="1:15" ht="15" customHeight="1" x14ac:dyDescent="0.25">
      <c r="A61" t="s">
        <v>5945</v>
      </c>
      <c r="B61" t="s">
        <v>3502</v>
      </c>
      <c r="C61" t="s">
        <v>5360</v>
      </c>
      <c r="D61" t="s">
        <v>5946</v>
      </c>
      <c r="E61" s="8" t="s">
        <v>6545</v>
      </c>
      <c r="F61" t="s">
        <v>6546</v>
      </c>
      <c r="G61" s="8" t="s">
        <v>6547</v>
      </c>
      <c r="H61" t="s">
        <v>6548</v>
      </c>
      <c r="I61" t="s">
        <v>3458</v>
      </c>
      <c r="J61" t="s">
        <v>3458</v>
      </c>
      <c r="K61" t="s">
        <v>5945</v>
      </c>
      <c r="L61" t="s">
        <v>90</v>
      </c>
      <c r="M61" t="s">
        <v>5496</v>
      </c>
      <c r="N61" t="s">
        <v>3458</v>
      </c>
      <c r="O61" t="s">
        <v>5949</v>
      </c>
    </row>
    <row r="62" spans="1:15" ht="15" customHeight="1" x14ac:dyDescent="0.25">
      <c r="A62" t="s">
        <v>5364</v>
      </c>
      <c r="B62" t="s">
        <v>3502</v>
      </c>
      <c r="C62" t="s">
        <v>5360</v>
      </c>
      <c r="D62">
        <v>1</v>
      </c>
      <c r="E62" s="8" t="s">
        <v>5950</v>
      </c>
      <c r="F62" t="s">
        <v>6549</v>
      </c>
      <c r="G62" s="8" t="s">
        <v>5951</v>
      </c>
      <c r="H62" t="s">
        <v>6550</v>
      </c>
      <c r="I62">
        <v>1</v>
      </c>
      <c r="J62" t="s">
        <v>3458</v>
      </c>
      <c r="K62" t="s">
        <v>5366</v>
      </c>
      <c r="L62" t="s">
        <v>90</v>
      </c>
      <c r="M62" t="s">
        <v>3458</v>
      </c>
      <c r="N62" t="s">
        <v>3458</v>
      </c>
      <c r="O62" t="s">
        <v>5735</v>
      </c>
    </row>
    <row r="63" spans="1:15" ht="15" customHeight="1" x14ac:dyDescent="0.25">
      <c r="A63" t="s">
        <v>5953</v>
      </c>
      <c r="B63" t="s">
        <v>4297</v>
      </c>
      <c r="C63" t="s">
        <v>4245</v>
      </c>
      <c r="D63" t="s">
        <v>3997</v>
      </c>
      <c r="E63" t="s">
        <v>5954</v>
      </c>
      <c r="F63" t="s">
        <v>6551</v>
      </c>
      <c r="G63" t="s">
        <v>3458</v>
      </c>
      <c r="H63" t="s">
        <v>3458</v>
      </c>
      <c r="I63" t="s">
        <v>3458</v>
      </c>
      <c r="J63" t="s">
        <v>3458</v>
      </c>
      <c r="K63" t="s">
        <v>5953</v>
      </c>
      <c r="L63" t="s">
        <v>90</v>
      </c>
      <c r="M63" t="s">
        <v>5463</v>
      </c>
      <c r="N63" t="s">
        <v>3458</v>
      </c>
      <c r="O63" t="s">
        <v>5870</v>
      </c>
    </row>
    <row r="64" spans="1:15" ht="15" customHeight="1" x14ac:dyDescent="0.25">
      <c r="A64" t="s">
        <v>5955</v>
      </c>
      <c r="B64" t="s">
        <v>3514</v>
      </c>
      <c r="C64" t="s">
        <v>5722</v>
      </c>
      <c r="D64">
        <v>1</v>
      </c>
      <c r="E64" s="8" t="s">
        <v>6552</v>
      </c>
      <c r="F64" t="s">
        <v>6553</v>
      </c>
      <c r="G64" s="8" t="s">
        <v>6554</v>
      </c>
      <c r="H64" t="s">
        <v>6555</v>
      </c>
      <c r="I64">
        <v>1</v>
      </c>
      <c r="J64" t="s">
        <v>6392</v>
      </c>
      <c r="K64" t="s">
        <v>5955</v>
      </c>
      <c r="L64" t="s">
        <v>90</v>
      </c>
      <c r="M64" t="s">
        <v>3458</v>
      </c>
      <c r="N64" t="s">
        <v>3458</v>
      </c>
      <c r="O64" t="s">
        <v>5958</v>
      </c>
    </row>
    <row r="65" spans="1:15" ht="15" customHeight="1" x14ac:dyDescent="0.25">
      <c r="A65" t="s">
        <v>5963</v>
      </c>
      <c r="B65" t="s">
        <v>3514</v>
      </c>
      <c r="C65" t="s">
        <v>5360</v>
      </c>
      <c r="D65">
        <v>1</v>
      </c>
      <c r="E65" s="8" t="s">
        <v>5964</v>
      </c>
      <c r="F65" t="s">
        <v>6556</v>
      </c>
      <c r="G65" s="8" t="s">
        <v>5965</v>
      </c>
      <c r="H65" t="s">
        <v>6557</v>
      </c>
      <c r="I65">
        <v>1</v>
      </c>
      <c r="J65" t="s">
        <v>3458</v>
      </c>
      <c r="K65" t="s">
        <v>5966</v>
      </c>
      <c r="L65" t="s">
        <v>90</v>
      </c>
      <c r="M65" t="s">
        <v>3458</v>
      </c>
      <c r="N65" t="s">
        <v>3458</v>
      </c>
      <c r="O65" t="s">
        <v>5763</v>
      </c>
    </row>
    <row r="66" spans="1:15" ht="15" customHeight="1" x14ac:dyDescent="0.25">
      <c r="A66" t="s">
        <v>5967</v>
      </c>
      <c r="B66" t="s">
        <v>3514</v>
      </c>
      <c r="C66" t="s">
        <v>5722</v>
      </c>
      <c r="D66">
        <v>0</v>
      </c>
      <c r="E66" s="8" t="s">
        <v>6558</v>
      </c>
      <c r="F66" t="s">
        <v>6559</v>
      </c>
      <c r="G66" s="8" t="s">
        <v>6560</v>
      </c>
      <c r="H66" t="s">
        <v>6561</v>
      </c>
      <c r="I66">
        <v>0</v>
      </c>
      <c r="J66" t="s">
        <v>6450</v>
      </c>
      <c r="K66" t="s">
        <v>5970</v>
      </c>
      <c r="L66" t="s">
        <v>90</v>
      </c>
      <c r="M66" t="s">
        <v>5496</v>
      </c>
      <c r="N66" t="s">
        <v>3458</v>
      </c>
      <c r="O66" t="s">
        <v>5777</v>
      </c>
    </row>
    <row r="67" spans="1:15" x14ac:dyDescent="0.25">
      <c r="A67" t="s">
        <v>5971</v>
      </c>
      <c r="B67" t="s">
        <v>3514</v>
      </c>
      <c r="C67" t="s">
        <v>5360</v>
      </c>
      <c r="D67">
        <v>2</v>
      </c>
      <c r="E67" s="8" t="s">
        <v>5972</v>
      </c>
      <c r="F67" t="s">
        <v>6562</v>
      </c>
      <c r="G67" s="8" t="s">
        <v>5972</v>
      </c>
      <c r="H67" t="s">
        <v>6562</v>
      </c>
      <c r="I67">
        <v>1</v>
      </c>
      <c r="J67" t="s">
        <v>3458</v>
      </c>
      <c r="K67" t="s">
        <v>5971</v>
      </c>
      <c r="L67" t="s">
        <v>90</v>
      </c>
      <c r="M67" t="s">
        <v>3458</v>
      </c>
      <c r="N67" t="s">
        <v>3458</v>
      </c>
      <c r="O67" t="s">
        <v>5739</v>
      </c>
    </row>
    <row r="68" spans="1:15" x14ac:dyDescent="0.25">
      <c r="A68" t="s">
        <v>5196</v>
      </c>
      <c r="B68" t="s">
        <v>3502</v>
      </c>
      <c r="C68" t="s">
        <v>4597</v>
      </c>
      <c r="D68">
        <v>2</v>
      </c>
      <c r="E68" s="8" t="s">
        <v>6563</v>
      </c>
      <c r="F68" t="s">
        <v>6564</v>
      </c>
      <c r="G68" s="8" t="s">
        <v>6563</v>
      </c>
      <c r="H68" t="s">
        <v>6564</v>
      </c>
      <c r="I68">
        <v>1</v>
      </c>
      <c r="J68" t="s">
        <v>3458</v>
      </c>
      <c r="K68" t="s">
        <v>5196</v>
      </c>
      <c r="L68" t="s">
        <v>90</v>
      </c>
      <c r="M68" t="s">
        <v>3458</v>
      </c>
      <c r="N68" t="s">
        <v>3458</v>
      </c>
      <c r="O68" t="s">
        <v>6565</v>
      </c>
    </row>
    <row r="69" spans="1:15" x14ac:dyDescent="0.25">
      <c r="A69" t="s">
        <v>5974</v>
      </c>
      <c r="B69" t="s">
        <v>3514</v>
      </c>
      <c r="C69" t="s">
        <v>5360</v>
      </c>
      <c r="D69">
        <v>0</v>
      </c>
      <c r="E69" s="8" t="s">
        <v>5975</v>
      </c>
      <c r="F69" t="s">
        <v>6566</v>
      </c>
      <c r="G69" s="8" t="s">
        <v>5976</v>
      </c>
      <c r="H69" t="s">
        <v>6567</v>
      </c>
      <c r="I69">
        <v>0</v>
      </c>
      <c r="J69" t="s">
        <v>3458</v>
      </c>
      <c r="K69" t="s">
        <v>5977</v>
      </c>
      <c r="L69" t="s">
        <v>90</v>
      </c>
      <c r="M69" t="s">
        <v>3458</v>
      </c>
      <c r="N69" t="s">
        <v>3458</v>
      </c>
      <c r="O69" t="s">
        <v>5978</v>
      </c>
    </row>
    <row r="70" spans="1:15" x14ac:dyDescent="0.25">
      <c r="A70" t="s">
        <v>5979</v>
      </c>
      <c r="B70" t="s">
        <v>3514</v>
      </c>
      <c r="C70" t="s">
        <v>5722</v>
      </c>
      <c r="D70">
        <v>3</v>
      </c>
      <c r="E70" s="8" t="s">
        <v>6568</v>
      </c>
      <c r="F70" t="s">
        <v>6569</v>
      </c>
      <c r="G70" s="8" t="s">
        <v>6570</v>
      </c>
      <c r="H70" t="s">
        <v>6571</v>
      </c>
      <c r="I70">
        <v>3</v>
      </c>
      <c r="J70" t="s">
        <v>6400</v>
      </c>
      <c r="K70" t="s">
        <v>5979</v>
      </c>
      <c r="L70" t="s">
        <v>90</v>
      </c>
      <c r="M70" t="s">
        <v>3458</v>
      </c>
      <c r="N70" t="s">
        <v>3458</v>
      </c>
      <c r="O70" t="s">
        <v>5982</v>
      </c>
    </row>
    <row r="71" spans="1:15" x14ac:dyDescent="0.25">
      <c r="A71" t="s">
        <v>5198</v>
      </c>
      <c r="B71" t="s">
        <v>3514</v>
      </c>
      <c r="C71" t="s">
        <v>4597</v>
      </c>
      <c r="D71">
        <v>1</v>
      </c>
      <c r="E71" s="8" t="s">
        <v>6572</v>
      </c>
      <c r="F71" t="s">
        <v>6573</v>
      </c>
      <c r="G71" s="8" t="s">
        <v>6574</v>
      </c>
      <c r="H71" t="s">
        <v>6575</v>
      </c>
      <c r="I71">
        <v>1</v>
      </c>
      <c r="J71" t="s">
        <v>3458</v>
      </c>
      <c r="K71" t="s">
        <v>5198</v>
      </c>
      <c r="L71" t="s">
        <v>90</v>
      </c>
      <c r="M71" t="s">
        <v>3458</v>
      </c>
      <c r="N71" t="s">
        <v>3458</v>
      </c>
      <c r="O71" t="s">
        <v>5985</v>
      </c>
    </row>
    <row r="72" spans="1:15" x14ac:dyDescent="0.25">
      <c r="A72" t="s">
        <v>5986</v>
      </c>
      <c r="B72" t="s">
        <v>3502</v>
      </c>
      <c r="C72" t="s">
        <v>5360</v>
      </c>
      <c r="D72">
        <v>1</v>
      </c>
      <c r="E72" s="8" t="s">
        <v>5987</v>
      </c>
      <c r="F72" t="s">
        <v>6576</v>
      </c>
      <c r="G72" s="8" t="s">
        <v>5987</v>
      </c>
      <c r="H72" t="s">
        <v>6576</v>
      </c>
      <c r="I72">
        <v>0</v>
      </c>
      <c r="J72" t="s">
        <v>3458</v>
      </c>
      <c r="K72" t="s">
        <v>5986</v>
      </c>
      <c r="L72" t="s">
        <v>90</v>
      </c>
      <c r="M72" t="s">
        <v>5496</v>
      </c>
      <c r="N72" t="s">
        <v>3458</v>
      </c>
      <c r="O72" t="s">
        <v>5988</v>
      </c>
    </row>
    <row r="73" spans="1:15" x14ac:dyDescent="0.25">
      <c r="A73" t="s">
        <v>5989</v>
      </c>
      <c r="B73" t="s">
        <v>3514</v>
      </c>
      <c r="C73" t="s">
        <v>5360</v>
      </c>
      <c r="D73">
        <v>1</v>
      </c>
      <c r="E73" s="8" t="s">
        <v>6577</v>
      </c>
      <c r="F73" t="s">
        <v>6578</v>
      </c>
      <c r="G73" s="8" t="s">
        <v>6579</v>
      </c>
      <c r="H73" t="s">
        <v>6580</v>
      </c>
      <c r="I73">
        <v>1</v>
      </c>
      <c r="J73" t="s">
        <v>3458</v>
      </c>
      <c r="K73" t="s">
        <v>5989</v>
      </c>
      <c r="L73" t="s">
        <v>90</v>
      </c>
      <c r="M73" t="s">
        <v>3458</v>
      </c>
      <c r="N73" t="s">
        <v>3458</v>
      </c>
      <c r="O73" t="s">
        <v>5992</v>
      </c>
    </row>
    <row r="74" spans="1:15" x14ac:dyDescent="0.25">
      <c r="A74" t="s">
        <v>5993</v>
      </c>
      <c r="B74" t="s">
        <v>3502</v>
      </c>
      <c r="C74" t="s">
        <v>5722</v>
      </c>
      <c r="D74">
        <v>1</v>
      </c>
      <c r="E74" s="8" t="s">
        <v>6581</v>
      </c>
      <c r="F74" t="s">
        <v>6582</v>
      </c>
      <c r="G74" s="8" t="s">
        <v>6583</v>
      </c>
      <c r="H74" t="s">
        <v>6584</v>
      </c>
      <c r="I74" t="s">
        <v>3458</v>
      </c>
      <c r="J74" t="s">
        <v>6400</v>
      </c>
      <c r="K74" t="s">
        <v>5993</v>
      </c>
      <c r="L74" t="s">
        <v>90</v>
      </c>
      <c r="M74" t="s">
        <v>5496</v>
      </c>
      <c r="N74" t="s">
        <v>3458</v>
      </c>
      <c r="O74" t="s">
        <v>5996</v>
      </c>
    </row>
    <row r="75" spans="1:15" x14ac:dyDescent="0.25">
      <c r="A75" t="s">
        <v>5206</v>
      </c>
      <c r="B75" t="s">
        <v>3514</v>
      </c>
      <c r="C75" t="s">
        <v>4597</v>
      </c>
      <c r="D75">
        <v>1</v>
      </c>
      <c r="E75" s="8" t="s">
        <v>6585</v>
      </c>
      <c r="F75" t="s">
        <v>6586</v>
      </c>
      <c r="G75" s="8" t="s">
        <v>6587</v>
      </c>
      <c r="H75" t="s">
        <v>6588</v>
      </c>
      <c r="I75">
        <v>1</v>
      </c>
      <c r="J75" t="s">
        <v>3458</v>
      </c>
      <c r="K75" t="s">
        <v>5208</v>
      </c>
      <c r="L75" t="s">
        <v>90</v>
      </c>
      <c r="M75" t="s">
        <v>3458</v>
      </c>
      <c r="N75" t="s">
        <v>3458</v>
      </c>
      <c r="O75" t="s">
        <v>5999</v>
      </c>
    </row>
    <row r="76" spans="1:15" x14ac:dyDescent="0.25">
      <c r="A76" t="s">
        <v>6000</v>
      </c>
      <c r="B76" t="s">
        <v>3502</v>
      </c>
      <c r="C76" t="s">
        <v>5722</v>
      </c>
      <c r="D76">
        <v>2</v>
      </c>
      <c r="E76" s="8" t="s">
        <v>6589</v>
      </c>
      <c r="F76" t="s">
        <v>6590</v>
      </c>
      <c r="G76" s="8" t="s">
        <v>6591</v>
      </c>
      <c r="H76" t="s">
        <v>6592</v>
      </c>
      <c r="I76">
        <v>2</v>
      </c>
      <c r="J76" t="s">
        <v>6417</v>
      </c>
      <c r="K76" t="s">
        <v>6003</v>
      </c>
      <c r="L76" t="s">
        <v>90</v>
      </c>
      <c r="M76" t="s">
        <v>5496</v>
      </c>
      <c r="N76" t="s">
        <v>4261</v>
      </c>
      <c r="O76" t="s">
        <v>6004</v>
      </c>
    </row>
    <row r="77" spans="1:15" x14ac:dyDescent="0.25">
      <c r="A77" t="s">
        <v>6007</v>
      </c>
      <c r="B77" t="s">
        <v>3514</v>
      </c>
      <c r="C77" t="s">
        <v>5722</v>
      </c>
      <c r="D77">
        <v>1</v>
      </c>
      <c r="E77" s="8" t="s">
        <v>6593</v>
      </c>
      <c r="F77" t="s">
        <v>6594</v>
      </c>
      <c r="G77" s="8" t="s">
        <v>6595</v>
      </c>
      <c r="H77" t="s">
        <v>6596</v>
      </c>
      <c r="I77" t="s">
        <v>3458</v>
      </c>
      <c r="J77" t="s">
        <v>6392</v>
      </c>
      <c r="K77" t="s">
        <v>6007</v>
      </c>
      <c r="L77" t="s">
        <v>90</v>
      </c>
      <c r="M77" t="s">
        <v>3458</v>
      </c>
      <c r="N77" t="s">
        <v>3458</v>
      </c>
      <c r="O77" t="s">
        <v>6597</v>
      </c>
    </row>
    <row r="78" spans="1:15" x14ac:dyDescent="0.25">
      <c r="A78" t="s">
        <v>5209</v>
      </c>
      <c r="B78" t="s">
        <v>3514</v>
      </c>
      <c r="C78" t="s">
        <v>4597</v>
      </c>
      <c r="D78">
        <v>1</v>
      </c>
      <c r="E78" s="8" t="s">
        <v>6598</v>
      </c>
      <c r="F78" t="s">
        <v>6599</v>
      </c>
      <c r="G78" s="8" t="s">
        <v>6600</v>
      </c>
      <c r="H78" t="s">
        <v>6601</v>
      </c>
      <c r="I78">
        <v>1</v>
      </c>
      <c r="J78" t="s">
        <v>3458</v>
      </c>
      <c r="K78" t="s">
        <v>5211</v>
      </c>
      <c r="L78" t="s">
        <v>90</v>
      </c>
      <c r="M78" t="s">
        <v>3458</v>
      </c>
      <c r="N78" t="s">
        <v>3458</v>
      </c>
      <c r="O78" t="s">
        <v>6012</v>
      </c>
    </row>
    <row r="79" spans="1:15" x14ac:dyDescent="0.25">
      <c r="A79" t="s">
        <v>5212</v>
      </c>
      <c r="B79" t="s">
        <v>3514</v>
      </c>
      <c r="C79" t="s">
        <v>5360</v>
      </c>
      <c r="D79">
        <v>2</v>
      </c>
      <c r="E79" s="8" t="s">
        <v>6602</v>
      </c>
      <c r="F79" t="s">
        <v>6603</v>
      </c>
      <c r="G79" s="8" t="s">
        <v>6604</v>
      </c>
      <c r="H79" t="s">
        <v>6605</v>
      </c>
      <c r="I79">
        <v>2</v>
      </c>
      <c r="J79" t="s">
        <v>3458</v>
      </c>
      <c r="K79" t="s">
        <v>5214</v>
      </c>
      <c r="L79" t="s">
        <v>90</v>
      </c>
      <c r="M79" t="s">
        <v>3458</v>
      </c>
      <c r="N79" t="s">
        <v>4261</v>
      </c>
      <c r="O79" t="s">
        <v>5739</v>
      </c>
    </row>
    <row r="80" spans="1:15" x14ac:dyDescent="0.25">
      <c r="A80" t="s">
        <v>6015</v>
      </c>
      <c r="B80" t="s">
        <v>3514</v>
      </c>
      <c r="C80" t="s">
        <v>5722</v>
      </c>
      <c r="D80">
        <v>1</v>
      </c>
      <c r="E80" s="8" t="s">
        <v>6606</v>
      </c>
      <c r="F80" t="s">
        <v>6607</v>
      </c>
      <c r="G80" s="8" t="s">
        <v>6608</v>
      </c>
      <c r="H80" t="s">
        <v>6609</v>
      </c>
      <c r="I80">
        <v>1</v>
      </c>
      <c r="J80" t="s">
        <v>6417</v>
      </c>
      <c r="K80" t="s">
        <v>6015</v>
      </c>
      <c r="L80" t="s">
        <v>90</v>
      </c>
      <c r="M80" t="s">
        <v>3458</v>
      </c>
      <c r="N80" t="s">
        <v>3458</v>
      </c>
      <c r="O80" t="s">
        <v>6597</v>
      </c>
    </row>
    <row r="81" spans="1:15" x14ac:dyDescent="0.25">
      <c r="A81" t="s">
        <v>6018</v>
      </c>
      <c r="B81" t="s">
        <v>41</v>
      </c>
      <c r="C81" t="s">
        <v>5360</v>
      </c>
      <c r="D81">
        <v>0</v>
      </c>
      <c r="E81" s="8" t="s">
        <v>6610</v>
      </c>
      <c r="F81" t="s">
        <v>6611</v>
      </c>
      <c r="G81" s="8" t="s">
        <v>6612</v>
      </c>
      <c r="H81" t="s">
        <v>6613</v>
      </c>
      <c r="I81" t="s">
        <v>3458</v>
      </c>
      <c r="J81" t="s">
        <v>3458</v>
      </c>
      <c r="K81" t="s">
        <v>6018</v>
      </c>
      <c r="L81" t="s">
        <v>90</v>
      </c>
      <c r="M81" t="s">
        <v>3458</v>
      </c>
      <c r="N81" t="s">
        <v>3458</v>
      </c>
      <c r="O81" t="s">
        <v>6059</v>
      </c>
    </row>
    <row r="82" spans="1:15" x14ac:dyDescent="0.25">
      <c r="A82" t="s">
        <v>6021</v>
      </c>
      <c r="B82" t="s">
        <v>41</v>
      </c>
      <c r="C82" t="s">
        <v>5722</v>
      </c>
      <c r="D82">
        <v>1</v>
      </c>
      <c r="E82" s="8" t="s">
        <v>6614</v>
      </c>
      <c r="F82" t="s">
        <v>6615</v>
      </c>
      <c r="G82" s="8" t="s">
        <v>6616</v>
      </c>
      <c r="H82" t="s">
        <v>6617</v>
      </c>
      <c r="I82" t="s">
        <v>3458</v>
      </c>
      <c r="J82" t="s">
        <v>6392</v>
      </c>
      <c r="K82" t="s">
        <v>6024</v>
      </c>
      <c r="L82" t="s">
        <v>90</v>
      </c>
      <c r="M82" t="s">
        <v>3458</v>
      </c>
      <c r="N82" t="s">
        <v>3458</v>
      </c>
      <c r="O82" t="s">
        <v>6025</v>
      </c>
    </row>
    <row r="83" spans="1:15" x14ac:dyDescent="0.25">
      <c r="A83" t="s">
        <v>6029</v>
      </c>
      <c r="B83" t="s">
        <v>3514</v>
      </c>
      <c r="C83" t="s">
        <v>5360</v>
      </c>
      <c r="D83">
        <v>1</v>
      </c>
      <c r="E83" s="8" t="s">
        <v>6618</v>
      </c>
      <c r="F83" t="s">
        <v>6451</v>
      </c>
      <c r="G83" s="8" t="s">
        <v>6619</v>
      </c>
      <c r="H83" t="s">
        <v>6452</v>
      </c>
      <c r="I83" t="s">
        <v>3458</v>
      </c>
      <c r="J83" t="s">
        <v>3458</v>
      </c>
      <c r="K83" t="s">
        <v>6032</v>
      </c>
      <c r="L83" t="s">
        <v>90</v>
      </c>
      <c r="M83" t="s">
        <v>5422</v>
      </c>
      <c r="N83" t="s">
        <v>3458</v>
      </c>
      <c r="O83" t="s">
        <v>5739</v>
      </c>
    </row>
    <row r="84" spans="1:15" x14ac:dyDescent="0.25">
      <c r="A84" t="s">
        <v>6034</v>
      </c>
      <c r="B84" t="s">
        <v>3502</v>
      </c>
      <c r="C84" t="s">
        <v>5722</v>
      </c>
      <c r="D84">
        <v>1</v>
      </c>
      <c r="E84" s="8" t="s">
        <v>6620</v>
      </c>
      <c r="F84" t="s">
        <v>6621</v>
      </c>
      <c r="G84" s="8" t="s">
        <v>6622</v>
      </c>
      <c r="H84" t="s">
        <v>6623</v>
      </c>
      <c r="I84" t="s">
        <v>3458</v>
      </c>
      <c r="J84" t="s">
        <v>6417</v>
      </c>
      <c r="K84" t="s">
        <v>6037</v>
      </c>
      <c r="L84" t="s">
        <v>90</v>
      </c>
      <c r="M84" t="s">
        <v>3458</v>
      </c>
      <c r="N84" t="s">
        <v>3458</v>
      </c>
      <c r="O84" t="s">
        <v>5777</v>
      </c>
    </row>
    <row r="85" spans="1:15" x14ac:dyDescent="0.25">
      <c r="A85" t="s">
        <v>6038</v>
      </c>
      <c r="B85" t="s">
        <v>41</v>
      </c>
      <c r="C85" t="s">
        <v>5722</v>
      </c>
      <c r="D85">
        <v>0</v>
      </c>
      <c r="E85" s="8" t="s">
        <v>6624</v>
      </c>
      <c r="F85" t="s">
        <v>6625</v>
      </c>
      <c r="G85" s="8" t="s">
        <v>6626</v>
      </c>
      <c r="H85" t="s">
        <v>6627</v>
      </c>
      <c r="I85">
        <v>0</v>
      </c>
      <c r="J85" t="s">
        <v>6484</v>
      </c>
      <c r="K85" t="s">
        <v>6041</v>
      </c>
      <c r="L85" t="s">
        <v>90</v>
      </c>
      <c r="M85" t="s">
        <v>3458</v>
      </c>
      <c r="N85" t="s">
        <v>3458</v>
      </c>
      <c r="O85" t="s">
        <v>5768</v>
      </c>
    </row>
    <row r="86" spans="1:15" x14ac:dyDescent="0.25">
      <c r="A86" t="s">
        <v>6042</v>
      </c>
      <c r="B86" t="s">
        <v>3502</v>
      </c>
      <c r="C86" t="s">
        <v>5722</v>
      </c>
      <c r="D86">
        <v>0</v>
      </c>
      <c r="E86" s="8" t="s">
        <v>6628</v>
      </c>
      <c r="F86" t="s">
        <v>6629</v>
      </c>
      <c r="G86" s="8" t="s">
        <v>6630</v>
      </c>
      <c r="H86" t="s">
        <v>6631</v>
      </c>
      <c r="I86">
        <v>0</v>
      </c>
      <c r="J86" t="s">
        <v>6632</v>
      </c>
      <c r="K86" t="s">
        <v>6045</v>
      </c>
      <c r="L86" t="s">
        <v>90</v>
      </c>
      <c r="M86" t="s">
        <v>3458</v>
      </c>
      <c r="N86" t="s">
        <v>3458</v>
      </c>
      <c r="O86" t="s">
        <v>5896</v>
      </c>
    </row>
    <row r="87" spans="1:15" x14ac:dyDescent="0.25">
      <c r="A87" t="s">
        <v>5116</v>
      </c>
      <c r="B87" t="s">
        <v>4297</v>
      </c>
      <c r="C87" t="s">
        <v>4245</v>
      </c>
      <c r="D87" t="s">
        <v>3997</v>
      </c>
      <c r="E87" t="s">
        <v>6633</v>
      </c>
      <c r="F87" t="s">
        <v>4215</v>
      </c>
      <c r="G87" t="s">
        <v>3458</v>
      </c>
      <c r="H87" t="s">
        <v>3458</v>
      </c>
      <c r="I87" t="s">
        <v>3458</v>
      </c>
      <c r="J87" t="s">
        <v>3458</v>
      </c>
      <c r="K87" t="s">
        <v>5116</v>
      </c>
      <c r="L87" t="s">
        <v>38</v>
      </c>
      <c r="M87" t="s">
        <v>6634</v>
      </c>
      <c r="N87" t="s">
        <v>3458</v>
      </c>
    </row>
    <row r="88" spans="1:15" x14ac:dyDescent="0.25">
      <c r="A88" t="s">
        <v>5132</v>
      </c>
      <c r="B88" t="s">
        <v>4297</v>
      </c>
      <c r="C88" t="s">
        <v>4245</v>
      </c>
      <c r="D88" t="s">
        <v>3997</v>
      </c>
      <c r="E88" t="s">
        <v>6635</v>
      </c>
      <c r="F88" t="s">
        <v>6636</v>
      </c>
      <c r="G88" t="s">
        <v>3458</v>
      </c>
      <c r="H88" t="s">
        <v>3458</v>
      </c>
      <c r="I88" t="s">
        <v>3458</v>
      </c>
      <c r="J88" t="s">
        <v>3458</v>
      </c>
      <c r="K88" t="s">
        <v>5132</v>
      </c>
      <c r="L88" t="s">
        <v>38</v>
      </c>
      <c r="M88" t="s">
        <v>5463</v>
      </c>
      <c r="N88" t="s">
        <v>3458</v>
      </c>
      <c r="O88" t="s">
        <v>5870</v>
      </c>
    </row>
    <row r="89" spans="1:15" x14ac:dyDescent="0.25">
      <c r="A89" t="s">
        <v>6047</v>
      </c>
      <c r="B89" t="s">
        <v>41</v>
      </c>
      <c r="C89" t="s">
        <v>5360</v>
      </c>
      <c r="D89">
        <v>1</v>
      </c>
      <c r="E89" s="8" t="s">
        <v>6048</v>
      </c>
      <c r="F89" t="s">
        <v>6637</v>
      </c>
      <c r="G89" s="8" t="s">
        <v>6048</v>
      </c>
      <c r="H89" t="s">
        <v>6637</v>
      </c>
      <c r="I89">
        <v>0</v>
      </c>
      <c r="J89" t="s">
        <v>3458</v>
      </c>
      <c r="K89" t="s">
        <v>6047</v>
      </c>
      <c r="L89" t="s">
        <v>90</v>
      </c>
      <c r="M89" t="s">
        <v>3458</v>
      </c>
      <c r="N89" t="s">
        <v>3458</v>
      </c>
      <c r="O89" t="s">
        <v>6004</v>
      </c>
    </row>
    <row r="90" spans="1:15" x14ac:dyDescent="0.25">
      <c r="A90" t="s">
        <v>6049</v>
      </c>
      <c r="B90" t="s">
        <v>41</v>
      </c>
      <c r="C90" t="s">
        <v>5722</v>
      </c>
      <c r="D90">
        <v>1</v>
      </c>
      <c r="E90" s="8" t="s">
        <v>6050</v>
      </c>
      <c r="F90" t="s">
        <v>6638</v>
      </c>
      <c r="G90" s="8" t="s">
        <v>6051</v>
      </c>
      <c r="H90" t="s">
        <v>6639</v>
      </c>
      <c r="I90">
        <v>1</v>
      </c>
      <c r="J90" t="s">
        <v>6400</v>
      </c>
      <c r="K90" t="s">
        <v>6049</v>
      </c>
      <c r="L90" t="s">
        <v>90</v>
      </c>
      <c r="M90" t="s">
        <v>3458</v>
      </c>
      <c r="N90" t="s">
        <v>3458</v>
      </c>
      <c r="O90" t="s">
        <v>5735</v>
      </c>
    </row>
    <row r="91" spans="1:15" x14ac:dyDescent="0.25">
      <c r="A91" t="s">
        <v>6055</v>
      </c>
      <c r="B91" t="s">
        <v>41</v>
      </c>
      <c r="C91" t="s">
        <v>5722</v>
      </c>
      <c r="D91">
        <v>2</v>
      </c>
      <c r="E91" t="s">
        <v>6056</v>
      </c>
      <c r="F91" t="s">
        <v>6640</v>
      </c>
      <c r="G91" t="s">
        <v>6057</v>
      </c>
      <c r="H91" t="s">
        <v>6641</v>
      </c>
      <c r="I91">
        <v>2</v>
      </c>
      <c r="J91" t="s">
        <v>6423</v>
      </c>
      <c r="K91" t="s">
        <v>6058</v>
      </c>
      <c r="L91" t="s">
        <v>90</v>
      </c>
      <c r="M91" t="s">
        <v>3458</v>
      </c>
      <c r="N91" t="s">
        <v>3458</v>
      </c>
      <c r="O91" t="s">
        <v>6059</v>
      </c>
    </row>
    <row r="92" spans="1:15" x14ac:dyDescent="0.25">
      <c r="A92" t="s">
        <v>6060</v>
      </c>
      <c r="B92" t="s">
        <v>3514</v>
      </c>
      <c r="C92" t="s">
        <v>5722</v>
      </c>
      <c r="D92">
        <v>1</v>
      </c>
      <c r="E92" s="8" t="s">
        <v>6642</v>
      </c>
      <c r="F92" t="s">
        <v>6643</v>
      </c>
      <c r="G92" s="8" t="s">
        <v>6644</v>
      </c>
      <c r="H92" t="s">
        <v>6645</v>
      </c>
      <c r="I92">
        <v>1</v>
      </c>
      <c r="J92" t="s">
        <v>6400</v>
      </c>
      <c r="K92" t="s">
        <v>6063</v>
      </c>
      <c r="L92" t="s">
        <v>90</v>
      </c>
      <c r="M92" t="s">
        <v>3458</v>
      </c>
      <c r="N92" t="s">
        <v>3458</v>
      </c>
      <c r="O92" t="s">
        <v>6646</v>
      </c>
    </row>
    <row r="93" spans="1:15" x14ac:dyDescent="0.25">
      <c r="A93" t="s">
        <v>6064</v>
      </c>
      <c r="B93" t="s">
        <v>3514</v>
      </c>
      <c r="C93" t="s">
        <v>5722</v>
      </c>
      <c r="D93">
        <v>1</v>
      </c>
      <c r="E93" s="8" t="s">
        <v>6065</v>
      </c>
      <c r="F93" t="s">
        <v>6647</v>
      </c>
      <c r="G93" s="8" t="s">
        <v>6066</v>
      </c>
      <c r="H93" t="s">
        <v>6648</v>
      </c>
      <c r="I93">
        <v>1</v>
      </c>
      <c r="J93" t="s">
        <v>6417</v>
      </c>
      <c r="K93" t="s">
        <v>6064</v>
      </c>
      <c r="L93" t="s">
        <v>90</v>
      </c>
      <c r="M93" t="s">
        <v>3458</v>
      </c>
      <c r="N93" t="s">
        <v>5383</v>
      </c>
      <c r="O93" t="s">
        <v>6649</v>
      </c>
    </row>
    <row r="94" spans="1:15" x14ac:dyDescent="0.25">
      <c r="A94" t="s">
        <v>6067</v>
      </c>
      <c r="B94" t="s">
        <v>41</v>
      </c>
      <c r="C94" t="s">
        <v>5360</v>
      </c>
      <c r="D94">
        <v>1</v>
      </c>
      <c r="E94" s="8" t="s">
        <v>6650</v>
      </c>
      <c r="F94" t="s">
        <v>6651</v>
      </c>
      <c r="G94" s="8" t="s">
        <v>6652</v>
      </c>
      <c r="H94" t="s">
        <v>6653</v>
      </c>
      <c r="I94">
        <v>1</v>
      </c>
      <c r="J94" t="s">
        <v>3458</v>
      </c>
      <c r="K94" t="s">
        <v>6067</v>
      </c>
      <c r="L94" t="s">
        <v>90</v>
      </c>
      <c r="M94" t="s">
        <v>3458</v>
      </c>
      <c r="N94" t="s">
        <v>3458</v>
      </c>
      <c r="O94" t="s">
        <v>6070</v>
      </c>
    </row>
    <row r="95" spans="1:15" x14ac:dyDescent="0.25">
      <c r="A95" t="s">
        <v>6071</v>
      </c>
      <c r="B95" t="s">
        <v>3502</v>
      </c>
      <c r="C95" t="s">
        <v>5722</v>
      </c>
      <c r="D95">
        <v>2</v>
      </c>
      <c r="E95" s="8" t="s">
        <v>6072</v>
      </c>
      <c r="F95" t="s">
        <v>6654</v>
      </c>
      <c r="G95" s="8" t="s">
        <v>6073</v>
      </c>
      <c r="H95" t="s">
        <v>6655</v>
      </c>
      <c r="I95">
        <v>2</v>
      </c>
      <c r="J95" t="s">
        <v>6656</v>
      </c>
      <c r="K95" t="s">
        <v>6071</v>
      </c>
      <c r="L95" t="s">
        <v>90</v>
      </c>
      <c r="M95" t="s">
        <v>3458</v>
      </c>
      <c r="N95" t="s">
        <v>4261</v>
      </c>
      <c r="O95" t="s">
        <v>5859</v>
      </c>
    </row>
    <row r="96" spans="1:15" x14ac:dyDescent="0.25">
      <c r="A96" t="s">
        <v>6074</v>
      </c>
      <c r="B96" t="s">
        <v>3502</v>
      </c>
      <c r="C96" t="s">
        <v>5360</v>
      </c>
      <c r="D96">
        <v>2</v>
      </c>
      <c r="E96" s="8" t="s">
        <v>6075</v>
      </c>
      <c r="F96" t="s">
        <v>6657</v>
      </c>
      <c r="G96" s="8" t="s">
        <v>6076</v>
      </c>
      <c r="H96" t="s">
        <v>6658</v>
      </c>
      <c r="I96">
        <v>2</v>
      </c>
      <c r="J96" t="s">
        <v>3458</v>
      </c>
      <c r="K96" t="s">
        <v>6074</v>
      </c>
      <c r="L96" t="s">
        <v>90</v>
      </c>
      <c r="M96" t="s">
        <v>5496</v>
      </c>
      <c r="N96" t="s">
        <v>3458</v>
      </c>
      <c r="O96" t="s">
        <v>5999</v>
      </c>
    </row>
    <row r="97" spans="1:15" x14ac:dyDescent="0.25">
      <c r="A97" t="s">
        <v>6077</v>
      </c>
      <c r="B97" t="s">
        <v>3514</v>
      </c>
      <c r="C97" t="s">
        <v>5360</v>
      </c>
      <c r="D97">
        <v>1</v>
      </c>
      <c r="E97" s="8" t="s">
        <v>6078</v>
      </c>
      <c r="F97" t="s">
        <v>6659</v>
      </c>
      <c r="G97" s="8" t="s">
        <v>6078</v>
      </c>
      <c r="H97" t="s">
        <v>6659</v>
      </c>
      <c r="I97">
        <v>0</v>
      </c>
      <c r="J97" t="s">
        <v>3458</v>
      </c>
      <c r="K97" t="s">
        <v>6079</v>
      </c>
      <c r="L97" t="s">
        <v>90</v>
      </c>
      <c r="M97" t="s">
        <v>5496</v>
      </c>
      <c r="N97" t="s">
        <v>3458</v>
      </c>
      <c r="O97" t="s">
        <v>6080</v>
      </c>
    </row>
    <row r="98" spans="1:15" x14ac:dyDescent="0.25">
      <c r="A98" t="s">
        <v>6085</v>
      </c>
      <c r="B98" t="s">
        <v>3514</v>
      </c>
      <c r="C98" t="s">
        <v>4597</v>
      </c>
      <c r="D98">
        <v>1</v>
      </c>
      <c r="E98" t="s">
        <v>6086</v>
      </c>
      <c r="F98" t="s">
        <v>6660</v>
      </c>
      <c r="G98" t="s">
        <v>6087</v>
      </c>
      <c r="H98" t="s">
        <v>6661</v>
      </c>
      <c r="I98">
        <v>1</v>
      </c>
      <c r="J98" t="s">
        <v>3458</v>
      </c>
      <c r="K98" t="s">
        <v>6085</v>
      </c>
      <c r="L98" t="s">
        <v>90</v>
      </c>
      <c r="M98" t="s">
        <v>3458</v>
      </c>
      <c r="N98" t="s">
        <v>3458</v>
      </c>
      <c r="O98" t="s">
        <v>5927</v>
      </c>
    </row>
    <row r="99" spans="1:15" x14ac:dyDescent="0.25">
      <c r="A99" t="s">
        <v>4253</v>
      </c>
      <c r="B99" t="s">
        <v>4297</v>
      </c>
      <c r="C99" t="s">
        <v>4245</v>
      </c>
      <c r="D99" t="s">
        <v>3997</v>
      </c>
      <c r="E99" t="s">
        <v>6088</v>
      </c>
      <c r="F99" t="s">
        <v>4215</v>
      </c>
      <c r="G99" t="s">
        <v>3458</v>
      </c>
      <c r="H99" t="s">
        <v>3458</v>
      </c>
      <c r="I99" t="s">
        <v>3458</v>
      </c>
      <c r="J99" t="s">
        <v>3458</v>
      </c>
      <c r="K99" t="s">
        <v>4253</v>
      </c>
      <c r="L99" t="s">
        <v>90</v>
      </c>
      <c r="M99" t="s">
        <v>5463</v>
      </c>
      <c r="N99" t="s">
        <v>3458</v>
      </c>
      <c r="O99" t="s">
        <v>5870</v>
      </c>
    </row>
    <row r="100" spans="1:15" x14ac:dyDescent="0.25">
      <c r="A100" t="s">
        <v>6089</v>
      </c>
      <c r="B100" t="s">
        <v>3514</v>
      </c>
      <c r="C100" t="s">
        <v>5360</v>
      </c>
      <c r="D100">
        <v>0</v>
      </c>
      <c r="E100" s="8" t="s">
        <v>6090</v>
      </c>
      <c r="F100" t="s">
        <v>6662</v>
      </c>
      <c r="G100" s="8" t="s">
        <v>6091</v>
      </c>
      <c r="H100" t="s">
        <v>6663</v>
      </c>
      <c r="I100">
        <v>0</v>
      </c>
      <c r="J100" t="s">
        <v>3458</v>
      </c>
      <c r="K100" t="s">
        <v>6089</v>
      </c>
      <c r="L100" t="s">
        <v>90</v>
      </c>
      <c r="M100" t="s">
        <v>5496</v>
      </c>
      <c r="N100" t="s">
        <v>3458</v>
      </c>
      <c r="O100" t="s">
        <v>5937</v>
      </c>
    </row>
    <row r="101" spans="1:15" x14ac:dyDescent="0.25">
      <c r="A101" t="s">
        <v>6092</v>
      </c>
      <c r="B101" t="s">
        <v>41</v>
      </c>
      <c r="C101" t="s">
        <v>5722</v>
      </c>
      <c r="D101">
        <v>1</v>
      </c>
      <c r="E101" t="s">
        <v>6093</v>
      </c>
      <c r="F101" t="s">
        <v>6664</v>
      </c>
      <c r="G101" t="s">
        <v>6094</v>
      </c>
      <c r="H101" t="s">
        <v>6665</v>
      </c>
      <c r="I101">
        <v>1</v>
      </c>
      <c r="J101" t="s">
        <v>6666</v>
      </c>
      <c r="K101" t="s">
        <v>6095</v>
      </c>
      <c r="L101" t="s">
        <v>90</v>
      </c>
      <c r="M101" t="s">
        <v>3458</v>
      </c>
      <c r="N101" t="s">
        <v>3458</v>
      </c>
      <c r="O101" t="s">
        <v>6096</v>
      </c>
    </row>
    <row r="102" spans="1:15" x14ac:dyDescent="0.25">
      <c r="A102" t="s">
        <v>6107</v>
      </c>
      <c r="B102" t="s">
        <v>41</v>
      </c>
      <c r="C102" t="s">
        <v>5360</v>
      </c>
      <c r="D102">
        <v>1</v>
      </c>
      <c r="E102" t="s">
        <v>6108</v>
      </c>
      <c r="F102" t="s">
        <v>6667</v>
      </c>
      <c r="G102" t="s">
        <v>6109</v>
      </c>
      <c r="H102" t="s">
        <v>6668</v>
      </c>
      <c r="I102">
        <v>1</v>
      </c>
      <c r="J102" t="s">
        <v>3458</v>
      </c>
      <c r="K102" t="s">
        <v>6107</v>
      </c>
      <c r="L102" t="s">
        <v>90</v>
      </c>
      <c r="M102" t="s">
        <v>3458</v>
      </c>
      <c r="N102" t="s">
        <v>3458</v>
      </c>
      <c r="O102" t="s">
        <v>5819</v>
      </c>
    </row>
    <row r="103" spans="1:15" x14ac:dyDescent="0.25">
      <c r="A103" t="s">
        <v>6110</v>
      </c>
      <c r="B103" t="s">
        <v>3514</v>
      </c>
      <c r="C103" t="s">
        <v>5360</v>
      </c>
      <c r="D103">
        <v>2</v>
      </c>
      <c r="E103" s="8" t="s">
        <v>6669</v>
      </c>
      <c r="F103" t="s">
        <v>6670</v>
      </c>
      <c r="G103" s="8" t="s">
        <v>6671</v>
      </c>
      <c r="H103" t="s">
        <v>6672</v>
      </c>
      <c r="I103">
        <v>2</v>
      </c>
      <c r="J103" t="s">
        <v>3458</v>
      </c>
      <c r="K103" t="s">
        <v>6113</v>
      </c>
      <c r="L103" t="s">
        <v>90</v>
      </c>
      <c r="M103" t="s">
        <v>3458</v>
      </c>
      <c r="N103" t="s">
        <v>3458</v>
      </c>
      <c r="O103" t="s">
        <v>6114</v>
      </c>
    </row>
    <row r="104" spans="1:15" x14ac:dyDescent="0.25">
      <c r="A104" t="s">
        <v>4693</v>
      </c>
      <c r="B104" t="s">
        <v>41</v>
      </c>
      <c r="C104" t="s">
        <v>5722</v>
      </c>
      <c r="D104">
        <v>2</v>
      </c>
      <c r="E104" t="s">
        <v>6673</v>
      </c>
      <c r="F104" t="s">
        <v>6674</v>
      </c>
      <c r="G104" t="s">
        <v>6673</v>
      </c>
      <c r="H104" t="s">
        <v>6674</v>
      </c>
      <c r="I104">
        <v>2</v>
      </c>
      <c r="J104" t="s">
        <v>6675</v>
      </c>
      <c r="K104" t="s">
        <v>4696</v>
      </c>
      <c r="L104" t="s">
        <v>1046</v>
      </c>
      <c r="M104" t="s">
        <v>3458</v>
      </c>
      <c r="N104" t="s">
        <v>4261</v>
      </c>
      <c r="O104" t="s">
        <v>5755</v>
      </c>
    </row>
    <row r="105" spans="1:15" x14ac:dyDescent="0.25">
      <c r="A105" t="s">
        <v>6116</v>
      </c>
      <c r="B105" t="s">
        <v>3502</v>
      </c>
      <c r="C105" t="s">
        <v>5360</v>
      </c>
      <c r="D105">
        <v>1</v>
      </c>
      <c r="E105" s="8" t="s">
        <v>6117</v>
      </c>
      <c r="F105" t="s">
        <v>6676</v>
      </c>
      <c r="G105" s="8" t="s">
        <v>6118</v>
      </c>
      <c r="H105" t="s">
        <v>6677</v>
      </c>
      <c r="I105">
        <v>1</v>
      </c>
      <c r="J105" t="s">
        <v>3458</v>
      </c>
      <c r="K105" t="s">
        <v>6119</v>
      </c>
      <c r="L105" t="s">
        <v>90</v>
      </c>
      <c r="M105" t="s">
        <v>3458</v>
      </c>
      <c r="N105" t="s">
        <v>3458</v>
      </c>
      <c r="O105" t="s">
        <v>5927</v>
      </c>
    </row>
    <row r="106" spans="1:15" x14ac:dyDescent="0.25">
      <c r="A106" t="s">
        <v>4702</v>
      </c>
      <c r="B106" t="s">
        <v>41</v>
      </c>
      <c r="C106" t="s">
        <v>5722</v>
      </c>
      <c r="D106">
        <v>1</v>
      </c>
      <c r="E106" s="8" t="s">
        <v>6678</v>
      </c>
      <c r="F106" t="s">
        <v>6679</v>
      </c>
      <c r="G106" s="8" t="s">
        <v>6678</v>
      </c>
      <c r="H106" t="s">
        <v>6679</v>
      </c>
      <c r="I106">
        <v>1</v>
      </c>
      <c r="J106" t="s">
        <v>6417</v>
      </c>
      <c r="K106" t="s">
        <v>4705</v>
      </c>
      <c r="L106" t="s">
        <v>1046</v>
      </c>
      <c r="M106" t="s">
        <v>3458</v>
      </c>
      <c r="N106" t="s">
        <v>3458</v>
      </c>
      <c r="O106" t="s">
        <v>5755</v>
      </c>
    </row>
    <row r="107" spans="1:15" x14ac:dyDescent="0.25">
      <c r="A107" t="s">
        <v>6128</v>
      </c>
      <c r="B107" t="s">
        <v>3502</v>
      </c>
      <c r="C107" t="s">
        <v>5360</v>
      </c>
      <c r="D107" t="s">
        <v>5946</v>
      </c>
      <c r="E107" s="8" t="s">
        <v>6680</v>
      </c>
      <c r="F107" t="s">
        <v>6681</v>
      </c>
      <c r="G107" s="8" t="s">
        <v>6682</v>
      </c>
      <c r="H107" t="s">
        <v>6683</v>
      </c>
      <c r="I107" t="s">
        <v>5946</v>
      </c>
      <c r="J107" t="s">
        <v>3458</v>
      </c>
      <c r="K107" t="s">
        <v>6128</v>
      </c>
      <c r="L107" t="s">
        <v>90</v>
      </c>
      <c r="M107" t="s">
        <v>5496</v>
      </c>
      <c r="N107" t="s">
        <v>3458</v>
      </c>
      <c r="O107" t="s">
        <v>6131</v>
      </c>
    </row>
    <row r="108" spans="1:15" x14ac:dyDescent="0.25">
      <c r="A108" t="s">
        <v>6132</v>
      </c>
      <c r="B108" t="s">
        <v>3514</v>
      </c>
      <c r="C108" t="s">
        <v>5722</v>
      </c>
      <c r="D108">
        <v>0</v>
      </c>
      <c r="E108" s="8" t="s">
        <v>6133</v>
      </c>
      <c r="F108" t="s">
        <v>6684</v>
      </c>
      <c r="G108" s="8" t="s">
        <v>6134</v>
      </c>
      <c r="H108" t="s">
        <v>6685</v>
      </c>
      <c r="I108">
        <v>0</v>
      </c>
      <c r="J108" t="s">
        <v>6392</v>
      </c>
      <c r="K108" t="s">
        <v>6135</v>
      </c>
      <c r="L108" t="s">
        <v>90</v>
      </c>
      <c r="M108" t="s">
        <v>3458</v>
      </c>
      <c r="N108" t="s">
        <v>3458</v>
      </c>
      <c r="O108" t="s">
        <v>5777</v>
      </c>
    </row>
    <row r="109" spans="1:15" x14ac:dyDescent="0.25">
      <c r="A109" t="s">
        <v>5697</v>
      </c>
      <c r="B109" t="s">
        <v>3546</v>
      </c>
      <c r="C109" t="s">
        <v>5722</v>
      </c>
      <c r="D109">
        <v>0</v>
      </c>
      <c r="E109" t="s">
        <v>6145</v>
      </c>
      <c r="F109" t="s">
        <v>6686</v>
      </c>
      <c r="G109" t="s">
        <v>6146</v>
      </c>
      <c r="H109" t="s">
        <v>6687</v>
      </c>
      <c r="I109">
        <v>0</v>
      </c>
      <c r="J109" t="s">
        <v>6400</v>
      </c>
      <c r="K109" t="s">
        <v>5697</v>
      </c>
      <c r="L109" t="s">
        <v>90</v>
      </c>
      <c r="M109" t="s">
        <v>3458</v>
      </c>
      <c r="N109" t="s">
        <v>3458</v>
      </c>
      <c r="O109" t="s">
        <v>5753</v>
      </c>
    </row>
    <row r="110" spans="1:15" x14ac:dyDescent="0.25">
      <c r="A110" t="s">
        <v>6147</v>
      </c>
      <c r="B110" t="s">
        <v>3502</v>
      </c>
      <c r="C110" t="s">
        <v>5360</v>
      </c>
      <c r="D110">
        <v>3</v>
      </c>
      <c r="E110" s="8" t="s">
        <v>6688</v>
      </c>
      <c r="F110" t="s">
        <v>6689</v>
      </c>
      <c r="G110" s="8" t="s">
        <v>6688</v>
      </c>
      <c r="H110" t="s">
        <v>6689</v>
      </c>
      <c r="I110">
        <v>2</v>
      </c>
      <c r="J110" t="s">
        <v>3458</v>
      </c>
      <c r="K110" t="s">
        <v>6147</v>
      </c>
      <c r="L110" t="s">
        <v>90</v>
      </c>
      <c r="M110" t="s">
        <v>3458</v>
      </c>
      <c r="N110" t="s">
        <v>3458</v>
      </c>
      <c r="O110" t="s">
        <v>5992</v>
      </c>
    </row>
    <row r="111" spans="1:15" x14ac:dyDescent="0.25">
      <c r="A111" t="s">
        <v>6153</v>
      </c>
      <c r="B111" t="s">
        <v>3502</v>
      </c>
      <c r="C111" t="s">
        <v>5360</v>
      </c>
      <c r="D111">
        <v>0</v>
      </c>
      <c r="E111" s="8" t="s">
        <v>6154</v>
      </c>
      <c r="F111" t="s">
        <v>6690</v>
      </c>
      <c r="G111" s="8" t="s">
        <v>6155</v>
      </c>
      <c r="H111" t="s">
        <v>6691</v>
      </c>
      <c r="I111">
        <v>0</v>
      </c>
      <c r="J111" t="s">
        <v>3458</v>
      </c>
      <c r="K111" t="s">
        <v>6153</v>
      </c>
      <c r="L111" t="s">
        <v>90</v>
      </c>
      <c r="M111" t="s">
        <v>5496</v>
      </c>
      <c r="N111" t="s">
        <v>3458</v>
      </c>
      <c r="O111" t="s">
        <v>6156</v>
      </c>
    </row>
    <row r="112" spans="1:15" x14ac:dyDescent="0.25">
      <c r="A112" t="s">
        <v>6157</v>
      </c>
      <c r="B112" t="s">
        <v>41</v>
      </c>
      <c r="C112" t="s">
        <v>5360</v>
      </c>
      <c r="D112">
        <v>1</v>
      </c>
      <c r="E112" s="8" t="s">
        <v>6158</v>
      </c>
      <c r="F112" t="s">
        <v>6692</v>
      </c>
      <c r="G112" s="8" t="s">
        <v>6159</v>
      </c>
      <c r="H112" t="s">
        <v>6693</v>
      </c>
      <c r="I112">
        <v>1</v>
      </c>
      <c r="J112" t="s">
        <v>3458</v>
      </c>
      <c r="K112" t="s">
        <v>6157</v>
      </c>
      <c r="L112" t="s">
        <v>90</v>
      </c>
      <c r="M112" t="s">
        <v>3458</v>
      </c>
      <c r="N112" t="s">
        <v>3458</v>
      </c>
      <c r="O112" t="s">
        <v>5823</v>
      </c>
    </row>
    <row r="113" spans="1:15" x14ac:dyDescent="0.25">
      <c r="A113" t="s">
        <v>6160</v>
      </c>
      <c r="B113" t="s">
        <v>4297</v>
      </c>
      <c r="C113" t="s">
        <v>4245</v>
      </c>
      <c r="D113" t="s">
        <v>3997</v>
      </c>
      <c r="E113" t="s">
        <v>6161</v>
      </c>
      <c r="F113" t="s">
        <v>6694</v>
      </c>
      <c r="G113" t="s">
        <v>3458</v>
      </c>
      <c r="H113" t="s">
        <v>3458</v>
      </c>
      <c r="I113" t="s">
        <v>3458</v>
      </c>
      <c r="J113" t="s">
        <v>3458</v>
      </c>
      <c r="K113" t="s">
        <v>6160</v>
      </c>
      <c r="L113" t="s">
        <v>90</v>
      </c>
      <c r="M113" t="s">
        <v>5463</v>
      </c>
      <c r="N113" t="s">
        <v>3458</v>
      </c>
      <c r="O113" t="s">
        <v>5870</v>
      </c>
    </row>
    <row r="114" spans="1:15" x14ac:dyDescent="0.25">
      <c r="A114" t="s">
        <v>6162</v>
      </c>
      <c r="B114" t="s">
        <v>41</v>
      </c>
      <c r="C114" t="s">
        <v>5722</v>
      </c>
      <c r="D114">
        <v>2</v>
      </c>
      <c r="E114" s="8" t="s">
        <v>6163</v>
      </c>
      <c r="F114" t="s">
        <v>6695</v>
      </c>
      <c r="G114" s="8" t="s">
        <v>6164</v>
      </c>
      <c r="H114" t="s">
        <v>6696</v>
      </c>
      <c r="I114">
        <v>2</v>
      </c>
      <c r="J114" t="s">
        <v>6409</v>
      </c>
      <c r="K114" t="s">
        <v>6165</v>
      </c>
      <c r="L114" t="s">
        <v>90</v>
      </c>
      <c r="M114" t="s">
        <v>3458</v>
      </c>
      <c r="N114" t="s">
        <v>3458</v>
      </c>
      <c r="O114" t="s">
        <v>6059</v>
      </c>
    </row>
    <row r="115" spans="1:15" x14ac:dyDescent="0.25">
      <c r="A115" t="s">
        <v>6166</v>
      </c>
      <c r="B115" t="s">
        <v>3502</v>
      </c>
      <c r="C115" t="s">
        <v>5360</v>
      </c>
      <c r="D115">
        <v>1</v>
      </c>
      <c r="E115" s="8" t="s">
        <v>6167</v>
      </c>
      <c r="F115" t="s">
        <v>6697</v>
      </c>
      <c r="G115" s="8" t="s">
        <v>6167</v>
      </c>
      <c r="H115" t="s">
        <v>6697</v>
      </c>
      <c r="I115">
        <v>0</v>
      </c>
      <c r="J115" t="s">
        <v>3458</v>
      </c>
      <c r="K115" t="s">
        <v>6168</v>
      </c>
      <c r="L115" t="s">
        <v>90</v>
      </c>
      <c r="M115" t="s">
        <v>3458</v>
      </c>
      <c r="N115" t="s">
        <v>3458</v>
      </c>
      <c r="O115" t="s">
        <v>5777</v>
      </c>
    </row>
    <row r="116" spans="1:15" x14ac:dyDescent="0.25">
      <c r="A116" t="s">
        <v>6169</v>
      </c>
      <c r="B116" t="s">
        <v>41</v>
      </c>
      <c r="C116" t="s">
        <v>5360</v>
      </c>
      <c r="D116">
        <v>1</v>
      </c>
      <c r="E116" s="8" t="s">
        <v>6698</v>
      </c>
      <c r="F116" t="s">
        <v>6699</v>
      </c>
      <c r="G116" s="8" t="s">
        <v>6700</v>
      </c>
      <c r="H116" t="s">
        <v>6701</v>
      </c>
      <c r="I116">
        <v>1</v>
      </c>
      <c r="J116" t="s">
        <v>3458</v>
      </c>
      <c r="K116" t="s">
        <v>6172</v>
      </c>
      <c r="L116" t="s">
        <v>90</v>
      </c>
      <c r="M116" t="s">
        <v>5496</v>
      </c>
      <c r="N116" t="s">
        <v>3458</v>
      </c>
      <c r="O116" t="s">
        <v>6131</v>
      </c>
    </row>
    <row r="117" spans="1:15" x14ac:dyDescent="0.25">
      <c r="A117" t="s">
        <v>6173</v>
      </c>
      <c r="B117" t="s">
        <v>41</v>
      </c>
      <c r="C117" t="s">
        <v>5722</v>
      </c>
      <c r="D117">
        <v>1</v>
      </c>
      <c r="E117" s="8" t="s">
        <v>6174</v>
      </c>
      <c r="F117" t="s">
        <v>6702</v>
      </c>
      <c r="G117" s="8" t="s">
        <v>6175</v>
      </c>
      <c r="H117" t="s">
        <v>6703</v>
      </c>
      <c r="I117">
        <v>1</v>
      </c>
      <c r="J117" t="s">
        <v>6400</v>
      </c>
      <c r="K117" t="s">
        <v>6176</v>
      </c>
      <c r="L117" t="s">
        <v>90</v>
      </c>
      <c r="M117" t="s">
        <v>3458</v>
      </c>
      <c r="N117" t="s">
        <v>5254</v>
      </c>
      <c r="O117" t="s">
        <v>5753</v>
      </c>
    </row>
    <row r="118" spans="1:15" x14ac:dyDescent="0.25">
      <c r="A118" t="s">
        <v>6177</v>
      </c>
      <c r="B118" t="s">
        <v>41</v>
      </c>
      <c r="C118" t="s">
        <v>5722</v>
      </c>
      <c r="D118">
        <v>1</v>
      </c>
      <c r="E118" t="s">
        <v>6178</v>
      </c>
      <c r="F118" t="s">
        <v>6704</v>
      </c>
      <c r="G118" t="s">
        <v>6179</v>
      </c>
      <c r="H118" t="s">
        <v>6705</v>
      </c>
      <c r="I118">
        <v>1</v>
      </c>
      <c r="J118" t="s">
        <v>6409</v>
      </c>
      <c r="K118" t="s">
        <v>6180</v>
      </c>
      <c r="L118" t="s">
        <v>90</v>
      </c>
      <c r="M118" t="s">
        <v>3458</v>
      </c>
      <c r="N118" t="s">
        <v>3458</v>
      </c>
      <c r="O118" t="s">
        <v>6706</v>
      </c>
    </row>
    <row r="119" spans="1:15" x14ac:dyDescent="0.25">
      <c r="A119" t="s">
        <v>6182</v>
      </c>
      <c r="B119" t="s">
        <v>3514</v>
      </c>
      <c r="C119" t="s">
        <v>5360</v>
      </c>
      <c r="D119">
        <v>1</v>
      </c>
      <c r="E119" s="8" t="s">
        <v>6183</v>
      </c>
      <c r="F119" t="s">
        <v>6707</v>
      </c>
      <c r="G119" s="8" t="s">
        <v>6184</v>
      </c>
      <c r="H119" t="s">
        <v>6708</v>
      </c>
      <c r="I119">
        <v>1</v>
      </c>
      <c r="J119" t="s">
        <v>3458</v>
      </c>
      <c r="K119" t="s">
        <v>6185</v>
      </c>
      <c r="L119" t="s">
        <v>90</v>
      </c>
      <c r="M119" t="s">
        <v>3458</v>
      </c>
      <c r="N119" t="s">
        <v>3458</v>
      </c>
      <c r="O119" t="s">
        <v>6186</v>
      </c>
    </row>
    <row r="120" spans="1:15" x14ac:dyDescent="0.25">
      <c r="A120" t="s">
        <v>6187</v>
      </c>
      <c r="B120" t="s">
        <v>41</v>
      </c>
      <c r="C120" t="s">
        <v>5722</v>
      </c>
      <c r="D120">
        <v>2</v>
      </c>
      <c r="E120" s="8" t="s">
        <v>6709</v>
      </c>
      <c r="F120" t="s">
        <v>6710</v>
      </c>
      <c r="G120" s="8" t="s">
        <v>6711</v>
      </c>
      <c r="H120" t="s">
        <v>6712</v>
      </c>
      <c r="I120" t="s">
        <v>3458</v>
      </c>
      <c r="J120" t="s">
        <v>6392</v>
      </c>
      <c r="K120" t="s">
        <v>6187</v>
      </c>
      <c r="L120" t="s">
        <v>90</v>
      </c>
      <c r="M120" t="s">
        <v>3458</v>
      </c>
      <c r="N120" t="s">
        <v>3458</v>
      </c>
      <c r="O120" t="s">
        <v>6205</v>
      </c>
    </row>
    <row r="121" spans="1:15" x14ac:dyDescent="0.25">
      <c r="A121" t="s">
        <v>6190</v>
      </c>
      <c r="B121" t="s">
        <v>41</v>
      </c>
      <c r="C121" t="s">
        <v>5360</v>
      </c>
      <c r="D121">
        <v>0</v>
      </c>
      <c r="E121" s="8" t="s">
        <v>6191</v>
      </c>
      <c r="F121" t="s">
        <v>6713</v>
      </c>
      <c r="G121" s="8" t="s">
        <v>6192</v>
      </c>
      <c r="H121" t="s">
        <v>6714</v>
      </c>
      <c r="I121" t="s">
        <v>3458</v>
      </c>
      <c r="J121" t="s">
        <v>3458</v>
      </c>
      <c r="K121" t="s">
        <v>6190</v>
      </c>
      <c r="L121" t="s">
        <v>90</v>
      </c>
      <c r="M121" t="s">
        <v>3458</v>
      </c>
      <c r="N121" t="s">
        <v>3458</v>
      </c>
      <c r="O121" t="s">
        <v>5708</v>
      </c>
    </row>
    <row r="122" spans="1:15" x14ac:dyDescent="0.25">
      <c r="A122" t="s">
        <v>5119</v>
      </c>
      <c r="B122" t="s">
        <v>4297</v>
      </c>
      <c r="C122" t="s">
        <v>4245</v>
      </c>
      <c r="D122">
        <v>1</v>
      </c>
      <c r="E122" s="3" t="s">
        <v>6715</v>
      </c>
      <c r="F122" t="s">
        <v>6716</v>
      </c>
      <c r="G122" t="s">
        <v>3458</v>
      </c>
      <c r="H122" t="s">
        <v>3458</v>
      </c>
      <c r="I122" t="s">
        <v>3458</v>
      </c>
      <c r="J122" t="s">
        <v>3458</v>
      </c>
      <c r="K122" t="s">
        <v>5119</v>
      </c>
      <c r="L122" t="s">
        <v>90</v>
      </c>
      <c r="M122" t="s">
        <v>6407</v>
      </c>
      <c r="N122" t="s">
        <v>3458</v>
      </c>
      <c r="O122" t="s">
        <v>5870</v>
      </c>
    </row>
    <row r="123" spans="1:15" x14ac:dyDescent="0.25">
      <c r="A123" t="s">
        <v>6193</v>
      </c>
      <c r="B123" t="s">
        <v>3514</v>
      </c>
      <c r="C123" t="s">
        <v>5722</v>
      </c>
      <c r="D123">
        <v>1</v>
      </c>
      <c r="E123" s="8" t="s">
        <v>6194</v>
      </c>
      <c r="F123" t="s">
        <v>6717</v>
      </c>
      <c r="G123" s="8" t="s">
        <v>6195</v>
      </c>
      <c r="H123" t="s">
        <v>6718</v>
      </c>
      <c r="I123">
        <v>1</v>
      </c>
      <c r="J123" t="s">
        <v>6400</v>
      </c>
      <c r="K123" t="s">
        <v>6193</v>
      </c>
      <c r="L123" t="s">
        <v>90</v>
      </c>
      <c r="M123" t="s">
        <v>5496</v>
      </c>
      <c r="N123" t="s">
        <v>3458</v>
      </c>
      <c r="O123" t="s">
        <v>6004</v>
      </c>
    </row>
    <row r="124" spans="1:15" x14ac:dyDescent="0.25">
      <c r="A124" t="s">
        <v>5144</v>
      </c>
      <c r="B124" t="s">
        <v>4297</v>
      </c>
      <c r="C124" t="s">
        <v>4245</v>
      </c>
      <c r="D124" t="s">
        <v>3997</v>
      </c>
      <c r="E124" t="s">
        <v>6196</v>
      </c>
      <c r="F124" t="s">
        <v>6719</v>
      </c>
      <c r="G124" t="s">
        <v>3458</v>
      </c>
      <c r="H124" t="s">
        <v>3458</v>
      </c>
      <c r="I124" t="s">
        <v>3458</v>
      </c>
      <c r="J124" t="s">
        <v>3458</v>
      </c>
      <c r="K124" t="s">
        <v>6197</v>
      </c>
      <c r="L124" t="s">
        <v>1649</v>
      </c>
      <c r="M124" t="s">
        <v>5463</v>
      </c>
      <c r="N124" t="s">
        <v>3458</v>
      </c>
    </row>
    <row r="125" spans="1:15" x14ac:dyDescent="0.25">
      <c r="A125" t="s">
        <v>6201</v>
      </c>
      <c r="B125" t="s">
        <v>41</v>
      </c>
      <c r="C125" t="s">
        <v>5722</v>
      </c>
      <c r="D125">
        <v>1</v>
      </c>
      <c r="E125" s="8" t="s">
        <v>6202</v>
      </c>
      <c r="F125" t="s">
        <v>6720</v>
      </c>
      <c r="G125" s="8" t="s">
        <v>6203</v>
      </c>
      <c r="H125" t="s">
        <v>6721</v>
      </c>
      <c r="I125">
        <v>1</v>
      </c>
      <c r="J125" t="s">
        <v>6484</v>
      </c>
      <c r="K125" t="s">
        <v>6204</v>
      </c>
      <c r="L125" t="s">
        <v>90</v>
      </c>
      <c r="M125" t="s">
        <v>3458</v>
      </c>
      <c r="N125" t="s">
        <v>3458</v>
      </c>
      <c r="O125" t="s">
        <v>6205</v>
      </c>
    </row>
    <row r="126" spans="1:15" x14ac:dyDescent="0.25">
      <c r="A126" t="s">
        <v>5362</v>
      </c>
      <c r="B126" t="s">
        <v>3514</v>
      </c>
      <c r="C126" t="s">
        <v>5360</v>
      </c>
      <c r="D126">
        <v>0</v>
      </c>
      <c r="E126" s="8" t="s">
        <v>6206</v>
      </c>
      <c r="F126" t="s">
        <v>6722</v>
      </c>
      <c r="G126" s="8" t="s">
        <v>6207</v>
      </c>
      <c r="H126" t="s">
        <v>6723</v>
      </c>
      <c r="I126">
        <v>0</v>
      </c>
      <c r="J126" t="s">
        <v>3458</v>
      </c>
      <c r="K126" t="s">
        <v>5362</v>
      </c>
      <c r="L126" t="s">
        <v>90</v>
      </c>
      <c r="M126" t="s">
        <v>3458</v>
      </c>
      <c r="N126" t="s">
        <v>3458</v>
      </c>
      <c r="O126" t="s">
        <v>5739</v>
      </c>
    </row>
    <row r="127" spans="1:15" x14ac:dyDescent="0.25">
      <c r="A127" t="s">
        <v>6208</v>
      </c>
      <c r="B127" t="s">
        <v>3514</v>
      </c>
      <c r="C127" t="s">
        <v>5722</v>
      </c>
      <c r="D127">
        <v>1</v>
      </c>
      <c r="E127" s="8" t="s">
        <v>6209</v>
      </c>
      <c r="F127" t="s">
        <v>6724</v>
      </c>
      <c r="G127" s="8" t="s">
        <v>6210</v>
      </c>
      <c r="H127" t="s">
        <v>6725</v>
      </c>
      <c r="I127">
        <v>1</v>
      </c>
      <c r="J127" t="s">
        <v>6484</v>
      </c>
      <c r="K127" t="s">
        <v>6208</v>
      </c>
      <c r="L127" t="s">
        <v>90</v>
      </c>
      <c r="M127" t="s">
        <v>3458</v>
      </c>
      <c r="N127" t="s">
        <v>3458</v>
      </c>
      <c r="O127" t="s">
        <v>6059</v>
      </c>
    </row>
    <row r="128" spans="1:15" x14ac:dyDescent="0.25">
      <c r="A128" t="s">
        <v>6212</v>
      </c>
      <c r="B128" t="s">
        <v>3502</v>
      </c>
      <c r="C128" t="s">
        <v>5722</v>
      </c>
      <c r="D128">
        <v>2</v>
      </c>
      <c r="E128" t="s">
        <v>6213</v>
      </c>
      <c r="F128" t="s">
        <v>6726</v>
      </c>
      <c r="G128" t="s">
        <v>6214</v>
      </c>
      <c r="H128" t="s">
        <v>6727</v>
      </c>
      <c r="I128">
        <v>2</v>
      </c>
      <c r="J128" t="s">
        <v>6489</v>
      </c>
      <c r="K128" t="s">
        <v>6212</v>
      </c>
      <c r="L128" t="s">
        <v>90</v>
      </c>
      <c r="M128" t="s">
        <v>6728</v>
      </c>
      <c r="N128" t="s">
        <v>3458</v>
      </c>
      <c r="O128" t="s">
        <v>5996</v>
      </c>
    </row>
    <row r="129" spans="1:15" x14ac:dyDescent="0.25">
      <c r="A129" t="s">
        <v>6215</v>
      </c>
      <c r="B129" t="s">
        <v>3514</v>
      </c>
      <c r="C129" t="s">
        <v>5722</v>
      </c>
      <c r="D129">
        <v>0</v>
      </c>
      <c r="E129" s="8" t="s">
        <v>6729</v>
      </c>
      <c r="F129" t="s">
        <v>6730</v>
      </c>
      <c r="G129" s="8" t="s">
        <v>6731</v>
      </c>
      <c r="H129" t="s">
        <v>6732</v>
      </c>
      <c r="I129">
        <v>0</v>
      </c>
      <c r="J129" t="s">
        <v>6450</v>
      </c>
      <c r="K129" t="s">
        <v>6218</v>
      </c>
      <c r="L129" t="s">
        <v>90</v>
      </c>
      <c r="M129" t="s">
        <v>3458</v>
      </c>
      <c r="N129" t="s">
        <v>3458</v>
      </c>
      <c r="O129" t="s">
        <v>6219</v>
      </c>
    </row>
    <row r="130" spans="1:15" x14ac:dyDescent="0.25">
      <c r="A130" t="s">
        <v>6223</v>
      </c>
      <c r="B130" t="s">
        <v>3514</v>
      </c>
      <c r="C130" t="s">
        <v>5360</v>
      </c>
      <c r="D130" t="s">
        <v>3997</v>
      </c>
      <c r="E130" t="s">
        <v>6224</v>
      </c>
      <c r="F130" t="s">
        <v>6733</v>
      </c>
      <c r="G130" t="s">
        <v>6225</v>
      </c>
      <c r="H130" t="s">
        <v>6734</v>
      </c>
      <c r="I130" t="s">
        <v>3997</v>
      </c>
      <c r="J130" t="s">
        <v>3458</v>
      </c>
      <c r="K130" t="s">
        <v>6223</v>
      </c>
      <c r="L130" t="s">
        <v>90</v>
      </c>
      <c r="M130" t="s">
        <v>5461</v>
      </c>
      <c r="N130" t="s">
        <v>3458</v>
      </c>
      <c r="O130" t="s">
        <v>5837</v>
      </c>
    </row>
    <row r="131" spans="1:15" x14ac:dyDescent="0.25">
      <c r="A131" t="s">
        <v>5109</v>
      </c>
      <c r="B131" t="s">
        <v>4297</v>
      </c>
      <c r="C131" t="s">
        <v>4245</v>
      </c>
      <c r="D131" t="s">
        <v>3997</v>
      </c>
      <c r="E131" t="s">
        <v>6226</v>
      </c>
      <c r="F131" t="s">
        <v>6735</v>
      </c>
      <c r="G131" t="s">
        <v>3458</v>
      </c>
      <c r="H131" t="s">
        <v>3458</v>
      </c>
      <c r="I131" t="s">
        <v>3458</v>
      </c>
      <c r="J131" t="s">
        <v>3458</v>
      </c>
      <c r="K131" t="s">
        <v>5109</v>
      </c>
      <c r="L131" t="s">
        <v>90</v>
      </c>
      <c r="M131" t="s">
        <v>5463</v>
      </c>
      <c r="N131" t="s">
        <v>3458</v>
      </c>
      <c r="O131" t="s">
        <v>5870</v>
      </c>
    </row>
    <row r="132" spans="1:15" x14ac:dyDescent="0.25">
      <c r="A132" t="s">
        <v>6227</v>
      </c>
      <c r="B132" t="s">
        <v>3514</v>
      </c>
      <c r="C132" t="s">
        <v>5722</v>
      </c>
      <c r="D132">
        <v>2</v>
      </c>
      <c r="E132" s="8" t="s">
        <v>6228</v>
      </c>
      <c r="F132" t="s">
        <v>6736</v>
      </c>
      <c r="G132" s="8" t="s">
        <v>6229</v>
      </c>
      <c r="H132" t="s">
        <v>6737</v>
      </c>
      <c r="I132" t="s">
        <v>3458</v>
      </c>
      <c r="J132" t="s">
        <v>6400</v>
      </c>
      <c r="K132" t="s">
        <v>6230</v>
      </c>
      <c r="L132" t="s">
        <v>90</v>
      </c>
      <c r="M132" t="s">
        <v>3458</v>
      </c>
      <c r="N132" t="s">
        <v>3458</v>
      </c>
      <c r="O132" t="s">
        <v>5777</v>
      </c>
    </row>
    <row r="133" spans="1:15" x14ac:dyDescent="0.25">
      <c r="A133" t="s">
        <v>4816</v>
      </c>
      <c r="B133" t="s">
        <v>3514</v>
      </c>
      <c r="C133" t="s">
        <v>5360</v>
      </c>
      <c r="D133">
        <v>1</v>
      </c>
      <c r="E133" s="8" t="s">
        <v>6238</v>
      </c>
      <c r="F133" t="s">
        <v>6738</v>
      </c>
      <c r="G133" s="8" t="s">
        <v>6238</v>
      </c>
      <c r="H133" t="s">
        <v>6738</v>
      </c>
      <c r="I133">
        <v>1</v>
      </c>
      <c r="J133" t="s">
        <v>6484</v>
      </c>
      <c r="K133" t="s">
        <v>4819</v>
      </c>
      <c r="L133" t="s">
        <v>1649</v>
      </c>
      <c r="M133" t="s">
        <v>3458</v>
      </c>
      <c r="N133" t="s">
        <v>3458</v>
      </c>
      <c r="O133" t="s">
        <v>6739</v>
      </c>
    </row>
    <row r="134" spans="1:15" x14ac:dyDescent="0.25">
      <c r="A134" t="s">
        <v>6239</v>
      </c>
      <c r="B134" t="s">
        <v>3514</v>
      </c>
      <c r="C134" t="s">
        <v>5722</v>
      </c>
      <c r="D134">
        <v>2</v>
      </c>
      <c r="E134" s="8" t="s">
        <v>6740</v>
      </c>
      <c r="F134" t="s">
        <v>6741</v>
      </c>
      <c r="G134" s="8" t="s">
        <v>3458</v>
      </c>
      <c r="H134" t="s">
        <v>3458</v>
      </c>
      <c r="I134" t="s">
        <v>3458</v>
      </c>
      <c r="J134" t="s">
        <v>6409</v>
      </c>
      <c r="K134" t="s">
        <v>6241</v>
      </c>
      <c r="L134" t="s">
        <v>90</v>
      </c>
      <c r="M134" t="s">
        <v>3458</v>
      </c>
      <c r="N134" t="s">
        <v>4261</v>
      </c>
      <c r="O134" t="s">
        <v>6059</v>
      </c>
    </row>
    <row r="135" spans="1:15" x14ac:dyDescent="0.25">
      <c r="A135" t="s">
        <v>6242</v>
      </c>
      <c r="B135" t="s">
        <v>3514</v>
      </c>
      <c r="C135" t="s">
        <v>5360</v>
      </c>
      <c r="D135">
        <v>1</v>
      </c>
      <c r="E135" s="8" t="s">
        <v>6243</v>
      </c>
      <c r="F135" t="s">
        <v>6742</v>
      </c>
      <c r="G135" s="8" t="s">
        <v>6244</v>
      </c>
      <c r="H135" t="s">
        <v>6743</v>
      </c>
      <c r="I135">
        <v>1</v>
      </c>
      <c r="J135" t="s">
        <v>3458</v>
      </c>
      <c r="K135" t="s">
        <v>6245</v>
      </c>
      <c r="L135" t="s">
        <v>90</v>
      </c>
      <c r="M135" t="s">
        <v>3458</v>
      </c>
      <c r="N135" t="s">
        <v>3458</v>
      </c>
      <c r="O135" t="s">
        <v>5999</v>
      </c>
    </row>
    <row r="136" spans="1:15" x14ac:dyDescent="0.25">
      <c r="A136" t="s">
        <v>6246</v>
      </c>
      <c r="B136" t="s">
        <v>3514</v>
      </c>
      <c r="C136" t="s">
        <v>5360</v>
      </c>
      <c r="D136">
        <v>1</v>
      </c>
      <c r="E136" s="8" t="s">
        <v>6247</v>
      </c>
      <c r="F136" t="s">
        <v>6744</v>
      </c>
      <c r="G136" s="8" t="s">
        <v>6247</v>
      </c>
      <c r="H136" t="s">
        <v>6744</v>
      </c>
      <c r="I136">
        <v>0</v>
      </c>
      <c r="J136" t="s">
        <v>3458</v>
      </c>
      <c r="K136" t="s">
        <v>6248</v>
      </c>
      <c r="L136" t="s">
        <v>90</v>
      </c>
      <c r="M136" t="s">
        <v>5496</v>
      </c>
      <c r="N136" t="s">
        <v>3458</v>
      </c>
      <c r="O136" t="s">
        <v>6249</v>
      </c>
    </row>
    <row r="137" spans="1:15" x14ac:dyDescent="0.25">
      <c r="A137" t="s">
        <v>6250</v>
      </c>
      <c r="B137" t="s">
        <v>3502</v>
      </c>
      <c r="C137" t="s">
        <v>5360</v>
      </c>
      <c r="D137">
        <v>0</v>
      </c>
      <c r="E137" s="8" t="s">
        <v>6745</v>
      </c>
      <c r="F137" t="s">
        <v>6746</v>
      </c>
      <c r="G137" s="8" t="s">
        <v>6747</v>
      </c>
      <c r="H137" t="s">
        <v>6748</v>
      </c>
      <c r="I137">
        <v>0</v>
      </c>
      <c r="J137" t="s">
        <v>3458</v>
      </c>
      <c r="K137" t="s">
        <v>6250</v>
      </c>
      <c r="L137" t="s">
        <v>90</v>
      </c>
      <c r="M137" t="s">
        <v>5496</v>
      </c>
      <c r="N137" t="s">
        <v>3458</v>
      </c>
      <c r="O137" t="s">
        <v>6253</v>
      </c>
    </row>
    <row r="138" spans="1:15" x14ac:dyDescent="0.25">
      <c r="A138" t="s">
        <v>6254</v>
      </c>
      <c r="B138" t="s">
        <v>3514</v>
      </c>
      <c r="C138" t="s">
        <v>5360</v>
      </c>
      <c r="D138">
        <v>1</v>
      </c>
      <c r="E138" s="8" t="s">
        <v>6255</v>
      </c>
      <c r="F138" t="s">
        <v>6749</v>
      </c>
      <c r="G138" s="8" t="s">
        <v>6256</v>
      </c>
      <c r="H138" t="s">
        <v>6750</v>
      </c>
      <c r="I138">
        <v>1</v>
      </c>
      <c r="J138" t="s">
        <v>3458</v>
      </c>
      <c r="K138" t="s">
        <v>6254</v>
      </c>
      <c r="L138" t="s">
        <v>90</v>
      </c>
      <c r="M138" t="s">
        <v>3458</v>
      </c>
      <c r="N138" t="s">
        <v>3458</v>
      </c>
      <c r="O138" t="s">
        <v>5999</v>
      </c>
    </row>
    <row r="139" spans="1:15" x14ac:dyDescent="0.25">
      <c r="A139" t="s">
        <v>6257</v>
      </c>
      <c r="B139" t="s">
        <v>3514</v>
      </c>
      <c r="C139" t="s">
        <v>5360</v>
      </c>
      <c r="D139">
        <v>1</v>
      </c>
      <c r="E139" s="8" t="s">
        <v>6751</v>
      </c>
      <c r="F139" t="s">
        <v>6752</v>
      </c>
      <c r="G139" s="8" t="s">
        <v>6751</v>
      </c>
      <c r="H139" t="s">
        <v>6752</v>
      </c>
      <c r="I139">
        <v>0</v>
      </c>
      <c r="J139" t="s">
        <v>3458</v>
      </c>
      <c r="K139" t="s">
        <v>6257</v>
      </c>
      <c r="L139" t="s">
        <v>90</v>
      </c>
      <c r="M139" t="s">
        <v>3458</v>
      </c>
      <c r="N139" t="s">
        <v>3458</v>
      </c>
      <c r="O139" t="s">
        <v>5823</v>
      </c>
    </row>
    <row r="140" spans="1:15" x14ac:dyDescent="0.25">
      <c r="A140" t="s">
        <v>6259</v>
      </c>
      <c r="B140" t="s">
        <v>3514</v>
      </c>
      <c r="C140" t="s">
        <v>5722</v>
      </c>
      <c r="D140">
        <v>2</v>
      </c>
      <c r="E140" s="8" t="s">
        <v>6753</v>
      </c>
      <c r="F140" t="s">
        <v>6754</v>
      </c>
      <c r="G140" s="8" t="s">
        <v>6755</v>
      </c>
      <c r="H140" t="s">
        <v>6756</v>
      </c>
      <c r="I140">
        <v>2</v>
      </c>
      <c r="J140" t="s">
        <v>6484</v>
      </c>
      <c r="K140" t="s">
        <v>6262</v>
      </c>
      <c r="L140" t="s">
        <v>90</v>
      </c>
      <c r="M140" t="s">
        <v>3458</v>
      </c>
      <c r="N140" t="s">
        <v>3458</v>
      </c>
      <c r="O140" t="s">
        <v>6004</v>
      </c>
    </row>
    <row r="141" spans="1:15" x14ac:dyDescent="0.25">
      <c r="A141" t="s">
        <v>6263</v>
      </c>
      <c r="B141" t="s">
        <v>4297</v>
      </c>
      <c r="C141" t="s">
        <v>4245</v>
      </c>
      <c r="D141" t="s">
        <v>3997</v>
      </c>
      <c r="E141" t="s">
        <v>6264</v>
      </c>
      <c r="F141" t="s">
        <v>6757</v>
      </c>
      <c r="G141" t="s">
        <v>3458</v>
      </c>
      <c r="H141" t="s">
        <v>3458</v>
      </c>
      <c r="I141" t="s">
        <v>3458</v>
      </c>
      <c r="J141" t="s">
        <v>3458</v>
      </c>
      <c r="K141" t="s">
        <v>6263</v>
      </c>
      <c r="L141" t="s">
        <v>90</v>
      </c>
      <c r="M141" t="s">
        <v>5463</v>
      </c>
      <c r="N141" t="s">
        <v>3458</v>
      </c>
      <c r="O141" t="s">
        <v>5870</v>
      </c>
    </row>
    <row r="142" spans="1:15" x14ac:dyDescent="0.25">
      <c r="A142" t="s">
        <v>6265</v>
      </c>
      <c r="B142" t="s">
        <v>4297</v>
      </c>
      <c r="C142" t="s">
        <v>5722</v>
      </c>
      <c r="D142">
        <v>0</v>
      </c>
      <c r="E142" t="s">
        <v>6266</v>
      </c>
      <c r="F142" t="s">
        <v>6758</v>
      </c>
      <c r="G142" t="s">
        <v>6267</v>
      </c>
      <c r="H142" t="s">
        <v>6416</v>
      </c>
      <c r="I142">
        <v>0</v>
      </c>
      <c r="J142" t="s">
        <v>6417</v>
      </c>
      <c r="K142" t="s">
        <v>6265</v>
      </c>
      <c r="L142" t="s">
        <v>90</v>
      </c>
      <c r="M142" t="s">
        <v>5496</v>
      </c>
      <c r="N142" t="s">
        <v>3458</v>
      </c>
      <c r="O142" t="s">
        <v>6759</v>
      </c>
    </row>
    <row r="143" spans="1:15" x14ac:dyDescent="0.25">
      <c r="A143" t="s">
        <v>6268</v>
      </c>
      <c r="B143" t="s">
        <v>3514</v>
      </c>
      <c r="C143" t="s">
        <v>5360</v>
      </c>
      <c r="D143">
        <v>2</v>
      </c>
      <c r="E143" s="8" t="s">
        <v>6269</v>
      </c>
      <c r="F143" t="s">
        <v>6760</v>
      </c>
      <c r="G143" s="8" t="s">
        <v>6270</v>
      </c>
      <c r="H143" t="s">
        <v>6761</v>
      </c>
      <c r="I143">
        <v>2</v>
      </c>
      <c r="J143" t="s">
        <v>3458</v>
      </c>
      <c r="K143" t="s">
        <v>6268</v>
      </c>
      <c r="L143" t="s">
        <v>90</v>
      </c>
      <c r="M143" t="s">
        <v>5496</v>
      </c>
      <c r="N143" t="s">
        <v>3458</v>
      </c>
      <c r="O143" t="s">
        <v>5937</v>
      </c>
    </row>
    <row r="144" spans="1:15" x14ac:dyDescent="0.25">
      <c r="A144" t="s">
        <v>6271</v>
      </c>
      <c r="B144" t="s">
        <v>41</v>
      </c>
      <c r="C144" t="s">
        <v>5360</v>
      </c>
      <c r="D144">
        <v>1</v>
      </c>
      <c r="E144" t="s">
        <v>6272</v>
      </c>
      <c r="F144" t="s">
        <v>6762</v>
      </c>
      <c r="G144" t="s">
        <v>6273</v>
      </c>
      <c r="H144" t="s">
        <v>6763</v>
      </c>
      <c r="I144">
        <v>1</v>
      </c>
      <c r="J144" t="s">
        <v>3458</v>
      </c>
      <c r="K144" t="s">
        <v>6274</v>
      </c>
      <c r="L144" t="s">
        <v>90</v>
      </c>
      <c r="M144" t="s">
        <v>3458</v>
      </c>
      <c r="N144" t="s">
        <v>3458</v>
      </c>
      <c r="O144" t="s">
        <v>6275</v>
      </c>
    </row>
    <row r="145" spans="1:15" x14ac:dyDescent="0.25">
      <c r="A145" t="s">
        <v>6276</v>
      </c>
      <c r="B145" t="s">
        <v>3514</v>
      </c>
      <c r="C145" t="s">
        <v>5722</v>
      </c>
      <c r="D145" t="s">
        <v>5946</v>
      </c>
      <c r="E145" t="s">
        <v>6277</v>
      </c>
      <c r="F145" t="s">
        <v>6764</v>
      </c>
      <c r="G145" t="s">
        <v>6278</v>
      </c>
      <c r="H145" t="s">
        <v>6765</v>
      </c>
      <c r="I145" t="s">
        <v>5946</v>
      </c>
      <c r="J145" t="s">
        <v>6766</v>
      </c>
      <c r="K145" t="s">
        <v>6276</v>
      </c>
      <c r="L145" t="s">
        <v>90</v>
      </c>
      <c r="M145" t="s">
        <v>3458</v>
      </c>
      <c r="N145" t="s">
        <v>3458</v>
      </c>
      <c r="O145" t="s">
        <v>5777</v>
      </c>
    </row>
    <row r="146" spans="1:15" x14ac:dyDescent="0.25">
      <c r="A146" t="s">
        <v>6279</v>
      </c>
      <c r="B146" t="s">
        <v>41</v>
      </c>
      <c r="C146" t="s">
        <v>5722</v>
      </c>
      <c r="D146">
        <v>0</v>
      </c>
      <c r="E146" s="8" t="s">
        <v>6280</v>
      </c>
      <c r="F146" t="s">
        <v>6767</v>
      </c>
      <c r="G146" s="8" t="s">
        <v>6281</v>
      </c>
      <c r="H146" t="s">
        <v>6768</v>
      </c>
      <c r="I146">
        <v>0</v>
      </c>
      <c r="J146" t="s">
        <v>6484</v>
      </c>
      <c r="K146" t="s">
        <v>6279</v>
      </c>
      <c r="L146" t="s">
        <v>90</v>
      </c>
      <c r="M146" t="s">
        <v>3458</v>
      </c>
      <c r="N146" t="s">
        <v>3458</v>
      </c>
      <c r="O146" t="s">
        <v>5777</v>
      </c>
    </row>
    <row r="147" spans="1:15" x14ac:dyDescent="0.25">
      <c r="A147" t="s">
        <v>6282</v>
      </c>
      <c r="B147" t="s">
        <v>4297</v>
      </c>
      <c r="C147" t="s">
        <v>3656</v>
      </c>
      <c r="D147">
        <v>1</v>
      </c>
      <c r="E147" t="s">
        <v>6283</v>
      </c>
      <c r="F147" t="s">
        <v>6769</v>
      </c>
      <c r="G147" t="s">
        <v>3458</v>
      </c>
      <c r="H147" t="s">
        <v>3458</v>
      </c>
      <c r="I147" t="s">
        <v>3458</v>
      </c>
      <c r="J147" t="s">
        <v>3458</v>
      </c>
      <c r="K147" t="s">
        <v>6282</v>
      </c>
      <c r="L147" t="s">
        <v>90</v>
      </c>
      <c r="M147" t="s">
        <v>5496</v>
      </c>
      <c r="N147" t="s">
        <v>3458</v>
      </c>
      <c r="O147" t="s">
        <v>6459</v>
      </c>
    </row>
    <row r="148" spans="1:15" x14ac:dyDescent="0.25">
      <c r="A148" t="s">
        <v>6284</v>
      </c>
      <c r="B148" t="s">
        <v>41</v>
      </c>
      <c r="C148" t="s">
        <v>5722</v>
      </c>
      <c r="D148">
        <v>2</v>
      </c>
      <c r="E148" s="8" t="s">
        <v>6285</v>
      </c>
      <c r="F148" t="s">
        <v>6770</v>
      </c>
      <c r="G148" s="8" t="s">
        <v>6286</v>
      </c>
      <c r="H148" t="s">
        <v>6771</v>
      </c>
      <c r="I148">
        <v>2</v>
      </c>
      <c r="J148" t="s">
        <v>6400</v>
      </c>
      <c r="K148" t="s">
        <v>6287</v>
      </c>
      <c r="L148" t="s">
        <v>90</v>
      </c>
      <c r="M148" t="s">
        <v>3458</v>
      </c>
      <c r="N148" t="s">
        <v>3458</v>
      </c>
      <c r="O148" t="s">
        <v>6025</v>
      </c>
    </row>
    <row r="149" spans="1:15" x14ac:dyDescent="0.25">
      <c r="A149" t="s">
        <v>6289</v>
      </c>
      <c r="B149" t="s">
        <v>3514</v>
      </c>
      <c r="C149" t="s">
        <v>5360</v>
      </c>
      <c r="D149">
        <v>1</v>
      </c>
      <c r="E149" s="8" t="s">
        <v>6290</v>
      </c>
      <c r="F149" t="s">
        <v>6772</v>
      </c>
      <c r="G149" s="8" t="s">
        <v>6291</v>
      </c>
      <c r="H149" t="s">
        <v>6773</v>
      </c>
      <c r="I149">
        <v>1</v>
      </c>
      <c r="J149" t="s">
        <v>3458</v>
      </c>
      <c r="K149" t="s">
        <v>6292</v>
      </c>
      <c r="L149" t="s">
        <v>90</v>
      </c>
      <c r="M149" t="s">
        <v>3458</v>
      </c>
      <c r="N149" t="s">
        <v>3458</v>
      </c>
      <c r="O149" t="s">
        <v>5927</v>
      </c>
    </row>
    <row r="150" spans="1:15" x14ac:dyDescent="0.25">
      <c r="A150" t="s">
        <v>6293</v>
      </c>
      <c r="B150" t="s">
        <v>3502</v>
      </c>
      <c r="C150" t="s">
        <v>5360</v>
      </c>
      <c r="D150">
        <v>1</v>
      </c>
      <c r="E150" t="s">
        <v>6294</v>
      </c>
      <c r="F150" t="s">
        <v>6774</v>
      </c>
      <c r="G150" t="s">
        <v>6295</v>
      </c>
      <c r="H150" t="s">
        <v>6775</v>
      </c>
      <c r="I150">
        <v>1</v>
      </c>
      <c r="J150" t="s">
        <v>3458</v>
      </c>
      <c r="K150" t="s">
        <v>6296</v>
      </c>
      <c r="L150" t="s">
        <v>90</v>
      </c>
      <c r="M150" t="s">
        <v>3458</v>
      </c>
      <c r="N150" t="s">
        <v>3458</v>
      </c>
      <c r="O150" t="s">
        <v>6297</v>
      </c>
    </row>
    <row r="151" spans="1:15" x14ac:dyDescent="0.25">
      <c r="A151" t="s">
        <v>6776</v>
      </c>
      <c r="B151" t="s">
        <v>3546</v>
      </c>
      <c r="C151" t="s">
        <v>5722</v>
      </c>
      <c r="D151">
        <v>1</v>
      </c>
      <c r="E151" t="s">
        <v>6280</v>
      </c>
      <c r="F151" t="s">
        <v>6767</v>
      </c>
      <c r="G151" t="s">
        <v>6281</v>
      </c>
      <c r="H151" t="s">
        <v>6768</v>
      </c>
      <c r="I151">
        <v>1</v>
      </c>
      <c r="J151" t="s">
        <v>6409</v>
      </c>
      <c r="K151" t="s">
        <v>6777</v>
      </c>
      <c r="L151" t="s">
        <v>90</v>
      </c>
      <c r="M151" t="s">
        <v>3458</v>
      </c>
      <c r="N151" t="s">
        <v>3458</v>
      </c>
      <c r="O151" t="s">
        <v>6778</v>
      </c>
    </row>
    <row r="152" spans="1:15" x14ac:dyDescent="0.25">
      <c r="A152" t="s">
        <v>6779</v>
      </c>
      <c r="B152" t="s">
        <v>3546</v>
      </c>
      <c r="C152" t="s">
        <v>5722</v>
      </c>
      <c r="D152">
        <v>1</v>
      </c>
      <c r="E152" t="s">
        <v>6280</v>
      </c>
      <c r="F152" t="s">
        <v>6767</v>
      </c>
      <c r="G152" t="s">
        <v>6281</v>
      </c>
      <c r="H152" t="s">
        <v>6768</v>
      </c>
      <c r="I152">
        <v>1</v>
      </c>
      <c r="J152" t="s">
        <v>6392</v>
      </c>
      <c r="K152" t="s">
        <v>6780</v>
      </c>
      <c r="L152" t="s">
        <v>90</v>
      </c>
      <c r="M152" t="s">
        <v>3458</v>
      </c>
      <c r="N152" t="s">
        <v>3458</v>
      </c>
      <c r="O152" t="s">
        <v>6778</v>
      </c>
    </row>
    <row r="153" spans="1:15" x14ac:dyDescent="0.25">
      <c r="A153" t="s">
        <v>6299</v>
      </c>
      <c r="B153" t="s">
        <v>41</v>
      </c>
      <c r="C153" t="s">
        <v>5722</v>
      </c>
      <c r="D153">
        <v>1</v>
      </c>
      <c r="E153" t="s">
        <v>6300</v>
      </c>
      <c r="F153" t="s">
        <v>6781</v>
      </c>
      <c r="G153" t="s">
        <v>6301</v>
      </c>
      <c r="H153" t="s">
        <v>6782</v>
      </c>
      <c r="I153">
        <v>1</v>
      </c>
      <c r="J153" t="s">
        <v>6392</v>
      </c>
      <c r="K153" t="s">
        <v>6302</v>
      </c>
      <c r="L153" t="s">
        <v>90</v>
      </c>
      <c r="M153" t="s">
        <v>3458</v>
      </c>
      <c r="N153" t="s">
        <v>3458</v>
      </c>
      <c r="O153" t="s">
        <v>5753</v>
      </c>
    </row>
    <row r="154" spans="1:15" x14ac:dyDescent="0.25">
      <c r="A154" t="s">
        <v>5696</v>
      </c>
      <c r="B154" t="s">
        <v>3546</v>
      </c>
      <c r="C154" t="s">
        <v>5360</v>
      </c>
      <c r="D154">
        <v>1</v>
      </c>
      <c r="E154" t="s">
        <v>6303</v>
      </c>
      <c r="F154" t="s">
        <v>6783</v>
      </c>
      <c r="G154" t="s">
        <v>6304</v>
      </c>
      <c r="H154" t="s">
        <v>6784</v>
      </c>
      <c r="I154">
        <v>1</v>
      </c>
      <c r="J154" t="s">
        <v>3458</v>
      </c>
      <c r="K154" t="s">
        <v>5696</v>
      </c>
      <c r="L154" t="s">
        <v>90</v>
      </c>
      <c r="M154" t="s">
        <v>3458</v>
      </c>
      <c r="N154" t="s">
        <v>3458</v>
      </c>
      <c r="O154" t="s">
        <v>6305</v>
      </c>
    </row>
    <row r="155" spans="1:15" x14ac:dyDescent="0.25">
      <c r="A155" t="s">
        <v>6306</v>
      </c>
      <c r="B155" t="s">
        <v>41</v>
      </c>
      <c r="C155" t="s">
        <v>5722</v>
      </c>
      <c r="D155">
        <v>1</v>
      </c>
      <c r="E155" t="s">
        <v>6307</v>
      </c>
      <c r="F155" t="s">
        <v>6785</v>
      </c>
      <c r="G155" t="s">
        <v>6308</v>
      </c>
      <c r="H155" t="s">
        <v>6786</v>
      </c>
      <c r="I155">
        <v>1</v>
      </c>
      <c r="J155" t="s">
        <v>6787</v>
      </c>
      <c r="K155" t="s">
        <v>6309</v>
      </c>
      <c r="L155" t="s">
        <v>90</v>
      </c>
      <c r="M155" t="s">
        <v>3458</v>
      </c>
      <c r="N155" t="s">
        <v>3458</v>
      </c>
      <c r="O155" t="s">
        <v>6310</v>
      </c>
    </row>
    <row r="156" spans="1:15" x14ac:dyDescent="0.25">
      <c r="A156" t="s">
        <v>6311</v>
      </c>
      <c r="B156" t="s">
        <v>41</v>
      </c>
      <c r="C156" t="s">
        <v>5722</v>
      </c>
      <c r="D156">
        <v>1</v>
      </c>
      <c r="E156" t="s">
        <v>6788</v>
      </c>
      <c r="F156" t="s">
        <v>6789</v>
      </c>
      <c r="G156" t="s">
        <v>6790</v>
      </c>
      <c r="H156" t="s">
        <v>6791</v>
      </c>
      <c r="I156">
        <v>1</v>
      </c>
      <c r="J156" t="s">
        <v>6792</v>
      </c>
      <c r="K156" t="s">
        <v>6314</v>
      </c>
      <c r="L156" t="s">
        <v>90</v>
      </c>
      <c r="M156" t="s">
        <v>5431</v>
      </c>
      <c r="N156" t="s">
        <v>3458</v>
      </c>
      <c r="O156" t="s">
        <v>5735</v>
      </c>
    </row>
    <row r="157" spans="1:15" x14ac:dyDescent="0.25">
      <c r="A157" t="s">
        <v>6315</v>
      </c>
      <c r="B157" t="s">
        <v>3514</v>
      </c>
      <c r="C157" t="s">
        <v>5360</v>
      </c>
      <c r="D157" t="s">
        <v>3997</v>
      </c>
      <c r="E157" t="s">
        <v>6316</v>
      </c>
      <c r="F157" t="s">
        <v>6793</v>
      </c>
      <c r="G157" t="s">
        <v>6317</v>
      </c>
      <c r="H157" t="s">
        <v>6744</v>
      </c>
      <c r="I157" t="s">
        <v>3997</v>
      </c>
      <c r="J157" t="s">
        <v>3458</v>
      </c>
      <c r="K157" t="s">
        <v>6315</v>
      </c>
      <c r="L157" t="s">
        <v>90</v>
      </c>
      <c r="M157" t="s">
        <v>5461</v>
      </c>
      <c r="N157" t="s">
        <v>3458</v>
      </c>
      <c r="O157" t="s">
        <v>6318</v>
      </c>
    </row>
    <row r="158" spans="1:15" x14ac:dyDescent="0.25">
      <c r="A158" t="s">
        <v>6323</v>
      </c>
      <c r="B158" t="s">
        <v>3514</v>
      </c>
      <c r="C158" t="s">
        <v>5360</v>
      </c>
      <c r="D158">
        <v>1</v>
      </c>
      <c r="E158" t="s">
        <v>6324</v>
      </c>
      <c r="F158" t="s">
        <v>6794</v>
      </c>
      <c r="G158" t="s">
        <v>6324</v>
      </c>
      <c r="H158" t="s">
        <v>6794</v>
      </c>
      <c r="I158">
        <v>0</v>
      </c>
      <c r="J158" t="s">
        <v>6450</v>
      </c>
      <c r="K158" t="s">
        <v>6323</v>
      </c>
      <c r="L158" t="s">
        <v>90</v>
      </c>
      <c r="M158" t="s">
        <v>5496</v>
      </c>
      <c r="N158" t="s">
        <v>3458</v>
      </c>
      <c r="O158" t="s">
        <v>6131</v>
      </c>
    </row>
    <row r="159" spans="1:15" x14ac:dyDescent="0.25">
      <c r="A159" t="s">
        <v>6325</v>
      </c>
      <c r="B159" t="s">
        <v>41</v>
      </c>
      <c r="C159" t="s">
        <v>5722</v>
      </c>
      <c r="D159">
        <v>1</v>
      </c>
      <c r="E159" t="s">
        <v>6795</v>
      </c>
      <c r="F159" t="s">
        <v>6796</v>
      </c>
      <c r="G159" t="s">
        <v>6797</v>
      </c>
      <c r="H159" t="s">
        <v>6798</v>
      </c>
      <c r="I159">
        <v>1</v>
      </c>
      <c r="J159" t="s">
        <v>6799</v>
      </c>
      <c r="K159" t="s">
        <v>6325</v>
      </c>
      <c r="L159" t="s">
        <v>90</v>
      </c>
      <c r="M159" t="s">
        <v>3458</v>
      </c>
      <c r="N159" t="s">
        <v>5391</v>
      </c>
      <c r="O159" t="s">
        <v>6800</v>
      </c>
    </row>
    <row r="160" spans="1:15" x14ac:dyDescent="0.25">
      <c r="A160" t="s">
        <v>6331</v>
      </c>
      <c r="B160" t="s">
        <v>41</v>
      </c>
      <c r="C160" t="s">
        <v>5360</v>
      </c>
      <c r="D160">
        <v>1</v>
      </c>
      <c r="E160" s="8" t="s">
        <v>6332</v>
      </c>
      <c r="F160" t="s">
        <v>6801</v>
      </c>
      <c r="G160" s="8" t="s">
        <v>6333</v>
      </c>
      <c r="H160" t="s">
        <v>6802</v>
      </c>
      <c r="I160">
        <v>1</v>
      </c>
      <c r="J160" t="s">
        <v>3458</v>
      </c>
      <c r="K160" t="s">
        <v>6334</v>
      </c>
      <c r="L160" t="s">
        <v>90</v>
      </c>
      <c r="M160" t="s">
        <v>3458</v>
      </c>
      <c r="N160" t="s">
        <v>3458</v>
      </c>
      <c r="O160" t="s">
        <v>5999</v>
      </c>
    </row>
    <row r="161" spans="1:15" x14ac:dyDescent="0.25">
      <c r="A161" t="s">
        <v>6335</v>
      </c>
      <c r="B161" t="s">
        <v>41</v>
      </c>
      <c r="C161" t="s">
        <v>5722</v>
      </c>
      <c r="D161">
        <v>1</v>
      </c>
      <c r="E161" t="s">
        <v>6336</v>
      </c>
      <c r="F161" t="s">
        <v>6803</v>
      </c>
      <c r="G161" t="s">
        <v>6337</v>
      </c>
      <c r="H161" t="s">
        <v>6804</v>
      </c>
      <c r="I161">
        <v>1</v>
      </c>
      <c r="J161" t="s">
        <v>6409</v>
      </c>
      <c r="K161" t="s">
        <v>6338</v>
      </c>
      <c r="L161" t="s">
        <v>90</v>
      </c>
      <c r="M161" t="s">
        <v>3458</v>
      </c>
      <c r="N161" t="s">
        <v>3458</v>
      </c>
      <c r="O161" t="s">
        <v>6805</v>
      </c>
    </row>
    <row r="162" spans="1:15" x14ac:dyDescent="0.25">
      <c r="A162" t="s">
        <v>6339</v>
      </c>
      <c r="B162" t="s">
        <v>3502</v>
      </c>
      <c r="C162" t="s">
        <v>5722</v>
      </c>
      <c r="D162">
        <v>1</v>
      </c>
      <c r="E162" s="8" t="s">
        <v>6340</v>
      </c>
      <c r="F162" t="s">
        <v>6806</v>
      </c>
      <c r="G162" s="8" t="s">
        <v>6341</v>
      </c>
      <c r="H162" t="s">
        <v>6807</v>
      </c>
      <c r="I162">
        <v>1</v>
      </c>
      <c r="J162" t="s">
        <v>6515</v>
      </c>
      <c r="K162" t="s">
        <v>6339</v>
      </c>
      <c r="L162" t="s">
        <v>90</v>
      </c>
      <c r="M162" t="s">
        <v>3458</v>
      </c>
      <c r="N162" t="s">
        <v>3458</v>
      </c>
      <c r="O162" t="s">
        <v>5982</v>
      </c>
    </row>
    <row r="163" spans="1:15" x14ac:dyDescent="0.25">
      <c r="A163" t="s">
        <v>6342</v>
      </c>
      <c r="B163" t="s">
        <v>3514</v>
      </c>
      <c r="C163" t="s">
        <v>5722</v>
      </c>
      <c r="D163">
        <v>2</v>
      </c>
      <c r="E163" t="s">
        <v>6343</v>
      </c>
      <c r="F163" t="s">
        <v>6808</v>
      </c>
      <c r="G163" t="s">
        <v>6344</v>
      </c>
      <c r="H163" t="s">
        <v>6809</v>
      </c>
      <c r="I163">
        <v>2</v>
      </c>
      <c r="J163" t="s">
        <v>6392</v>
      </c>
      <c r="K163" t="s">
        <v>6342</v>
      </c>
      <c r="L163" t="s">
        <v>90</v>
      </c>
      <c r="M163" t="s">
        <v>3458</v>
      </c>
      <c r="N163" t="s">
        <v>3458</v>
      </c>
      <c r="O163" t="s">
        <v>5867</v>
      </c>
    </row>
    <row r="164" spans="1:15" x14ac:dyDescent="0.25">
      <c r="A164" t="s">
        <v>6346</v>
      </c>
      <c r="B164" t="s">
        <v>41</v>
      </c>
      <c r="C164" t="s">
        <v>5360</v>
      </c>
      <c r="D164">
        <v>0</v>
      </c>
      <c r="E164" t="s">
        <v>6347</v>
      </c>
      <c r="F164" t="s">
        <v>6810</v>
      </c>
      <c r="G164" t="s">
        <v>6348</v>
      </c>
      <c r="H164" t="s">
        <v>6811</v>
      </c>
      <c r="I164">
        <v>0</v>
      </c>
      <c r="J164" t="s">
        <v>3458</v>
      </c>
      <c r="K164" t="s">
        <v>6346</v>
      </c>
      <c r="L164" t="s">
        <v>90</v>
      </c>
      <c r="M164" t="s">
        <v>5496</v>
      </c>
      <c r="N164" t="s">
        <v>3458</v>
      </c>
      <c r="O164" t="s">
        <v>5763</v>
      </c>
    </row>
    <row r="165" spans="1:15" x14ac:dyDescent="0.25">
      <c r="A165" t="s">
        <v>5291</v>
      </c>
      <c r="B165" t="s">
        <v>3514</v>
      </c>
      <c r="C165" t="s">
        <v>4597</v>
      </c>
      <c r="D165">
        <v>1</v>
      </c>
      <c r="E165" s="8" t="s">
        <v>6812</v>
      </c>
      <c r="F165" t="s">
        <v>6813</v>
      </c>
      <c r="G165" s="8" t="s">
        <v>6814</v>
      </c>
      <c r="H165" t="s">
        <v>6815</v>
      </c>
      <c r="I165">
        <v>1</v>
      </c>
      <c r="J165" t="s">
        <v>3458</v>
      </c>
      <c r="K165" t="s">
        <v>5293</v>
      </c>
      <c r="L165" t="s">
        <v>90</v>
      </c>
      <c r="M165" t="s">
        <v>3458</v>
      </c>
      <c r="N165" t="s">
        <v>3458</v>
      </c>
      <c r="O165" t="s">
        <v>6816</v>
      </c>
    </row>
    <row r="166" spans="1:15" x14ac:dyDescent="0.25">
      <c r="A166" t="s">
        <v>6352</v>
      </c>
      <c r="B166" t="s">
        <v>3514</v>
      </c>
      <c r="C166" t="s">
        <v>5722</v>
      </c>
      <c r="D166" t="s">
        <v>5946</v>
      </c>
      <c r="E166" t="s">
        <v>6817</v>
      </c>
      <c r="F166" t="s">
        <v>6818</v>
      </c>
      <c r="G166" t="s">
        <v>6819</v>
      </c>
      <c r="H166" t="s">
        <v>6820</v>
      </c>
      <c r="I166" t="s">
        <v>5946</v>
      </c>
      <c r="J166" t="s">
        <v>6489</v>
      </c>
      <c r="K166" t="s">
        <v>6352</v>
      </c>
      <c r="L166" t="s">
        <v>90</v>
      </c>
      <c r="M166" t="s">
        <v>3458</v>
      </c>
      <c r="N166" t="s">
        <v>3458</v>
      </c>
      <c r="O166" t="s">
        <v>5859</v>
      </c>
    </row>
    <row r="167" spans="1:15" x14ac:dyDescent="0.25">
      <c r="A167" t="s">
        <v>6355</v>
      </c>
      <c r="B167" t="s">
        <v>3514</v>
      </c>
      <c r="C167" t="s">
        <v>5360</v>
      </c>
      <c r="D167">
        <v>1</v>
      </c>
      <c r="E167" s="8" t="s">
        <v>6356</v>
      </c>
      <c r="F167" t="s">
        <v>6821</v>
      </c>
      <c r="G167" s="8" t="s">
        <v>6356</v>
      </c>
      <c r="H167" t="s">
        <v>6821</v>
      </c>
      <c r="I167">
        <v>0</v>
      </c>
      <c r="J167" t="s">
        <v>3458</v>
      </c>
      <c r="K167" t="s">
        <v>6357</v>
      </c>
      <c r="L167" t="s">
        <v>90</v>
      </c>
      <c r="M167" t="s">
        <v>5496</v>
      </c>
      <c r="N167" t="s">
        <v>3458</v>
      </c>
      <c r="O167" t="s">
        <v>6822</v>
      </c>
    </row>
    <row r="168" spans="1:15" x14ac:dyDescent="0.25">
      <c r="A168" t="s">
        <v>6359</v>
      </c>
      <c r="B168" t="s">
        <v>41</v>
      </c>
      <c r="C168" t="s">
        <v>5722</v>
      </c>
      <c r="D168">
        <v>1</v>
      </c>
      <c r="E168" s="8" t="s">
        <v>6360</v>
      </c>
      <c r="F168" t="s">
        <v>6823</v>
      </c>
      <c r="G168" s="8" t="s">
        <v>6361</v>
      </c>
      <c r="H168" t="s">
        <v>6824</v>
      </c>
      <c r="I168">
        <v>1</v>
      </c>
      <c r="J168" t="s">
        <v>6450</v>
      </c>
      <c r="K168" t="s">
        <v>6362</v>
      </c>
      <c r="L168" t="s">
        <v>90</v>
      </c>
      <c r="M168" t="s">
        <v>3458</v>
      </c>
      <c r="N168" t="s">
        <v>3458</v>
      </c>
      <c r="O168" t="s">
        <v>6219</v>
      </c>
    </row>
    <row r="169" spans="1:15" x14ac:dyDescent="0.25">
      <c r="A169" t="s">
        <v>6363</v>
      </c>
      <c r="B169" t="s">
        <v>4297</v>
      </c>
      <c r="C169" t="s">
        <v>3656</v>
      </c>
      <c r="D169" t="s">
        <v>3997</v>
      </c>
      <c r="E169" s="8" t="s">
        <v>6088</v>
      </c>
      <c r="F169" t="s">
        <v>4215</v>
      </c>
      <c r="G169" s="8" t="s">
        <v>3458</v>
      </c>
      <c r="H169" t="s">
        <v>3458</v>
      </c>
      <c r="I169" t="s">
        <v>3458</v>
      </c>
      <c r="J169" t="s">
        <v>3458</v>
      </c>
      <c r="K169" t="s">
        <v>6363</v>
      </c>
      <c r="L169" t="s">
        <v>90</v>
      </c>
      <c r="M169" t="s">
        <v>3458</v>
      </c>
      <c r="N169" t="s">
        <v>3458</v>
      </c>
      <c r="O169" t="s">
        <v>6459</v>
      </c>
    </row>
    <row r="170" spans="1:15" x14ac:dyDescent="0.25">
      <c r="A170" t="s">
        <v>6364</v>
      </c>
      <c r="B170" t="s">
        <v>3502</v>
      </c>
      <c r="C170" t="s">
        <v>4597</v>
      </c>
      <c r="D170">
        <v>3</v>
      </c>
      <c r="E170" s="8" t="s">
        <v>6825</v>
      </c>
      <c r="F170" t="s">
        <v>6826</v>
      </c>
      <c r="G170" s="8" t="s">
        <v>6827</v>
      </c>
      <c r="H170" t="s">
        <v>6828</v>
      </c>
      <c r="I170" t="s">
        <v>3458</v>
      </c>
      <c r="J170" t="s">
        <v>3458</v>
      </c>
      <c r="K170" t="s">
        <v>6367</v>
      </c>
      <c r="L170" t="s">
        <v>90</v>
      </c>
      <c r="M170" t="s">
        <v>3458</v>
      </c>
      <c r="N170" t="s">
        <v>3458</v>
      </c>
      <c r="O170" t="s">
        <v>5717</v>
      </c>
    </row>
    <row r="171" spans="1:15" x14ac:dyDescent="0.25">
      <c r="A171" t="s">
        <v>6368</v>
      </c>
      <c r="B171" t="s">
        <v>4297</v>
      </c>
      <c r="C171" t="s">
        <v>4245</v>
      </c>
      <c r="D171" t="s">
        <v>3997</v>
      </c>
      <c r="E171" t="s">
        <v>6369</v>
      </c>
      <c r="F171" t="s">
        <v>4215</v>
      </c>
      <c r="G171" t="s">
        <v>3458</v>
      </c>
      <c r="H171" t="s">
        <v>3458</v>
      </c>
      <c r="I171" t="s">
        <v>3458</v>
      </c>
      <c r="J171" t="s">
        <v>3458</v>
      </c>
      <c r="K171" t="s">
        <v>6368</v>
      </c>
      <c r="L171" t="s">
        <v>90</v>
      </c>
      <c r="M171" t="s">
        <v>5463</v>
      </c>
      <c r="N171" t="s">
        <v>3458</v>
      </c>
      <c r="O171" t="s">
        <v>5870</v>
      </c>
    </row>
  </sheetData>
  <pageMargins left="0.7" right="0.7" top="0.75" bottom="0.75" header="0.511811023622047" footer="0.511811023622047"/>
  <pageSetup orientation="portrait" horizontalDpi="300" verticalDpi="300"/>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2"/>
  <sheetViews>
    <sheetView zoomScale="115" zoomScaleNormal="115" workbookViewId="0">
      <selection sqref="A1:F1"/>
    </sheetView>
  </sheetViews>
  <sheetFormatPr defaultColWidth="8.7109375" defaultRowHeight="15" x14ac:dyDescent="0.25"/>
  <cols>
    <col min="1" max="1" width="14.28515625" customWidth="1"/>
    <col min="2" max="3" width="16.28515625" customWidth="1"/>
    <col min="4" max="4" width="34.7109375" customWidth="1"/>
    <col min="6" max="6" width="20.5703125" customWidth="1"/>
  </cols>
  <sheetData>
    <row r="1" spans="1:6" ht="15" customHeight="1" x14ac:dyDescent="0.25">
      <c r="A1" t="s">
        <v>165</v>
      </c>
      <c r="B1" t="s">
        <v>6829</v>
      </c>
      <c r="C1" t="s">
        <v>6830</v>
      </c>
      <c r="D1" t="s">
        <v>3453</v>
      </c>
      <c r="E1" t="s">
        <v>3496</v>
      </c>
      <c r="F1" t="s">
        <v>6831</v>
      </c>
    </row>
    <row r="2" spans="1:6" ht="15" customHeight="1" x14ac:dyDescent="0.25">
      <c r="A2" t="s">
        <v>6832</v>
      </c>
      <c r="B2" t="s">
        <v>4693</v>
      </c>
      <c r="C2" t="s">
        <v>6833</v>
      </c>
      <c r="D2" t="s">
        <v>6834</v>
      </c>
      <c r="E2" t="s">
        <v>6835</v>
      </c>
      <c r="F2" t="s">
        <v>6836</v>
      </c>
    </row>
  </sheetData>
  <pageMargins left="0.7" right="0.7" top="0.75" bottom="0.75" header="0.511811023622047" footer="0.511811023622047"/>
  <pageSetup orientation="portrait" horizontalDpi="300" verticalDpi="300"/>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21"/>
  <sheetViews>
    <sheetView zoomScale="85" zoomScaleNormal="85" workbookViewId="0">
      <selection activeCell="A22" sqref="A22"/>
    </sheetView>
  </sheetViews>
  <sheetFormatPr defaultColWidth="8.7109375" defaultRowHeight="15" x14ac:dyDescent="0.25"/>
  <cols>
    <col min="1" max="1" width="28.140625" customWidth="1"/>
    <col min="2" max="2" width="161.28515625" customWidth="1"/>
    <col min="3" max="4" width="18" customWidth="1"/>
    <col min="5" max="5" width="11.5703125" customWidth="1"/>
    <col min="6" max="6" width="11" customWidth="1"/>
  </cols>
  <sheetData>
    <row r="1" spans="1:6" ht="15" customHeight="1" x14ac:dyDescent="0.25">
      <c r="A1" t="s">
        <v>165</v>
      </c>
      <c r="B1" t="s">
        <v>3453</v>
      </c>
      <c r="C1" t="s">
        <v>6837</v>
      </c>
      <c r="D1" t="s">
        <v>171</v>
      </c>
      <c r="E1" t="s">
        <v>4449</v>
      </c>
      <c r="F1" t="s">
        <v>6</v>
      </c>
    </row>
    <row r="2" spans="1:6" ht="15" customHeight="1" x14ac:dyDescent="0.25">
      <c r="A2" t="s">
        <v>6838</v>
      </c>
      <c r="B2" t="s">
        <v>6839</v>
      </c>
      <c r="C2" t="s">
        <v>5173</v>
      </c>
      <c r="D2" t="s">
        <v>3656</v>
      </c>
      <c r="E2" t="s">
        <v>3458</v>
      </c>
      <c r="F2" t="s">
        <v>3458</v>
      </c>
    </row>
    <row r="3" spans="1:6" ht="15" customHeight="1" x14ac:dyDescent="0.25">
      <c r="A3" t="s">
        <v>6840</v>
      </c>
      <c r="B3" t="s">
        <v>6841</v>
      </c>
      <c r="C3" t="s">
        <v>6842</v>
      </c>
      <c r="D3" t="s">
        <v>3656</v>
      </c>
      <c r="E3" t="s">
        <v>3458</v>
      </c>
      <c r="F3" t="s">
        <v>3458</v>
      </c>
    </row>
    <row r="4" spans="1:6" ht="15" customHeight="1" x14ac:dyDescent="0.25">
      <c r="A4" t="s">
        <v>6843</v>
      </c>
      <c r="B4" t="s">
        <v>6844</v>
      </c>
      <c r="C4" t="s">
        <v>5176</v>
      </c>
      <c r="D4" t="s">
        <v>6843</v>
      </c>
      <c r="E4" t="s">
        <v>3982</v>
      </c>
      <c r="F4" t="s">
        <v>3502</v>
      </c>
    </row>
    <row r="5" spans="1:6" ht="15" customHeight="1" x14ac:dyDescent="0.25">
      <c r="A5" t="s">
        <v>6845</v>
      </c>
      <c r="B5" t="s">
        <v>6846</v>
      </c>
      <c r="C5" t="s">
        <v>6847</v>
      </c>
      <c r="D5" t="s">
        <v>3512</v>
      </c>
      <c r="E5" t="s">
        <v>3999</v>
      </c>
      <c r="F5" t="s">
        <v>41</v>
      </c>
    </row>
    <row r="6" spans="1:6" ht="15" customHeight="1" x14ac:dyDescent="0.25">
      <c r="A6" t="s">
        <v>6848</v>
      </c>
      <c r="B6" t="s">
        <v>6849</v>
      </c>
      <c r="C6" t="s">
        <v>6847</v>
      </c>
      <c r="D6" t="s">
        <v>3656</v>
      </c>
      <c r="E6" t="s">
        <v>3458</v>
      </c>
      <c r="F6" t="s">
        <v>3514</v>
      </c>
    </row>
    <row r="7" spans="1:6" ht="15" customHeight="1" x14ac:dyDescent="0.25">
      <c r="A7" t="s">
        <v>6850</v>
      </c>
      <c r="B7" t="s">
        <v>6851</v>
      </c>
      <c r="C7" t="s">
        <v>6842</v>
      </c>
      <c r="D7" t="s">
        <v>3656</v>
      </c>
      <c r="E7" t="s">
        <v>3458</v>
      </c>
    </row>
    <row r="8" spans="1:6" ht="15" customHeight="1" x14ac:dyDescent="0.25">
      <c r="A8" t="s">
        <v>6852</v>
      </c>
      <c r="B8" t="s">
        <v>6853</v>
      </c>
      <c r="C8" t="s">
        <v>5173</v>
      </c>
      <c r="D8" t="s">
        <v>3656</v>
      </c>
      <c r="E8" t="s">
        <v>3458</v>
      </c>
      <c r="F8" t="s">
        <v>3458</v>
      </c>
    </row>
    <row r="9" spans="1:6" ht="15" customHeight="1" x14ac:dyDescent="0.25">
      <c r="A9" t="s">
        <v>6854</v>
      </c>
      <c r="B9" t="s">
        <v>6855</v>
      </c>
      <c r="C9" t="s">
        <v>5176</v>
      </c>
      <c r="D9" t="s">
        <v>5722</v>
      </c>
      <c r="E9" t="s">
        <v>3982</v>
      </c>
      <c r="F9" t="s">
        <v>41</v>
      </c>
    </row>
    <row r="10" spans="1:6" ht="15" customHeight="1" x14ac:dyDescent="0.25">
      <c r="A10" t="s">
        <v>6856</v>
      </c>
      <c r="B10" t="s">
        <v>6857</v>
      </c>
      <c r="C10" t="s">
        <v>6842</v>
      </c>
      <c r="D10" t="s">
        <v>3656</v>
      </c>
      <c r="E10" t="s">
        <v>5023</v>
      </c>
      <c r="F10" t="s">
        <v>41</v>
      </c>
    </row>
    <row r="11" spans="1:6" ht="15" customHeight="1" x14ac:dyDescent="0.25">
      <c r="A11" t="s">
        <v>6858</v>
      </c>
      <c r="B11" t="s">
        <v>6859</v>
      </c>
      <c r="C11" t="s">
        <v>6847</v>
      </c>
      <c r="D11" t="s">
        <v>3441</v>
      </c>
      <c r="E11" t="s">
        <v>3458</v>
      </c>
      <c r="F11" t="s">
        <v>3514</v>
      </c>
    </row>
    <row r="12" spans="1:6" ht="15" customHeight="1" x14ac:dyDescent="0.25">
      <c r="A12" t="s">
        <v>6860</v>
      </c>
      <c r="B12" t="s">
        <v>6861</v>
      </c>
      <c r="C12" t="s">
        <v>5176</v>
      </c>
      <c r="D12" t="s">
        <v>3656</v>
      </c>
      <c r="E12" t="s">
        <v>5023</v>
      </c>
      <c r="F12" t="s">
        <v>41</v>
      </c>
    </row>
    <row r="13" spans="1:6" ht="15" customHeight="1" x14ac:dyDescent="0.25">
      <c r="A13" t="s">
        <v>6862</v>
      </c>
      <c r="B13" t="s">
        <v>6863</v>
      </c>
      <c r="C13" t="s">
        <v>6842</v>
      </c>
      <c r="D13" t="s">
        <v>3656</v>
      </c>
      <c r="E13" t="s">
        <v>3458</v>
      </c>
      <c r="F13" t="s">
        <v>3458</v>
      </c>
    </row>
    <row r="14" spans="1:6" ht="15" customHeight="1" x14ac:dyDescent="0.25">
      <c r="A14" t="s">
        <v>6864</v>
      </c>
      <c r="B14" t="s">
        <v>6865</v>
      </c>
      <c r="C14" t="s">
        <v>6842</v>
      </c>
      <c r="D14" t="s">
        <v>3656</v>
      </c>
      <c r="E14" t="s">
        <v>3458</v>
      </c>
      <c r="F14" t="s">
        <v>3458</v>
      </c>
    </row>
    <row r="15" spans="1:6" ht="15" customHeight="1" x14ac:dyDescent="0.25">
      <c r="A15" t="s">
        <v>6866</v>
      </c>
      <c r="B15" t="s">
        <v>6867</v>
      </c>
      <c r="C15" t="s">
        <v>5176</v>
      </c>
      <c r="D15" t="s">
        <v>5722</v>
      </c>
      <c r="E15" t="s">
        <v>6868</v>
      </c>
      <c r="F15" t="s">
        <v>3502</v>
      </c>
    </row>
    <row r="16" spans="1:6" ht="15" customHeight="1" x14ac:dyDescent="0.25">
      <c r="A16" t="s">
        <v>6869</v>
      </c>
      <c r="B16" t="s">
        <v>6870</v>
      </c>
      <c r="C16" t="s">
        <v>6842</v>
      </c>
      <c r="D16" t="s">
        <v>6869</v>
      </c>
      <c r="E16" t="s">
        <v>3458</v>
      </c>
      <c r="F16" t="s">
        <v>41</v>
      </c>
    </row>
    <row r="17" spans="1:6" ht="15" customHeight="1" x14ac:dyDescent="0.25">
      <c r="A17" t="s">
        <v>6160</v>
      </c>
      <c r="B17" t="s">
        <v>6871</v>
      </c>
      <c r="C17" t="s">
        <v>6842</v>
      </c>
      <c r="D17" t="s">
        <v>3656</v>
      </c>
      <c r="E17" t="s">
        <v>3982</v>
      </c>
      <c r="F17" t="s">
        <v>3458</v>
      </c>
    </row>
    <row r="18" spans="1:6" ht="15" customHeight="1" x14ac:dyDescent="0.25">
      <c r="A18" t="s">
        <v>5675</v>
      </c>
      <c r="B18" t="s">
        <v>6872</v>
      </c>
      <c r="C18" t="s">
        <v>6842</v>
      </c>
      <c r="D18" t="s">
        <v>3656</v>
      </c>
      <c r="E18" t="s">
        <v>5023</v>
      </c>
      <c r="F18" t="s">
        <v>3502</v>
      </c>
    </row>
    <row r="19" spans="1:6" ht="15" customHeight="1" x14ac:dyDescent="0.25">
      <c r="A19" t="s">
        <v>6873</v>
      </c>
      <c r="B19" t="s">
        <v>6874</v>
      </c>
      <c r="C19" t="s">
        <v>6842</v>
      </c>
      <c r="D19" t="s">
        <v>3656</v>
      </c>
      <c r="E19" t="s">
        <v>3458</v>
      </c>
      <c r="F19" t="s">
        <v>3458</v>
      </c>
    </row>
    <row r="20" spans="1:6" ht="15" customHeight="1" x14ac:dyDescent="0.25">
      <c r="A20" t="s">
        <v>6875</v>
      </c>
      <c r="B20" t="s">
        <v>6876</v>
      </c>
      <c r="C20" t="s">
        <v>5173</v>
      </c>
      <c r="D20" t="s">
        <v>3656</v>
      </c>
      <c r="E20" t="s">
        <v>3458</v>
      </c>
      <c r="F20" t="s">
        <v>3458</v>
      </c>
    </row>
    <row r="21" spans="1:6" ht="15" customHeight="1" x14ac:dyDescent="0.25">
      <c r="A21" t="s">
        <v>6877</v>
      </c>
      <c r="B21" t="s">
        <v>6878</v>
      </c>
      <c r="C21" t="s">
        <v>6847</v>
      </c>
      <c r="D21" t="s">
        <v>6877</v>
      </c>
      <c r="E21" t="s">
        <v>6868</v>
      </c>
      <c r="F21" t="s">
        <v>3502</v>
      </c>
    </row>
  </sheetData>
  <pageMargins left="0.7" right="0.7" top="0.75" bottom="0.75" header="0.511811023622047" footer="0.511811023622047"/>
  <pageSetup orientation="portrait" horizontalDpi="300" verticalDpi="300"/>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20"/>
  <sheetViews>
    <sheetView zoomScale="85" zoomScaleNormal="85" workbookViewId="0">
      <selection activeCell="G29" sqref="G29"/>
    </sheetView>
  </sheetViews>
  <sheetFormatPr defaultColWidth="8.7109375" defaultRowHeight="15" x14ac:dyDescent="0.25"/>
  <cols>
    <col min="1" max="1" width="8.5703125" customWidth="1"/>
    <col min="2" max="2" width="7.140625" customWidth="1"/>
    <col min="3" max="3" width="11.140625" customWidth="1"/>
    <col min="4" max="4" width="56.7109375" customWidth="1"/>
    <col min="5" max="5" width="12" customWidth="1"/>
    <col min="6" max="6" width="8.7109375" customWidth="1"/>
    <col min="7" max="7" width="11.28515625" customWidth="1"/>
    <col min="8" max="8" width="10.7109375" customWidth="1"/>
    <col min="9" max="9" width="8.28515625" customWidth="1"/>
  </cols>
  <sheetData>
    <row r="1" spans="1:9" ht="15" customHeight="1" x14ac:dyDescent="0.25">
      <c r="A1" t="s">
        <v>165</v>
      </c>
      <c r="B1" t="s">
        <v>5698</v>
      </c>
      <c r="C1" t="s">
        <v>6</v>
      </c>
      <c r="D1" t="s">
        <v>3453</v>
      </c>
      <c r="E1" t="s">
        <v>6377</v>
      </c>
      <c r="F1" t="s">
        <v>6879</v>
      </c>
      <c r="G1" t="s">
        <v>1</v>
      </c>
      <c r="H1" t="s">
        <v>6378</v>
      </c>
      <c r="I1" t="s">
        <v>171</v>
      </c>
    </row>
    <row r="2" spans="1:9" ht="15" customHeight="1" x14ac:dyDescent="0.25">
      <c r="A2" t="s">
        <v>6880</v>
      </c>
      <c r="B2">
        <v>6</v>
      </c>
      <c r="C2" t="s">
        <v>3502</v>
      </c>
      <c r="D2" t="s">
        <v>6881</v>
      </c>
      <c r="E2" t="s">
        <v>3458</v>
      </c>
      <c r="F2" t="s">
        <v>3997</v>
      </c>
      <c r="G2" t="s">
        <v>2361</v>
      </c>
      <c r="H2" t="s">
        <v>5386</v>
      </c>
      <c r="I2" t="s">
        <v>6880</v>
      </c>
    </row>
    <row r="3" spans="1:9" ht="15" customHeight="1" x14ac:dyDescent="0.25">
      <c r="A3" t="s">
        <v>6882</v>
      </c>
      <c r="B3">
        <v>3</v>
      </c>
      <c r="C3" t="s">
        <v>3514</v>
      </c>
      <c r="D3" t="s">
        <v>6883</v>
      </c>
      <c r="E3" t="s">
        <v>3458</v>
      </c>
      <c r="F3" t="s">
        <v>187</v>
      </c>
      <c r="G3" t="s">
        <v>2361</v>
      </c>
      <c r="H3" t="s">
        <v>3458</v>
      </c>
      <c r="I3" t="s">
        <v>6882</v>
      </c>
    </row>
    <row r="4" spans="1:9" ht="15" customHeight="1" x14ac:dyDescent="0.25">
      <c r="A4" t="s">
        <v>6884</v>
      </c>
      <c r="B4">
        <v>3</v>
      </c>
      <c r="C4" t="s">
        <v>3502</v>
      </c>
      <c r="D4" t="s">
        <v>6885</v>
      </c>
      <c r="E4" t="s">
        <v>5414</v>
      </c>
      <c r="F4" t="s">
        <v>187</v>
      </c>
      <c r="G4" t="s">
        <v>2361</v>
      </c>
      <c r="H4" t="s">
        <v>3458</v>
      </c>
      <c r="I4" t="s">
        <v>6884</v>
      </c>
    </row>
    <row r="5" spans="1:9" ht="15" customHeight="1" x14ac:dyDescent="0.25">
      <c r="A5" t="s">
        <v>6886</v>
      </c>
      <c r="B5">
        <v>6</v>
      </c>
      <c r="C5" t="s">
        <v>3502</v>
      </c>
      <c r="D5" t="s">
        <v>6887</v>
      </c>
      <c r="E5" t="s">
        <v>3458</v>
      </c>
      <c r="F5" t="s">
        <v>187</v>
      </c>
      <c r="G5" t="s">
        <v>2361</v>
      </c>
      <c r="H5" t="s">
        <v>4261</v>
      </c>
      <c r="I5" t="s">
        <v>6886</v>
      </c>
    </row>
    <row r="6" spans="1:9" ht="15" customHeight="1" x14ac:dyDescent="0.25">
      <c r="A6" t="s">
        <v>4002</v>
      </c>
      <c r="B6">
        <v>1</v>
      </c>
      <c r="C6" t="s">
        <v>3514</v>
      </c>
      <c r="D6" t="s">
        <v>6888</v>
      </c>
      <c r="E6" t="s">
        <v>3458</v>
      </c>
      <c r="F6" t="s">
        <v>187</v>
      </c>
      <c r="G6" t="s">
        <v>2361</v>
      </c>
      <c r="H6" t="s">
        <v>4261</v>
      </c>
      <c r="I6" t="s">
        <v>4002</v>
      </c>
    </row>
    <row r="7" spans="1:9" ht="15" customHeight="1" x14ac:dyDescent="0.25">
      <c r="A7" t="s">
        <v>6889</v>
      </c>
      <c r="B7">
        <v>3</v>
      </c>
      <c r="C7" t="s">
        <v>3502</v>
      </c>
      <c r="D7" t="s">
        <v>6890</v>
      </c>
      <c r="E7" t="s">
        <v>3458</v>
      </c>
      <c r="F7" t="s">
        <v>187</v>
      </c>
      <c r="G7" t="s">
        <v>2361</v>
      </c>
      <c r="H7" t="s">
        <v>3458</v>
      </c>
      <c r="I7" t="s">
        <v>6889</v>
      </c>
    </row>
    <row r="8" spans="1:9" ht="15" customHeight="1" x14ac:dyDescent="0.25">
      <c r="A8" t="s">
        <v>6891</v>
      </c>
      <c r="B8">
        <v>1</v>
      </c>
      <c r="C8" t="s">
        <v>3514</v>
      </c>
      <c r="D8" t="s">
        <v>6892</v>
      </c>
      <c r="E8" t="s">
        <v>5412</v>
      </c>
      <c r="F8" t="s">
        <v>187</v>
      </c>
      <c r="G8" t="s">
        <v>2361</v>
      </c>
      <c r="H8" t="s">
        <v>3458</v>
      </c>
      <c r="I8" t="s">
        <v>6891</v>
      </c>
    </row>
    <row r="9" spans="1:9" ht="15" customHeight="1" x14ac:dyDescent="0.25">
      <c r="A9" t="s">
        <v>6893</v>
      </c>
      <c r="B9">
        <v>2</v>
      </c>
      <c r="C9" t="s">
        <v>41</v>
      </c>
      <c r="D9" t="s">
        <v>4558</v>
      </c>
      <c r="E9" t="s">
        <v>5429</v>
      </c>
      <c r="F9" t="s">
        <v>3997</v>
      </c>
      <c r="G9" t="s">
        <v>2361</v>
      </c>
      <c r="H9" t="s">
        <v>3458</v>
      </c>
      <c r="I9" t="s">
        <v>6893</v>
      </c>
    </row>
    <row r="10" spans="1:9" ht="15" customHeight="1" x14ac:dyDescent="0.25">
      <c r="A10" t="s">
        <v>6894</v>
      </c>
      <c r="B10">
        <v>1</v>
      </c>
      <c r="C10" t="s">
        <v>3502</v>
      </c>
      <c r="D10" t="s">
        <v>6895</v>
      </c>
      <c r="E10" t="s">
        <v>5412</v>
      </c>
      <c r="F10" t="s">
        <v>3997</v>
      </c>
      <c r="G10" t="s">
        <v>2361</v>
      </c>
      <c r="H10" t="s">
        <v>5383</v>
      </c>
      <c r="I10" t="s">
        <v>6894</v>
      </c>
    </row>
    <row r="11" spans="1:9" ht="15" customHeight="1" x14ac:dyDescent="0.25">
      <c r="A11" t="s">
        <v>6896</v>
      </c>
      <c r="B11">
        <v>15</v>
      </c>
      <c r="C11" t="s">
        <v>3502</v>
      </c>
      <c r="D11" t="s">
        <v>6897</v>
      </c>
      <c r="E11" t="s">
        <v>3458</v>
      </c>
      <c r="F11" t="s">
        <v>3997</v>
      </c>
      <c r="G11" t="s">
        <v>2361</v>
      </c>
      <c r="H11" t="s">
        <v>5386</v>
      </c>
      <c r="I11" t="s">
        <v>6896</v>
      </c>
    </row>
    <row r="12" spans="1:9" ht="15" customHeight="1" x14ac:dyDescent="0.25">
      <c r="A12" t="s">
        <v>6898</v>
      </c>
      <c r="B12">
        <v>2</v>
      </c>
      <c r="C12" t="s">
        <v>41</v>
      </c>
      <c r="D12" t="s">
        <v>6899</v>
      </c>
      <c r="E12" t="s">
        <v>3458</v>
      </c>
      <c r="F12" t="s">
        <v>3997</v>
      </c>
      <c r="G12" t="s">
        <v>2361</v>
      </c>
      <c r="H12" t="s">
        <v>5383</v>
      </c>
      <c r="I12" t="s">
        <v>6898</v>
      </c>
    </row>
    <row r="13" spans="1:9" ht="15" customHeight="1" x14ac:dyDescent="0.25">
      <c r="A13" t="s">
        <v>6900</v>
      </c>
      <c r="B13">
        <v>3</v>
      </c>
      <c r="C13" t="s">
        <v>3502</v>
      </c>
      <c r="D13" t="s">
        <v>6901</v>
      </c>
      <c r="E13" t="s">
        <v>3458</v>
      </c>
      <c r="F13" t="s">
        <v>187</v>
      </c>
      <c r="G13" t="s">
        <v>2361</v>
      </c>
      <c r="H13" t="s">
        <v>5254</v>
      </c>
      <c r="I13" t="s">
        <v>6900</v>
      </c>
    </row>
    <row r="14" spans="1:9" ht="15" customHeight="1" x14ac:dyDescent="0.25">
      <c r="A14" t="s">
        <v>6902</v>
      </c>
      <c r="B14">
        <v>1</v>
      </c>
      <c r="C14" t="s">
        <v>41</v>
      </c>
      <c r="D14" t="s">
        <v>6903</v>
      </c>
      <c r="E14" t="s">
        <v>5412</v>
      </c>
      <c r="F14" t="s">
        <v>187</v>
      </c>
      <c r="G14" t="s">
        <v>2361</v>
      </c>
      <c r="H14" t="s">
        <v>3458</v>
      </c>
      <c r="I14" t="s">
        <v>6902</v>
      </c>
    </row>
    <row r="15" spans="1:9" ht="15" customHeight="1" x14ac:dyDescent="0.25">
      <c r="A15" t="s">
        <v>6904</v>
      </c>
      <c r="B15">
        <v>2</v>
      </c>
      <c r="C15" t="s">
        <v>41</v>
      </c>
      <c r="D15" t="s">
        <v>6905</v>
      </c>
      <c r="E15" t="s">
        <v>5459</v>
      </c>
      <c r="F15" t="s">
        <v>187</v>
      </c>
      <c r="G15" t="s">
        <v>2361</v>
      </c>
      <c r="H15" t="s">
        <v>5389</v>
      </c>
      <c r="I15" t="s">
        <v>6904</v>
      </c>
    </row>
    <row r="16" spans="1:9" ht="15" customHeight="1" x14ac:dyDescent="0.25">
      <c r="A16" t="s">
        <v>6906</v>
      </c>
      <c r="B16">
        <v>2</v>
      </c>
      <c r="C16" t="s">
        <v>41</v>
      </c>
      <c r="D16" t="s">
        <v>6907</v>
      </c>
      <c r="E16" t="s">
        <v>5459</v>
      </c>
      <c r="F16" t="s">
        <v>187</v>
      </c>
      <c r="G16" t="s">
        <v>2361</v>
      </c>
      <c r="H16" t="s">
        <v>5389</v>
      </c>
      <c r="I16" t="s">
        <v>6906</v>
      </c>
    </row>
    <row r="17" spans="1:9" ht="15" customHeight="1" x14ac:dyDescent="0.25">
      <c r="A17" t="s">
        <v>6908</v>
      </c>
      <c r="B17">
        <v>3</v>
      </c>
      <c r="C17" t="s">
        <v>3514</v>
      </c>
      <c r="D17" t="s">
        <v>6909</v>
      </c>
      <c r="E17" t="s">
        <v>3458</v>
      </c>
      <c r="F17" t="s">
        <v>187</v>
      </c>
      <c r="G17" t="s">
        <v>2361</v>
      </c>
      <c r="H17" t="s">
        <v>5398</v>
      </c>
      <c r="I17" t="s">
        <v>6908</v>
      </c>
    </row>
    <row r="18" spans="1:9" ht="15" customHeight="1" x14ac:dyDescent="0.25">
      <c r="A18" t="s">
        <v>6910</v>
      </c>
      <c r="B18">
        <v>3</v>
      </c>
      <c r="C18" t="s">
        <v>41</v>
      </c>
      <c r="D18" t="s">
        <v>6911</v>
      </c>
      <c r="E18" t="s">
        <v>5459</v>
      </c>
      <c r="F18" t="s">
        <v>187</v>
      </c>
      <c r="G18" t="s">
        <v>2361</v>
      </c>
      <c r="H18" t="s">
        <v>4261</v>
      </c>
      <c r="I18" t="s">
        <v>6910</v>
      </c>
    </row>
    <row r="19" spans="1:9" ht="15" customHeight="1" x14ac:dyDescent="0.25">
      <c r="A19" t="s">
        <v>6912</v>
      </c>
      <c r="B19">
        <v>4</v>
      </c>
      <c r="C19" t="s">
        <v>41</v>
      </c>
      <c r="D19" t="s">
        <v>6913</v>
      </c>
      <c r="E19" t="s">
        <v>5407</v>
      </c>
      <c r="F19" t="s">
        <v>187</v>
      </c>
      <c r="G19" t="s">
        <v>2361</v>
      </c>
      <c r="H19" t="s">
        <v>5389</v>
      </c>
      <c r="I19" t="s">
        <v>6912</v>
      </c>
    </row>
    <row r="20" spans="1:9" ht="15" customHeight="1" x14ac:dyDescent="0.25">
      <c r="A20" t="s">
        <v>6914</v>
      </c>
      <c r="B20">
        <v>2</v>
      </c>
      <c r="C20" t="s">
        <v>3514</v>
      </c>
      <c r="D20" t="s">
        <v>6915</v>
      </c>
      <c r="E20" t="s">
        <v>5412</v>
      </c>
      <c r="F20" t="s">
        <v>3997</v>
      </c>
      <c r="G20" t="s">
        <v>2361</v>
      </c>
      <c r="H20" t="s">
        <v>5391</v>
      </c>
      <c r="I20" t="s">
        <v>6914</v>
      </c>
    </row>
  </sheetData>
  <pageMargins left="0.7" right="0.7" top="0.75" bottom="0.75" header="0.511811023622047" footer="0.511811023622047"/>
  <pageSetup orientation="portrait" horizontalDpi="300" verticalDpi="300"/>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39"/>
  <sheetViews>
    <sheetView zoomScale="85" zoomScaleNormal="85" workbookViewId="0">
      <selection activeCell="F44" sqref="F44"/>
    </sheetView>
  </sheetViews>
  <sheetFormatPr defaultColWidth="8.7109375" defaultRowHeight="15" x14ac:dyDescent="0.25"/>
  <cols>
    <col min="1" max="1" width="16.5703125" customWidth="1"/>
    <col min="2" max="2" width="11.140625" customWidth="1"/>
    <col min="3" max="3" width="10.7109375" customWidth="1"/>
    <col min="4" max="4" width="20.42578125" customWidth="1"/>
    <col min="5" max="5" width="18.85546875" customWidth="1"/>
    <col min="6" max="6" width="6.42578125" customWidth="1"/>
  </cols>
  <sheetData>
    <row r="1" spans="1:5" ht="15" customHeight="1" x14ac:dyDescent="0.25">
      <c r="A1" t="s">
        <v>165</v>
      </c>
      <c r="B1" t="s">
        <v>6</v>
      </c>
      <c r="C1" t="s">
        <v>6916</v>
      </c>
      <c r="D1" t="s">
        <v>1</v>
      </c>
      <c r="E1" t="s">
        <v>7</v>
      </c>
    </row>
    <row r="2" spans="1:5" ht="15" customHeight="1" x14ac:dyDescent="0.25">
      <c r="A2" t="s">
        <v>6917</v>
      </c>
      <c r="B2" t="s">
        <v>41</v>
      </c>
      <c r="C2" t="s">
        <v>4375</v>
      </c>
      <c r="D2" t="s">
        <v>1294</v>
      </c>
      <c r="E2" t="s">
        <v>6918</v>
      </c>
    </row>
    <row r="3" spans="1:5" ht="15" customHeight="1" x14ac:dyDescent="0.25">
      <c r="A3" t="s">
        <v>6919</v>
      </c>
      <c r="B3" t="s">
        <v>3514</v>
      </c>
      <c r="C3" t="s">
        <v>4375</v>
      </c>
      <c r="D3" t="s">
        <v>1294</v>
      </c>
      <c r="E3" t="s">
        <v>6920</v>
      </c>
    </row>
    <row r="4" spans="1:5" ht="15" customHeight="1" x14ac:dyDescent="0.25">
      <c r="A4" t="s">
        <v>6921</v>
      </c>
      <c r="B4" t="s">
        <v>3502</v>
      </c>
      <c r="C4" t="s">
        <v>4375</v>
      </c>
      <c r="D4" t="s">
        <v>1294</v>
      </c>
      <c r="E4" t="s">
        <v>6922</v>
      </c>
    </row>
    <row r="5" spans="1:5" ht="15" customHeight="1" x14ac:dyDescent="0.25">
      <c r="A5" t="s">
        <v>6923</v>
      </c>
      <c r="B5" t="s">
        <v>41</v>
      </c>
      <c r="C5" t="s">
        <v>4373</v>
      </c>
      <c r="D5" t="s">
        <v>1294</v>
      </c>
      <c r="E5" t="s">
        <v>6924</v>
      </c>
    </row>
    <row r="6" spans="1:5" ht="15" customHeight="1" x14ac:dyDescent="0.25">
      <c r="A6" t="s">
        <v>6925</v>
      </c>
      <c r="B6" t="s">
        <v>3514</v>
      </c>
      <c r="C6" t="s">
        <v>4373</v>
      </c>
      <c r="D6" t="s">
        <v>1294</v>
      </c>
      <c r="E6" t="s">
        <v>6926</v>
      </c>
    </row>
    <row r="7" spans="1:5" ht="15" customHeight="1" x14ac:dyDescent="0.25">
      <c r="A7" t="s">
        <v>6927</v>
      </c>
      <c r="B7" t="s">
        <v>3502</v>
      </c>
      <c r="C7" t="s">
        <v>4373</v>
      </c>
      <c r="D7" t="s">
        <v>1294</v>
      </c>
      <c r="E7" t="s">
        <v>6928</v>
      </c>
    </row>
    <row r="8" spans="1:5" ht="15" customHeight="1" x14ac:dyDescent="0.25">
      <c r="A8" t="s">
        <v>6929</v>
      </c>
      <c r="B8" t="s">
        <v>41</v>
      </c>
      <c r="C8" t="s">
        <v>4382</v>
      </c>
      <c r="D8" t="s">
        <v>1294</v>
      </c>
      <c r="E8" t="s">
        <v>6930</v>
      </c>
    </row>
    <row r="9" spans="1:5" ht="15" customHeight="1" x14ac:dyDescent="0.25">
      <c r="A9" t="s">
        <v>6931</v>
      </c>
      <c r="B9" t="s">
        <v>3514</v>
      </c>
      <c r="C9" t="s">
        <v>4382</v>
      </c>
      <c r="D9" t="s">
        <v>1294</v>
      </c>
      <c r="E9" t="s">
        <v>6932</v>
      </c>
    </row>
    <row r="10" spans="1:5" ht="15" customHeight="1" x14ac:dyDescent="0.25">
      <c r="A10" t="s">
        <v>6933</v>
      </c>
      <c r="B10" t="s">
        <v>3502</v>
      </c>
      <c r="C10" t="s">
        <v>4382</v>
      </c>
      <c r="D10" t="s">
        <v>1294</v>
      </c>
      <c r="E10" t="s">
        <v>6934</v>
      </c>
    </row>
    <row r="11" spans="1:5" ht="15" customHeight="1" x14ac:dyDescent="0.25">
      <c r="A11" t="s">
        <v>6935</v>
      </c>
      <c r="B11" t="s">
        <v>41</v>
      </c>
      <c r="C11" t="s">
        <v>4364</v>
      </c>
      <c r="D11" t="s">
        <v>1294</v>
      </c>
      <c r="E11" t="s">
        <v>6936</v>
      </c>
    </row>
    <row r="12" spans="1:5" ht="15" customHeight="1" x14ac:dyDescent="0.25">
      <c r="A12" t="s">
        <v>6937</v>
      </c>
      <c r="B12" t="s">
        <v>3514</v>
      </c>
      <c r="C12" t="s">
        <v>4364</v>
      </c>
      <c r="D12" t="s">
        <v>1294</v>
      </c>
      <c r="E12" t="s">
        <v>6938</v>
      </c>
    </row>
    <row r="13" spans="1:5" ht="15" customHeight="1" x14ac:dyDescent="0.25">
      <c r="A13" t="s">
        <v>6939</v>
      </c>
      <c r="B13" t="s">
        <v>3502</v>
      </c>
      <c r="C13" t="s">
        <v>4364</v>
      </c>
      <c r="D13" t="s">
        <v>1294</v>
      </c>
      <c r="E13" t="s">
        <v>6940</v>
      </c>
    </row>
    <row r="14" spans="1:5" ht="15" customHeight="1" x14ac:dyDescent="0.25">
      <c r="A14" t="s">
        <v>6941</v>
      </c>
      <c r="B14" t="s">
        <v>41</v>
      </c>
      <c r="C14" t="s">
        <v>4389</v>
      </c>
      <c r="D14" t="s">
        <v>1294</v>
      </c>
      <c r="E14" t="s">
        <v>6942</v>
      </c>
    </row>
    <row r="15" spans="1:5" ht="15" customHeight="1" x14ac:dyDescent="0.25">
      <c r="A15" t="s">
        <v>6943</v>
      </c>
      <c r="B15" t="s">
        <v>3514</v>
      </c>
      <c r="C15" t="s">
        <v>4389</v>
      </c>
      <c r="D15" t="s">
        <v>1294</v>
      </c>
      <c r="E15" t="s">
        <v>6944</v>
      </c>
    </row>
    <row r="16" spans="1:5" ht="15" customHeight="1" x14ac:dyDescent="0.25">
      <c r="A16" t="s">
        <v>6945</v>
      </c>
      <c r="B16" t="s">
        <v>3502</v>
      </c>
      <c r="C16" t="s">
        <v>4389</v>
      </c>
      <c r="D16" t="s">
        <v>1294</v>
      </c>
      <c r="E16" t="s">
        <v>6946</v>
      </c>
    </row>
    <row r="17" spans="1:5" ht="15" customHeight="1" x14ac:dyDescent="0.25">
      <c r="A17" t="s">
        <v>6947</v>
      </c>
      <c r="B17" t="s">
        <v>41</v>
      </c>
      <c r="C17" t="s">
        <v>4396</v>
      </c>
      <c r="D17" t="s">
        <v>1294</v>
      </c>
      <c r="E17" t="s">
        <v>6948</v>
      </c>
    </row>
    <row r="18" spans="1:5" ht="15" customHeight="1" x14ac:dyDescent="0.25">
      <c r="A18" t="s">
        <v>6949</v>
      </c>
      <c r="B18" t="s">
        <v>3514</v>
      </c>
      <c r="C18" t="s">
        <v>4396</v>
      </c>
      <c r="D18" t="s">
        <v>1294</v>
      </c>
      <c r="E18" t="s">
        <v>6950</v>
      </c>
    </row>
    <row r="19" spans="1:5" ht="15" customHeight="1" x14ac:dyDescent="0.25">
      <c r="A19" t="s">
        <v>6951</v>
      </c>
      <c r="B19" t="s">
        <v>3502</v>
      </c>
      <c r="C19" t="s">
        <v>4396</v>
      </c>
      <c r="D19" t="s">
        <v>1294</v>
      </c>
      <c r="E19" t="s">
        <v>6952</v>
      </c>
    </row>
    <row r="20" spans="1:5" ht="15" customHeight="1" x14ac:dyDescent="0.25">
      <c r="A20" t="s">
        <v>6953</v>
      </c>
      <c r="B20" t="s">
        <v>41</v>
      </c>
      <c r="C20" t="s">
        <v>4396</v>
      </c>
      <c r="D20" t="s">
        <v>709</v>
      </c>
      <c r="E20" t="s">
        <v>6954</v>
      </c>
    </row>
    <row r="21" spans="1:5" ht="15" customHeight="1" x14ac:dyDescent="0.25">
      <c r="A21" t="s">
        <v>6955</v>
      </c>
      <c r="B21" t="s">
        <v>41</v>
      </c>
      <c r="C21" t="s">
        <v>4396</v>
      </c>
      <c r="D21" t="s">
        <v>709</v>
      </c>
      <c r="E21" t="s">
        <v>6956</v>
      </c>
    </row>
    <row r="22" spans="1:5" ht="15" customHeight="1" x14ac:dyDescent="0.25">
      <c r="A22" t="s">
        <v>6957</v>
      </c>
      <c r="B22" t="s">
        <v>3514</v>
      </c>
      <c r="C22" t="s">
        <v>4396</v>
      </c>
      <c r="D22" t="s">
        <v>709</v>
      </c>
      <c r="E22" t="s">
        <v>6958</v>
      </c>
    </row>
    <row r="23" spans="1:5" ht="15" customHeight="1" x14ac:dyDescent="0.25">
      <c r="A23" t="s">
        <v>6959</v>
      </c>
      <c r="B23" t="s">
        <v>3514</v>
      </c>
      <c r="C23" t="s">
        <v>4396</v>
      </c>
      <c r="D23" t="s">
        <v>709</v>
      </c>
      <c r="E23" t="s">
        <v>6960</v>
      </c>
    </row>
    <row r="24" spans="1:5" ht="15" customHeight="1" x14ac:dyDescent="0.25">
      <c r="A24" t="s">
        <v>6961</v>
      </c>
      <c r="B24" t="s">
        <v>3502</v>
      </c>
      <c r="C24" t="s">
        <v>4396</v>
      </c>
      <c r="D24" t="s">
        <v>709</v>
      </c>
      <c r="E24" t="s">
        <v>6962</v>
      </c>
    </row>
    <row r="25" spans="1:5" ht="15" customHeight="1" x14ac:dyDescent="0.25">
      <c r="A25" t="s">
        <v>6963</v>
      </c>
      <c r="B25" t="s">
        <v>3502</v>
      </c>
      <c r="C25" t="s">
        <v>4396</v>
      </c>
      <c r="D25" t="s">
        <v>709</v>
      </c>
      <c r="E25" t="s">
        <v>6964</v>
      </c>
    </row>
    <row r="26" spans="1:5" ht="15" customHeight="1" x14ac:dyDescent="0.25">
      <c r="A26" t="s">
        <v>6965</v>
      </c>
      <c r="B26" t="s">
        <v>3502</v>
      </c>
      <c r="C26" t="s">
        <v>4396</v>
      </c>
      <c r="D26" t="s">
        <v>709</v>
      </c>
      <c r="E26" t="s">
        <v>6966</v>
      </c>
    </row>
    <row r="27" spans="1:5" ht="15" customHeight="1" x14ac:dyDescent="0.25">
      <c r="A27" t="s">
        <v>6967</v>
      </c>
      <c r="B27" t="s">
        <v>3502</v>
      </c>
      <c r="C27" t="s">
        <v>4396</v>
      </c>
      <c r="D27" t="s">
        <v>709</v>
      </c>
      <c r="E27" t="s">
        <v>6968</v>
      </c>
    </row>
    <row r="28" spans="1:5" ht="15" customHeight="1" x14ac:dyDescent="0.25">
      <c r="A28" t="s">
        <v>6969</v>
      </c>
      <c r="B28" t="s">
        <v>3502</v>
      </c>
      <c r="C28" t="s">
        <v>4396</v>
      </c>
      <c r="D28" t="s">
        <v>709</v>
      </c>
      <c r="E28" t="s">
        <v>6970</v>
      </c>
    </row>
    <row r="29" spans="1:5" ht="15" customHeight="1" x14ac:dyDescent="0.25">
      <c r="A29" t="s">
        <v>6971</v>
      </c>
      <c r="B29" t="s">
        <v>3514</v>
      </c>
      <c r="C29" t="s">
        <v>4373</v>
      </c>
      <c r="D29" t="s">
        <v>918</v>
      </c>
      <c r="E29" t="s">
        <v>6972</v>
      </c>
    </row>
    <row r="30" spans="1:5" ht="15" customHeight="1" x14ac:dyDescent="0.25">
      <c r="A30" t="s">
        <v>6973</v>
      </c>
      <c r="B30" t="s">
        <v>3514</v>
      </c>
      <c r="C30" t="s">
        <v>6974</v>
      </c>
      <c r="D30" t="s">
        <v>918</v>
      </c>
      <c r="E30" t="s">
        <v>6975</v>
      </c>
    </row>
    <row r="31" spans="1:5" ht="15" customHeight="1" x14ac:dyDescent="0.25">
      <c r="A31" t="s">
        <v>6976</v>
      </c>
      <c r="B31" t="s">
        <v>41</v>
      </c>
      <c r="C31" t="s">
        <v>4402</v>
      </c>
      <c r="D31" t="s">
        <v>918</v>
      </c>
      <c r="E31" t="s">
        <v>6977</v>
      </c>
    </row>
    <row r="32" spans="1:5" ht="15" customHeight="1" x14ac:dyDescent="0.25">
      <c r="A32" t="s">
        <v>6978</v>
      </c>
      <c r="B32" t="s">
        <v>3502</v>
      </c>
      <c r="C32" t="s">
        <v>4396</v>
      </c>
      <c r="D32" t="s">
        <v>918</v>
      </c>
      <c r="E32" t="s">
        <v>6979</v>
      </c>
    </row>
    <row r="33" spans="1:5" ht="15" customHeight="1" x14ac:dyDescent="0.25">
      <c r="A33" t="s">
        <v>6980</v>
      </c>
      <c r="B33" t="s">
        <v>41</v>
      </c>
      <c r="C33" t="s">
        <v>4402</v>
      </c>
      <c r="D33" t="s">
        <v>918</v>
      </c>
      <c r="E33" t="s">
        <v>6981</v>
      </c>
    </row>
    <row r="34" spans="1:5" ht="15" customHeight="1" x14ac:dyDescent="0.25">
      <c r="A34" t="s">
        <v>6982</v>
      </c>
      <c r="B34" t="s">
        <v>3514</v>
      </c>
      <c r="C34" t="s">
        <v>4396</v>
      </c>
      <c r="D34" t="s">
        <v>918</v>
      </c>
      <c r="E34" t="s">
        <v>6983</v>
      </c>
    </row>
    <row r="35" spans="1:5" ht="15" customHeight="1" x14ac:dyDescent="0.25">
      <c r="A35" t="s">
        <v>6984</v>
      </c>
      <c r="B35" t="s">
        <v>41</v>
      </c>
      <c r="C35" t="s">
        <v>4396</v>
      </c>
      <c r="D35" t="s">
        <v>918</v>
      </c>
      <c r="E35" t="s">
        <v>6985</v>
      </c>
    </row>
    <row r="36" spans="1:5" ht="15" customHeight="1" x14ac:dyDescent="0.25">
      <c r="A36" t="s">
        <v>6986</v>
      </c>
      <c r="B36" t="s">
        <v>41</v>
      </c>
      <c r="C36" t="s">
        <v>4396</v>
      </c>
      <c r="D36" t="s">
        <v>918</v>
      </c>
      <c r="E36" t="s">
        <v>6987</v>
      </c>
    </row>
    <row r="37" spans="1:5" ht="15" customHeight="1" x14ac:dyDescent="0.25">
      <c r="A37" t="s">
        <v>6988</v>
      </c>
      <c r="B37" t="s">
        <v>41</v>
      </c>
      <c r="C37" t="s">
        <v>4375</v>
      </c>
      <c r="D37" t="s">
        <v>1298</v>
      </c>
      <c r="E37" t="s">
        <v>6989</v>
      </c>
    </row>
    <row r="38" spans="1:5" ht="15" customHeight="1" x14ac:dyDescent="0.25">
      <c r="A38" t="s">
        <v>6990</v>
      </c>
      <c r="B38" t="s">
        <v>3514</v>
      </c>
      <c r="C38" t="s">
        <v>4375</v>
      </c>
      <c r="D38" t="s">
        <v>1298</v>
      </c>
      <c r="E38" t="s">
        <v>6991</v>
      </c>
    </row>
    <row r="39" spans="1:5" ht="15" customHeight="1" x14ac:dyDescent="0.25">
      <c r="A39" t="s">
        <v>6992</v>
      </c>
      <c r="B39" t="s">
        <v>3502</v>
      </c>
      <c r="C39" t="s">
        <v>4375</v>
      </c>
      <c r="D39" t="s">
        <v>1298</v>
      </c>
      <c r="E39" t="s">
        <v>6993</v>
      </c>
    </row>
  </sheetData>
  <pageMargins left="0.7" right="0.7" top="0.75" bottom="0.75" header="0.511811023622047" footer="0.511811023622047"/>
  <pageSetup orientation="portrait" horizontalDpi="300" verticalDpi="300"/>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M37"/>
  <sheetViews>
    <sheetView zoomScale="85" zoomScaleNormal="85" workbookViewId="0">
      <selection activeCell="C19" sqref="C19"/>
    </sheetView>
  </sheetViews>
  <sheetFormatPr defaultColWidth="8.7109375" defaultRowHeight="15" x14ac:dyDescent="0.25"/>
  <cols>
    <col min="1" max="1" width="20.28515625" customWidth="1"/>
    <col min="2" max="2" width="11.5703125" customWidth="1"/>
    <col min="3" max="3" width="11.42578125" customWidth="1"/>
    <col min="4" max="4" width="9.85546875" customWidth="1"/>
    <col min="5" max="5" width="9.7109375" style="9" customWidth="1"/>
    <col min="6" max="6" width="10" style="9" customWidth="1"/>
    <col min="7" max="7" width="77.28515625" customWidth="1"/>
    <col min="8" max="8" width="18.7109375" customWidth="1"/>
    <col min="9" max="9" width="10.7109375" customWidth="1"/>
    <col min="10" max="10" width="128.85546875" customWidth="1"/>
    <col min="11" max="11" width="19.85546875" customWidth="1"/>
    <col min="12" max="12" width="9.7109375" customWidth="1"/>
    <col min="13" max="13" width="16.5703125" customWidth="1"/>
  </cols>
  <sheetData>
    <row r="1" spans="1:13" ht="15" customHeight="1" x14ac:dyDescent="0.25">
      <c r="A1" t="s">
        <v>165</v>
      </c>
      <c r="B1" t="s">
        <v>167</v>
      </c>
      <c r="C1" t="s">
        <v>3734</v>
      </c>
      <c r="D1" t="s">
        <v>5017</v>
      </c>
      <c r="E1" s="9" t="s">
        <v>5018</v>
      </c>
      <c r="F1" s="9" t="s">
        <v>5019</v>
      </c>
      <c r="G1" t="s">
        <v>3739</v>
      </c>
      <c r="H1" t="s">
        <v>1</v>
      </c>
      <c r="I1" t="s">
        <v>5020</v>
      </c>
      <c r="J1" t="s">
        <v>6994</v>
      </c>
      <c r="K1" t="s">
        <v>171</v>
      </c>
      <c r="L1" t="s">
        <v>5022</v>
      </c>
      <c r="M1" t="s">
        <v>3740</v>
      </c>
    </row>
    <row r="2" spans="1:13" ht="15" customHeight="1" x14ac:dyDescent="0.25">
      <c r="A2" t="s">
        <v>6995</v>
      </c>
      <c r="B2" t="s">
        <v>3982</v>
      </c>
      <c r="C2" t="s">
        <v>4363</v>
      </c>
      <c r="D2">
        <v>2</v>
      </c>
      <c r="E2" s="9">
        <v>30</v>
      </c>
      <c r="F2" s="9">
        <v>34</v>
      </c>
      <c r="G2" t="s">
        <v>6996</v>
      </c>
      <c r="H2" t="s">
        <v>2132</v>
      </c>
      <c r="I2" t="s">
        <v>4396</v>
      </c>
      <c r="J2" t="s">
        <v>6997</v>
      </c>
      <c r="K2" t="s">
        <v>6995</v>
      </c>
      <c r="L2" t="s">
        <v>3458</v>
      </c>
    </row>
    <row r="3" spans="1:13" ht="15" customHeight="1" x14ac:dyDescent="0.25">
      <c r="A3" t="s">
        <v>6998</v>
      </c>
      <c r="B3" t="s">
        <v>3982</v>
      </c>
      <c r="C3" t="s">
        <v>4367</v>
      </c>
      <c r="D3">
        <v>2</v>
      </c>
      <c r="E3" s="9">
        <v>64</v>
      </c>
      <c r="F3" s="9">
        <v>70</v>
      </c>
      <c r="G3" t="s">
        <v>6996</v>
      </c>
      <c r="H3" t="s">
        <v>2132</v>
      </c>
      <c r="I3" t="s">
        <v>4396</v>
      </c>
      <c r="J3" t="s">
        <v>6999</v>
      </c>
      <c r="K3" t="s">
        <v>7000</v>
      </c>
      <c r="L3" t="s">
        <v>3458</v>
      </c>
    </row>
    <row r="4" spans="1:13" ht="15" customHeight="1" x14ac:dyDescent="0.25">
      <c r="A4" t="s">
        <v>7001</v>
      </c>
      <c r="B4" t="s">
        <v>3982</v>
      </c>
      <c r="C4" t="s">
        <v>5026</v>
      </c>
      <c r="D4">
        <v>7</v>
      </c>
      <c r="E4" s="9">
        <v>150</v>
      </c>
      <c r="F4" s="9">
        <v>160</v>
      </c>
      <c r="G4" t="s">
        <v>6996</v>
      </c>
      <c r="H4" t="s">
        <v>2132</v>
      </c>
      <c r="I4" t="s">
        <v>4396</v>
      </c>
      <c r="J4" t="s">
        <v>7002</v>
      </c>
      <c r="K4" t="s">
        <v>7003</v>
      </c>
      <c r="L4" t="s">
        <v>3458</v>
      </c>
    </row>
    <row r="5" spans="1:13" ht="15" customHeight="1" x14ac:dyDescent="0.25">
      <c r="A5" t="s">
        <v>5082</v>
      </c>
      <c r="B5" t="s">
        <v>3982</v>
      </c>
      <c r="C5" t="s">
        <v>4363</v>
      </c>
      <c r="D5" t="s">
        <v>3458</v>
      </c>
      <c r="E5" s="9">
        <v>20</v>
      </c>
      <c r="F5" s="9">
        <v>24</v>
      </c>
      <c r="G5" t="s">
        <v>3458</v>
      </c>
      <c r="H5" t="s">
        <v>160</v>
      </c>
      <c r="I5" t="s">
        <v>4396</v>
      </c>
      <c r="J5" t="s">
        <v>7004</v>
      </c>
      <c r="K5" t="s">
        <v>5082</v>
      </c>
      <c r="L5" t="s">
        <v>3458</v>
      </c>
    </row>
    <row r="6" spans="1:13" ht="15" customHeight="1" x14ac:dyDescent="0.25">
      <c r="A6" t="s">
        <v>5073</v>
      </c>
      <c r="B6" t="s">
        <v>3982</v>
      </c>
      <c r="C6" t="s">
        <v>4363</v>
      </c>
      <c r="D6">
        <v>2</v>
      </c>
      <c r="E6" s="9">
        <v>20</v>
      </c>
      <c r="F6" s="9">
        <v>24</v>
      </c>
      <c r="G6" t="s">
        <v>7005</v>
      </c>
      <c r="H6" t="s">
        <v>160</v>
      </c>
      <c r="I6" t="s">
        <v>4396</v>
      </c>
      <c r="J6" t="s">
        <v>7006</v>
      </c>
      <c r="K6" t="s">
        <v>5073</v>
      </c>
      <c r="L6" t="s">
        <v>3458</v>
      </c>
    </row>
    <row r="7" spans="1:13" ht="15" customHeight="1" x14ac:dyDescent="0.25">
      <c r="A7" t="s">
        <v>5080</v>
      </c>
      <c r="B7" t="s">
        <v>3982</v>
      </c>
      <c r="C7" t="s">
        <v>4363</v>
      </c>
      <c r="D7" t="s">
        <v>3458</v>
      </c>
      <c r="E7" s="9">
        <v>20</v>
      </c>
      <c r="F7" s="9">
        <v>24</v>
      </c>
      <c r="G7" t="s">
        <v>3458</v>
      </c>
      <c r="H7" t="s">
        <v>160</v>
      </c>
      <c r="I7" t="s">
        <v>4396</v>
      </c>
      <c r="J7" t="s">
        <v>7007</v>
      </c>
      <c r="K7" t="s">
        <v>5080</v>
      </c>
      <c r="L7" t="s">
        <v>3458</v>
      </c>
    </row>
    <row r="8" spans="1:13" ht="15" customHeight="1" x14ac:dyDescent="0.25">
      <c r="A8" t="s">
        <v>7008</v>
      </c>
      <c r="B8" t="s">
        <v>3982</v>
      </c>
      <c r="C8" t="s">
        <v>4367</v>
      </c>
      <c r="D8">
        <v>3</v>
      </c>
      <c r="E8" s="9">
        <v>48</v>
      </c>
      <c r="F8" s="9">
        <v>54</v>
      </c>
      <c r="G8" t="s">
        <v>3458</v>
      </c>
      <c r="H8" t="s">
        <v>160</v>
      </c>
      <c r="I8" t="s">
        <v>4396</v>
      </c>
      <c r="J8" t="s">
        <v>7009</v>
      </c>
      <c r="K8" t="s">
        <v>7010</v>
      </c>
      <c r="L8" t="s">
        <v>3458</v>
      </c>
    </row>
    <row r="9" spans="1:13" ht="15" customHeight="1" x14ac:dyDescent="0.25">
      <c r="A9" t="s">
        <v>7011</v>
      </c>
      <c r="B9" t="s">
        <v>3982</v>
      </c>
      <c r="C9" t="s">
        <v>5026</v>
      </c>
      <c r="D9">
        <v>7</v>
      </c>
      <c r="E9" s="9">
        <v>130</v>
      </c>
      <c r="F9" s="9">
        <v>140</v>
      </c>
      <c r="G9" t="s">
        <v>7012</v>
      </c>
      <c r="H9" t="s">
        <v>160</v>
      </c>
      <c r="I9" t="s">
        <v>4396</v>
      </c>
      <c r="J9" t="s">
        <v>7013</v>
      </c>
      <c r="K9" t="s">
        <v>7014</v>
      </c>
      <c r="L9" t="s">
        <v>3458</v>
      </c>
      <c r="M9" t="s">
        <v>4633</v>
      </c>
    </row>
    <row r="10" spans="1:13" ht="15" customHeight="1" x14ac:dyDescent="0.25">
      <c r="A10" t="s">
        <v>3844</v>
      </c>
      <c r="B10" t="s">
        <v>6868</v>
      </c>
      <c r="C10" t="s">
        <v>4363</v>
      </c>
      <c r="D10">
        <v>1</v>
      </c>
      <c r="E10" s="9">
        <v>20</v>
      </c>
      <c r="F10" s="9">
        <v>24</v>
      </c>
      <c r="G10" t="s">
        <v>5247</v>
      </c>
      <c r="H10" t="s">
        <v>501</v>
      </c>
      <c r="I10" t="s">
        <v>4399</v>
      </c>
      <c r="J10" t="s">
        <v>7015</v>
      </c>
      <c r="K10" t="s">
        <v>3844</v>
      </c>
      <c r="L10" t="s">
        <v>3458</v>
      </c>
    </row>
    <row r="11" spans="1:13" ht="15" customHeight="1" x14ac:dyDescent="0.25">
      <c r="A11" t="s">
        <v>7016</v>
      </c>
      <c r="B11" t="s">
        <v>6868</v>
      </c>
      <c r="C11" t="s">
        <v>4363</v>
      </c>
      <c r="D11">
        <v>2</v>
      </c>
      <c r="E11" s="9">
        <v>30</v>
      </c>
      <c r="F11" s="9">
        <v>34</v>
      </c>
      <c r="G11" t="s">
        <v>5247</v>
      </c>
      <c r="H11" t="s">
        <v>501</v>
      </c>
      <c r="I11" t="s">
        <v>4399</v>
      </c>
      <c r="J11" t="s">
        <v>7017</v>
      </c>
      <c r="K11" t="s">
        <v>7018</v>
      </c>
      <c r="L11" t="s">
        <v>3458</v>
      </c>
    </row>
    <row r="12" spans="1:13" ht="15" customHeight="1" x14ac:dyDescent="0.25">
      <c r="A12" t="s">
        <v>7019</v>
      </c>
      <c r="B12" t="s">
        <v>6868</v>
      </c>
      <c r="C12" t="s">
        <v>4363</v>
      </c>
      <c r="D12">
        <v>3</v>
      </c>
      <c r="E12" s="9">
        <v>40</v>
      </c>
      <c r="F12" s="9">
        <v>44</v>
      </c>
      <c r="G12" t="s">
        <v>7020</v>
      </c>
      <c r="H12" t="s">
        <v>501</v>
      </c>
      <c r="I12" t="s">
        <v>4399</v>
      </c>
      <c r="J12" t="s">
        <v>7021</v>
      </c>
      <c r="K12" t="s">
        <v>7022</v>
      </c>
      <c r="L12" t="s">
        <v>3458</v>
      </c>
    </row>
    <row r="13" spans="1:13" ht="15" customHeight="1" x14ac:dyDescent="0.25">
      <c r="A13" t="s">
        <v>7023</v>
      </c>
      <c r="B13" t="s">
        <v>6868</v>
      </c>
      <c r="C13" t="s">
        <v>4363</v>
      </c>
      <c r="D13" t="s">
        <v>3458</v>
      </c>
      <c r="E13" s="9">
        <v>12</v>
      </c>
      <c r="F13" s="9">
        <v>14</v>
      </c>
      <c r="G13" t="s">
        <v>5247</v>
      </c>
      <c r="H13" t="s">
        <v>501</v>
      </c>
      <c r="I13" t="s">
        <v>4399</v>
      </c>
      <c r="J13" t="s">
        <v>7024</v>
      </c>
      <c r="K13" t="s">
        <v>7023</v>
      </c>
      <c r="L13" t="s">
        <v>3458</v>
      </c>
    </row>
    <row r="14" spans="1:13" ht="15" customHeight="1" x14ac:dyDescent="0.25">
      <c r="A14" t="s">
        <v>3852</v>
      </c>
      <c r="B14" t="s">
        <v>6868</v>
      </c>
      <c r="C14" t="s">
        <v>4367</v>
      </c>
      <c r="D14">
        <v>3</v>
      </c>
      <c r="E14" s="9">
        <v>130</v>
      </c>
      <c r="F14" s="9">
        <v>140</v>
      </c>
      <c r="G14" t="s">
        <v>7025</v>
      </c>
      <c r="H14" t="s">
        <v>501</v>
      </c>
      <c r="I14" t="s">
        <v>4382</v>
      </c>
      <c r="J14" t="s">
        <v>7026</v>
      </c>
      <c r="K14" t="s">
        <v>3852</v>
      </c>
      <c r="L14" t="s">
        <v>3458</v>
      </c>
    </row>
    <row r="15" spans="1:13" ht="15" customHeight="1" x14ac:dyDescent="0.25">
      <c r="A15" t="s">
        <v>7027</v>
      </c>
      <c r="B15" t="s">
        <v>6868</v>
      </c>
      <c r="C15" t="s">
        <v>4367</v>
      </c>
      <c r="D15" t="s">
        <v>3458</v>
      </c>
      <c r="E15" s="9">
        <v>130</v>
      </c>
      <c r="F15" s="9">
        <v>140</v>
      </c>
      <c r="G15" t="s">
        <v>7025</v>
      </c>
      <c r="H15" t="s">
        <v>501</v>
      </c>
      <c r="I15" t="s">
        <v>4382</v>
      </c>
      <c r="J15" t="s">
        <v>7028</v>
      </c>
      <c r="K15" t="s">
        <v>7029</v>
      </c>
      <c r="L15" t="s">
        <v>3852</v>
      </c>
    </row>
    <row r="16" spans="1:13" ht="15" customHeight="1" x14ac:dyDescent="0.25">
      <c r="A16" t="s">
        <v>7030</v>
      </c>
      <c r="B16" t="s">
        <v>6868</v>
      </c>
      <c r="C16" t="s">
        <v>5026</v>
      </c>
      <c r="D16">
        <v>5</v>
      </c>
      <c r="E16" s="9">
        <v>100</v>
      </c>
      <c r="F16" s="9">
        <v>110</v>
      </c>
      <c r="G16" t="s">
        <v>7031</v>
      </c>
      <c r="H16" t="s">
        <v>501</v>
      </c>
      <c r="I16" t="s">
        <v>4389</v>
      </c>
      <c r="J16" t="s">
        <v>7032</v>
      </c>
      <c r="K16" t="s">
        <v>7033</v>
      </c>
      <c r="L16" t="s">
        <v>3458</v>
      </c>
    </row>
    <row r="17" spans="1:13" ht="15" customHeight="1" x14ac:dyDescent="0.25">
      <c r="A17" t="s">
        <v>7034</v>
      </c>
      <c r="B17" t="s">
        <v>3999</v>
      </c>
      <c r="C17" t="s">
        <v>4363</v>
      </c>
      <c r="D17">
        <v>1</v>
      </c>
      <c r="E17" s="9">
        <v>30</v>
      </c>
      <c r="F17" s="9">
        <v>34</v>
      </c>
      <c r="G17" t="s">
        <v>5260</v>
      </c>
      <c r="H17" t="s">
        <v>2154</v>
      </c>
      <c r="I17" t="s">
        <v>4396</v>
      </c>
      <c r="J17" t="s">
        <v>7035</v>
      </c>
      <c r="K17" t="s">
        <v>7034</v>
      </c>
      <c r="L17" t="s">
        <v>3458</v>
      </c>
      <c r="M17" t="s">
        <v>3843</v>
      </c>
    </row>
    <row r="18" spans="1:13" ht="15" customHeight="1" x14ac:dyDescent="0.25">
      <c r="A18" t="s">
        <v>7036</v>
      </c>
      <c r="B18" t="s">
        <v>3999</v>
      </c>
      <c r="C18" t="s">
        <v>4367</v>
      </c>
      <c r="D18">
        <v>3</v>
      </c>
      <c r="E18" s="9">
        <v>40</v>
      </c>
      <c r="F18" s="9">
        <v>46</v>
      </c>
      <c r="G18" t="s">
        <v>7037</v>
      </c>
      <c r="H18" t="s">
        <v>2154</v>
      </c>
      <c r="I18" t="s">
        <v>4396</v>
      </c>
      <c r="J18" t="s">
        <v>7038</v>
      </c>
      <c r="K18" t="s">
        <v>7036</v>
      </c>
      <c r="L18" t="s">
        <v>3458</v>
      </c>
    </row>
    <row r="19" spans="1:13" ht="15" customHeight="1" x14ac:dyDescent="0.25">
      <c r="A19" t="s">
        <v>7039</v>
      </c>
      <c r="B19" t="s">
        <v>3999</v>
      </c>
      <c r="C19" t="s">
        <v>4367</v>
      </c>
      <c r="D19">
        <v>4</v>
      </c>
      <c r="E19" s="9">
        <v>60</v>
      </c>
      <c r="F19" s="9">
        <v>66</v>
      </c>
      <c r="G19" t="s">
        <v>5260</v>
      </c>
      <c r="H19" t="s">
        <v>2154</v>
      </c>
      <c r="I19" t="s">
        <v>4396</v>
      </c>
      <c r="J19" t="s">
        <v>7040</v>
      </c>
      <c r="K19" t="s">
        <v>7039</v>
      </c>
      <c r="L19" t="s">
        <v>3458</v>
      </c>
    </row>
    <row r="20" spans="1:13" ht="15" customHeight="1" x14ac:dyDescent="0.25">
      <c r="A20" t="s">
        <v>3971</v>
      </c>
      <c r="B20" t="s">
        <v>3999</v>
      </c>
      <c r="C20" t="s">
        <v>5026</v>
      </c>
      <c r="D20">
        <v>9</v>
      </c>
      <c r="E20" s="9">
        <v>250</v>
      </c>
      <c r="F20" s="9">
        <v>270</v>
      </c>
      <c r="G20" t="s">
        <v>7041</v>
      </c>
      <c r="H20" t="s">
        <v>2154</v>
      </c>
      <c r="I20" t="s">
        <v>4396</v>
      </c>
      <c r="J20" t="s">
        <v>7042</v>
      </c>
      <c r="K20" t="s">
        <v>3971</v>
      </c>
      <c r="L20" t="s">
        <v>3458</v>
      </c>
      <c r="M20" t="s">
        <v>7043</v>
      </c>
    </row>
    <row r="21" spans="1:13" ht="15" customHeight="1" x14ac:dyDescent="0.25">
      <c r="A21" t="s">
        <v>3802</v>
      </c>
      <c r="B21" t="s">
        <v>5023</v>
      </c>
      <c r="C21" t="s">
        <v>4363</v>
      </c>
      <c r="D21">
        <v>2</v>
      </c>
      <c r="E21" s="9">
        <v>48</v>
      </c>
      <c r="F21" s="9">
        <v>54</v>
      </c>
      <c r="G21" t="s">
        <v>3458</v>
      </c>
      <c r="H21" t="s">
        <v>90</v>
      </c>
      <c r="I21" t="s">
        <v>4396</v>
      </c>
      <c r="J21" t="s">
        <v>7044</v>
      </c>
      <c r="K21" t="s">
        <v>3802</v>
      </c>
      <c r="L21" t="s">
        <v>3458</v>
      </c>
    </row>
    <row r="22" spans="1:13" ht="15" customHeight="1" x14ac:dyDescent="0.25">
      <c r="A22" t="s">
        <v>3831</v>
      </c>
      <c r="B22" t="s">
        <v>5023</v>
      </c>
      <c r="C22" t="s">
        <v>4367</v>
      </c>
      <c r="D22">
        <v>6</v>
      </c>
      <c r="E22" s="9">
        <v>114</v>
      </c>
      <c r="F22" s="9">
        <v>120</v>
      </c>
      <c r="G22" t="s">
        <v>3458</v>
      </c>
      <c r="H22" t="s">
        <v>90</v>
      </c>
      <c r="I22" t="s">
        <v>4396</v>
      </c>
      <c r="J22" t="s">
        <v>7045</v>
      </c>
      <c r="K22" t="s">
        <v>3831</v>
      </c>
      <c r="L22" t="s">
        <v>3458</v>
      </c>
    </row>
    <row r="23" spans="1:13" ht="15" customHeight="1" x14ac:dyDescent="0.25">
      <c r="A23" t="s">
        <v>3837</v>
      </c>
      <c r="B23" t="s">
        <v>5023</v>
      </c>
      <c r="C23" t="s">
        <v>5026</v>
      </c>
      <c r="D23">
        <v>9</v>
      </c>
      <c r="E23" s="9">
        <v>999</v>
      </c>
      <c r="F23" s="9">
        <v>999</v>
      </c>
      <c r="G23" t="s">
        <v>5027</v>
      </c>
      <c r="H23" t="s">
        <v>90</v>
      </c>
      <c r="I23" t="s">
        <v>4396</v>
      </c>
      <c r="J23" t="s">
        <v>7046</v>
      </c>
      <c r="K23" t="s">
        <v>3837</v>
      </c>
      <c r="L23" t="s">
        <v>3458</v>
      </c>
    </row>
    <row r="24" spans="1:13" ht="15" customHeight="1" x14ac:dyDescent="0.25">
      <c r="A24" t="s">
        <v>7047</v>
      </c>
      <c r="B24" t="s">
        <v>6868</v>
      </c>
      <c r="C24" t="s">
        <v>4363</v>
      </c>
      <c r="D24">
        <v>1</v>
      </c>
      <c r="E24" s="9">
        <v>20</v>
      </c>
      <c r="F24" s="9">
        <v>24</v>
      </c>
      <c r="G24" t="s">
        <v>7048</v>
      </c>
      <c r="H24" t="s">
        <v>2361</v>
      </c>
      <c r="I24" t="s">
        <v>4375</v>
      </c>
      <c r="J24" t="s">
        <v>7049</v>
      </c>
      <c r="K24" t="s">
        <v>7047</v>
      </c>
      <c r="L24" t="s">
        <v>3458</v>
      </c>
      <c r="M24" t="s">
        <v>3762</v>
      </c>
    </row>
    <row r="25" spans="1:13" ht="15" customHeight="1" x14ac:dyDescent="0.25">
      <c r="A25" t="s">
        <v>7050</v>
      </c>
      <c r="B25" t="s">
        <v>6868</v>
      </c>
      <c r="C25" t="s">
        <v>4367</v>
      </c>
      <c r="D25">
        <v>3</v>
      </c>
      <c r="E25" s="9">
        <v>48</v>
      </c>
      <c r="F25" s="9">
        <v>54</v>
      </c>
      <c r="G25" t="s">
        <v>3458</v>
      </c>
      <c r="H25" t="s">
        <v>2361</v>
      </c>
      <c r="I25" t="s">
        <v>4396</v>
      </c>
      <c r="J25" t="s">
        <v>7051</v>
      </c>
      <c r="K25" t="s">
        <v>7050</v>
      </c>
      <c r="L25" t="s">
        <v>3458</v>
      </c>
    </row>
    <row r="26" spans="1:13" ht="15" customHeight="1" x14ac:dyDescent="0.25">
      <c r="A26" t="s">
        <v>7052</v>
      </c>
      <c r="B26" t="s">
        <v>6868</v>
      </c>
      <c r="C26" t="s">
        <v>5026</v>
      </c>
      <c r="D26">
        <v>3</v>
      </c>
      <c r="E26" s="9">
        <v>60</v>
      </c>
      <c r="F26" s="9">
        <v>66</v>
      </c>
      <c r="G26" t="s">
        <v>7053</v>
      </c>
      <c r="H26" t="s">
        <v>2361</v>
      </c>
      <c r="I26" t="s">
        <v>4396</v>
      </c>
      <c r="J26" t="s">
        <v>7054</v>
      </c>
      <c r="K26" t="s">
        <v>7052</v>
      </c>
      <c r="L26" t="s">
        <v>3458</v>
      </c>
    </row>
    <row r="27" spans="1:13" ht="15" customHeight="1" x14ac:dyDescent="0.25">
      <c r="A27" t="s">
        <v>5029</v>
      </c>
      <c r="B27" t="s">
        <v>5023</v>
      </c>
      <c r="C27" t="s">
        <v>4363</v>
      </c>
      <c r="D27">
        <v>3</v>
      </c>
      <c r="E27" s="9">
        <v>40</v>
      </c>
      <c r="F27" s="9">
        <v>44</v>
      </c>
      <c r="G27" t="s">
        <v>3458</v>
      </c>
      <c r="H27" t="s">
        <v>90</v>
      </c>
      <c r="I27" t="s">
        <v>4396</v>
      </c>
      <c r="J27" t="s">
        <v>7055</v>
      </c>
      <c r="K27" t="s">
        <v>5031</v>
      </c>
      <c r="L27" t="s">
        <v>3458</v>
      </c>
    </row>
    <row r="28" spans="1:13" ht="15" customHeight="1" x14ac:dyDescent="0.25">
      <c r="A28" t="s">
        <v>5032</v>
      </c>
      <c r="B28" t="s">
        <v>5023</v>
      </c>
      <c r="C28" t="s">
        <v>4363</v>
      </c>
      <c r="D28">
        <v>1</v>
      </c>
      <c r="E28" s="9">
        <v>10</v>
      </c>
      <c r="F28" s="9">
        <v>15</v>
      </c>
      <c r="G28" t="s">
        <v>5033</v>
      </c>
      <c r="H28" t="s">
        <v>90</v>
      </c>
      <c r="I28" t="s">
        <v>4396</v>
      </c>
      <c r="J28" t="s">
        <v>7056</v>
      </c>
      <c r="K28" t="s">
        <v>5035</v>
      </c>
      <c r="L28" t="s">
        <v>3458</v>
      </c>
      <c r="M28" t="s">
        <v>4633</v>
      </c>
    </row>
    <row r="29" spans="1:13" ht="15" customHeight="1" x14ac:dyDescent="0.25">
      <c r="A29" t="s">
        <v>5036</v>
      </c>
      <c r="B29" t="s">
        <v>5023</v>
      </c>
      <c r="C29" t="s">
        <v>4363</v>
      </c>
      <c r="D29">
        <v>1</v>
      </c>
      <c r="E29" s="9">
        <v>11</v>
      </c>
      <c r="F29" s="9">
        <v>17</v>
      </c>
      <c r="G29" t="s">
        <v>5033</v>
      </c>
      <c r="H29" t="s">
        <v>90</v>
      </c>
      <c r="I29" t="s">
        <v>4396</v>
      </c>
      <c r="J29" t="s">
        <v>7057</v>
      </c>
      <c r="K29" t="s">
        <v>5038</v>
      </c>
      <c r="L29" t="s">
        <v>3458</v>
      </c>
      <c r="M29" t="s">
        <v>4633</v>
      </c>
    </row>
    <row r="30" spans="1:13" ht="15" customHeight="1" x14ac:dyDescent="0.25">
      <c r="A30" t="s">
        <v>5039</v>
      </c>
      <c r="B30" t="s">
        <v>5023</v>
      </c>
      <c r="C30" t="s">
        <v>4363</v>
      </c>
      <c r="D30">
        <v>4</v>
      </c>
      <c r="E30" s="9">
        <v>65</v>
      </c>
      <c r="F30" s="9">
        <v>69</v>
      </c>
      <c r="G30" t="s">
        <v>5040</v>
      </c>
      <c r="H30" t="s">
        <v>90</v>
      </c>
      <c r="I30" t="s">
        <v>4396</v>
      </c>
      <c r="J30" t="s">
        <v>7058</v>
      </c>
      <c r="K30" t="s">
        <v>5042</v>
      </c>
      <c r="L30" t="s">
        <v>3458</v>
      </c>
      <c r="M30" t="s">
        <v>3827</v>
      </c>
    </row>
    <row r="31" spans="1:13" ht="15" customHeight="1" x14ac:dyDescent="0.25">
      <c r="A31" t="s">
        <v>5043</v>
      </c>
      <c r="B31" t="s">
        <v>5023</v>
      </c>
      <c r="C31" t="s">
        <v>4363</v>
      </c>
      <c r="D31">
        <v>2</v>
      </c>
      <c r="E31" s="9">
        <v>28</v>
      </c>
      <c r="F31" s="9">
        <v>32</v>
      </c>
      <c r="G31" t="s">
        <v>3458</v>
      </c>
      <c r="H31" t="s">
        <v>90</v>
      </c>
      <c r="I31" t="s">
        <v>4396</v>
      </c>
      <c r="J31" t="s">
        <v>7059</v>
      </c>
      <c r="K31" t="s">
        <v>5045</v>
      </c>
      <c r="L31" t="s">
        <v>3458</v>
      </c>
      <c r="M31" t="s">
        <v>3827</v>
      </c>
    </row>
    <row r="32" spans="1:13" ht="15" customHeight="1" x14ac:dyDescent="0.25">
      <c r="A32" t="s">
        <v>5046</v>
      </c>
      <c r="B32" t="s">
        <v>5023</v>
      </c>
      <c r="C32" t="s">
        <v>4363</v>
      </c>
      <c r="D32">
        <v>1</v>
      </c>
      <c r="E32" s="9">
        <v>8</v>
      </c>
      <c r="F32" s="9">
        <v>12</v>
      </c>
      <c r="G32" t="s">
        <v>3458</v>
      </c>
      <c r="H32" t="s">
        <v>90</v>
      </c>
      <c r="I32" t="s">
        <v>4396</v>
      </c>
      <c r="J32" t="s">
        <v>7060</v>
      </c>
      <c r="K32" t="s">
        <v>5048</v>
      </c>
      <c r="L32" t="s">
        <v>3458</v>
      </c>
      <c r="M32" t="s">
        <v>3827</v>
      </c>
    </row>
    <row r="33" spans="1:13" ht="15" customHeight="1" x14ac:dyDescent="0.25">
      <c r="A33" t="s">
        <v>3824</v>
      </c>
      <c r="B33" t="s">
        <v>5023</v>
      </c>
      <c r="C33" t="s">
        <v>4363</v>
      </c>
      <c r="D33">
        <v>4</v>
      </c>
      <c r="E33" s="9">
        <v>64</v>
      </c>
      <c r="F33" s="9">
        <v>70</v>
      </c>
      <c r="G33" t="s">
        <v>5049</v>
      </c>
      <c r="H33" t="s">
        <v>90</v>
      </c>
      <c r="I33" t="s">
        <v>4396</v>
      </c>
      <c r="J33" t="s">
        <v>7061</v>
      </c>
      <c r="K33" t="s">
        <v>3826</v>
      </c>
      <c r="L33" t="s">
        <v>3458</v>
      </c>
      <c r="M33" t="s">
        <v>3827</v>
      </c>
    </row>
    <row r="34" spans="1:13" ht="15" customHeight="1" x14ac:dyDescent="0.25">
      <c r="A34" t="s">
        <v>5051</v>
      </c>
      <c r="B34" t="s">
        <v>5023</v>
      </c>
      <c r="C34" t="s">
        <v>4363</v>
      </c>
      <c r="D34">
        <v>2</v>
      </c>
      <c r="E34" s="9">
        <v>28</v>
      </c>
      <c r="F34" s="9">
        <v>32</v>
      </c>
      <c r="G34" t="s">
        <v>3458</v>
      </c>
      <c r="H34" t="s">
        <v>90</v>
      </c>
      <c r="I34" t="s">
        <v>4396</v>
      </c>
      <c r="J34" t="s">
        <v>7062</v>
      </c>
      <c r="K34" t="s">
        <v>5053</v>
      </c>
      <c r="L34" t="s">
        <v>3458</v>
      </c>
      <c r="M34" t="s">
        <v>3827</v>
      </c>
    </row>
    <row r="35" spans="1:13" ht="15" customHeight="1" x14ac:dyDescent="0.25">
      <c r="A35" t="s">
        <v>5054</v>
      </c>
      <c r="B35" t="s">
        <v>5023</v>
      </c>
      <c r="C35" t="s">
        <v>4363</v>
      </c>
      <c r="D35">
        <v>1</v>
      </c>
      <c r="E35" s="9">
        <v>10</v>
      </c>
      <c r="F35" s="9">
        <v>14</v>
      </c>
      <c r="G35" t="s">
        <v>3458</v>
      </c>
      <c r="H35" t="s">
        <v>90</v>
      </c>
      <c r="I35" t="s">
        <v>4396</v>
      </c>
      <c r="J35" t="s">
        <v>7063</v>
      </c>
      <c r="K35" t="s">
        <v>5056</v>
      </c>
      <c r="L35" t="s">
        <v>3458</v>
      </c>
      <c r="M35" t="s">
        <v>3827</v>
      </c>
    </row>
    <row r="36" spans="1:13" ht="15" customHeight="1" x14ac:dyDescent="0.25">
      <c r="A36" t="s">
        <v>7064</v>
      </c>
      <c r="B36" t="s">
        <v>6868</v>
      </c>
      <c r="C36" t="s">
        <v>5026</v>
      </c>
      <c r="D36">
        <v>1</v>
      </c>
      <c r="E36" s="9">
        <v>20</v>
      </c>
      <c r="F36" s="9">
        <v>24</v>
      </c>
      <c r="G36" t="s">
        <v>3458</v>
      </c>
      <c r="H36" t="s">
        <v>1649</v>
      </c>
      <c r="I36" t="s">
        <v>4375</v>
      </c>
      <c r="J36" t="s">
        <v>7065</v>
      </c>
      <c r="K36" t="s">
        <v>7064</v>
      </c>
      <c r="L36" t="s">
        <v>3458</v>
      </c>
      <c r="M36" t="s">
        <v>7066</v>
      </c>
    </row>
    <row r="37" spans="1:13" ht="15" customHeight="1" x14ac:dyDescent="0.25">
      <c r="A37" t="s">
        <v>7067</v>
      </c>
      <c r="B37" t="s">
        <v>6868</v>
      </c>
      <c r="C37" t="s">
        <v>4363</v>
      </c>
      <c r="D37">
        <v>0.5</v>
      </c>
      <c r="E37" s="9">
        <v>4</v>
      </c>
      <c r="F37" s="9">
        <v>6</v>
      </c>
      <c r="G37" t="s">
        <v>3458</v>
      </c>
      <c r="H37" t="s">
        <v>1649</v>
      </c>
      <c r="I37" t="s">
        <v>3458</v>
      </c>
      <c r="J37" t="s">
        <v>7068</v>
      </c>
      <c r="K37" t="s">
        <v>7067</v>
      </c>
      <c r="L37" t="s">
        <v>3458</v>
      </c>
      <c r="M37" t="s">
        <v>4633</v>
      </c>
    </row>
  </sheetData>
  <pageMargins left="0.7" right="0.7" top="0.75" bottom="0.75" header="0.511811023622047" footer="0.511811023622047"/>
  <pageSetup orientation="portrait" horizontalDpi="300" verticalDpi="300"/>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Q6"/>
  <sheetViews>
    <sheetView zoomScale="85" zoomScaleNormal="85" workbookViewId="0">
      <pane ySplit="1" topLeftCell="A2" activePane="bottomLeft" state="frozen"/>
      <selection pane="bottomLeft" activeCell="Q7" sqref="Q7"/>
    </sheetView>
  </sheetViews>
  <sheetFormatPr defaultColWidth="8.7109375" defaultRowHeight="15" x14ac:dyDescent="0.25"/>
  <cols>
    <col min="1" max="1" width="14" customWidth="1"/>
    <col min="2" max="2" width="11" customWidth="1"/>
    <col min="3" max="3" width="11.42578125" customWidth="1"/>
    <col min="4" max="4" width="9.85546875" customWidth="1"/>
    <col min="5" max="5" width="8.5703125" customWidth="1"/>
    <col min="6" max="6" width="7" customWidth="1"/>
    <col min="7" max="7" width="9.7109375" customWidth="1"/>
    <col min="8" max="8" width="10" customWidth="1"/>
    <col min="9" max="9" width="8.85546875" customWidth="1"/>
    <col min="10" max="10" width="8.5703125" customWidth="1"/>
    <col min="11" max="11" width="14" customWidth="1"/>
    <col min="12" max="12" width="9.85546875" customWidth="1"/>
    <col min="13" max="13" width="11.7109375" customWidth="1"/>
    <col min="14" max="14" width="16.28515625" customWidth="1"/>
    <col min="15" max="15" width="12" customWidth="1"/>
    <col min="16" max="16" width="70" customWidth="1"/>
    <col min="17" max="17" width="25.140625" customWidth="1"/>
  </cols>
  <sheetData>
    <row r="1" spans="1:17" ht="15" customHeight="1" x14ac:dyDescent="0.25">
      <c r="A1" t="s">
        <v>165</v>
      </c>
      <c r="B1" t="s">
        <v>5057</v>
      </c>
      <c r="C1" t="s">
        <v>3734</v>
      </c>
      <c r="D1" t="s">
        <v>5017</v>
      </c>
      <c r="E1" t="s">
        <v>1</v>
      </c>
      <c r="F1" t="s">
        <v>3740</v>
      </c>
      <c r="G1" t="s">
        <v>5018</v>
      </c>
      <c r="H1" t="s">
        <v>5019</v>
      </c>
      <c r="I1" t="s">
        <v>3987</v>
      </c>
      <c r="J1" t="s">
        <v>7069</v>
      </c>
      <c r="K1" t="s">
        <v>5061</v>
      </c>
      <c r="L1" t="s">
        <v>171</v>
      </c>
      <c r="M1" t="s">
        <v>7070</v>
      </c>
      <c r="N1" t="s">
        <v>7071</v>
      </c>
      <c r="O1" t="s">
        <v>3442</v>
      </c>
      <c r="P1" t="s">
        <v>7072</v>
      </c>
      <c r="Q1" t="s">
        <v>3739</v>
      </c>
    </row>
    <row r="2" spans="1:17" ht="15" customHeight="1" x14ac:dyDescent="0.25">
      <c r="A2" t="s">
        <v>7034</v>
      </c>
      <c r="B2" t="s">
        <v>7073</v>
      </c>
      <c r="C2" t="s">
        <v>4363</v>
      </c>
      <c r="D2">
        <v>2</v>
      </c>
      <c r="E2" t="s">
        <v>2154</v>
      </c>
      <c r="G2">
        <v>20</v>
      </c>
      <c r="H2">
        <v>24</v>
      </c>
      <c r="I2">
        <v>0</v>
      </c>
      <c r="J2" t="s">
        <v>7074</v>
      </c>
      <c r="K2" t="s">
        <v>7075</v>
      </c>
      <c r="M2">
        <v>1</v>
      </c>
      <c r="N2">
        <v>3</v>
      </c>
      <c r="O2" t="s">
        <v>7076</v>
      </c>
      <c r="P2" t="s">
        <v>7077</v>
      </c>
    </row>
    <row r="3" spans="1:17" ht="15" customHeight="1" x14ac:dyDescent="0.25">
      <c r="A3" t="s">
        <v>7078</v>
      </c>
      <c r="B3" t="s">
        <v>7079</v>
      </c>
      <c r="C3" t="s">
        <v>4367</v>
      </c>
      <c r="D3">
        <v>2</v>
      </c>
      <c r="E3" t="s">
        <v>2154</v>
      </c>
      <c r="F3" t="s">
        <v>4948</v>
      </c>
      <c r="G3">
        <v>12</v>
      </c>
      <c r="H3">
        <v>18</v>
      </c>
      <c r="I3">
        <v>4</v>
      </c>
      <c r="J3" t="s">
        <v>7080</v>
      </c>
      <c r="K3" t="s">
        <v>7081</v>
      </c>
      <c r="M3">
        <v>2</v>
      </c>
      <c r="N3">
        <v>3</v>
      </c>
      <c r="O3" t="s">
        <v>7082</v>
      </c>
      <c r="P3" t="s">
        <v>7083</v>
      </c>
    </row>
    <row r="4" spans="1:17" ht="15" customHeight="1" x14ac:dyDescent="0.25">
      <c r="A4" t="s">
        <v>7084</v>
      </c>
      <c r="B4" t="s">
        <v>7085</v>
      </c>
      <c r="C4" t="s">
        <v>4363</v>
      </c>
      <c r="D4">
        <v>1</v>
      </c>
      <c r="E4" t="s">
        <v>1795</v>
      </c>
      <c r="F4" t="s">
        <v>7086</v>
      </c>
      <c r="G4">
        <v>5</v>
      </c>
      <c r="H4">
        <v>5</v>
      </c>
      <c r="I4">
        <v>4</v>
      </c>
      <c r="J4" t="s">
        <v>7080</v>
      </c>
      <c r="K4" t="s">
        <v>7087</v>
      </c>
      <c r="L4" t="s">
        <v>7084</v>
      </c>
      <c r="M4">
        <v>1</v>
      </c>
      <c r="N4">
        <v>4</v>
      </c>
      <c r="O4" t="s">
        <v>7088</v>
      </c>
      <c r="P4" t="s">
        <v>7089</v>
      </c>
    </row>
    <row r="5" spans="1:17" ht="15" customHeight="1" x14ac:dyDescent="0.25">
      <c r="A5" t="s">
        <v>7090</v>
      </c>
      <c r="B5" t="s">
        <v>4948</v>
      </c>
      <c r="C5" t="s">
        <v>4363</v>
      </c>
      <c r="D5">
        <v>1</v>
      </c>
      <c r="E5" t="s">
        <v>2154</v>
      </c>
      <c r="F5" t="s">
        <v>4948</v>
      </c>
      <c r="G5">
        <v>8</v>
      </c>
      <c r="H5">
        <v>11</v>
      </c>
      <c r="I5">
        <v>4</v>
      </c>
      <c r="J5" t="s">
        <v>7091</v>
      </c>
      <c r="K5" t="s">
        <v>7092</v>
      </c>
      <c r="M5">
        <v>1</v>
      </c>
      <c r="N5">
        <v>4</v>
      </c>
      <c r="O5" t="s">
        <v>7093</v>
      </c>
      <c r="P5" t="s">
        <v>7094</v>
      </c>
    </row>
    <row r="6" spans="1:17" ht="15" customHeight="1" x14ac:dyDescent="0.25">
      <c r="A6" t="s">
        <v>7039</v>
      </c>
      <c r="B6" t="s">
        <v>7095</v>
      </c>
      <c r="C6" t="s">
        <v>4367</v>
      </c>
      <c r="D6">
        <v>5</v>
      </c>
      <c r="E6" t="s">
        <v>2154</v>
      </c>
      <c r="G6">
        <v>60</v>
      </c>
      <c r="H6">
        <v>66</v>
      </c>
      <c r="I6">
        <v>-4</v>
      </c>
      <c r="J6" t="s">
        <v>7096</v>
      </c>
      <c r="K6" t="s">
        <v>7097</v>
      </c>
      <c r="M6">
        <v>4</v>
      </c>
      <c r="N6">
        <v>1</v>
      </c>
      <c r="O6" t="s">
        <v>7098</v>
      </c>
      <c r="P6" t="s">
        <v>7099</v>
      </c>
      <c r="Q6" t="s">
        <v>7100</v>
      </c>
    </row>
  </sheetData>
  <pageMargins left="0.75" right="0.75" top="1" bottom="1" header="0.511811023622047" footer="0.511811023622047"/>
  <pageSetup orientation="portrait" horizontalDpi="300" verticalDpi="300"/>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19"/>
  <sheetViews>
    <sheetView zoomScale="85" zoomScaleNormal="85" workbookViewId="0">
      <selection activeCell="D30" sqref="D30"/>
    </sheetView>
  </sheetViews>
  <sheetFormatPr defaultColWidth="8.7109375" defaultRowHeight="15" x14ac:dyDescent="0.25"/>
  <cols>
    <col min="1" max="1" width="9.28515625" customWidth="1"/>
    <col min="2" max="2" width="7.85546875" customWidth="1"/>
    <col min="3" max="3" width="67.7109375" customWidth="1"/>
    <col min="4" max="4" width="57.140625" customWidth="1"/>
    <col min="5" max="6" width="30.28515625" customWidth="1"/>
    <col min="7" max="7" width="25.5703125" customWidth="1"/>
    <col min="8" max="8" width="67.7109375" customWidth="1"/>
    <col min="9" max="9" width="18.7109375" customWidth="1"/>
  </cols>
  <sheetData>
    <row r="1" spans="1:9" ht="15" customHeight="1" x14ac:dyDescent="0.25">
      <c r="A1" t="s">
        <v>165</v>
      </c>
      <c r="B1" t="s">
        <v>7101</v>
      </c>
      <c r="C1" t="s">
        <v>7102</v>
      </c>
      <c r="D1" t="s">
        <v>7103</v>
      </c>
      <c r="E1" t="s">
        <v>7104</v>
      </c>
      <c r="F1" t="s">
        <v>7105</v>
      </c>
      <c r="G1" t="s">
        <v>7106</v>
      </c>
      <c r="H1" t="s">
        <v>7107</v>
      </c>
      <c r="I1" t="s">
        <v>1</v>
      </c>
    </row>
    <row r="2" spans="1:9" ht="15" customHeight="1" x14ac:dyDescent="0.25">
      <c r="A2" t="s">
        <v>5868</v>
      </c>
      <c r="B2">
        <v>6</v>
      </c>
      <c r="C2" t="s">
        <v>7108</v>
      </c>
      <c r="D2" t="s">
        <v>7109</v>
      </c>
      <c r="E2" t="s">
        <v>7110</v>
      </c>
      <c r="F2" t="s">
        <v>7110</v>
      </c>
      <c r="G2" t="s">
        <v>7108</v>
      </c>
      <c r="H2" t="s">
        <v>7109</v>
      </c>
      <c r="I2" t="s">
        <v>2361</v>
      </c>
    </row>
    <row r="3" spans="1:9" ht="15" customHeight="1" x14ac:dyDescent="0.25">
      <c r="A3" t="s">
        <v>5891</v>
      </c>
      <c r="B3">
        <v>6</v>
      </c>
      <c r="C3" t="s">
        <v>7111</v>
      </c>
      <c r="D3" t="s">
        <v>7112</v>
      </c>
      <c r="E3" t="s">
        <v>7113</v>
      </c>
      <c r="F3" t="s">
        <v>7113</v>
      </c>
      <c r="G3" t="s">
        <v>7114</v>
      </c>
      <c r="H3" t="s">
        <v>4217</v>
      </c>
      <c r="I3" t="s">
        <v>2361</v>
      </c>
    </row>
    <row r="4" spans="1:9" ht="15" customHeight="1" x14ac:dyDescent="0.25">
      <c r="A4" t="s">
        <v>5918</v>
      </c>
      <c r="B4">
        <v>6</v>
      </c>
      <c r="C4" t="s">
        <v>7115</v>
      </c>
      <c r="D4" t="s">
        <v>7116</v>
      </c>
      <c r="E4" t="s">
        <v>7117</v>
      </c>
      <c r="F4" t="s">
        <v>7117</v>
      </c>
      <c r="G4" t="s">
        <v>7118</v>
      </c>
      <c r="H4" t="s">
        <v>5946</v>
      </c>
      <c r="I4" t="s">
        <v>2361</v>
      </c>
    </row>
    <row r="5" spans="1:9" ht="15" customHeight="1" x14ac:dyDescent="0.25">
      <c r="A5" t="s">
        <v>5959</v>
      </c>
      <c r="B5">
        <v>6</v>
      </c>
      <c r="C5" t="s">
        <v>7119</v>
      </c>
      <c r="D5" t="s">
        <v>7120</v>
      </c>
      <c r="E5" t="s">
        <v>7121</v>
      </c>
      <c r="F5" t="s">
        <v>7121</v>
      </c>
      <c r="G5" t="s">
        <v>7122</v>
      </c>
      <c r="H5" t="s">
        <v>5946</v>
      </c>
      <c r="I5" t="s">
        <v>2361</v>
      </c>
    </row>
    <row r="6" spans="1:9" ht="15" customHeight="1" x14ac:dyDescent="0.25">
      <c r="A6" t="s">
        <v>6005</v>
      </c>
      <c r="B6">
        <v>6</v>
      </c>
      <c r="C6" t="s">
        <v>7123</v>
      </c>
      <c r="D6" t="s">
        <v>7123</v>
      </c>
      <c r="E6" t="s">
        <v>7117</v>
      </c>
      <c r="F6" t="s">
        <v>7117</v>
      </c>
      <c r="G6" t="s">
        <v>7118</v>
      </c>
      <c r="H6" t="s">
        <v>7118</v>
      </c>
      <c r="I6" t="s">
        <v>2361</v>
      </c>
    </row>
    <row r="7" spans="1:9" ht="15" customHeight="1" x14ac:dyDescent="0.25">
      <c r="A7" t="s">
        <v>6028</v>
      </c>
      <c r="B7">
        <v>6</v>
      </c>
      <c r="C7" t="s">
        <v>7124</v>
      </c>
      <c r="D7" t="s">
        <v>7112</v>
      </c>
      <c r="E7" t="s">
        <v>5946</v>
      </c>
      <c r="F7" t="s">
        <v>5946</v>
      </c>
      <c r="G7" t="s">
        <v>7125</v>
      </c>
      <c r="H7" t="s">
        <v>5946</v>
      </c>
      <c r="I7" t="s">
        <v>2361</v>
      </c>
    </row>
    <row r="8" spans="1:9" ht="15" customHeight="1" x14ac:dyDescent="0.25">
      <c r="A8" t="s">
        <v>6033</v>
      </c>
      <c r="B8">
        <v>6</v>
      </c>
      <c r="C8" t="s">
        <v>7126</v>
      </c>
      <c r="D8" t="s">
        <v>7127</v>
      </c>
      <c r="E8" t="s">
        <v>7128</v>
      </c>
      <c r="F8" t="s">
        <v>7128</v>
      </c>
      <c r="G8" t="s">
        <v>7116</v>
      </c>
      <c r="H8" t="s">
        <v>5946</v>
      </c>
      <c r="I8" t="s">
        <v>2361</v>
      </c>
    </row>
    <row r="9" spans="1:9" ht="15" customHeight="1" x14ac:dyDescent="0.25">
      <c r="A9" t="s">
        <v>6052</v>
      </c>
      <c r="B9">
        <v>6</v>
      </c>
      <c r="C9" t="s">
        <v>7121</v>
      </c>
      <c r="D9" t="s">
        <v>7129</v>
      </c>
      <c r="E9" t="s">
        <v>7130</v>
      </c>
      <c r="F9" t="s">
        <v>7130</v>
      </c>
      <c r="G9" t="s">
        <v>7129</v>
      </c>
      <c r="H9" t="s">
        <v>5946</v>
      </c>
      <c r="I9" t="s">
        <v>2361</v>
      </c>
    </row>
    <row r="10" spans="1:9" ht="15" customHeight="1" x14ac:dyDescent="0.25">
      <c r="A10" t="s">
        <v>5687</v>
      </c>
      <c r="B10">
        <v>6</v>
      </c>
      <c r="C10" t="s">
        <v>7131</v>
      </c>
      <c r="D10" t="s">
        <v>7132</v>
      </c>
      <c r="E10" t="s">
        <v>7133</v>
      </c>
      <c r="F10" t="s">
        <v>7134</v>
      </c>
      <c r="G10" t="s">
        <v>7135</v>
      </c>
      <c r="H10" t="s">
        <v>7136</v>
      </c>
      <c r="I10" t="s">
        <v>160</v>
      </c>
    </row>
    <row r="11" spans="1:9" ht="15" customHeight="1" x14ac:dyDescent="0.25">
      <c r="A11" t="s">
        <v>6098</v>
      </c>
      <c r="B11">
        <v>6</v>
      </c>
      <c r="C11" t="s">
        <v>7111</v>
      </c>
      <c r="D11" t="s">
        <v>7137</v>
      </c>
      <c r="E11" t="s">
        <v>7138</v>
      </c>
      <c r="F11" t="s">
        <v>7138</v>
      </c>
      <c r="G11" t="s">
        <v>7139</v>
      </c>
      <c r="H11" t="s">
        <v>5946</v>
      </c>
      <c r="I11" t="s">
        <v>2361</v>
      </c>
    </row>
    <row r="12" spans="1:9" ht="15" customHeight="1" x14ac:dyDescent="0.25">
      <c r="A12" t="s">
        <v>6105</v>
      </c>
      <c r="B12">
        <v>6</v>
      </c>
      <c r="C12" t="s">
        <v>7140</v>
      </c>
      <c r="D12" t="s">
        <v>7140</v>
      </c>
      <c r="E12" t="s">
        <v>7108</v>
      </c>
      <c r="F12" t="s">
        <v>7108</v>
      </c>
      <c r="G12" t="s">
        <v>7109</v>
      </c>
      <c r="H12" t="s">
        <v>5946</v>
      </c>
      <c r="I12" t="s">
        <v>2361</v>
      </c>
    </row>
    <row r="13" spans="1:9" ht="15" customHeight="1" x14ac:dyDescent="0.25">
      <c r="A13" t="s">
        <v>6106</v>
      </c>
      <c r="B13">
        <v>6</v>
      </c>
      <c r="C13" t="s">
        <v>7112</v>
      </c>
      <c r="D13" t="s">
        <v>5652</v>
      </c>
      <c r="E13" t="s">
        <v>5946</v>
      </c>
      <c r="F13" t="s">
        <v>5946</v>
      </c>
      <c r="G13" t="s">
        <v>5946</v>
      </c>
      <c r="H13" t="s">
        <v>5946</v>
      </c>
      <c r="I13" t="s">
        <v>2361</v>
      </c>
    </row>
    <row r="14" spans="1:9" ht="15" customHeight="1" x14ac:dyDescent="0.25">
      <c r="A14" t="s">
        <v>6125</v>
      </c>
      <c r="B14">
        <v>6</v>
      </c>
      <c r="C14" t="s">
        <v>7121</v>
      </c>
      <c r="D14" t="s">
        <v>7121</v>
      </c>
      <c r="E14" t="s">
        <v>7129</v>
      </c>
      <c r="F14" t="s">
        <v>7129</v>
      </c>
      <c r="G14" t="s">
        <v>5946</v>
      </c>
      <c r="H14" t="s">
        <v>5946</v>
      </c>
      <c r="I14" t="s">
        <v>2361</v>
      </c>
    </row>
    <row r="15" spans="1:9" ht="15" customHeight="1" x14ac:dyDescent="0.25">
      <c r="A15" t="s">
        <v>6142</v>
      </c>
      <c r="B15">
        <v>6</v>
      </c>
      <c r="C15" t="s">
        <v>7141</v>
      </c>
      <c r="D15" t="s">
        <v>7142</v>
      </c>
      <c r="E15" t="s">
        <v>7142</v>
      </c>
      <c r="F15" t="s">
        <v>7142</v>
      </c>
      <c r="G15" t="s">
        <v>7129</v>
      </c>
      <c r="H15" t="s">
        <v>5946</v>
      </c>
      <c r="I15" t="s">
        <v>2361</v>
      </c>
    </row>
    <row r="16" spans="1:9" ht="15" customHeight="1" x14ac:dyDescent="0.25">
      <c r="A16" t="s">
        <v>6211</v>
      </c>
      <c r="B16">
        <v>6</v>
      </c>
      <c r="C16" t="s">
        <v>7143</v>
      </c>
      <c r="D16" t="s">
        <v>7144</v>
      </c>
      <c r="E16" t="s">
        <v>7144</v>
      </c>
      <c r="F16" t="s">
        <v>7144</v>
      </c>
      <c r="G16" t="s">
        <v>7145</v>
      </c>
      <c r="H16" t="s">
        <v>5946</v>
      </c>
      <c r="I16" t="s">
        <v>2361</v>
      </c>
    </row>
    <row r="17" spans="1:9" ht="15" customHeight="1" x14ac:dyDescent="0.25">
      <c r="A17" t="s">
        <v>6288</v>
      </c>
      <c r="B17">
        <v>6</v>
      </c>
      <c r="C17" t="s">
        <v>7113</v>
      </c>
      <c r="D17" t="s">
        <v>7113</v>
      </c>
      <c r="E17" t="s">
        <v>7123</v>
      </c>
      <c r="F17" t="s">
        <v>7123</v>
      </c>
      <c r="G17" t="s">
        <v>7116</v>
      </c>
      <c r="H17" t="s">
        <v>7116</v>
      </c>
      <c r="I17" t="s">
        <v>2361</v>
      </c>
    </row>
    <row r="18" spans="1:9" ht="15" customHeight="1" x14ac:dyDescent="0.25">
      <c r="A18" t="s">
        <v>6345</v>
      </c>
      <c r="B18">
        <v>6</v>
      </c>
      <c r="C18" t="s">
        <v>7112</v>
      </c>
      <c r="D18" t="s">
        <v>7112</v>
      </c>
      <c r="E18" t="s">
        <v>7113</v>
      </c>
      <c r="F18" t="s">
        <v>7113</v>
      </c>
      <c r="G18" t="s">
        <v>7115</v>
      </c>
      <c r="H18" t="s">
        <v>7115</v>
      </c>
      <c r="I18" t="s">
        <v>2361</v>
      </c>
    </row>
    <row r="19" spans="1:9" ht="15" customHeight="1" x14ac:dyDescent="0.25">
      <c r="A19" t="s">
        <v>6349</v>
      </c>
      <c r="B19">
        <v>6</v>
      </c>
      <c r="C19" t="s">
        <v>5652</v>
      </c>
      <c r="D19" t="s">
        <v>7115</v>
      </c>
      <c r="E19" t="s">
        <v>7123</v>
      </c>
      <c r="F19" t="s">
        <v>7123</v>
      </c>
      <c r="G19" t="s">
        <v>7116</v>
      </c>
      <c r="H19" t="s">
        <v>7118</v>
      </c>
      <c r="I19" t="s">
        <v>2361</v>
      </c>
    </row>
  </sheetData>
  <pageMargins left="0.7" right="0.7" top="0.75" bottom="0.75" header="0.511811023622047" footer="0.511811023622047"/>
  <pageSetup orientation="portrait" horizontalDpi="300" verticalDpi="300"/>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8"/>
  <sheetViews>
    <sheetView zoomScale="85" zoomScaleNormal="85" workbookViewId="0">
      <selection activeCell="D16" sqref="D16"/>
    </sheetView>
  </sheetViews>
  <sheetFormatPr defaultColWidth="8.7109375" defaultRowHeight="15" x14ac:dyDescent="0.25"/>
  <cols>
    <col min="1" max="1" width="24" customWidth="1"/>
    <col min="3" max="3" width="26.5703125" customWidth="1"/>
    <col min="4" max="4" width="23.85546875" customWidth="1"/>
    <col min="5" max="5" width="33.140625" bestFit="1" customWidth="1"/>
  </cols>
  <sheetData>
    <row r="1" spans="1:5" ht="15" customHeight="1" x14ac:dyDescent="0.25">
      <c r="A1" t="s">
        <v>165</v>
      </c>
      <c r="B1" t="s">
        <v>166</v>
      </c>
      <c r="C1" t="s">
        <v>7146</v>
      </c>
      <c r="D1" t="s">
        <v>171</v>
      </c>
      <c r="E1" t="s">
        <v>7147</v>
      </c>
    </row>
    <row r="2" spans="1:5" ht="15" customHeight="1" x14ac:dyDescent="0.25">
      <c r="A2" t="s">
        <v>7148</v>
      </c>
      <c r="B2">
        <v>2022</v>
      </c>
      <c r="C2" t="s">
        <v>2619</v>
      </c>
      <c r="D2" t="s">
        <v>7149</v>
      </c>
    </row>
    <row r="3" spans="1:5" ht="15" customHeight="1" x14ac:dyDescent="0.25">
      <c r="A3" t="s">
        <v>7150</v>
      </c>
      <c r="B3">
        <v>2022</v>
      </c>
      <c r="C3" t="s">
        <v>90</v>
      </c>
      <c r="D3" t="s">
        <v>7151</v>
      </c>
    </row>
    <row r="4" spans="1:5" ht="15" customHeight="1" x14ac:dyDescent="0.25">
      <c r="A4" t="s">
        <v>7152</v>
      </c>
      <c r="B4">
        <v>2024</v>
      </c>
      <c r="C4" t="s">
        <v>353</v>
      </c>
      <c r="D4" t="s">
        <v>7153</v>
      </c>
    </row>
    <row r="5" spans="1:5" ht="15" customHeight="1" x14ac:dyDescent="0.25">
      <c r="A5" t="s">
        <v>7154</v>
      </c>
      <c r="B5">
        <v>2020</v>
      </c>
      <c r="C5" t="s">
        <v>2132</v>
      </c>
      <c r="D5" t="s">
        <v>7155</v>
      </c>
    </row>
    <row r="6" spans="1:5" ht="15" customHeight="1" x14ac:dyDescent="0.25">
      <c r="A6" t="s">
        <v>7156</v>
      </c>
      <c r="B6">
        <v>2021</v>
      </c>
      <c r="C6" t="s">
        <v>2136</v>
      </c>
      <c r="D6" t="s">
        <v>7157</v>
      </c>
    </row>
    <row r="7" spans="1:5" ht="15" customHeight="1" x14ac:dyDescent="0.25">
      <c r="A7" t="s">
        <v>7158</v>
      </c>
      <c r="B7">
        <v>2024</v>
      </c>
      <c r="C7" t="s">
        <v>353</v>
      </c>
      <c r="D7" t="s">
        <v>7159</v>
      </c>
    </row>
    <row r="8" spans="1:5" x14ac:dyDescent="0.25">
      <c r="A8" t="s">
        <v>7160</v>
      </c>
      <c r="B8">
        <v>2024</v>
      </c>
      <c r="C8" t="s">
        <v>353</v>
      </c>
      <c r="E8" s="10" t="s">
        <v>7161</v>
      </c>
    </row>
  </sheetData>
  <hyperlinks>
    <hyperlink ref="E8" r:id="rId1" xr:uid="{00000000-0004-0000-2A00-000000000000}"/>
  </hyperlinks>
  <pageMargins left="0.7" right="0.7" top="0.75" bottom="0.75" header="0.511811023622047" footer="0.511811023622047"/>
  <pageSetup orientation="portrait" horizontalDpi="300" verticalDpi="300"/>
  <tableParts count="1">
    <tablePart r:id="rId2"/>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11"/>
  <sheetViews>
    <sheetView zoomScale="85" zoomScaleNormal="85" workbookViewId="0">
      <selection activeCell="B29" sqref="B29"/>
    </sheetView>
  </sheetViews>
  <sheetFormatPr defaultColWidth="8.7109375" defaultRowHeight="15" x14ac:dyDescent="0.25"/>
  <cols>
    <col min="1" max="1" width="9" customWidth="1"/>
    <col min="2" max="2" width="125.28515625" customWidth="1"/>
  </cols>
  <sheetData>
    <row r="1" spans="1:3" ht="15" customHeight="1" x14ac:dyDescent="0.25">
      <c r="A1" t="s">
        <v>165</v>
      </c>
      <c r="B1" t="s">
        <v>3453</v>
      </c>
      <c r="C1" t="s">
        <v>167</v>
      </c>
    </row>
    <row r="2" spans="1:3" ht="15" customHeight="1" x14ac:dyDescent="0.25">
      <c r="A2" t="s">
        <v>7162</v>
      </c>
      <c r="B2" t="s">
        <v>7163</v>
      </c>
      <c r="C2" t="s">
        <v>4014</v>
      </c>
    </row>
    <row r="3" spans="1:3" ht="15" customHeight="1" x14ac:dyDescent="0.25">
      <c r="A3" t="s">
        <v>7164</v>
      </c>
      <c r="B3" t="s">
        <v>7165</v>
      </c>
      <c r="C3" t="s">
        <v>4014</v>
      </c>
    </row>
    <row r="4" spans="1:3" ht="15" customHeight="1" x14ac:dyDescent="0.25">
      <c r="A4" t="s">
        <v>4387</v>
      </c>
      <c r="B4" t="s">
        <v>7166</v>
      </c>
      <c r="C4" t="s">
        <v>4031</v>
      </c>
    </row>
    <row r="5" spans="1:3" ht="15" customHeight="1" x14ac:dyDescent="0.25">
      <c r="A5" t="s">
        <v>3991</v>
      </c>
      <c r="B5" t="s">
        <v>7167</v>
      </c>
      <c r="C5" t="s">
        <v>4014</v>
      </c>
    </row>
    <row r="6" spans="1:3" ht="15" customHeight="1" x14ac:dyDescent="0.25">
      <c r="A6" t="s">
        <v>7168</v>
      </c>
      <c r="B6" t="s">
        <v>7169</v>
      </c>
      <c r="C6" t="s">
        <v>4031</v>
      </c>
    </row>
    <row r="7" spans="1:3" ht="15" customHeight="1" x14ac:dyDescent="0.25">
      <c r="A7" t="s">
        <v>7170</v>
      </c>
      <c r="B7" t="s">
        <v>7171</v>
      </c>
      <c r="C7" t="s">
        <v>4014</v>
      </c>
    </row>
    <row r="8" spans="1:3" ht="15" customHeight="1" x14ac:dyDescent="0.25">
      <c r="A8" t="s">
        <v>7172</v>
      </c>
      <c r="B8" t="s">
        <v>7173</v>
      </c>
      <c r="C8" t="s">
        <v>4014</v>
      </c>
    </row>
    <row r="9" spans="1:3" ht="15" customHeight="1" x14ac:dyDescent="0.25">
      <c r="A9" t="s">
        <v>7174</v>
      </c>
      <c r="B9" t="s">
        <v>7175</v>
      </c>
      <c r="C9" t="s">
        <v>4014</v>
      </c>
    </row>
    <row r="10" spans="1:3" ht="15" customHeight="1" x14ac:dyDescent="0.25">
      <c r="A10" t="s">
        <v>7176</v>
      </c>
      <c r="B10" t="s">
        <v>7177</v>
      </c>
      <c r="C10" t="s">
        <v>4042</v>
      </c>
    </row>
    <row r="11" spans="1:3" ht="15" customHeight="1" x14ac:dyDescent="0.25">
      <c r="A11" t="s">
        <v>7178</v>
      </c>
      <c r="B11" t="s">
        <v>7179</v>
      </c>
      <c r="C11" t="s">
        <v>4014</v>
      </c>
    </row>
  </sheetData>
  <pageMargins left="0.7" right="0.7" top="0.75" bottom="0.75" header="0.511811023622047" footer="0.511811023622047"/>
  <pageSetup orientation="portrait" horizontalDpi="300" verticalDpi="300"/>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61"/>
  <sheetViews>
    <sheetView topLeftCell="A16" zoomScale="85" zoomScaleNormal="85" workbookViewId="0">
      <selection activeCell="E61" sqref="E61"/>
    </sheetView>
  </sheetViews>
  <sheetFormatPr defaultColWidth="8.7109375" defaultRowHeight="15" x14ac:dyDescent="0.25"/>
  <cols>
    <col min="1" max="1" width="24" customWidth="1"/>
    <col min="2" max="2" width="11.5703125" customWidth="1"/>
    <col min="3" max="3" width="11.28515625" customWidth="1"/>
    <col min="4" max="4" width="28.85546875" customWidth="1"/>
    <col min="5" max="5" width="149.5703125" customWidth="1"/>
    <col min="6" max="6" width="12.42578125" customWidth="1"/>
  </cols>
  <sheetData>
    <row r="1" spans="1:6" ht="15" customHeight="1" x14ac:dyDescent="0.25">
      <c r="A1" t="s">
        <v>165</v>
      </c>
      <c r="B1" t="s">
        <v>7180</v>
      </c>
      <c r="C1" t="s">
        <v>4597</v>
      </c>
      <c r="D1" t="s">
        <v>7181</v>
      </c>
      <c r="E1" t="s">
        <v>3453</v>
      </c>
      <c r="F1" t="s">
        <v>167</v>
      </c>
    </row>
    <row r="2" spans="1:6" ht="15" customHeight="1" x14ac:dyDescent="0.25">
      <c r="A2" t="s">
        <v>7182</v>
      </c>
      <c r="B2" t="s">
        <v>5023</v>
      </c>
      <c r="C2" t="s">
        <v>4363</v>
      </c>
      <c r="D2" t="s">
        <v>7183</v>
      </c>
      <c r="E2" t="s">
        <v>7184</v>
      </c>
      <c r="F2" t="s">
        <v>7185</v>
      </c>
    </row>
    <row r="3" spans="1:6" ht="15" customHeight="1" x14ac:dyDescent="0.25">
      <c r="A3" t="s">
        <v>7186</v>
      </c>
      <c r="B3" t="s">
        <v>5023</v>
      </c>
      <c r="C3" t="s">
        <v>4367</v>
      </c>
      <c r="D3" t="s">
        <v>7183</v>
      </c>
      <c r="E3" t="s">
        <v>7187</v>
      </c>
      <c r="F3" t="s">
        <v>7185</v>
      </c>
    </row>
    <row r="4" spans="1:6" ht="15" customHeight="1" x14ac:dyDescent="0.25">
      <c r="A4" t="s">
        <v>7188</v>
      </c>
      <c r="B4" t="s">
        <v>5023</v>
      </c>
      <c r="C4" t="s">
        <v>5026</v>
      </c>
      <c r="D4" t="s">
        <v>7183</v>
      </c>
      <c r="E4" t="s">
        <v>7189</v>
      </c>
      <c r="F4" t="s">
        <v>7185</v>
      </c>
    </row>
    <row r="5" spans="1:6" ht="15" customHeight="1" x14ac:dyDescent="0.25">
      <c r="A5" t="s">
        <v>7190</v>
      </c>
      <c r="B5" t="s">
        <v>5023</v>
      </c>
      <c r="C5" t="s">
        <v>4363</v>
      </c>
      <c r="D5" t="s">
        <v>7183</v>
      </c>
      <c r="E5" t="s">
        <v>7191</v>
      </c>
      <c r="F5" t="s">
        <v>7185</v>
      </c>
    </row>
    <row r="6" spans="1:6" ht="15" customHeight="1" x14ac:dyDescent="0.25">
      <c r="A6" t="s">
        <v>7192</v>
      </c>
      <c r="B6" t="s">
        <v>5023</v>
      </c>
      <c r="C6" t="s">
        <v>4367</v>
      </c>
      <c r="D6" t="s">
        <v>7183</v>
      </c>
      <c r="E6" t="s">
        <v>7193</v>
      </c>
      <c r="F6" t="s">
        <v>7185</v>
      </c>
    </row>
    <row r="7" spans="1:6" ht="15" customHeight="1" x14ac:dyDescent="0.25">
      <c r="A7" t="s">
        <v>7194</v>
      </c>
      <c r="B7" t="s">
        <v>5023</v>
      </c>
      <c r="C7" t="s">
        <v>5026</v>
      </c>
      <c r="D7" t="s">
        <v>7183</v>
      </c>
      <c r="E7" t="s">
        <v>7195</v>
      </c>
      <c r="F7" t="s">
        <v>7185</v>
      </c>
    </row>
    <row r="8" spans="1:6" ht="15" customHeight="1" x14ac:dyDescent="0.25">
      <c r="A8" t="s">
        <v>7196</v>
      </c>
      <c r="B8" t="s">
        <v>5023</v>
      </c>
      <c r="C8" t="s">
        <v>4363</v>
      </c>
      <c r="D8" t="s">
        <v>7197</v>
      </c>
      <c r="E8" t="s">
        <v>7198</v>
      </c>
      <c r="F8" t="s">
        <v>7185</v>
      </c>
    </row>
    <row r="9" spans="1:6" ht="15" customHeight="1" x14ac:dyDescent="0.25">
      <c r="A9" t="s">
        <v>7199</v>
      </c>
      <c r="B9" t="s">
        <v>5023</v>
      </c>
      <c r="C9" t="s">
        <v>4367</v>
      </c>
      <c r="D9" t="s">
        <v>7183</v>
      </c>
      <c r="E9" t="s">
        <v>7198</v>
      </c>
      <c r="F9" t="s">
        <v>7185</v>
      </c>
    </row>
    <row r="10" spans="1:6" ht="15" customHeight="1" x14ac:dyDescent="0.25">
      <c r="A10" t="s">
        <v>7200</v>
      </c>
      <c r="B10" t="s">
        <v>5023</v>
      </c>
      <c r="C10" t="s">
        <v>5026</v>
      </c>
      <c r="D10" t="s">
        <v>7201</v>
      </c>
      <c r="E10" t="s">
        <v>7198</v>
      </c>
      <c r="F10" t="s">
        <v>7185</v>
      </c>
    </row>
    <row r="11" spans="1:6" ht="15" customHeight="1" x14ac:dyDescent="0.25">
      <c r="A11" t="s">
        <v>7202</v>
      </c>
      <c r="B11" t="s">
        <v>3999</v>
      </c>
      <c r="C11" t="s">
        <v>4363</v>
      </c>
      <c r="D11" t="s">
        <v>7197</v>
      </c>
      <c r="E11" t="s">
        <v>7203</v>
      </c>
      <c r="F11" t="s">
        <v>7185</v>
      </c>
    </row>
    <row r="12" spans="1:6" ht="15" customHeight="1" x14ac:dyDescent="0.25">
      <c r="A12" t="s">
        <v>7204</v>
      </c>
      <c r="B12" t="s">
        <v>3999</v>
      </c>
      <c r="C12" t="s">
        <v>4367</v>
      </c>
      <c r="D12" t="s">
        <v>7197</v>
      </c>
      <c r="E12" t="s">
        <v>7205</v>
      </c>
      <c r="F12" t="s">
        <v>7185</v>
      </c>
    </row>
    <row r="13" spans="1:6" ht="15" customHeight="1" x14ac:dyDescent="0.25">
      <c r="A13" t="s">
        <v>7206</v>
      </c>
      <c r="B13" t="s">
        <v>3999</v>
      </c>
      <c r="C13" t="s">
        <v>5026</v>
      </c>
      <c r="D13" t="s">
        <v>7197</v>
      </c>
      <c r="E13" t="s">
        <v>7207</v>
      </c>
      <c r="F13" t="s">
        <v>7185</v>
      </c>
    </row>
    <row r="14" spans="1:6" ht="15" customHeight="1" x14ac:dyDescent="0.25">
      <c r="A14" t="s">
        <v>7208</v>
      </c>
      <c r="B14" t="s">
        <v>6868</v>
      </c>
      <c r="C14" t="s">
        <v>4363</v>
      </c>
      <c r="D14" t="s">
        <v>7209</v>
      </c>
      <c r="E14" t="s">
        <v>7210</v>
      </c>
      <c r="F14" t="s">
        <v>3832</v>
      </c>
    </row>
    <row r="15" spans="1:6" ht="15" customHeight="1" x14ac:dyDescent="0.25">
      <c r="A15" t="s">
        <v>7211</v>
      </c>
      <c r="B15" t="s">
        <v>6868</v>
      </c>
      <c r="C15" t="s">
        <v>4367</v>
      </c>
      <c r="D15" t="s">
        <v>7212</v>
      </c>
      <c r="E15" t="s">
        <v>7210</v>
      </c>
      <c r="F15" t="s">
        <v>3832</v>
      </c>
    </row>
    <row r="16" spans="1:6" ht="15" customHeight="1" x14ac:dyDescent="0.25">
      <c r="A16" t="s">
        <v>7213</v>
      </c>
      <c r="B16" t="s">
        <v>6868</v>
      </c>
      <c r="C16" t="s">
        <v>5026</v>
      </c>
      <c r="D16" t="s">
        <v>7214</v>
      </c>
      <c r="E16" t="s">
        <v>7210</v>
      </c>
      <c r="F16" t="s">
        <v>3832</v>
      </c>
    </row>
    <row r="17" spans="1:6" ht="15" customHeight="1" x14ac:dyDescent="0.25">
      <c r="A17" t="s">
        <v>7215</v>
      </c>
      <c r="B17" t="s">
        <v>6868</v>
      </c>
      <c r="C17" t="s">
        <v>4363</v>
      </c>
      <c r="D17" t="s">
        <v>7216</v>
      </c>
      <c r="E17" t="s">
        <v>7217</v>
      </c>
      <c r="F17" t="s">
        <v>7218</v>
      </c>
    </row>
    <row r="18" spans="1:6" ht="15" customHeight="1" x14ac:dyDescent="0.25">
      <c r="A18" t="s">
        <v>7219</v>
      </c>
      <c r="B18" t="s">
        <v>6868</v>
      </c>
      <c r="C18" t="s">
        <v>4367</v>
      </c>
      <c r="D18" t="s">
        <v>7216</v>
      </c>
      <c r="E18" t="s">
        <v>7220</v>
      </c>
      <c r="F18" t="s">
        <v>7218</v>
      </c>
    </row>
    <row r="19" spans="1:6" ht="15" customHeight="1" x14ac:dyDescent="0.25">
      <c r="A19" t="s">
        <v>7221</v>
      </c>
      <c r="B19" t="s">
        <v>6868</v>
      </c>
      <c r="C19" t="s">
        <v>5026</v>
      </c>
      <c r="D19" t="s">
        <v>7216</v>
      </c>
      <c r="E19" t="s">
        <v>7222</v>
      </c>
      <c r="F19" t="s">
        <v>7218</v>
      </c>
    </row>
    <row r="20" spans="1:6" ht="15" customHeight="1" x14ac:dyDescent="0.25">
      <c r="A20" t="s">
        <v>7223</v>
      </c>
      <c r="B20" t="s">
        <v>6868</v>
      </c>
      <c r="C20" t="s">
        <v>4363</v>
      </c>
      <c r="D20" t="s">
        <v>7224</v>
      </c>
      <c r="E20" t="s">
        <v>7225</v>
      </c>
      <c r="F20" t="s">
        <v>7218</v>
      </c>
    </row>
    <row r="21" spans="1:6" ht="15" customHeight="1" x14ac:dyDescent="0.25">
      <c r="A21" t="s">
        <v>7226</v>
      </c>
      <c r="B21" t="s">
        <v>6868</v>
      </c>
      <c r="C21" t="s">
        <v>4367</v>
      </c>
      <c r="D21" t="s">
        <v>7227</v>
      </c>
      <c r="E21" t="s">
        <v>7225</v>
      </c>
      <c r="F21" t="s">
        <v>7218</v>
      </c>
    </row>
    <row r="22" spans="1:6" ht="15" customHeight="1" x14ac:dyDescent="0.25">
      <c r="A22" t="s">
        <v>7228</v>
      </c>
      <c r="B22" t="s">
        <v>6868</v>
      </c>
      <c r="C22" t="s">
        <v>5026</v>
      </c>
      <c r="D22" t="s">
        <v>7229</v>
      </c>
      <c r="E22" t="s">
        <v>7225</v>
      </c>
      <c r="F22" t="s">
        <v>7218</v>
      </c>
    </row>
    <row r="23" spans="1:6" ht="15" customHeight="1" x14ac:dyDescent="0.25">
      <c r="A23" t="s">
        <v>7230</v>
      </c>
      <c r="B23" t="s">
        <v>3982</v>
      </c>
      <c r="C23" t="s">
        <v>4363</v>
      </c>
      <c r="D23" t="s">
        <v>7209</v>
      </c>
      <c r="E23" t="s">
        <v>7231</v>
      </c>
      <c r="F23" t="s">
        <v>3832</v>
      </c>
    </row>
    <row r="24" spans="1:6" ht="15" customHeight="1" x14ac:dyDescent="0.25">
      <c r="A24" t="s">
        <v>7232</v>
      </c>
      <c r="B24" t="s">
        <v>3982</v>
      </c>
      <c r="C24" t="s">
        <v>4367</v>
      </c>
      <c r="D24" t="s">
        <v>7209</v>
      </c>
      <c r="E24" t="s">
        <v>7233</v>
      </c>
      <c r="F24" t="s">
        <v>3832</v>
      </c>
    </row>
    <row r="25" spans="1:6" ht="15" customHeight="1" x14ac:dyDescent="0.25">
      <c r="A25" t="s">
        <v>7234</v>
      </c>
      <c r="B25" t="s">
        <v>3982</v>
      </c>
      <c r="C25" t="s">
        <v>5026</v>
      </c>
      <c r="D25" t="s">
        <v>7209</v>
      </c>
      <c r="E25" t="s">
        <v>7235</v>
      </c>
      <c r="F25" t="s">
        <v>3832</v>
      </c>
    </row>
    <row r="26" spans="1:6" ht="15" customHeight="1" x14ac:dyDescent="0.25">
      <c r="A26" t="s">
        <v>7236</v>
      </c>
      <c r="B26" t="s">
        <v>3982</v>
      </c>
      <c r="C26" t="s">
        <v>4363</v>
      </c>
      <c r="D26" t="s">
        <v>7237</v>
      </c>
      <c r="E26" t="s">
        <v>7238</v>
      </c>
      <c r="F26" t="s">
        <v>7218</v>
      </c>
    </row>
    <row r="27" spans="1:6" ht="15" customHeight="1" x14ac:dyDescent="0.25">
      <c r="A27" t="s">
        <v>7239</v>
      </c>
      <c r="B27" t="s">
        <v>3982</v>
      </c>
      <c r="C27" t="s">
        <v>4367</v>
      </c>
      <c r="D27" t="s">
        <v>7240</v>
      </c>
      <c r="E27" t="s">
        <v>7238</v>
      </c>
      <c r="F27" t="s">
        <v>7218</v>
      </c>
    </row>
    <row r="28" spans="1:6" ht="15" customHeight="1" x14ac:dyDescent="0.25">
      <c r="A28" t="s">
        <v>7241</v>
      </c>
      <c r="B28" t="s">
        <v>3982</v>
      </c>
      <c r="C28" t="s">
        <v>5026</v>
      </c>
      <c r="D28" t="s">
        <v>7242</v>
      </c>
      <c r="E28" t="s">
        <v>7238</v>
      </c>
      <c r="F28" t="s">
        <v>7218</v>
      </c>
    </row>
    <row r="29" spans="1:6" ht="15" customHeight="1" x14ac:dyDescent="0.25">
      <c r="A29" t="s">
        <v>7243</v>
      </c>
      <c r="B29" t="s">
        <v>3982</v>
      </c>
      <c r="C29" t="s">
        <v>4363</v>
      </c>
      <c r="D29" t="s">
        <v>7244</v>
      </c>
      <c r="E29" t="s">
        <v>7245</v>
      </c>
      <c r="F29" t="s">
        <v>7218</v>
      </c>
    </row>
    <row r="30" spans="1:6" ht="15" customHeight="1" x14ac:dyDescent="0.25">
      <c r="A30" t="s">
        <v>7246</v>
      </c>
      <c r="B30" t="s">
        <v>3982</v>
      </c>
      <c r="C30" t="s">
        <v>4367</v>
      </c>
      <c r="D30" t="s">
        <v>7247</v>
      </c>
      <c r="E30" t="s">
        <v>7245</v>
      </c>
      <c r="F30" t="s">
        <v>7218</v>
      </c>
    </row>
    <row r="31" spans="1:6" ht="15" customHeight="1" x14ac:dyDescent="0.25">
      <c r="A31" t="s">
        <v>7248</v>
      </c>
      <c r="B31" t="s">
        <v>3982</v>
      </c>
      <c r="C31" t="s">
        <v>5026</v>
      </c>
      <c r="D31" t="s">
        <v>7249</v>
      </c>
      <c r="E31" t="s">
        <v>7245</v>
      </c>
      <c r="F31" t="s">
        <v>7218</v>
      </c>
    </row>
    <row r="32" spans="1:6" ht="15" customHeight="1" x14ac:dyDescent="0.25">
      <c r="A32" t="s">
        <v>7250</v>
      </c>
      <c r="B32" t="s">
        <v>3999</v>
      </c>
      <c r="C32" t="s">
        <v>4363</v>
      </c>
      <c r="D32" t="s">
        <v>7251</v>
      </c>
      <c r="E32" t="s">
        <v>7252</v>
      </c>
      <c r="F32" t="s">
        <v>7218</v>
      </c>
    </row>
    <row r="33" spans="1:6" ht="15" customHeight="1" x14ac:dyDescent="0.25">
      <c r="A33" t="s">
        <v>7253</v>
      </c>
      <c r="B33" t="s">
        <v>3999</v>
      </c>
      <c r="C33" t="s">
        <v>4367</v>
      </c>
      <c r="D33" t="s">
        <v>7251</v>
      </c>
      <c r="E33" t="s">
        <v>7252</v>
      </c>
      <c r="F33" t="s">
        <v>7218</v>
      </c>
    </row>
    <row r="34" spans="1:6" ht="15" customHeight="1" x14ac:dyDescent="0.25">
      <c r="A34" t="s">
        <v>7254</v>
      </c>
      <c r="B34" t="s">
        <v>3999</v>
      </c>
      <c r="C34" t="s">
        <v>5026</v>
      </c>
      <c r="D34" t="s">
        <v>7251</v>
      </c>
      <c r="E34" t="s">
        <v>7252</v>
      </c>
      <c r="F34" t="s">
        <v>7218</v>
      </c>
    </row>
    <row r="35" spans="1:6" ht="15" customHeight="1" x14ac:dyDescent="0.25">
      <c r="A35" t="s">
        <v>7255</v>
      </c>
      <c r="B35" t="s">
        <v>5023</v>
      </c>
      <c r="C35" t="s">
        <v>4363</v>
      </c>
      <c r="D35" t="s">
        <v>7197</v>
      </c>
      <c r="E35" t="s">
        <v>7256</v>
      </c>
      <c r="F35" t="s">
        <v>7185</v>
      </c>
    </row>
    <row r="36" spans="1:6" ht="15" customHeight="1" x14ac:dyDescent="0.25">
      <c r="A36" t="s">
        <v>7257</v>
      </c>
      <c r="B36" t="s">
        <v>5023</v>
      </c>
      <c r="C36" t="s">
        <v>4367</v>
      </c>
      <c r="D36" t="s">
        <v>7183</v>
      </c>
      <c r="E36" t="s">
        <v>7256</v>
      </c>
      <c r="F36" t="s">
        <v>7185</v>
      </c>
    </row>
    <row r="37" spans="1:6" ht="15" customHeight="1" x14ac:dyDescent="0.25">
      <c r="A37" t="s">
        <v>7258</v>
      </c>
      <c r="B37" t="s">
        <v>5023</v>
      </c>
      <c r="C37" t="s">
        <v>5026</v>
      </c>
      <c r="D37" t="s">
        <v>7201</v>
      </c>
      <c r="E37" t="s">
        <v>7256</v>
      </c>
      <c r="F37" t="s">
        <v>7185</v>
      </c>
    </row>
    <row r="38" spans="1:6" ht="15" customHeight="1" x14ac:dyDescent="0.25">
      <c r="A38" t="s">
        <v>7259</v>
      </c>
      <c r="B38" t="s">
        <v>3999</v>
      </c>
      <c r="C38" t="s">
        <v>4363</v>
      </c>
      <c r="D38" t="s">
        <v>7197</v>
      </c>
      <c r="E38" t="s">
        <v>7260</v>
      </c>
      <c r="F38" t="s">
        <v>7185</v>
      </c>
    </row>
    <row r="39" spans="1:6" ht="15" customHeight="1" x14ac:dyDescent="0.25">
      <c r="A39" t="s">
        <v>7261</v>
      </c>
      <c r="B39" t="s">
        <v>3999</v>
      </c>
      <c r="C39" t="s">
        <v>4367</v>
      </c>
      <c r="D39" t="s">
        <v>7183</v>
      </c>
      <c r="E39" t="s">
        <v>7260</v>
      </c>
      <c r="F39" t="s">
        <v>7185</v>
      </c>
    </row>
    <row r="40" spans="1:6" ht="15" customHeight="1" x14ac:dyDescent="0.25">
      <c r="A40" t="s">
        <v>7262</v>
      </c>
      <c r="B40" t="s">
        <v>3999</v>
      </c>
      <c r="C40" t="s">
        <v>5026</v>
      </c>
      <c r="D40" t="s">
        <v>7201</v>
      </c>
      <c r="E40" t="s">
        <v>7260</v>
      </c>
      <c r="F40" t="s">
        <v>7185</v>
      </c>
    </row>
    <row r="41" spans="1:6" ht="15" customHeight="1" x14ac:dyDescent="0.25">
      <c r="A41" t="s">
        <v>7263</v>
      </c>
      <c r="B41" t="s">
        <v>5023</v>
      </c>
      <c r="C41" t="s">
        <v>4363</v>
      </c>
      <c r="D41" t="s">
        <v>7201</v>
      </c>
      <c r="E41" t="s">
        <v>7264</v>
      </c>
      <c r="F41" t="s">
        <v>7185</v>
      </c>
    </row>
    <row r="42" spans="1:6" ht="15" customHeight="1" x14ac:dyDescent="0.25">
      <c r="A42" t="s">
        <v>7265</v>
      </c>
      <c r="B42" t="s">
        <v>5023</v>
      </c>
      <c r="C42" t="s">
        <v>4367</v>
      </c>
      <c r="D42" t="s">
        <v>7201</v>
      </c>
      <c r="E42" t="s">
        <v>7266</v>
      </c>
      <c r="F42" t="s">
        <v>7185</v>
      </c>
    </row>
    <row r="43" spans="1:6" ht="15" customHeight="1" x14ac:dyDescent="0.25">
      <c r="A43" t="s">
        <v>7267</v>
      </c>
      <c r="B43" t="s">
        <v>5023</v>
      </c>
      <c r="C43" t="s">
        <v>5026</v>
      </c>
      <c r="D43" t="s">
        <v>7201</v>
      </c>
      <c r="E43" t="s">
        <v>7268</v>
      </c>
      <c r="F43" t="s">
        <v>7185</v>
      </c>
    </row>
    <row r="44" spans="1:6" ht="15" customHeight="1" x14ac:dyDescent="0.25">
      <c r="A44" t="s">
        <v>7269</v>
      </c>
      <c r="B44" t="s">
        <v>6868</v>
      </c>
      <c r="C44" t="s">
        <v>4363</v>
      </c>
      <c r="D44" t="s">
        <v>7197</v>
      </c>
      <c r="E44" t="s">
        <v>7270</v>
      </c>
      <c r="F44" t="s">
        <v>7185</v>
      </c>
    </row>
    <row r="45" spans="1:6" ht="15" customHeight="1" x14ac:dyDescent="0.25">
      <c r="A45" t="s">
        <v>7271</v>
      </c>
      <c r="B45" t="s">
        <v>6868</v>
      </c>
      <c r="C45" t="s">
        <v>4367</v>
      </c>
      <c r="D45" t="s">
        <v>7183</v>
      </c>
      <c r="E45" t="s">
        <v>7270</v>
      </c>
      <c r="F45" t="s">
        <v>7185</v>
      </c>
    </row>
    <row r="46" spans="1:6" ht="15" customHeight="1" x14ac:dyDescent="0.25">
      <c r="A46" t="s">
        <v>7272</v>
      </c>
      <c r="B46" t="s">
        <v>6868</v>
      </c>
      <c r="C46" t="s">
        <v>5026</v>
      </c>
      <c r="D46" t="s">
        <v>7201</v>
      </c>
      <c r="E46" t="s">
        <v>7270</v>
      </c>
      <c r="F46" t="s">
        <v>7185</v>
      </c>
    </row>
    <row r="47" spans="1:6" ht="15" customHeight="1" x14ac:dyDescent="0.25">
      <c r="A47" t="s">
        <v>7273</v>
      </c>
      <c r="B47" t="s">
        <v>3982</v>
      </c>
      <c r="C47" t="s">
        <v>4363</v>
      </c>
      <c r="D47" t="s">
        <v>7244</v>
      </c>
      <c r="E47" t="s">
        <v>7274</v>
      </c>
      <c r="F47" t="s">
        <v>7218</v>
      </c>
    </row>
    <row r="48" spans="1:6" ht="15" customHeight="1" x14ac:dyDescent="0.25">
      <c r="A48" t="s">
        <v>7275</v>
      </c>
      <c r="B48" t="s">
        <v>3982</v>
      </c>
      <c r="C48" t="s">
        <v>4367</v>
      </c>
      <c r="D48" t="s">
        <v>7247</v>
      </c>
      <c r="E48" t="s">
        <v>7276</v>
      </c>
      <c r="F48" t="s">
        <v>7218</v>
      </c>
    </row>
    <row r="49" spans="1:6" ht="15" customHeight="1" x14ac:dyDescent="0.25">
      <c r="A49" t="s">
        <v>7277</v>
      </c>
      <c r="B49" t="s">
        <v>3982</v>
      </c>
      <c r="C49" t="s">
        <v>5026</v>
      </c>
      <c r="D49" t="s">
        <v>7249</v>
      </c>
      <c r="E49" t="s">
        <v>7278</v>
      </c>
      <c r="F49" t="s">
        <v>7218</v>
      </c>
    </row>
    <row r="50" spans="1:6" ht="15" customHeight="1" x14ac:dyDescent="0.25">
      <c r="A50" t="s">
        <v>7279</v>
      </c>
      <c r="B50" t="s">
        <v>3999</v>
      </c>
      <c r="C50" t="s">
        <v>4363</v>
      </c>
      <c r="D50" t="s">
        <v>7197</v>
      </c>
      <c r="E50" t="s">
        <v>7280</v>
      </c>
      <c r="F50" t="s">
        <v>7185</v>
      </c>
    </row>
    <row r="51" spans="1:6" ht="15" customHeight="1" x14ac:dyDescent="0.25">
      <c r="A51" t="s">
        <v>7281</v>
      </c>
      <c r="B51" t="s">
        <v>3999</v>
      </c>
      <c r="C51" t="s">
        <v>4367</v>
      </c>
      <c r="D51" t="s">
        <v>7183</v>
      </c>
      <c r="E51" t="s">
        <v>7280</v>
      </c>
      <c r="F51" t="s">
        <v>7185</v>
      </c>
    </row>
    <row r="52" spans="1:6" ht="15" customHeight="1" x14ac:dyDescent="0.25">
      <c r="A52" t="s">
        <v>7282</v>
      </c>
      <c r="B52" t="s">
        <v>3999</v>
      </c>
      <c r="C52" t="s">
        <v>5026</v>
      </c>
      <c r="D52" t="s">
        <v>7201</v>
      </c>
      <c r="E52" t="s">
        <v>7280</v>
      </c>
      <c r="F52" t="s">
        <v>7185</v>
      </c>
    </row>
    <row r="53" spans="1:6" ht="15" customHeight="1" x14ac:dyDescent="0.25">
      <c r="A53" t="s">
        <v>7283</v>
      </c>
      <c r="B53" t="s">
        <v>3982</v>
      </c>
      <c r="C53" t="s">
        <v>4363</v>
      </c>
      <c r="D53" t="s">
        <v>7284</v>
      </c>
      <c r="E53" t="s">
        <v>7285</v>
      </c>
      <c r="F53" t="s">
        <v>7218</v>
      </c>
    </row>
    <row r="54" spans="1:6" ht="15" customHeight="1" x14ac:dyDescent="0.25">
      <c r="A54" t="s">
        <v>7286</v>
      </c>
      <c r="B54" t="s">
        <v>3982</v>
      </c>
      <c r="C54" t="s">
        <v>4367</v>
      </c>
      <c r="D54" t="s">
        <v>7287</v>
      </c>
      <c r="E54" t="s">
        <v>7285</v>
      </c>
      <c r="F54" t="s">
        <v>7218</v>
      </c>
    </row>
    <row r="55" spans="1:6" ht="15" customHeight="1" x14ac:dyDescent="0.25">
      <c r="A55" t="s">
        <v>7288</v>
      </c>
      <c r="B55" t="s">
        <v>3982</v>
      </c>
      <c r="C55" t="s">
        <v>5026</v>
      </c>
      <c r="D55" t="s">
        <v>7289</v>
      </c>
      <c r="E55" t="s">
        <v>7285</v>
      </c>
      <c r="F55" t="s">
        <v>7218</v>
      </c>
    </row>
    <row r="56" spans="1:6" ht="15" customHeight="1" x14ac:dyDescent="0.25">
      <c r="A56" t="s">
        <v>7290</v>
      </c>
      <c r="B56" t="s">
        <v>5023</v>
      </c>
      <c r="C56" t="s">
        <v>4363</v>
      </c>
      <c r="D56" t="s">
        <v>7291</v>
      </c>
      <c r="E56" t="s">
        <v>7292</v>
      </c>
      <c r="F56" t="s">
        <v>7218</v>
      </c>
    </row>
    <row r="57" spans="1:6" ht="15" customHeight="1" x14ac:dyDescent="0.25">
      <c r="A57" t="s">
        <v>7293</v>
      </c>
      <c r="B57" t="s">
        <v>5023</v>
      </c>
      <c r="C57" t="s">
        <v>4367</v>
      </c>
      <c r="D57" t="s">
        <v>7294</v>
      </c>
      <c r="E57" t="s">
        <v>7292</v>
      </c>
      <c r="F57" t="s">
        <v>7218</v>
      </c>
    </row>
    <row r="58" spans="1:6" ht="15" customHeight="1" x14ac:dyDescent="0.25">
      <c r="A58" t="s">
        <v>7295</v>
      </c>
      <c r="B58" t="s">
        <v>5023</v>
      </c>
      <c r="C58" t="s">
        <v>5026</v>
      </c>
      <c r="D58" t="s">
        <v>7296</v>
      </c>
      <c r="E58" t="s">
        <v>7292</v>
      </c>
      <c r="F58" t="s">
        <v>7218</v>
      </c>
    </row>
    <row r="59" spans="1:6" ht="15" customHeight="1" x14ac:dyDescent="0.25">
      <c r="A59" t="s">
        <v>7297</v>
      </c>
      <c r="B59" t="s">
        <v>5023</v>
      </c>
      <c r="C59" t="s">
        <v>4363</v>
      </c>
      <c r="D59" t="s">
        <v>7197</v>
      </c>
      <c r="E59" t="s">
        <v>7298</v>
      </c>
      <c r="F59" t="s">
        <v>3832</v>
      </c>
    </row>
    <row r="60" spans="1:6" ht="15" customHeight="1" x14ac:dyDescent="0.25">
      <c r="A60" t="s">
        <v>7299</v>
      </c>
      <c r="B60" t="s">
        <v>5023</v>
      </c>
      <c r="C60" t="s">
        <v>4367</v>
      </c>
      <c r="D60" t="s">
        <v>7183</v>
      </c>
      <c r="E60" t="s">
        <v>7298</v>
      </c>
      <c r="F60" t="s">
        <v>3832</v>
      </c>
    </row>
    <row r="61" spans="1:6" ht="15" customHeight="1" x14ac:dyDescent="0.25">
      <c r="A61" t="s">
        <v>7300</v>
      </c>
      <c r="B61" t="s">
        <v>5023</v>
      </c>
      <c r="C61" t="s">
        <v>5026</v>
      </c>
      <c r="D61" t="s">
        <v>7201</v>
      </c>
      <c r="E61" t="s">
        <v>7298</v>
      </c>
      <c r="F61" t="s">
        <v>3832</v>
      </c>
    </row>
  </sheetData>
  <pageMargins left="0.7" right="0.7" top="0.75" bottom="0.75" header="0.511811023622047" footer="0.511811023622047"/>
  <pageSetup orientation="portrait" horizontalDpi="300" verticalDpi="300"/>
  <tableParts count="1">
    <tablePart r:id="rId1"/>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42"/>
  <sheetViews>
    <sheetView topLeftCell="A34" zoomScale="85" zoomScaleNormal="85" workbookViewId="0">
      <selection activeCell="G38" sqref="G38"/>
    </sheetView>
  </sheetViews>
  <sheetFormatPr defaultColWidth="8.7109375" defaultRowHeight="15" x14ac:dyDescent="0.25"/>
  <cols>
    <col min="1" max="1" width="58.85546875" customWidth="1"/>
    <col min="2" max="2" width="11" customWidth="1"/>
  </cols>
  <sheetData>
    <row r="1" spans="1:2" ht="15" customHeight="1" x14ac:dyDescent="0.25">
      <c r="A1" t="s">
        <v>3738</v>
      </c>
      <c r="B1" t="s">
        <v>3734</v>
      </c>
    </row>
    <row r="2" spans="1:2" ht="15" customHeight="1" x14ac:dyDescent="0.25">
      <c r="A2" t="s">
        <v>7301</v>
      </c>
      <c r="B2" t="s">
        <v>4945</v>
      </c>
    </row>
    <row r="3" spans="1:2" ht="15" customHeight="1" x14ac:dyDescent="0.25">
      <c r="A3" t="s">
        <v>7302</v>
      </c>
      <c r="B3" t="s">
        <v>4945</v>
      </c>
    </row>
    <row r="4" spans="1:2" ht="15" customHeight="1" x14ac:dyDescent="0.25">
      <c r="A4" t="s">
        <v>7303</v>
      </c>
      <c r="B4" t="s">
        <v>4945</v>
      </c>
    </row>
    <row r="5" spans="1:2" ht="15" customHeight="1" x14ac:dyDescent="0.25">
      <c r="A5" t="s">
        <v>7304</v>
      </c>
      <c r="B5" t="s">
        <v>4945</v>
      </c>
    </row>
    <row r="6" spans="1:2" ht="15" customHeight="1" x14ac:dyDescent="0.25">
      <c r="A6" t="s">
        <v>3957</v>
      </c>
      <c r="B6" t="s">
        <v>4945</v>
      </c>
    </row>
    <row r="7" spans="1:2" ht="15" customHeight="1" x14ac:dyDescent="0.25">
      <c r="A7" t="s">
        <v>7305</v>
      </c>
      <c r="B7" t="s">
        <v>4945</v>
      </c>
    </row>
    <row r="8" spans="1:2" ht="15" customHeight="1" x14ac:dyDescent="0.25">
      <c r="A8" t="s">
        <v>7306</v>
      </c>
      <c r="B8" t="s">
        <v>4945</v>
      </c>
    </row>
    <row r="9" spans="1:2" ht="15" customHeight="1" x14ac:dyDescent="0.25">
      <c r="A9" t="s">
        <v>7307</v>
      </c>
      <c r="B9" t="s">
        <v>4945</v>
      </c>
    </row>
    <row r="10" spans="1:2" ht="15" customHeight="1" x14ac:dyDescent="0.25">
      <c r="A10" t="s">
        <v>7308</v>
      </c>
      <c r="B10" t="s">
        <v>4945</v>
      </c>
    </row>
    <row r="11" spans="1:2" ht="15" customHeight="1" x14ac:dyDescent="0.25">
      <c r="A11" t="s">
        <v>7309</v>
      </c>
      <c r="B11" t="s">
        <v>4945</v>
      </c>
    </row>
    <row r="12" spans="1:2" ht="15" customHeight="1" x14ac:dyDescent="0.25">
      <c r="A12" t="s">
        <v>7310</v>
      </c>
      <c r="B12" t="s">
        <v>4372</v>
      </c>
    </row>
    <row r="13" spans="1:2" ht="15" customHeight="1" x14ac:dyDescent="0.25">
      <c r="A13" t="s">
        <v>7311</v>
      </c>
      <c r="B13" t="s">
        <v>4372</v>
      </c>
    </row>
    <row r="14" spans="1:2" ht="15" customHeight="1" x14ac:dyDescent="0.25">
      <c r="A14" t="s">
        <v>7312</v>
      </c>
      <c r="B14" t="s">
        <v>4372</v>
      </c>
    </row>
    <row r="15" spans="1:2" ht="15" customHeight="1" x14ac:dyDescent="0.25">
      <c r="A15" t="s">
        <v>7313</v>
      </c>
      <c r="B15" t="s">
        <v>4372</v>
      </c>
    </row>
    <row r="16" spans="1:2" ht="15" customHeight="1" x14ac:dyDescent="0.25">
      <c r="A16" t="s">
        <v>7314</v>
      </c>
      <c r="B16" t="s">
        <v>4372</v>
      </c>
    </row>
    <row r="17" spans="1:2" ht="15" customHeight="1" x14ac:dyDescent="0.25">
      <c r="A17" t="s">
        <v>7315</v>
      </c>
      <c r="B17" t="s">
        <v>4372</v>
      </c>
    </row>
    <row r="18" spans="1:2" ht="15" customHeight="1" x14ac:dyDescent="0.25">
      <c r="A18" t="s">
        <v>7316</v>
      </c>
      <c r="B18" t="s">
        <v>7317</v>
      </c>
    </row>
    <row r="19" spans="1:2" ht="15" customHeight="1" x14ac:dyDescent="0.25">
      <c r="A19" t="s">
        <v>7318</v>
      </c>
      <c r="B19" t="s">
        <v>7317</v>
      </c>
    </row>
    <row r="20" spans="1:2" ht="15" customHeight="1" x14ac:dyDescent="0.25">
      <c r="A20" t="s">
        <v>7319</v>
      </c>
      <c r="B20" t="s">
        <v>7317</v>
      </c>
    </row>
    <row r="21" spans="1:2" ht="15" customHeight="1" x14ac:dyDescent="0.25">
      <c r="A21" t="s">
        <v>7320</v>
      </c>
      <c r="B21" t="s">
        <v>7317</v>
      </c>
    </row>
    <row r="22" spans="1:2" ht="15" customHeight="1" x14ac:dyDescent="0.25">
      <c r="A22" t="s">
        <v>7321</v>
      </c>
      <c r="B22" t="s">
        <v>7317</v>
      </c>
    </row>
    <row r="23" spans="1:2" ht="15" customHeight="1" x14ac:dyDescent="0.25">
      <c r="A23" t="s">
        <v>3954</v>
      </c>
      <c r="B23" t="s">
        <v>7317</v>
      </c>
    </row>
    <row r="24" spans="1:2" ht="15" customHeight="1" x14ac:dyDescent="0.25">
      <c r="A24" t="s">
        <v>7322</v>
      </c>
      <c r="B24" t="s">
        <v>7317</v>
      </c>
    </row>
    <row r="25" spans="1:2" ht="15" customHeight="1" x14ac:dyDescent="0.25">
      <c r="A25" t="s">
        <v>7323</v>
      </c>
      <c r="B25" t="s">
        <v>7317</v>
      </c>
    </row>
    <row r="26" spans="1:2" ht="15" customHeight="1" x14ac:dyDescent="0.25">
      <c r="A26" t="s">
        <v>7324</v>
      </c>
      <c r="B26" t="s">
        <v>7317</v>
      </c>
    </row>
    <row r="27" spans="1:2" ht="15" customHeight="1" x14ac:dyDescent="0.25">
      <c r="A27" t="s">
        <v>7325</v>
      </c>
      <c r="B27" t="s">
        <v>7317</v>
      </c>
    </row>
    <row r="28" spans="1:2" ht="15" customHeight="1" x14ac:dyDescent="0.25">
      <c r="A28" t="s">
        <v>7326</v>
      </c>
      <c r="B28" t="s">
        <v>7317</v>
      </c>
    </row>
    <row r="29" spans="1:2" ht="15" customHeight="1" x14ac:dyDescent="0.25">
      <c r="A29" t="s">
        <v>7327</v>
      </c>
      <c r="B29" t="s">
        <v>7317</v>
      </c>
    </row>
    <row r="30" spans="1:2" ht="15" customHeight="1" x14ac:dyDescent="0.25">
      <c r="A30" t="s">
        <v>7328</v>
      </c>
      <c r="B30" t="s">
        <v>7317</v>
      </c>
    </row>
    <row r="31" spans="1:2" ht="15" customHeight="1" x14ac:dyDescent="0.25">
      <c r="A31" t="s">
        <v>7329</v>
      </c>
      <c r="B31" t="s">
        <v>7317</v>
      </c>
    </row>
    <row r="32" spans="1:2" ht="15" customHeight="1" x14ac:dyDescent="0.25">
      <c r="A32" t="s">
        <v>7330</v>
      </c>
      <c r="B32" t="s">
        <v>7317</v>
      </c>
    </row>
    <row r="33" spans="1:2" ht="15" customHeight="1" x14ac:dyDescent="0.25">
      <c r="A33" t="s">
        <v>7331</v>
      </c>
      <c r="B33" t="s">
        <v>7317</v>
      </c>
    </row>
    <row r="34" spans="1:2" ht="15" customHeight="1" x14ac:dyDescent="0.25">
      <c r="A34" t="s">
        <v>7332</v>
      </c>
      <c r="B34" t="s">
        <v>7317</v>
      </c>
    </row>
    <row r="35" spans="1:2" ht="15" customHeight="1" x14ac:dyDescent="0.25">
      <c r="A35" t="s">
        <v>7333</v>
      </c>
      <c r="B35" t="s">
        <v>7317</v>
      </c>
    </row>
    <row r="36" spans="1:2" ht="15" customHeight="1" x14ac:dyDescent="0.25">
      <c r="A36" t="s">
        <v>7334</v>
      </c>
      <c r="B36" t="s">
        <v>7317</v>
      </c>
    </row>
    <row r="37" spans="1:2" ht="15" customHeight="1" x14ac:dyDescent="0.25">
      <c r="A37" t="s">
        <v>7335</v>
      </c>
      <c r="B37" t="s">
        <v>7317</v>
      </c>
    </row>
    <row r="38" spans="1:2" ht="15" customHeight="1" x14ac:dyDescent="0.25">
      <c r="A38" t="s">
        <v>7336</v>
      </c>
      <c r="B38" t="s">
        <v>7317</v>
      </c>
    </row>
    <row r="39" spans="1:2" ht="15" customHeight="1" x14ac:dyDescent="0.25">
      <c r="A39" t="s">
        <v>7337</v>
      </c>
      <c r="B39" t="s">
        <v>4372</v>
      </c>
    </row>
    <row r="40" spans="1:2" ht="15" customHeight="1" x14ac:dyDescent="0.25">
      <c r="A40" t="s">
        <v>7338</v>
      </c>
      <c r="B40" t="s">
        <v>7317</v>
      </c>
    </row>
    <row r="41" spans="1:2" ht="15" customHeight="1" x14ac:dyDescent="0.25">
      <c r="A41" t="s">
        <v>7339</v>
      </c>
      <c r="B41" t="s">
        <v>7317</v>
      </c>
    </row>
    <row r="42" spans="1:2" ht="15" customHeight="1" x14ac:dyDescent="0.25">
      <c r="A42" t="s">
        <v>7340</v>
      </c>
      <c r="B42" t="s">
        <v>7317</v>
      </c>
    </row>
  </sheetData>
  <pageMargins left="0.7" right="0.7" top="0.75" bottom="0.75" header="0.511811023622047" footer="0.511811023622047"/>
  <pageSetup orientation="portrait" horizontalDpi="300" verticalDpi="300"/>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V1400"/>
  <sheetViews>
    <sheetView workbookViewId="0">
      <pane ySplit="1" topLeftCell="A849" activePane="bottomLeft" state="frozen"/>
      <selection pane="bottomLeft" activeCell="A877" sqref="A877"/>
    </sheetView>
  </sheetViews>
  <sheetFormatPr defaultRowHeight="15" x14ac:dyDescent="0.25"/>
  <cols>
    <col min="1" max="1" width="34" customWidth="1"/>
    <col min="2" max="6" width="12" customWidth="1"/>
    <col min="15" max="17" width="12" customWidth="1"/>
    <col min="20" max="22" width="12" customWidth="1"/>
  </cols>
  <sheetData>
    <row r="1" spans="1:22" ht="25.5" customHeight="1" x14ac:dyDescent="0.25">
      <c r="A1" s="14" t="s">
        <v>1</v>
      </c>
      <c r="B1" s="14" t="s">
        <v>166</v>
      </c>
      <c r="C1" s="14" t="s">
        <v>167</v>
      </c>
      <c r="D1" s="14" t="s">
        <v>4307</v>
      </c>
      <c r="E1" s="14" t="s">
        <v>7341</v>
      </c>
      <c r="F1" s="14" t="s">
        <v>7342</v>
      </c>
      <c r="G1" s="14" t="s">
        <v>7343</v>
      </c>
      <c r="H1" s="14" t="s">
        <v>7344</v>
      </c>
      <c r="I1" s="14" t="s">
        <v>7345</v>
      </c>
      <c r="J1" s="14" t="s">
        <v>7346</v>
      </c>
      <c r="K1" s="14" t="s">
        <v>7347</v>
      </c>
      <c r="L1" s="14" t="s">
        <v>7348</v>
      </c>
      <c r="M1" s="14" t="s">
        <v>7349</v>
      </c>
      <c r="N1" s="14" t="s">
        <v>7350</v>
      </c>
      <c r="O1" s="14" t="s">
        <v>7351</v>
      </c>
      <c r="P1" s="14" t="s">
        <v>172</v>
      </c>
      <c r="Q1" s="14" t="s">
        <v>7352</v>
      </c>
      <c r="R1" s="14" t="s">
        <v>4309</v>
      </c>
      <c r="T1" s="14" t="s">
        <v>7353</v>
      </c>
      <c r="U1" s="14" t="s">
        <v>7354</v>
      </c>
      <c r="V1" s="14" t="s">
        <v>7355</v>
      </c>
    </row>
    <row r="2" spans="1:22" x14ac:dyDescent="0.25">
      <c r="A2" t="str">
        <f>IF(games!$A2="","",games!$A2)</f>
        <v>[Redacted]</v>
      </c>
      <c r="B2">
        <f>IF($A2="","",games!$B2)</f>
        <v>2024</v>
      </c>
      <c r="C2" t="str">
        <f>IF($A2="","",games!$C2)</f>
        <v>Action</v>
      </c>
      <c r="D2">
        <f>IF($A2="","",COUNTIF(connections!$A$2:$A$1473,$A2)+COUNTIF(connections!$B$2:$B$1473,$A2))</f>
        <v>1</v>
      </c>
      <c r="E2">
        <f t="shared" ref="E2:E65" si="0">IF($A2="","",IFERROR(MATCH($C2,$R$2:$R$5,0),0))</f>
        <v>1</v>
      </c>
      <c r="F2">
        <f t="shared" ref="F2:F65" si="1">IF($A2="","",MOD(ROW(),34))</f>
        <v>2</v>
      </c>
      <c r="G2">
        <f t="shared" ref="G2:G65" si="2">IF($A2="",NA(),IF($C2="Action",$B2,NA()))</f>
        <v>2024</v>
      </c>
      <c r="H2">
        <f t="shared" ref="H2:H65" si="3">IF($A2="",NA(),IF($C2="Action",1+$F2*0.023,NA()))</f>
        <v>1.046</v>
      </c>
      <c r="I2" t="e">
        <f t="shared" ref="I2:I65" si="4">IF($A2="",NA(),IF($C2="Strategy",$B2,NA()))</f>
        <v>#N/A</v>
      </c>
      <c r="J2" t="e">
        <f t="shared" ref="J2:J65" si="5">IF($A2="",NA(),IF($C2="Strategy",2+$F2*0.023,NA()))</f>
        <v>#N/A</v>
      </c>
      <c r="K2" t="e">
        <f t="shared" ref="K2:K65" si="6">IF($A2="",NA(),IF($C2="Deckbuilder",$B2,NA()))</f>
        <v>#N/A</v>
      </c>
      <c r="L2" t="e">
        <f t="shared" ref="L2:L65" si="7">IF($A2="",NA(),IF($C2="Deckbuilder",3+$F2*0.023,NA()))</f>
        <v>#N/A</v>
      </c>
      <c r="M2" t="e">
        <f t="shared" ref="M2:M65" si="8">IF($A2="",NA(),IF($C2="Traditional",$B2,NA()))</f>
        <v>#N/A</v>
      </c>
      <c r="N2" t="e">
        <f t="shared" ref="N2:N65" si="9">IF($A2="",NA(),IF($C2="Traditional",4+$F2*0.023,NA()))</f>
        <v>#N/A</v>
      </c>
      <c r="O2">
        <f t="shared" ref="O2:O65" si="10">IF($A2="","",$D2+ROW()/1000000)</f>
        <v>1.0000020000000001</v>
      </c>
      <c r="P2" t="str">
        <f>IF(OR($A2="",games!$H2=""),"",games!$H2)</f>
        <v/>
      </c>
      <c r="Q2" t="str">
        <f t="shared" ref="Q2:Q65" si="11">IF(OR($A2="",$P2&lt;&gt;"Yes"),"",$D2+ROW()/1000000)</f>
        <v/>
      </c>
      <c r="R2" s="11" t="s">
        <v>176</v>
      </c>
      <c r="T2">
        <f>IF(connections!$A2="","",IFERROR(INDEX(games!$B$2:$B$950,MATCH(connections!$A2,games!$A$2:$A$950,0)),""))</f>
        <v>2019</v>
      </c>
      <c r="U2">
        <f>IF(connections!$A2="","",IFERROR(INDEX(games!$B$2:$B$950,MATCH(connections!$B2,games!$A$2:$A$950,0)),""))</f>
        <v>2024</v>
      </c>
      <c r="V2">
        <f t="shared" ref="V2:V65" si="12">IF(OR($T2="",$U2=""),"",$U2-$T2)</f>
        <v>5</v>
      </c>
    </row>
    <row r="3" spans="1:22" x14ac:dyDescent="0.25">
      <c r="A3" t="str">
        <f>IF(games!$A3="","",games!$A3)</f>
        <v>100 Rogues</v>
      </c>
      <c r="B3">
        <f>IF($A3="","",games!$B3)</f>
        <v>2010</v>
      </c>
      <c r="C3" t="str">
        <f>IF($A3="","",games!$C3)</f>
        <v>Traditional</v>
      </c>
      <c r="D3">
        <f>IF($A3="","",COUNTIF(connections!$A$2:$A$1473,$A3)+COUNTIF(connections!$B$2:$B$1473,$A3))</f>
        <v>4</v>
      </c>
      <c r="E3">
        <f t="shared" si="0"/>
        <v>4</v>
      </c>
      <c r="F3">
        <f t="shared" si="1"/>
        <v>3</v>
      </c>
      <c r="G3" t="e">
        <f t="shared" si="2"/>
        <v>#N/A</v>
      </c>
      <c r="H3" t="e">
        <f t="shared" si="3"/>
        <v>#N/A</v>
      </c>
      <c r="I3" t="e">
        <f t="shared" si="4"/>
        <v>#N/A</v>
      </c>
      <c r="J3" t="e">
        <f t="shared" si="5"/>
        <v>#N/A</v>
      </c>
      <c r="K3" t="e">
        <f t="shared" si="6"/>
        <v>#N/A</v>
      </c>
      <c r="L3" t="e">
        <f t="shared" si="7"/>
        <v>#N/A</v>
      </c>
      <c r="M3">
        <f t="shared" si="8"/>
        <v>2010</v>
      </c>
      <c r="N3">
        <f t="shared" si="9"/>
        <v>4.069</v>
      </c>
      <c r="O3">
        <f t="shared" si="10"/>
        <v>4.0000030000000004</v>
      </c>
      <c r="P3" t="str">
        <f>IF(OR($A3="",games!$H3=""),"",games!$H3)</f>
        <v/>
      </c>
      <c r="Q3" t="str">
        <f t="shared" si="11"/>
        <v/>
      </c>
      <c r="R3" s="11" t="s">
        <v>222</v>
      </c>
      <c r="T3">
        <f>IF(connections!$A3="","",IFERROR(INDEX(games!$B$2:$B$950,MATCH(connections!$A3,games!$A$2:$A$950,0)),""))</f>
        <v>1995</v>
      </c>
      <c r="U3">
        <f>IF(connections!$A3="","",IFERROR(INDEX(games!$B$2:$B$950,MATCH(connections!$B3,games!$A$2:$A$950,0)),""))</f>
        <v>2010</v>
      </c>
      <c r="V3">
        <f t="shared" si="12"/>
        <v>15</v>
      </c>
    </row>
    <row r="4" spans="1:22" x14ac:dyDescent="0.25">
      <c r="A4" t="str">
        <f>IF(games!$A4="","",games!$A4)</f>
        <v>2 Fights in 2 Tight Spaces</v>
      </c>
      <c r="B4">
        <f>IF($A4="","",games!$B4)</f>
        <v>2026</v>
      </c>
      <c r="C4" t="str">
        <f>IF($A4="","",games!$C4)</f>
        <v>Deckbuilder</v>
      </c>
      <c r="D4">
        <f>IF($A4="","",COUNTIF(connections!$A$2:$A$1473,$A4)+COUNTIF(connections!$B$2:$B$1473,$A4))</f>
        <v>1</v>
      </c>
      <c r="E4">
        <f t="shared" si="0"/>
        <v>3</v>
      </c>
      <c r="F4">
        <f t="shared" si="1"/>
        <v>4</v>
      </c>
      <c r="G4" t="e">
        <f t="shared" si="2"/>
        <v>#N/A</v>
      </c>
      <c r="H4" t="e">
        <f t="shared" si="3"/>
        <v>#N/A</v>
      </c>
      <c r="I4" t="e">
        <f t="shared" si="4"/>
        <v>#N/A</v>
      </c>
      <c r="J4" t="e">
        <f t="shared" si="5"/>
        <v>#N/A</v>
      </c>
      <c r="K4">
        <f t="shared" si="6"/>
        <v>2026</v>
      </c>
      <c r="L4">
        <f t="shared" si="7"/>
        <v>3.0920000000000001</v>
      </c>
      <c r="M4" t="e">
        <f t="shared" si="8"/>
        <v>#N/A</v>
      </c>
      <c r="N4" t="e">
        <f t="shared" si="9"/>
        <v>#N/A</v>
      </c>
      <c r="O4">
        <f t="shared" si="10"/>
        <v>1.0000039999999999</v>
      </c>
      <c r="P4" t="str">
        <f>IF(OR($A4="",games!$H4=""),"",games!$H4)</f>
        <v/>
      </c>
      <c r="Q4" t="str">
        <f t="shared" si="11"/>
        <v/>
      </c>
      <c r="R4" s="11" t="s">
        <v>182</v>
      </c>
      <c r="T4">
        <f>IF(connections!$A4="","",IFERROR(INDEX(games!$B$2:$B$950,MATCH(connections!$A4,games!$A$2:$A$950,0)),""))</f>
        <v>2003</v>
      </c>
      <c r="U4">
        <f>IF(connections!$A4="","",IFERROR(INDEX(games!$B$2:$B$950,MATCH(connections!$B4,games!$A$2:$A$950,0)),""))</f>
        <v>2010</v>
      </c>
      <c r="V4">
        <f t="shared" si="12"/>
        <v>7</v>
      </c>
    </row>
    <row r="5" spans="1:22" x14ac:dyDescent="0.25">
      <c r="A5" t="str">
        <f>IF(games!$A5="","",games!$A5)</f>
        <v>20 Minutes Till Dawn</v>
      </c>
      <c r="B5">
        <f>IF($A5="","",games!$B5)</f>
        <v>2022</v>
      </c>
      <c r="C5" t="str">
        <f>IF($A5="","",games!$C5)</f>
        <v>Action</v>
      </c>
      <c r="D5">
        <f>IF($A5="","",COUNTIF(connections!$A$2:$A$1473,$A5)+COUNTIF(connections!$B$2:$B$1473,$A5))</f>
        <v>6</v>
      </c>
      <c r="E5">
        <f t="shared" si="0"/>
        <v>1</v>
      </c>
      <c r="F5">
        <f t="shared" si="1"/>
        <v>5</v>
      </c>
      <c r="G5">
        <f t="shared" si="2"/>
        <v>2022</v>
      </c>
      <c r="H5">
        <f t="shared" si="3"/>
        <v>1.115</v>
      </c>
      <c r="I5" t="e">
        <f t="shared" si="4"/>
        <v>#N/A</v>
      </c>
      <c r="J5" t="e">
        <f t="shared" si="5"/>
        <v>#N/A</v>
      </c>
      <c r="K5" t="e">
        <f t="shared" si="6"/>
        <v>#N/A</v>
      </c>
      <c r="L5" t="e">
        <f t="shared" si="7"/>
        <v>#N/A</v>
      </c>
      <c r="M5" t="e">
        <f t="shared" si="8"/>
        <v>#N/A</v>
      </c>
      <c r="N5" t="e">
        <f t="shared" si="9"/>
        <v>#N/A</v>
      </c>
      <c r="O5">
        <f t="shared" si="10"/>
        <v>6.0000049999999998</v>
      </c>
      <c r="P5" t="str">
        <f>IF(OR($A5="",games!$H5=""),"",games!$H5)</f>
        <v>Yes</v>
      </c>
      <c r="Q5">
        <f t="shared" si="11"/>
        <v>6.0000049999999998</v>
      </c>
      <c r="R5" s="11" t="s">
        <v>179</v>
      </c>
      <c r="T5">
        <f>IF(connections!$A5="","",IFERROR(INDEX(games!$B$2:$B$950,MATCH(connections!$A5,games!$A$2:$A$950,0)),""))</f>
        <v>2021</v>
      </c>
      <c r="U5">
        <f>IF(connections!$A5="","",IFERROR(INDEX(games!$B$2:$B$950,MATCH(connections!$B5,games!$A$2:$A$950,0)),""))</f>
        <v>2026</v>
      </c>
      <c r="V5">
        <f t="shared" si="12"/>
        <v>5</v>
      </c>
    </row>
    <row r="6" spans="1:22" x14ac:dyDescent="0.25">
      <c r="A6" t="str">
        <f>IF(games!$A6="","",games!$A6)</f>
        <v>20XX</v>
      </c>
      <c r="B6">
        <f>IF($A6="","",games!$B6)</f>
        <v>2017</v>
      </c>
      <c r="C6" t="str">
        <f>IF($A6="","",games!$C6)</f>
        <v>Action</v>
      </c>
      <c r="D6">
        <f>IF($A6="","",COUNTIF(connections!$A$2:$A$1473,$A6)+COUNTIF(connections!$B$2:$B$1473,$A6))</f>
        <v>3</v>
      </c>
      <c r="E6">
        <f t="shared" si="0"/>
        <v>1</v>
      </c>
      <c r="F6">
        <f t="shared" si="1"/>
        <v>6</v>
      </c>
      <c r="G6">
        <f t="shared" si="2"/>
        <v>2017</v>
      </c>
      <c r="H6">
        <f t="shared" si="3"/>
        <v>1.1379999999999999</v>
      </c>
      <c r="I6" t="e">
        <f t="shared" si="4"/>
        <v>#N/A</v>
      </c>
      <c r="J6" t="e">
        <f t="shared" si="5"/>
        <v>#N/A</v>
      </c>
      <c r="K6" t="e">
        <f t="shared" si="6"/>
        <v>#N/A</v>
      </c>
      <c r="L6" t="e">
        <f t="shared" si="7"/>
        <v>#N/A</v>
      </c>
      <c r="M6" t="e">
        <f t="shared" si="8"/>
        <v>#N/A</v>
      </c>
      <c r="N6" t="e">
        <f t="shared" si="9"/>
        <v>#N/A</v>
      </c>
      <c r="O6">
        <f t="shared" si="10"/>
        <v>3.000006</v>
      </c>
      <c r="P6" t="str">
        <f>IF(OR($A6="",games!$H6=""),"",games!$H6)</f>
        <v>Yes</v>
      </c>
      <c r="Q6">
        <f t="shared" si="11"/>
        <v>3.000006</v>
      </c>
      <c r="T6">
        <f>IF(connections!$A6="","",IFERROR(INDEX(games!$B$2:$B$950,MATCH(connections!$A6,games!$A$2:$A$950,0)),""))</f>
        <v>2021</v>
      </c>
      <c r="U6">
        <f>IF(connections!$A6="","",IFERROR(INDEX(games!$B$2:$B$950,MATCH(connections!$B6,games!$A$2:$A$950,0)),""))</f>
        <v>2022</v>
      </c>
      <c r="V6">
        <f t="shared" si="12"/>
        <v>1</v>
      </c>
    </row>
    <row r="7" spans="1:22" x14ac:dyDescent="0.25">
      <c r="A7" t="str">
        <f>IF(games!$A7="","",games!$A7)</f>
        <v>30XX</v>
      </c>
      <c r="B7">
        <f>IF($A7="","",games!$B7)</f>
        <v>2021</v>
      </c>
      <c r="C7" t="str">
        <f>IF($A7="","",games!$C7)</f>
        <v>Action</v>
      </c>
      <c r="D7">
        <f>IF($A7="","",COUNTIF(connections!$A$2:$A$1473,$A7)+COUNTIF(connections!$B$2:$B$1473,$A7))</f>
        <v>1</v>
      </c>
      <c r="E7">
        <f t="shared" si="0"/>
        <v>1</v>
      </c>
      <c r="F7">
        <f t="shared" si="1"/>
        <v>7</v>
      </c>
      <c r="G7">
        <f t="shared" si="2"/>
        <v>2021</v>
      </c>
      <c r="H7">
        <f t="shared" si="3"/>
        <v>1.161</v>
      </c>
      <c r="I7" t="e">
        <f t="shared" si="4"/>
        <v>#N/A</v>
      </c>
      <c r="J7" t="e">
        <f t="shared" si="5"/>
        <v>#N/A</v>
      </c>
      <c r="K7" t="e">
        <f t="shared" si="6"/>
        <v>#N/A</v>
      </c>
      <c r="L7" t="e">
        <f t="shared" si="7"/>
        <v>#N/A</v>
      </c>
      <c r="M7" t="e">
        <f t="shared" si="8"/>
        <v>#N/A</v>
      </c>
      <c r="N7" t="e">
        <f t="shared" si="9"/>
        <v>#N/A</v>
      </c>
      <c r="O7">
        <f t="shared" si="10"/>
        <v>1.0000070000000001</v>
      </c>
      <c r="P7" t="str">
        <f>IF(OR($A7="",games!$H7=""),"",games!$H7)</f>
        <v>Yes</v>
      </c>
      <c r="Q7">
        <f t="shared" si="11"/>
        <v>1.0000070000000001</v>
      </c>
      <c r="T7">
        <f>IF(connections!$A7="","",IFERROR(INDEX(games!$B$2:$B$950,MATCH(connections!$A7,games!$A$2:$A$950,0)),""))</f>
        <v>2015</v>
      </c>
      <c r="U7">
        <f>IF(connections!$A7="","",IFERROR(INDEX(games!$B$2:$B$950,MATCH(connections!$B7,games!$A$2:$A$950,0)),""))</f>
        <v>2017</v>
      </c>
      <c r="V7">
        <f t="shared" si="12"/>
        <v>2</v>
      </c>
    </row>
    <row r="8" spans="1:22" x14ac:dyDescent="0.25">
      <c r="A8" t="str">
        <f>IF(games!$A8="","",games!$A8)</f>
        <v>33 Immortals</v>
      </c>
      <c r="B8">
        <f>IF($A8="","",games!$B8)</f>
        <v>2026</v>
      </c>
      <c r="C8" t="str">
        <f>IF($A8="","",games!$C8)</f>
        <v>Action</v>
      </c>
      <c r="D8">
        <f>IF($A8="","",COUNTIF(connections!$A$2:$A$1473,$A8)+COUNTIF(connections!$B$2:$B$1473,$A8))</f>
        <v>2</v>
      </c>
      <c r="E8">
        <f t="shared" si="0"/>
        <v>1</v>
      </c>
      <c r="F8">
        <f t="shared" si="1"/>
        <v>8</v>
      </c>
      <c r="G8">
        <f t="shared" si="2"/>
        <v>2026</v>
      </c>
      <c r="H8">
        <f t="shared" si="3"/>
        <v>1.1839999999999999</v>
      </c>
      <c r="I8" t="e">
        <f t="shared" si="4"/>
        <v>#N/A</v>
      </c>
      <c r="J8" t="e">
        <f t="shared" si="5"/>
        <v>#N/A</v>
      </c>
      <c r="K8" t="e">
        <f t="shared" si="6"/>
        <v>#N/A</v>
      </c>
      <c r="L8" t="e">
        <f t="shared" si="7"/>
        <v>#N/A</v>
      </c>
      <c r="M8" t="e">
        <f t="shared" si="8"/>
        <v>#N/A</v>
      </c>
      <c r="N8" t="e">
        <f t="shared" si="9"/>
        <v>#N/A</v>
      </c>
      <c r="O8">
        <f t="shared" si="10"/>
        <v>2.0000079999999998</v>
      </c>
      <c r="P8" t="str">
        <f>IF(OR($A8="",games!$H8=""),"",games!$H8)</f>
        <v>Yes</v>
      </c>
      <c r="Q8">
        <f t="shared" si="11"/>
        <v>2.0000079999999998</v>
      </c>
      <c r="T8">
        <f>IF(connections!$A8="","",IFERROR(INDEX(games!$B$2:$B$950,MATCH(connections!$A8,games!$A$2:$A$950,0)),""))</f>
        <v>2011</v>
      </c>
      <c r="U8">
        <f>IF(connections!$A8="","",IFERROR(INDEX(games!$B$2:$B$950,MATCH(connections!$B8,games!$A$2:$A$950,0)),""))</f>
        <v>2017</v>
      </c>
      <c r="V8">
        <f t="shared" si="12"/>
        <v>6</v>
      </c>
    </row>
    <row r="9" spans="1:22" x14ac:dyDescent="0.25">
      <c r="A9" t="str">
        <f>IF(games!$A9="","",games!$A9)</f>
        <v>868-Back</v>
      </c>
      <c r="B9">
        <f>IF($A9="","",games!$B9)</f>
        <v>2026</v>
      </c>
      <c r="C9" t="str">
        <f>IF($A9="","",games!$C9)</f>
        <v>Traditional</v>
      </c>
      <c r="D9">
        <f>IF($A9="","",COUNTIF(connections!$A$2:$A$1473,$A9)+COUNTIF(connections!$B$2:$B$1473,$A9))</f>
        <v>1</v>
      </c>
      <c r="E9">
        <f t="shared" si="0"/>
        <v>4</v>
      </c>
      <c r="F9">
        <f t="shared" si="1"/>
        <v>9</v>
      </c>
      <c r="G9" t="e">
        <f t="shared" si="2"/>
        <v>#N/A</v>
      </c>
      <c r="H9" t="e">
        <f t="shared" si="3"/>
        <v>#N/A</v>
      </c>
      <c r="I9" t="e">
        <f t="shared" si="4"/>
        <v>#N/A</v>
      </c>
      <c r="J9" t="e">
        <f t="shared" si="5"/>
        <v>#N/A</v>
      </c>
      <c r="K9" t="e">
        <f t="shared" si="6"/>
        <v>#N/A</v>
      </c>
      <c r="L9" t="e">
        <f t="shared" si="7"/>
        <v>#N/A</v>
      </c>
      <c r="M9">
        <f t="shared" si="8"/>
        <v>2026</v>
      </c>
      <c r="N9">
        <f t="shared" si="9"/>
        <v>4.2069999999999999</v>
      </c>
      <c r="O9">
        <f t="shared" si="10"/>
        <v>1.0000089999999999</v>
      </c>
      <c r="P9" t="str">
        <f>IF(OR($A9="",games!$H9=""),"",games!$H9)</f>
        <v/>
      </c>
      <c r="Q9" t="str">
        <f t="shared" si="11"/>
        <v/>
      </c>
      <c r="T9">
        <f>IF(connections!$A9="","",IFERROR(INDEX(games!$B$2:$B$950,MATCH(connections!$A9,games!$A$2:$A$950,0)),""))</f>
        <v>2017</v>
      </c>
      <c r="U9">
        <f>IF(connections!$A9="","",IFERROR(INDEX(games!$B$2:$B$950,MATCH(connections!$B9,games!$A$2:$A$950,0)),""))</f>
        <v>2021</v>
      </c>
      <c r="V9">
        <f t="shared" si="12"/>
        <v>4</v>
      </c>
    </row>
    <row r="10" spans="1:22" x14ac:dyDescent="0.25">
      <c r="A10" t="str">
        <f>IF(games!$A10="","",games!$A10)</f>
        <v>868-Hack</v>
      </c>
      <c r="B10">
        <f>IF($A10="","",games!$B10)</f>
        <v>2015</v>
      </c>
      <c r="C10" t="str">
        <f>IF($A10="","",games!$C10)</f>
        <v>Traditional</v>
      </c>
      <c r="D10">
        <f>IF($A10="","",COUNTIF(connections!$A$2:$A$1473,$A10)+COUNTIF(connections!$B$2:$B$1473,$A10))</f>
        <v>3</v>
      </c>
      <c r="E10">
        <f t="shared" si="0"/>
        <v>4</v>
      </c>
      <c r="F10">
        <f t="shared" si="1"/>
        <v>10</v>
      </c>
      <c r="G10" t="e">
        <f t="shared" si="2"/>
        <v>#N/A</v>
      </c>
      <c r="H10" t="e">
        <f t="shared" si="3"/>
        <v>#N/A</v>
      </c>
      <c r="I10" t="e">
        <f t="shared" si="4"/>
        <v>#N/A</v>
      </c>
      <c r="J10" t="e">
        <f t="shared" si="5"/>
        <v>#N/A</v>
      </c>
      <c r="K10" t="e">
        <f t="shared" si="6"/>
        <v>#N/A</v>
      </c>
      <c r="L10" t="e">
        <f t="shared" si="7"/>
        <v>#N/A</v>
      </c>
      <c r="M10">
        <f t="shared" si="8"/>
        <v>2015</v>
      </c>
      <c r="N10">
        <f t="shared" si="9"/>
        <v>4.2300000000000004</v>
      </c>
      <c r="O10">
        <f t="shared" si="10"/>
        <v>3.0000100000000001</v>
      </c>
      <c r="P10" t="str">
        <f>IF(OR($A10="",games!$H10=""),"",games!$H10)</f>
        <v>Yes</v>
      </c>
      <c r="Q10">
        <f t="shared" si="11"/>
        <v>3.0000100000000001</v>
      </c>
      <c r="T10">
        <f>IF(connections!$A10="","",IFERROR(INDEX(games!$B$2:$B$950,MATCH(connections!$A10,games!$A$2:$A$950,0)),""))</f>
        <v>2010</v>
      </c>
      <c r="U10">
        <f>IF(connections!$A10="","",IFERROR(INDEX(games!$B$2:$B$950,MATCH(connections!$B10,games!$A$2:$A$950,0)),""))</f>
        <v>2026</v>
      </c>
      <c r="V10">
        <f t="shared" si="12"/>
        <v>16</v>
      </c>
    </row>
    <row r="11" spans="1:22" x14ac:dyDescent="0.25">
      <c r="A11" t="str">
        <f>IF(games!$A11="","",games!$A11)</f>
        <v>9 Kings</v>
      </c>
      <c r="B11">
        <f>IF($A11="","",games!$B11)</f>
        <v>2024</v>
      </c>
      <c r="C11" t="str">
        <f>IF($A11="","",games!$C11)</f>
        <v>Deckbuilder</v>
      </c>
      <c r="D11">
        <f>IF($A11="","",COUNTIF(connections!$A$2:$A$1473,$A11)+COUNTIF(connections!$B$2:$B$1473,$A11))</f>
        <v>3</v>
      </c>
      <c r="E11">
        <f t="shared" si="0"/>
        <v>3</v>
      </c>
      <c r="F11">
        <f t="shared" si="1"/>
        <v>11</v>
      </c>
      <c r="G11" t="e">
        <f t="shared" si="2"/>
        <v>#N/A</v>
      </c>
      <c r="H11" t="e">
        <f t="shared" si="3"/>
        <v>#N/A</v>
      </c>
      <c r="I11" t="e">
        <f t="shared" si="4"/>
        <v>#N/A</v>
      </c>
      <c r="J11" t="e">
        <f t="shared" si="5"/>
        <v>#N/A</v>
      </c>
      <c r="K11">
        <f t="shared" si="6"/>
        <v>2024</v>
      </c>
      <c r="L11">
        <f t="shared" si="7"/>
        <v>3.2530000000000001</v>
      </c>
      <c r="M11" t="e">
        <f t="shared" si="8"/>
        <v>#N/A</v>
      </c>
      <c r="N11" t="e">
        <f t="shared" si="9"/>
        <v>#N/A</v>
      </c>
      <c r="O11">
        <f t="shared" si="10"/>
        <v>3.0000110000000002</v>
      </c>
      <c r="P11" t="str">
        <f>IF(OR($A11="",games!$H11=""),"",games!$H11)</f>
        <v>Yes</v>
      </c>
      <c r="Q11">
        <f t="shared" si="11"/>
        <v>3.0000110000000002</v>
      </c>
      <c r="T11">
        <f>IF(connections!$A11="","",IFERROR(INDEX(games!$B$2:$B$950,MATCH(connections!$A11,games!$A$2:$A$950,0)),""))</f>
        <v>2017</v>
      </c>
      <c r="U11">
        <f>IF(connections!$A11="","",IFERROR(INDEX(games!$B$2:$B$950,MATCH(connections!$B11,games!$A$2:$A$950,0)),""))</f>
        <v>2026</v>
      </c>
      <c r="V11">
        <f t="shared" si="12"/>
        <v>9</v>
      </c>
    </row>
    <row r="12" spans="1:22" x14ac:dyDescent="0.25">
      <c r="A12" t="str">
        <f>IF(games!$A12="","",games!$A12)</f>
        <v>99 Levels to Hell</v>
      </c>
      <c r="B12">
        <f>IF($A12="","",games!$B12)</f>
        <v>2013</v>
      </c>
      <c r="C12" t="str">
        <f>IF($A12="","",games!$C12)</f>
        <v>Action</v>
      </c>
      <c r="D12">
        <f>IF($A12="","",COUNTIF(connections!$A$2:$A$1473,$A12)+COUNTIF(connections!$B$2:$B$1473,$A12))</f>
        <v>2</v>
      </c>
      <c r="E12">
        <f t="shared" si="0"/>
        <v>1</v>
      </c>
      <c r="F12">
        <f t="shared" si="1"/>
        <v>12</v>
      </c>
      <c r="G12">
        <f t="shared" si="2"/>
        <v>2013</v>
      </c>
      <c r="H12">
        <f t="shared" si="3"/>
        <v>1.276</v>
      </c>
      <c r="I12" t="e">
        <f t="shared" si="4"/>
        <v>#N/A</v>
      </c>
      <c r="J12" t="e">
        <f t="shared" si="5"/>
        <v>#N/A</v>
      </c>
      <c r="K12" t="e">
        <f t="shared" si="6"/>
        <v>#N/A</v>
      </c>
      <c r="L12" t="e">
        <f t="shared" si="7"/>
        <v>#N/A</v>
      </c>
      <c r="M12" t="e">
        <f t="shared" si="8"/>
        <v>#N/A</v>
      </c>
      <c r="N12" t="e">
        <f t="shared" si="9"/>
        <v>#N/A</v>
      </c>
      <c r="O12">
        <f t="shared" si="10"/>
        <v>2.0000119999999999</v>
      </c>
      <c r="P12" t="str">
        <f>IF(OR($A12="",games!$H12=""),"",games!$H12)</f>
        <v/>
      </c>
      <c r="Q12" t="str">
        <f t="shared" si="11"/>
        <v/>
      </c>
      <c r="T12">
        <f>IF(connections!$A12="","",IFERROR(INDEX(games!$B$2:$B$950,MATCH(connections!$A12,games!$A$2:$A$950,0)),""))</f>
        <v>2015</v>
      </c>
      <c r="U12">
        <f>IF(connections!$A12="","",IFERROR(INDEX(games!$B$2:$B$950,MATCH(connections!$B12,games!$A$2:$A$950,0)),""))</f>
        <v>2026</v>
      </c>
      <c r="V12">
        <f t="shared" si="12"/>
        <v>11</v>
      </c>
    </row>
    <row r="13" spans="1:22" x14ac:dyDescent="0.25">
      <c r="A13" t="str">
        <f>IF(games!$A13="","",games!$A13)</f>
        <v>A la Card</v>
      </c>
      <c r="B13">
        <f>IF($A13="","",games!$B13)</f>
        <v>2025</v>
      </c>
      <c r="C13" t="str">
        <f>IF($A13="","",games!$C13)</f>
        <v>Deckbuilder</v>
      </c>
      <c r="D13">
        <f>IF($A13="","",COUNTIF(connections!$A$2:$A$1473,$A13)+COUNTIF(connections!$B$2:$B$1473,$A13))</f>
        <v>1</v>
      </c>
      <c r="E13">
        <f t="shared" si="0"/>
        <v>3</v>
      </c>
      <c r="F13">
        <f t="shared" si="1"/>
        <v>13</v>
      </c>
      <c r="G13" t="e">
        <f t="shared" si="2"/>
        <v>#N/A</v>
      </c>
      <c r="H13" t="e">
        <f t="shared" si="3"/>
        <v>#N/A</v>
      </c>
      <c r="I13" t="e">
        <f t="shared" si="4"/>
        <v>#N/A</v>
      </c>
      <c r="J13" t="e">
        <f t="shared" si="5"/>
        <v>#N/A</v>
      </c>
      <c r="K13">
        <f t="shared" si="6"/>
        <v>2025</v>
      </c>
      <c r="L13">
        <f t="shared" si="7"/>
        <v>3.2989999999999999</v>
      </c>
      <c r="M13" t="e">
        <f t="shared" si="8"/>
        <v>#N/A</v>
      </c>
      <c r="N13" t="e">
        <f t="shared" si="9"/>
        <v>#N/A</v>
      </c>
      <c r="O13">
        <f t="shared" si="10"/>
        <v>1.000013</v>
      </c>
      <c r="P13" t="str">
        <f>IF(OR($A13="",games!$H13=""),"",games!$H13)</f>
        <v/>
      </c>
      <c r="Q13" t="str">
        <f t="shared" si="11"/>
        <v/>
      </c>
      <c r="T13">
        <f>IF(connections!$A13="","",IFERROR(INDEX(games!$B$2:$B$950,MATCH(connections!$A13,games!$A$2:$A$950,0)),""))</f>
        <v>1980</v>
      </c>
      <c r="U13">
        <f>IF(connections!$A13="","",IFERROR(INDEX(games!$B$2:$B$950,MATCH(connections!$B13,games!$A$2:$A$950,0)),""))</f>
        <v>2015</v>
      </c>
      <c r="V13">
        <f t="shared" si="12"/>
        <v>35</v>
      </c>
    </row>
    <row r="14" spans="1:22" x14ac:dyDescent="0.25">
      <c r="A14" t="str">
        <f>IF(games!$A14="","",games!$A14)</f>
        <v>A Robot Named Fight!</v>
      </c>
      <c r="B14">
        <f>IF($A14="","",games!$B14)</f>
        <v>2017</v>
      </c>
      <c r="C14" t="str">
        <f>IF($A14="","",games!$C14)</f>
        <v>Action</v>
      </c>
      <c r="D14">
        <f>IF($A14="","",COUNTIF(connections!$A$2:$A$1473,$A14)+COUNTIF(connections!$B$2:$B$1473,$A14))</f>
        <v>1</v>
      </c>
      <c r="E14">
        <f t="shared" si="0"/>
        <v>1</v>
      </c>
      <c r="F14">
        <f t="shared" si="1"/>
        <v>14</v>
      </c>
      <c r="G14">
        <f t="shared" si="2"/>
        <v>2017</v>
      </c>
      <c r="H14">
        <f t="shared" si="3"/>
        <v>1.3220000000000001</v>
      </c>
      <c r="I14" t="e">
        <f t="shared" si="4"/>
        <v>#N/A</v>
      </c>
      <c r="J14" t="e">
        <f t="shared" si="5"/>
        <v>#N/A</v>
      </c>
      <c r="K14" t="e">
        <f t="shared" si="6"/>
        <v>#N/A</v>
      </c>
      <c r="L14" t="e">
        <f t="shared" si="7"/>
        <v>#N/A</v>
      </c>
      <c r="M14" t="e">
        <f t="shared" si="8"/>
        <v>#N/A</v>
      </c>
      <c r="N14" t="e">
        <f t="shared" si="9"/>
        <v>#N/A</v>
      </c>
      <c r="O14">
        <f t="shared" si="10"/>
        <v>1.000014</v>
      </c>
      <c r="P14" t="str">
        <f>IF(OR($A14="",games!$H14=""),"",games!$H14)</f>
        <v>Yes</v>
      </c>
      <c r="Q14">
        <f t="shared" si="11"/>
        <v>1.000014</v>
      </c>
      <c r="T14">
        <f>IF(connections!$A14="","",IFERROR(INDEX(games!$B$2:$B$950,MATCH(connections!$A14,games!$A$2:$A$950,0)),""))</f>
        <v>2022</v>
      </c>
      <c r="U14">
        <f>IF(connections!$A14="","",IFERROR(INDEX(games!$B$2:$B$950,MATCH(connections!$B14,games!$A$2:$A$950,0)),""))</f>
        <v>2024</v>
      </c>
      <c r="V14">
        <f t="shared" si="12"/>
        <v>2</v>
      </c>
    </row>
    <row r="15" spans="1:22" x14ac:dyDescent="0.25">
      <c r="A15" t="str">
        <f>IF(games!$A15="","",games!$A15)</f>
        <v>Abandon Ship</v>
      </c>
      <c r="B15">
        <f>IF($A15="","",games!$B15)</f>
        <v>2019</v>
      </c>
      <c r="C15" t="str">
        <f>IF($A15="","",games!$C15)</f>
        <v>Strategy</v>
      </c>
      <c r="D15">
        <f>IF($A15="","",COUNTIF(connections!$A$2:$A$1473,$A15)+COUNTIF(connections!$B$2:$B$1473,$A15))</f>
        <v>1</v>
      </c>
      <c r="E15">
        <f t="shared" si="0"/>
        <v>2</v>
      </c>
      <c r="F15">
        <f t="shared" si="1"/>
        <v>15</v>
      </c>
      <c r="G15" t="e">
        <f t="shared" si="2"/>
        <v>#N/A</v>
      </c>
      <c r="H15" t="e">
        <f t="shared" si="3"/>
        <v>#N/A</v>
      </c>
      <c r="I15">
        <f t="shared" si="4"/>
        <v>2019</v>
      </c>
      <c r="J15">
        <f t="shared" si="5"/>
        <v>2.3449999999999998</v>
      </c>
      <c r="K15" t="e">
        <f t="shared" si="6"/>
        <v>#N/A</v>
      </c>
      <c r="L15" t="e">
        <f t="shared" si="7"/>
        <v>#N/A</v>
      </c>
      <c r="M15" t="e">
        <f t="shared" si="8"/>
        <v>#N/A</v>
      </c>
      <c r="N15" t="e">
        <f t="shared" si="9"/>
        <v>#N/A</v>
      </c>
      <c r="O15">
        <f t="shared" si="10"/>
        <v>1.0000150000000001</v>
      </c>
      <c r="P15" t="str">
        <f>IF(OR($A15="",games!$H15=""),"",games!$H15)</f>
        <v>Yes</v>
      </c>
      <c r="Q15">
        <f t="shared" si="11"/>
        <v>1.0000150000000001</v>
      </c>
      <c r="T15">
        <f>IF(connections!$A15="","",IFERROR(INDEX(games!$B$2:$B$950,MATCH(connections!$A15,games!$A$2:$A$950,0)),""))</f>
        <v>2017</v>
      </c>
      <c r="U15">
        <f>IF(connections!$A15="","",IFERROR(INDEX(games!$B$2:$B$950,MATCH(connections!$B15,games!$A$2:$A$950,0)),""))</f>
        <v>2024</v>
      </c>
      <c r="V15">
        <f t="shared" si="12"/>
        <v>7</v>
      </c>
    </row>
    <row r="16" spans="1:22" x14ac:dyDescent="0.25">
      <c r="A16" t="str">
        <f>IF(games!$A16="","",games!$A16)</f>
        <v>Abandoned Archive</v>
      </c>
      <c r="B16">
        <f>IF($A16="","",games!$B16)</f>
        <v>2025</v>
      </c>
      <c r="C16" t="str">
        <f>IF($A16="","",games!$C16)</f>
        <v>Action</v>
      </c>
      <c r="D16">
        <f>IF($A16="","",COUNTIF(connections!$A$2:$A$1473,$A16)+COUNTIF(connections!$B$2:$B$1473,$A16))</f>
        <v>2</v>
      </c>
      <c r="E16">
        <f t="shared" si="0"/>
        <v>1</v>
      </c>
      <c r="F16">
        <f t="shared" si="1"/>
        <v>16</v>
      </c>
      <c r="G16">
        <f t="shared" si="2"/>
        <v>2025</v>
      </c>
      <c r="H16">
        <f t="shared" si="3"/>
        <v>1.3679999999999999</v>
      </c>
      <c r="I16" t="e">
        <f t="shared" si="4"/>
        <v>#N/A</v>
      </c>
      <c r="J16" t="e">
        <f t="shared" si="5"/>
        <v>#N/A</v>
      </c>
      <c r="K16" t="e">
        <f t="shared" si="6"/>
        <v>#N/A</v>
      </c>
      <c r="L16" t="e">
        <f t="shared" si="7"/>
        <v>#N/A</v>
      </c>
      <c r="M16" t="e">
        <f t="shared" si="8"/>
        <v>#N/A</v>
      </c>
      <c r="N16" t="e">
        <f t="shared" si="9"/>
        <v>#N/A</v>
      </c>
      <c r="O16">
        <f t="shared" si="10"/>
        <v>2.000016</v>
      </c>
      <c r="P16" t="str">
        <f>IF(OR($A16="",games!$H16=""),"",games!$H16)</f>
        <v/>
      </c>
      <c r="Q16" t="str">
        <f t="shared" si="11"/>
        <v/>
      </c>
      <c r="T16">
        <f>IF(connections!$A16="","",IFERROR(INDEX(games!$B$2:$B$950,MATCH(connections!$A16,games!$A$2:$A$950,0)),""))</f>
        <v>2008</v>
      </c>
      <c r="U16">
        <f>IF(connections!$A16="","",IFERROR(INDEX(games!$B$2:$B$950,MATCH(connections!$B16,games!$A$2:$A$950,0)),""))</f>
        <v>2013</v>
      </c>
      <c r="V16">
        <f t="shared" si="12"/>
        <v>5</v>
      </c>
    </row>
    <row r="17" spans="1:22" x14ac:dyDescent="0.25">
      <c r="A17" t="str">
        <f>IF(games!$A17="","",games!$A17)</f>
        <v>Absolum</v>
      </c>
      <c r="B17">
        <f>IF($A17="","",games!$B17)</f>
        <v>2025</v>
      </c>
      <c r="C17" t="str">
        <f>IF($A17="","",games!$C17)</f>
        <v>Action</v>
      </c>
      <c r="D17">
        <f>IF($A17="","",COUNTIF(connections!$A$2:$A$1473,$A17)+COUNTIF(connections!$B$2:$B$1473,$A17))</f>
        <v>1</v>
      </c>
      <c r="E17">
        <f t="shared" si="0"/>
        <v>1</v>
      </c>
      <c r="F17">
        <f t="shared" si="1"/>
        <v>17</v>
      </c>
      <c r="G17">
        <f t="shared" si="2"/>
        <v>2025</v>
      </c>
      <c r="H17">
        <f t="shared" si="3"/>
        <v>1.391</v>
      </c>
      <c r="I17" t="e">
        <f t="shared" si="4"/>
        <v>#N/A</v>
      </c>
      <c r="J17" t="e">
        <f t="shared" si="5"/>
        <v>#N/A</v>
      </c>
      <c r="K17" t="e">
        <f t="shared" si="6"/>
        <v>#N/A</v>
      </c>
      <c r="L17" t="e">
        <f t="shared" si="7"/>
        <v>#N/A</v>
      </c>
      <c r="M17" t="e">
        <f t="shared" si="8"/>
        <v>#N/A</v>
      </c>
      <c r="N17" t="e">
        <f t="shared" si="9"/>
        <v>#N/A</v>
      </c>
      <c r="O17">
        <f t="shared" si="10"/>
        <v>1.0000169999999999</v>
      </c>
      <c r="P17" t="str">
        <f>IF(OR($A17="",games!$H17=""),"",games!$H17)</f>
        <v>Yes</v>
      </c>
      <c r="Q17">
        <f t="shared" si="11"/>
        <v>1.0000169999999999</v>
      </c>
      <c r="T17">
        <f>IF(connections!$A17="","",IFERROR(INDEX(games!$B$2:$B$950,MATCH(connections!$A17,games!$A$2:$A$950,0)),""))</f>
        <v>2011</v>
      </c>
      <c r="U17">
        <f>IF(connections!$A17="","",IFERROR(INDEX(games!$B$2:$B$950,MATCH(connections!$B17,games!$A$2:$A$950,0)),""))</f>
        <v>2013</v>
      </c>
      <c r="V17">
        <f t="shared" si="12"/>
        <v>2</v>
      </c>
    </row>
    <row r="18" spans="1:22" x14ac:dyDescent="0.25">
      <c r="A18" t="str">
        <f>IF(games!$A18="","",games!$A18)</f>
        <v>Abyssus</v>
      </c>
      <c r="B18">
        <f>IF($A18="","",games!$B18)</f>
        <v>2025</v>
      </c>
      <c r="C18" t="str">
        <f>IF($A18="","",games!$C18)</f>
        <v>Action</v>
      </c>
      <c r="D18">
        <f>IF($A18="","",COUNTIF(connections!$A$2:$A$1473,$A18)+COUNTIF(connections!$B$2:$B$1473,$A18))</f>
        <v>3</v>
      </c>
      <c r="E18">
        <f t="shared" si="0"/>
        <v>1</v>
      </c>
      <c r="F18">
        <f t="shared" si="1"/>
        <v>18</v>
      </c>
      <c r="G18">
        <f t="shared" si="2"/>
        <v>2025</v>
      </c>
      <c r="H18">
        <f t="shared" si="3"/>
        <v>1.4139999999999999</v>
      </c>
      <c r="I18" t="e">
        <f t="shared" si="4"/>
        <v>#N/A</v>
      </c>
      <c r="J18" t="e">
        <f t="shared" si="5"/>
        <v>#N/A</v>
      </c>
      <c r="K18" t="e">
        <f t="shared" si="6"/>
        <v>#N/A</v>
      </c>
      <c r="L18" t="e">
        <f t="shared" si="7"/>
        <v>#N/A</v>
      </c>
      <c r="M18" t="e">
        <f t="shared" si="8"/>
        <v>#N/A</v>
      </c>
      <c r="N18" t="e">
        <f t="shared" si="9"/>
        <v>#N/A</v>
      </c>
      <c r="O18">
        <f t="shared" si="10"/>
        <v>3.0000179999999999</v>
      </c>
      <c r="P18" t="str">
        <f>IF(OR($A18="",games!$H18=""),"",games!$H18)</f>
        <v>Yes</v>
      </c>
      <c r="Q18">
        <f t="shared" si="11"/>
        <v>3.0000179999999999</v>
      </c>
      <c r="T18">
        <f>IF(connections!$A18="","",IFERROR(INDEX(games!$B$2:$B$950,MATCH(connections!$A18,games!$A$2:$A$950,0)),""))</f>
        <v>2017</v>
      </c>
      <c r="U18">
        <f>IF(connections!$A18="","",IFERROR(INDEX(games!$B$2:$B$950,MATCH(connections!$B18,games!$A$2:$A$950,0)),""))</f>
        <v>2025</v>
      </c>
      <c r="V18">
        <f t="shared" si="12"/>
        <v>8</v>
      </c>
    </row>
    <row r="19" spans="1:22" x14ac:dyDescent="0.25">
      <c r="A19" t="str">
        <f>IF(games!$A19="","",games!$A19)</f>
        <v>Aces &amp; Adventures</v>
      </c>
      <c r="B19">
        <f>IF($A19="","",games!$B19)</f>
        <v>2023</v>
      </c>
      <c r="C19" t="str">
        <f>IF($A19="","",games!$C19)</f>
        <v>Deckbuilder</v>
      </c>
      <c r="D19">
        <f>IF($A19="","",COUNTIF(connections!$A$2:$A$1473,$A19)+COUNTIF(connections!$B$2:$B$1473,$A19))</f>
        <v>2</v>
      </c>
      <c r="E19">
        <f t="shared" si="0"/>
        <v>3</v>
      </c>
      <c r="F19">
        <f t="shared" si="1"/>
        <v>19</v>
      </c>
      <c r="G19" t="e">
        <f t="shared" si="2"/>
        <v>#N/A</v>
      </c>
      <c r="H19" t="e">
        <f t="shared" si="3"/>
        <v>#N/A</v>
      </c>
      <c r="I19" t="e">
        <f t="shared" si="4"/>
        <v>#N/A</v>
      </c>
      <c r="J19" t="e">
        <f t="shared" si="5"/>
        <v>#N/A</v>
      </c>
      <c r="K19">
        <f t="shared" si="6"/>
        <v>2023</v>
      </c>
      <c r="L19">
        <f t="shared" si="7"/>
        <v>3.4369999999999998</v>
      </c>
      <c r="M19" t="e">
        <f t="shared" si="8"/>
        <v>#N/A</v>
      </c>
      <c r="N19" t="e">
        <f t="shared" si="9"/>
        <v>#N/A</v>
      </c>
      <c r="O19">
        <f t="shared" si="10"/>
        <v>2.000019</v>
      </c>
      <c r="P19" t="str">
        <f>IF(OR($A19="",games!$H19=""),"",games!$H19)</f>
        <v>Yes</v>
      </c>
      <c r="Q19">
        <f t="shared" si="11"/>
        <v>2.000019</v>
      </c>
      <c r="T19">
        <f>IF(connections!$A19="","",IFERROR(INDEX(games!$B$2:$B$950,MATCH(connections!$A19,games!$A$2:$A$950,0)),""))</f>
        <v>2011</v>
      </c>
      <c r="U19">
        <f>IF(connections!$A19="","",IFERROR(INDEX(games!$B$2:$B$950,MATCH(connections!$B19,games!$A$2:$A$950,0)),""))</f>
        <v>2017</v>
      </c>
      <c r="V19">
        <f t="shared" si="12"/>
        <v>6</v>
      </c>
    </row>
    <row r="20" spans="1:22" x14ac:dyDescent="0.25">
      <c r="A20" t="str">
        <f>IF(games!$A20="","",games!$A20)</f>
        <v>Across the Obelisk</v>
      </c>
      <c r="B20">
        <f>IF($A20="","",games!$B20)</f>
        <v>2021</v>
      </c>
      <c r="C20" t="str">
        <f>IF($A20="","",games!$C20)</f>
        <v>Deckbuilder</v>
      </c>
      <c r="D20">
        <f>IF($A20="","",COUNTIF(connections!$A$2:$A$1473,$A20)+COUNTIF(connections!$B$2:$B$1473,$A20))</f>
        <v>3</v>
      </c>
      <c r="E20">
        <f t="shared" si="0"/>
        <v>3</v>
      </c>
      <c r="F20">
        <f t="shared" si="1"/>
        <v>20</v>
      </c>
      <c r="G20" t="e">
        <f t="shared" si="2"/>
        <v>#N/A</v>
      </c>
      <c r="H20" t="e">
        <f t="shared" si="3"/>
        <v>#N/A</v>
      </c>
      <c r="I20" t="e">
        <f t="shared" si="4"/>
        <v>#N/A</v>
      </c>
      <c r="J20" t="e">
        <f t="shared" si="5"/>
        <v>#N/A</v>
      </c>
      <c r="K20">
        <f t="shared" si="6"/>
        <v>2021</v>
      </c>
      <c r="L20">
        <f t="shared" si="7"/>
        <v>3.46</v>
      </c>
      <c r="M20" t="e">
        <f t="shared" si="8"/>
        <v>#N/A</v>
      </c>
      <c r="N20" t="e">
        <f t="shared" si="9"/>
        <v>#N/A</v>
      </c>
      <c r="O20">
        <f t="shared" si="10"/>
        <v>3.0000200000000001</v>
      </c>
      <c r="P20" t="str">
        <f>IF(OR($A20="",games!$H20=""),"",games!$H20)</f>
        <v>Yes</v>
      </c>
      <c r="Q20">
        <f t="shared" si="11"/>
        <v>3.0000200000000001</v>
      </c>
      <c r="T20">
        <f>IF(connections!$A20="","",IFERROR(INDEX(games!$B$2:$B$950,MATCH(connections!$A20,games!$A$2:$A$950,0)),""))</f>
        <v>2012</v>
      </c>
      <c r="U20">
        <f>IF(connections!$A20="","",IFERROR(INDEX(games!$B$2:$B$950,MATCH(connections!$B20,games!$A$2:$A$950,0)),""))</f>
        <v>2019</v>
      </c>
      <c r="V20">
        <f t="shared" si="12"/>
        <v>7</v>
      </c>
    </row>
    <row r="21" spans="1:22" x14ac:dyDescent="0.25">
      <c r="A21" t="str">
        <f>IF(games!$A21="","",games!$A21)</f>
        <v>Aethermancer</v>
      </c>
      <c r="B21">
        <f>IF($A21="","",games!$B21)</f>
        <v>2025</v>
      </c>
      <c r="C21" t="str">
        <f>IF($A21="","",games!$C21)</f>
        <v>Strategy</v>
      </c>
      <c r="D21">
        <f>IF($A21="","",COUNTIF(connections!$A$2:$A$1473,$A21)+COUNTIF(connections!$B$2:$B$1473,$A21))</f>
        <v>2</v>
      </c>
      <c r="E21">
        <f t="shared" si="0"/>
        <v>2</v>
      </c>
      <c r="F21">
        <f t="shared" si="1"/>
        <v>21</v>
      </c>
      <c r="G21" t="e">
        <f t="shared" si="2"/>
        <v>#N/A</v>
      </c>
      <c r="H21" t="e">
        <f t="shared" si="3"/>
        <v>#N/A</v>
      </c>
      <c r="I21">
        <f t="shared" si="4"/>
        <v>2025</v>
      </c>
      <c r="J21">
        <f t="shared" si="5"/>
        <v>2.4830000000000001</v>
      </c>
      <c r="K21" t="e">
        <f t="shared" si="6"/>
        <v>#N/A</v>
      </c>
      <c r="L21" t="e">
        <f t="shared" si="7"/>
        <v>#N/A</v>
      </c>
      <c r="M21" t="e">
        <f t="shared" si="8"/>
        <v>#N/A</v>
      </c>
      <c r="N21" t="e">
        <f t="shared" si="9"/>
        <v>#N/A</v>
      </c>
      <c r="O21">
        <f t="shared" si="10"/>
        <v>2.0000209999999998</v>
      </c>
      <c r="P21" t="str">
        <f>IF(OR($A21="",games!$H21=""),"",games!$H21)</f>
        <v>Yes</v>
      </c>
      <c r="Q21">
        <f t="shared" si="11"/>
        <v>2.0000209999999998</v>
      </c>
      <c r="T21">
        <f>IF(connections!$A21="","",IFERROR(INDEX(games!$B$2:$B$950,MATCH(connections!$A21,games!$A$2:$A$950,0)),""))</f>
        <v>2016</v>
      </c>
      <c r="U21">
        <f>IF(connections!$A21="","",IFERROR(INDEX(games!$B$2:$B$950,MATCH(connections!$B21,games!$A$2:$A$950,0)),""))</f>
        <v>2025</v>
      </c>
      <c r="V21">
        <f t="shared" si="12"/>
        <v>9</v>
      </c>
    </row>
    <row r="22" spans="1:22" x14ac:dyDescent="0.25">
      <c r="A22" t="str">
        <f>IF(games!$A22="","",games!$A22)</f>
        <v>AK-xolotl</v>
      </c>
      <c r="B22">
        <f>IF($A22="","",games!$B22)</f>
        <v>2023</v>
      </c>
      <c r="C22" t="str">
        <f>IF($A22="","",games!$C22)</f>
        <v>Action</v>
      </c>
      <c r="D22">
        <f>IF($A22="","",COUNTIF(connections!$A$2:$A$1473,$A22)+COUNTIF(connections!$B$2:$B$1473,$A22))</f>
        <v>2</v>
      </c>
      <c r="E22">
        <f t="shared" si="0"/>
        <v>1</v>
      </c>
      <c r="F22">
        <f t="shared" si="1"/>
        <v>22</v>
      </c>
      <c r="G22">
        <f t="shared" si="2"/>
        <v>2023</v>
      </c>
      <c r="H22">
        <f t="shared" si="3"/>
        <v>1.506</v>
      </c>
      <c r="I22" t="e">
        <f t="shared" si="4"/>
        <v>#N/A</v>
      </c>
      <c r="J22" t="e">
        <f t="shared" si="5"/>
        <v>#N/A</v>
      </c>
      <c r="K22" t="e">
        <f t="shared" si="6"/>
        <v>#N/A</v>
      </c>
      <c r="L22" t="e">
        <f t="shared" si="7"/>
        <v>#N/A</v>
      </c>
      <c r="M22" t="e">
        <f t="shared" si="8"/>
        <v>#N/A</v>
      </c>
      <c r="N22" t="e">
        <f t="shared" si="9"/>
        <v>#N/A</v>
      </c>
      <c r="O22">
        <f t="shared" si="10"/>
        <v>2.000022</v>
      </c>
      <c r="P22" t="str">
        <f>IF(OR($A22="",games!$H22=""),"",games!$H22)</f>
        <v>Yes</v>
      </c>
      <c r="Q22">
        <f t="shared" si="11"/>
        <v>2.000022</v>
      </c>
      <c r="T22">
        <f>IF(connections!$A22="","",IFERROR(INDEX(games!$B$2:$B$950,MATCH(connections!$A22,games!$A$2:$A$950,0)),""))</f>
        <v>2018</v>
      </c>
      <c r="U22">
        <f>IF(connections!$A22="","",IFERROR(INDEX(games!$B$2:$B$950,MATCH(connections!$B22,games!$A$2:$A$950,0)),""))</f>
        <v>2025</v>
      </c>
      <c r="V22">
        <f t="shared" si="12"/>
        <v>7</v>
      </c>
    </row>
    <row r="23" spans="1:22" x14ac:dyDescent="0.25">
      <c r="A23" t="str">
        <f>IF(games!$A23="","",games!$A23)</f>
        <v>Alina of the Arena</v>
      </c>
      <c r="B23">
        <f>IF($A23="","",games!$B23)</f>
        <v>2022</v>
      </c>
      <c r="C23" t="str">
        <f>IF($A23="","",games!$C23)</f>
        <v>Deckbuilder</v>
      </c>
      <c r="D23">
        <f>IF($A23="","",COUNTIF(connections!$A$2:$A$1473,$A23)+COUNTIF(connections!$B$2:$B$1473,$A23))</f>
        <v>2</v>
      </c>
      <c r="E23">
        <f t="shared" si="0"/>
        <v>3</v>
      </c>
      <c r="F23">
        <f t="shared" si="1"/>
        <v>23</v>
      </c>
      <c r="G23" t="e">
        <f t="shared" si="2"/>
        <v>#N/A</v>
      </c>
      <c r="H23" t="e">
        <f t="shared" si="3"/>
        <v>#N/A</v>
      </c>
      <c r="I23" t="e">
        <f t="shared" si="4"/>
        <v>#N/A</v>
      </c>
      <c r="J23" t="e">
        <f t="shared" si="5"/>
        <v>#N/A</v>
      </c>
      <c r="K23">
        <f t="shared" si="6"/>
        <v>2022</v>
      </c>
      <c r="L23">
        <f t="shared" si="7"/>
        <v>3.5289999999999999</v>
      </c>
      <c r="M23" t="e">
        <f t="shared" si="8"/>
        <v>#N/A</v>
      </c>
      <c r="N23" t="e">
        <f t="shared" si="9"/>
        <v>#N/A</v>
      </c>
      <c r="O23">
        <f t="shared" si="10"/>
        <v>2.0000230000000001</v>
      </c>
      <c r="P23" t="str">
        <f>IF(OR($A23="",games!$H23=""),"",games!$H23)</f>
        <v>Yes</v>
      </c>
      <c r="Q23">
        <f t="shared" si="11"/>
        <v>2.0000230000000001</v>
      </c>
      <c r="T23">
        <f>IF(connections!$A23="","",IFERROR(INDEX(games!$B$2:$B$950,MATCH(connections!$A23,games!$A$2:$A$950,0)),""))</f>
        <v>2018</v>
      </c>
      <c r="U23">
        <f>IF(connections!$A23="","",IFERROR(INDEX(games!$B$2:$B$950,MATCH(connections!$B23,games!$A$2:$A$950,0)),""))</f>
        <v>2025</v>
      </c>
      <c r="V23">
        <f t="shared" si="12"/>
        <v>7</v>
      </c>
    </row>
    <row r="24" spans="1:22" x14ac:dyDescent="0.25">
      <c r="A24" t="str">
        <f>IF(games!$A24="","",games!$A24)</f>
        <v>An Amazing Wizard</v>
      </c>
      <c r="B24">
        <f>IF($A24="","",games!$B24)</f>
        <v>2025</v>
      </c>
      <c r="C24" t="str">
        <f>IF($A24="","",games!$C24)</f>
        <v>Action</v>
      </c>
      <c r="D24">
        <f>IF($A24="","",COUNTIF(connections!$A$2:$A$1473,$A24)+COUNTIF(connections!$B$2:$B$1473,$A24))</f>
        <v>3</v>
      </c>
      <c r="E24">
        <f t="shared" si="0"/>
        <v>1</v>
      </c>
      <c r="F24">
        <f t="shared" si="1"/>
        <v>24</v>
      </c>
      <c r="G24">
        <f t="shared" si="2"/>
        <v>2025</v>
      </c>
      <c r="H24">
        <f t="shared" si="3"/>
        <v>1.552</v>
      </c>
      <c r="I24" t="e">
        <f t="shared" si="4"/>
        <v>#N/A</v>
      </c>
      <c r="J24" t="e">
        <f t="shared" si="5"/>
        <v>#N/A</v>
      </c>
      <c r="K24" t="e">
        <f t="shared" si="6"/>
        <v>#N/A</v>
      </c>
      <c r="L24" t="e">
        <f t="shared" si="7"/>
        <v>#N/A</v>
      </c>
      <c r="M24" t="e">
        <f t="shared" si="8"/>
        <v>#N/A</v>
      </c>
      <c r="N24" t="e">
        <f t="shared" si="9"/>
        <v>#N/A</v>
      </c>
      <c r="O24">
        <f t="shared" si="10"/>
        <v>3.0000239999999998</v>
      </c>
      <c r="P24" t="str">
        <f>IF(OR($A24="",games!$H24=""),"",games!$H24)</f>
        <v/>
      </c>
      <c r="Q24" t="str">
        <f t="shared" si="11"/>
        <v/>
      </c>
      <c r="T24">
        <f>IF(connections!$A24="","",IFERROR(INDEX(games!$B$2:$B$950,MATCH(connections!$A24,games!$A$2:$A$950,0)),""))</f>
        <v>2020</v>
      </c>
      <c r="U24">
        <f>IF(connections!$A24="","",IFERROR(INDEX(games!$B$2:$B$950,MATCH(connections!$B24,games!$A$2:$A$950,0)),""))</f>
        <v>2025</v>
      </c>
      <c r="V24">
        <f t="shared" si="12"/>
        <v>5</v>
      </c>
    </row>
    <row r="25" spans="1:22" x14ac:dyDescent="0.25">
      <c r="A25" t="str">
        <f>IF(games!$A25="","",games!$A25)</f>
        <v>Ancient Domains of Mystery</v>
      </c>
      <c r="B25">
        <f>IF($A25="","",games!$B25)</f>
        <v>1994</v>
      </c>
      <c r="C25" t="str">
        <f>IF($A25="","",games!$C25)</f>
        <v>Traditional</v>
      </c>
      <c r="D25">
        <f>IF($A25="","",COUNTIF(connections!$A$2:$A$1473,$A25)+COUNTIF(connections!$B$2:$B$1473,$A25))</f>
        <v>22</v>
      </c>
      <c r="E25">
        <f t="shared" si="0"/>
        <v>4</v>
      </c>
      <c r="F25">
        <f t="shared" si="1"/>
        <v>25</v>
      </c>
      <c r="G25" t="e">
        <f t="shared" si="2"/>
        <v>#N/A</v>
      </c>
      <c r="H25" t="e">
        <f t="shared" si="3"/>
        <v>#N/A</v>
      </c>
      <c r="I25" t="e">
        <f t="shared" si="4"/>
        <v>#N/A</v>
      </c>
      <c r="J25" t="e">
        <f t="shared" si="5"/>
        <v>#N/A</v>
      </c>
      <c r="K25" t="e">
        <f t="shared" si="6"/>
        <v>#N/A</v>
      </c>
      <c r="L25" t="e">
        <f t="shared" si="7"/>
        <v>#N/A</v>
      </c>
      <c r="M25">
        <f t="shared" si="8"/>
        <v>1994</v>
      </c>
      <c r="N25">
        <f t="shared" si="9"/>
        <v>4.5750000000000002</v>
      </c>
      <c r="O25">
        <f t="shared" si="10"/>
        <v>22.000025000000001</v>
      </c>
      <c r="P25" t="str">
        <f>IF(OR($A25="",games!$H25=""),"",games!$H25)</f>
        <v>Yes</v>
      </c>
      <c r="Q25">
        <f t="shared" si="11"/>
        <v>22.000025000000001</v>
      </c>
      <c r="T25">
        <f>IF(connections!$A25="","",IFERROR(INDEX(games!$B$2:$B$950,MATCH(connections!$A25,games!$A$2:$A$950,0)),""))</f>
        <v>2015</v>
      </c>
      <c r="U25">
        <f>IF(connections!$A25="","",IFERROR(INDEX(games!$B$2:$B$950,MATCH(connections!$B25,games!$A$2:$A$950,0)),""))</f>
        <v>2025</v>
      </c>
      <c r="V25">
        <f t="shared" si="12"/>
        <v>10</v>
      </c>
    </row>
    <row r="26" spans="1:22" x14ac:dyDescent="0.25">
      <c r="A26" t="str">
        <f>IF(games!$A26="","",games!$A26)</f>
        <v>Angband</v>
      </c>
      <c r="B26">
        <f>IF($A26="","",games!$B26)</f>
        <v>1990</v>
      </c>
      <c r="C26" t="str">
        <f>IF($A26="","",games!$C26)</f>
        <v>Traditional</v>
      </c>
      <c r="D26">
        <f>IF($A26="","",COUNTIF(connections!$A$2:$A$1473,$A26)+COUNTIF(connections!$B$2:$B$1473,$A26))</f>
        <v>15</v>
      </c>
      <c r="E26">
        <f t="shared" si="0"/>
        <v>4</v>
      </c>
      <c r="F26">
        <f t="shared" si="1"/>
        <v>26</v>
      </c>
      <c r="G26" t="e">
        <f t="shared" si="2"/>
        <v>#N/A</v>
      </c>
      <c r="H26" t="e">
        <f t="shared" si="3"/>
        <v>#N/A</v>
      </c>
      <c r="I26" t="e">
        <f t="shared" si="4"/>
        <v>#N/A</v>
      </c>
      <c r="J26" t="e">
        <f t="shared" si="5"/>
        <v>#N/A</v>
      </c>
      <c r="K26" t="e">
        <f t="shared" si="6"/>
        <v>#N/A</v>
      </c>
      <c r="L26" t="e">
        <f t="shared" si="7"/>
        <v>#N/A</v>
      </c>
      <c r="M26">
        <f t="shared" si="8"/>
        <v>1990</v>
      </c>
      <c r="N26">
        <f t="shared" si="9"/>
        <v>4.5979999999999999</v>
      </c>
      <c r="O26">
        <f t="shared" si="10"/>
        <v>15.000026</v>
      </c>
      <c r="P26" t="str">
        <f>IF(OR($A26="",games!$H26=""),"",games!$H26)</f>
        <v>Yes</v>
      </c>
      <c r="Q26">
        <f t="shared" si="11"/>
        <v>15.000026</v>
      </c>
      <c r="T26">
        <f>IF(connections!$A26="","",IFERROR(INDEX(games!$B$2:$B$950,MATCH(connections!$A26,games!$A$2:$A$950,0)),""))</f>
        <v>2020</v>
      </c>
      <c r="U26">
        <f>IF(connections!$A26="","",IFERROR(INDEX(games!$B$2:$B$950,MATCH(connections!$B26,games!$A$2:$A$950,0)),""))</f>
        <v>2025</v>
      </c>
      <c r="V26">
        <f t="shared" si="12"/>
        <v>5</v>
      </c>
    </row>
    <row r="27" spans="1:22" x14ac:dyDescent="0.25">
      <c r="A27" t="str">
        <f>IF(games!$A27="","",games!$A27)</f>
        <v>Anomaly Collapse</v>
      </c>
      <c r="B27">
        <f>IF($A27="","",games!$B27)</f>
        <v>2024</v>
      </c>
      <c r="C27" t="str">
        <f>IF($A27="","",games!$C27)</f>
        <v>Strategy</v>
      </c>
      <c r="D27">
        <f>IF($A27="","",COUNTIF(connections!$A$2:$A$1473,$A27)+COUNTIF(connections!$B$2:$B$1473,$A27))</f>
        <v>2</v>
      </c>
      <c r="E27">
        <f t="shared" si="0"/>
        <v>2</v>
      </c>
      <c r="F27">
        <f t="shared" si="1"/>
        <v>27</v>
      </c>
      <c r="G27" t="e">
        <f t="shared" si="2"/>
        <v>#N/A</v>
      </c>
      <c r="H27" t="e">
        <f t="shared" si="3"/>
        <v>#N/A</v>
      </c>
      <c r="I27">
        <f t="shared" si="4"/>
        <v>2024</v>
      </c>
      <c r="J27">
        <f t="shared" si="5"/>
        <v>2.621</v>
      </c>
      <c r="K27" t="e">
        <f t="shared" si="6"/>
        <v>#N/A</v>
      </c>
      <c r="L27" t="e">
        <f t="shared" si="7"/>
        <v>#N/A</v>
      </c>
      <c r="M27" t="e">
        <f t="shared" si="8"/>
        <v>#N/A</v>
      </c>
      <c r="N27" t="e">
        <f t="shared" si="9"/>
        <v>#N/A</v>
      </c>
      <c r="O27">
        <f t="shared" si="10"/>
        <v>2.0000270000000002</v>
      </c>
      <c r="P27" t="str">
        <f>IF(OR($A27="",games!$H27=""),"",games!$H27)</f>
        <v/>
      </c>
      <c r="Q27" t="str">
        <f t="shared" si="11"/>
        <v/>
      </c>
      <c r="T27">
        <f>IF(connections!$A27="","",IFERROR(INDEX(games!$B$2:$B$950,MATCH(connections!$A27,games!$A$2:$A$950,0)),""))</f>
        <v>2020</v>
      </c>
      <c r="U27">
        <f>IF(connections!$A27="","",IFERROR(INDEX(games!$B$2:$B$950,MATCH(connections!$B27,games!$A$2:$A$950,0)),""))</f>
        <v>2023</v>
      </c>
      <c r="V27">
        <f t="shared" si="12"/>
        <v>3</v>
      </c>
    </row>
    <row r="28" spans="1:22" x14ac:dyDescent="0.25">
      <c r="A28" t="str">
        <f>IF(games!$A28="","",games!$A28)</f>
        <v>Another Farm Roguelike</v>
      </c>
      <c r="B28">
        <f>IF($A28="","",games!$B28)</f>
        <v>2022</v>
      </c>
      <c r="C28" t="str">
        <f>IF($A28="","",games!$C28)</f>
        <v>Strategy</v>
      </c>
      <c r="D28">
        <f>IF($A28="","",COUNTIF(connections!$A$2:$A$1473,$A28)+COUNTIF(connections!$B$2:$B$1473,$A28))</f>
        <v>1</v>
      </c>
      <c r="E28">
        <f t="shared" si="0"/>
        <v>2</v>
      </c>
      <c r="F28">
        <f t="shared" si="1"/>
        <v>28</v>
      </c>
      <c r="G28" t="e">
        <f t="shared" si="2"/>
        <v>#N/A</v>
      </c>
      <c r="H28" t="e">
        <f t="shared" si="3"/>
        <v>#N/A</v>
      </c>
      <c r="I28">
        <f t="shared" si="4"/>
        <v>2022</v>
      </c>
      <c r="J28">
        <f t="shared" si="5"/>
        <v>2.6440000000000001</v>
      </c>
      <c r="K28" t="e">
        <f t="shared" si="6"/>
        <v>#N/A</v>
      </c>
      <c r="L28" t="e">
        <f t="shared" si="7"/>
        <v>#N/A</v>
      </c>
      <c r="M28" t="e">
        <f t="shared" si="8"/>
        <v>#N/A</v>
      </c>
      <c r="N28" t="e">
        <f t="shared" si="9"/>
        <v>#N/A</v>
      </c>
      <c r="O28">
        <f t="shared" si="10"/>
        <v>1.0000279999999999</v>
      </c>
      <c r="P28" t="str">
        <f>IF(OR($A28="",games!$H28=""),"",games!$H28)</f>
        <v>Yes</v>
      </c>
      <c r="Q28">
        <f t="shared" si="11"/>
        <v>1.0000279999999999</v>
      </c>
      <c r="T28">
        <f>IF(connections!$A28="","",IFERROR(INDEX(games!$B$2:$B$950,MATCH(connections!$A28,games!$A$2:$A$950,0)),""))</f>
        <v>2017</v>
      </c>
      <c r="U28">
        <f>IF(connections!$A28="","",IFERROR(INDEX(games!$B$2:$B$950,MATCH(connections!$B28,games!$A$2:$A$950,0)),""))</f>
        <v>2023</v>
      </c>
      <c r="V28">
        <f t="shared" si="12"/>
        <v>6</v>
      </c>
    </row>
    <row r="29" spans="1:22" x14ac:dyDescent="0.25">
      <c r="A29" t="str">
        <f>IF(games!$A29="","",games!$A29)</f>
        <v>Another Farm Roguelike: Rebirth</v>
      </c>
      <c r="B29">
        <f>IF($A29="","",games!$B29)</f>
        <v>2025</v>
      </c>
      <c r="C29" t="str">
        <f>IF($A29="","",games!$C29)</f>
        <v>Strategy</v>
      </c>
      <c r="D29">
        <f>IF($A29="","",COUNTIF(connections!$A$2:$A$1473,$A29)+COUNTIF(connections!$B$2:$B$1473,$A29))</f>
        <v>1</v>
      </c>
      <c r="E29">
        <f t="shared" si="0"/>
        <v>2</v>
      </c>
      <c r="F29">
        <f t="shared" si="1"/>
        <v>29</v>
      </c>
      <c r="G29" t="e">
        <f t="shared" si="2"/>
        <v>#N/A</v>
      </c>
      <c r="H29" t="e">
        <f t="shared" si="3"/>
        <v>#N/A</v>
      </c>
      <c r="I29">
        <f t="shared" si="4"/>
        <v>2025</v>
      </c>
      <c r="J29">
        <f t="shared" si="5"/>
        <v>2.6669999999999998</v>
      </c>
      <c r="K29" t="e">
        <f t="shared" si="6"/>
        <v>#N/A</v>
      </c>
      <c r="L29" t="e">
        <f t="shared" si="7"/>
        <v>#N/A</v>
      </c>
      <c r="M29" t="e">
        <f t="shared" si="8"/>
        <v>#N/A</v>
      </c>
      <c r="N29" t="e">
        <f t="shared" si="9"/>
        <v>#N/A</v>
      </c>
      <c r="O29">
        <f t="shared" si="10"/>
        <v>1.0000290000000001</v>
      </c>
      <c r="P29" t="str">
        <f>IF(OR($A29="",games!$H29=""),"",games!$H29)</f>
        <v/>
      </c>
      <c r="Q29" t="str">
        <f t="shared" si="11"/>
        <v/>
      </c>
      <c r="T29">
        <f>IF(connections!$A29="","",IFERROR(INDEX(games!$B$2:$B$950,MATCH(connections!$A29,games!$A$2:$A$950,0)),""))</f>
        <v>2015</v>
      </c>
      <c r="U29">
        <f>IF(connections!$A29="","",IFERROR(INDEX(games!$B$2:$B$950,MATCH(connections!$B29,games!$A$2:$A$950,0)),""))</f>
        <v>2021</v>
      </c>
      <c r="V29">
        <f t="shared" si="12"/>
        <v>6</v>
      </c>
    </row>
    <row r="30" spans="1:22" x14ac:dyDescent="0.25">
      <c r="A30" t="str">
        <f>IF(games!$A30="","",games!$A30)</f>
        <v>Aotenjo: Infinite Hands</v>
      </c>
      <c r="B30">
        <f>IF($A30="","",games!$B30)</f>
        <v>2024</v>
      </c>
      <c r="C30" t="str">
        <f>IF($A30="","",games!$C30)</f>
        <v>Deckbuilder</v>
      </c>
      <c r="D30">
        <f>IF($A30="","",COUNTIF(connections!$A$2:$A$1473,$A30)+COUNTIF(connections!$B$2:$B$1473,$A30))</f>
        <v>4</v>
      </c>
      <c r="E30">
        <f t="shared" si="0"/>
        <v>3</v>
      </c>
      <c r="F30">
        <f t="shared" si="1"/>
        <v>30</v>
      </c>
      <c r="G30" t="e">
        <f t="shared" si="2"/>
        <v>#N/A</v>
      </c>
      <c r="H30" t="e">
        <f t="shared" si="3"/>
        <v>#N/A</v>
      </c>
      <c r="I30" t="e">
        <f t="shared" si="4"/>
        <v>#N/A</v>
      </c>
      <c r="J30" t="e">
        <f t="shared" si="5"/>
        <v>#N/A</v>
      </c>
      <c r="K30">
        <f t="shared" si="6"/>
        <v>2024</v>
      </c>
      <c r="L30">
        <f t="shared" si="7"/>
        <v>3.69</v>
      </c>
      <c r="M30" t="e">
        <f t="shared" si="8"/>
        <v>#N/A</v>
      </c>
      <c r="N30" t="e">
        <f t="shared" si="9"/>
        <v>#N/A</v>
      </c>
      <c r="O30">
        <f t="shared" si="10"/>
        <v>4.0000299999999998</v>
      </c>
      <c r="P30" t="str">
        <f>IF(OR($A30="",games!$H30=""),"",games!$H30)</f>
        <v/>
      </c>
      <c r="Q30" t="str">
        <f t="shared" si="11"/>
        <v/>
      </c>
      <c r="T30">
        <f>IF(connections!$A30="","",IFERROR(INDEX(games!$B$2:$B$950,MATCH(connections!$A30,games!$A$2:$A$950,0)),""))</f>
        <v>2017</v>
      </c>
      <c r="U30">
        <f>IF(connections!$A30="","",IFERROR(INDEX(games!$B$2:$B$950,MATCH(connections!$B30,games!$A$2:$A$950,0)),""))</f>
        <v>2021</v>
      </c>
      <c r="V30">
        <f t="shared" si="12"/>
        <v>4</v>
      </c>
    </row>
    <row r="31" spans="1:22" x14ac:dyDescent="0.25">
      <c r="A31" t="str">
        <f>IF(games!$A31="","",games!$A31)</f>
        <v>Approaching Infinity</v>
      </c>
      <c r="B31">
        <f>IF($A31="","",games!$B31)</f>
        <v>2020</v>
      </c>
      <c r="C31" t="str">
        <f>IF($A31="","",games!$C31)</f>
        <v>Traditional</v>
      </c>
      <c r="D31">
        <f>IF($A31="","",COUNTIF(connections!$A$2:$A$1473,$A31)+COUNTIF(connections!$B$2:$B$1473,$A31))</f>
        <v>1</v>
      </c>
      <c r="E31">
        <f t="shared" si="0"/>
        <v>4</v>
      </c>
      <c r="F31">
        <f t="shared" si="1"/>
        <v>31</v>
      </c>
      <c r="G31" t="e">
        <f t="shared" si="2"/>
        <v>#N/A</v>
      </c>
      <c r="H31" t="e">
        <f t="shared" si="3"/>
        <v>#N/A</v>
      </c>
      <c r="I31" t="e">
        <f t="shared" si="4"/>
        <v>#N/A</v>
      </c>
      <c r="J31" t="e">
        <f t="shared" si="5"/>
        <v>#N/A</v>
      </c>
      <c r="K31" t="e">
        <f t="shared" si="6"/>
        <v>#N/A</v>
      </c>
      <c r="L31" t="e">
        <f t="shared" si="7"/>
        <v>#N/A</v>
      </c>
      <c r="M31">
        <f t="shared" si="8"/>
        <v>2020</v>
      </c>
      <c r="N31">
        <f t="shared" si="9"/>
        <v>4.7130000000000001</v>
      </c>
      <c r="O31">
        <f t="shared" si="10"/>
        <v>1.0000309999999999</v>
      </c>
      <c r="P31" t="str">
        <f>IF(OR($A31="",games!$H31=""),"",games!$H31)</f>
        <v/>
      </c>
      <c r="Q31" t="str">
        <f t="shared" si="11"/>
        <v/>
      </c>
      <c r="T31">
        <f>IF(connections!$A31="","",IFERROR(INDEX(games!$B$2:$B$950,MATCH(connections!$A31,games!$A$2:$A$950,0)),""))</f>
        <v>2018</v>
      </c>
      <c r="U31">
        <f>IF(connections!$A31="","",IFERROR(INDEX(games!$B$2:$B$950,MATCH(connections!$B31,games!$A$2:$A$950,0)),""))</f>
        <v>2025</v>
      </c>
      <c r="V31">
        <f t="shared" si="12"/>
        <v>7</v>
      </c>
    </row>
    <row r="32" spans="1:22" x14ac:dyDescent="0.25">
      <c r="A32" t="str">
        <f>IF(games!$A32="","",games!$A32)</f>
        <v>Arc Seed</v>
      </c>
      <c r="B32">
        <f>IF($A32="","",games!$B32)</f>
        <v>2024</v>
      </c>
      <c r="C32" t="str">
        <f>IF($A32="","",games!$C32)</f>
        <v>Deckbuilder</v>
      </c>
      <c r="D32">
        <f>IF($A32="","",COUNTIF(connections!$A$2:$A$1473,$A32)+COUNTIF(connections!$B$2:$B$1473,$A32))</f>
        <v>2</v>
      </c>
      <c r="E32">
        <f t="shared" si="0"/>
        <v>3</v>
      </c>
      <c r="F32">
        <f t="shared" si="1"/>
        <v>32</v>
      </c>
      <c r="G32" t="e">
        <f t="shared" si="2"/>
        <v>#N/A</v>
      </c>
      <c r="H32" t="e">
        <f t="shared" si="3"/>
        <v>#N/A</v>
      </c>
      <c r="I32" t="e">
        <f t="shared" si="4"/>
        <v>#N/A</v>
      </c>
      <c r="J32" t="e">
        <f t="shared" si="5"/>
        <v>#N/A</v>
      </c>
      <c r="K32">
        <f t="shared" si="6"/>
        <v>2024</v>
      </c>
      <c r="L32">
        <f t="shared" si="7"/>
        <v>3.7359999999999998</v>
      </c>
      <c r="M32" t="e">
        <f t="shared" si="8"/>
        <v>#N/A</v>
      </c>
      <c r="N32" t="e">
        <f t="shared" si="9"/>
        <v>#N/A</v>
      </c>
      <c r="O32">
        <f t="shared" si="10"/>
        <v>2.000032</v>
      </c>
      <c r="P32" t="str">
        <f>IF(OR($A32="",games!$H32=""),"",games!$H32)</f>
        <v>Yes</v>
      </c>
      <c r="Q32">
        <f t="shared" si="11"/>
        <v>2.000032</v>
      </c>
      <c r="T32">
        <f>IF(connections!$A32="","",IFERROR(INDEX(games!$B$2:$B$950,MATCH(connections!$A32,games!$A$2:$A$950,0)),""))</f>
        <v>2016</v>
      </c>
      <c r="U32">
        <f>IF(connections!$A32="","",IFERROR(INDEX(games!$B$2:$B$950,MATCH(connections!$B32,games!$A$2:$A$950,0)),""))</f>
        <v>2023</v>
      </c>
      <c r="V32">
        <f t="shared" si="12"/>
        <v>7</v>
      </c>
    </row>
    <row r="33" spans="1:22" x14ac:dyDescent="0.25">
      <c r="A33" t="str">
        <f>IF(games!$A33="","",games!$A33)</f>
        <v>Arcane Trigger</v>
      </c>
      <c r="B33">
        <f>IF($A33="","",games!$B33)</f>
        <v>2025</v>
      </c>
      <c r="C33" t="str">
        <f>IF($A33="","",games!$C33)</f>
        <v>Action</v>
      </c>
      <c r="D33">
        <f>IF($A33="","",COUNTIF(connections!$A$2:$A$1473,$A33)+COUNTIF(connections!$B$2:$B$1473,$A33))</f>
        <v>1</v>
      </c>
      <c r="E33">
        <f t="shared" si="0"/>
        <v>1</v>
      </c>
      <c r="F33">
        <f t="shared" si="1"/>
        <v>33</v>
      </c>
      <c r="G33">
        <f t="shared" si="2"/>
        <v>2025</v>
      </c>
      <c r="H33">
        <f t="shared" si="3"/>
        <v>1.7589999999999999</v>
      </c>
      <c r="I33" t="e">
        <f t="shared" si="4"/>
        <v>#N/A</v>
      </c>
      <c r="J33" t="e">
        <f t="shared" si="5"/>
        <v>#N/A</v>
      </c>
      <c r="K33" t="e">
        <f t="shared" si="6"/>
        <v>#N/A</v>
      </c>
      <c r="L33" t="e">
        <f t="shared" si="7"/>
        <v>#N/A</v>
      </c>
      <c r="M33" t="e">
        <f t="shared" si="8"/>
        <v>#N/A</v>
      </c>
      <c r="N33" t="e">
        <f t="shared" si="9"/>
        <v>#N/A</v>
      </c>
      <c r="O33">
        <f t="shared" si="10"/>
        <v>1.0000329999999999</v>
      </c>
      <c r="P33" t="str">
        <f>IF(OR($A33="",games!$H33=""),"",games!$H33)</f>
        <v/>
      </c>
      <c r="Q33" t="str">
        <f t="shared" si="11"/>
        <v/>
      </c>
      <c r="T33">
        <f>IF(connections!$A33="","",IFERROR(INDEX(games!$B$2:$B$950,MATCH(connections!$A33,games!$A$2:$A$950,0)),""))</f>
        <v>2015</v>
      </c>
      <c r="U33">
        <f>IF(connections!$A33="","",IFERROR(INDEX(games!$B$2:$B$950,MATCH(connections!$B33,games!$A$2:$A$950,0)),""))</f>
        <v>2023</v>
      </c>
      <c r="V33">
        <f t="shared" si="12"/>
        <v>8</v>
      </c>
    </row>
    <row r="34" spans="1:22" x14ac:dyDescent="0.25">
      <c r="A34" t="str">
        <f>IF(games!$A34="","",games!$A34)</f>
        <v>Arcanium: Rise of Akhan</v>
      </c>
      <c r="B34">
        <f>IF($A34="","",games!$B34)</f>
        <v>2020</v>
      </c>
      <c r="C34" t="str">
        <f>IF($A34="","",games!$C34)</f>
        <v>Deckbuilder</v>
      </c>
      <c r="D34">
        <f>IF($A34="","",COUNTIF(connections!$A$2:$A$1473,$A34)+COUNTIF(connections!$B$2:$B$1473,$A34))</f>
        <v>2</v>
      </c>
      <c r="E34">
        <f t="shared" si="0"/>
        <v>3</v>
      </c>
      <c r="F34">
        <f t="shared" si="1"/>
        <v>0</v>
      </c>
      <c r="G34" t="e">
        <f t="shared" si="2"/>
        <v>#N/A</v>
      </c>
      <c r="H34" t="e">
        <f t="shared" si="3"/>
        <v>#N/A</v>
      </c>
      <c r="I34" t="e">
        <f t="shared" si="4"/>
        <v>#N/A</v>
      </c>
      <c r="J34" t="e">
        <f t="shared" si="5"/>
        <v>#N/A</v>
      </c>
      <c r="K34">
        <f t="shared" si="6"/>
        <v>2020</v>
      </c>
      <c r="L34">
        <f t="shared" si="7"/>
        <v>3</v>
      </c>
      <c r="M34" t="e">
        <f t="shared" si="8"/>
        <v>#N/A</v>
      </c>
      <c r="N34" t="e">
        <f t="shared" si="9"/>
        <v>#N/A</v>
      </c>
      <c r="O34">
        <f t="shared" si="10"/>
        <v>2.0000339999999999</v>
      </c>
      <c r="P34" t="str">
        <f>IF(OR($A34="",games!$H34=""),"",games!$H34)</f>
        <v>Yes</v>
      </c>
      <c r="Q34">
        <f t="shared" si="11"/>
        <v>2.0000339999999999</v>
      </c>
      <c r="T34">
        <f>IF(connections!$A34="","",IFERROR(INDEX(games!$B$2:$B$950,MATCH(connections!$A34,games!$A$2:$A$950,0)),""))</f>
        <v>2018</v>
      </c>
      <c r="U34">
        <f>IF(connections!$A34="","",IFERROR(INDEX(games!$B$2:$B$950,MATCH(connections!$B34,games!$A$2:$A$950,0)),""))</f>
        <v>2022</v>
      </c>
      <c r="V34">
        <f t="shared" si="12"/>
        <v>4</v>
      </c>
    </row>
    <row r="35" spans="1:22" x14ac:dyDescent="0.25">
      <c r="A35" t="str">
        <f>IF(games!$A35="","",games!$A35)</f>
        <v>Archon Soul</v>
      </c>
      <c r="B35">
        <f>IF($A35="","",games!$B35)</f>
        <v>2026</v>
      </c>
      <c r="C35" t="str">
        <f>IF($A35="","",games!$C35)</f>
        <v>Deckbuilder</v>
      </c>
      <c r="D35">
        <f>IF($A35="","",COUNTIF(connections!$A$2:$A$1473,$A35)+COUNTIF(connections!$B$2:$B$1473,$A35))</f>
        <v>2</v>
      </c>
      <c r="E35">
        <f t="shared" si="0"/>
        <v>3</v>
      </c>
      <c r="F35">
        <f t="shared" si="1"/>
        <v>1</v>
      </c>
      <c r="G35" t="e">
        <f t="shared" si="2"/>
        <v>#N/A</v>
      </c>
      <c r="H35" t="e">
        <f t="shared" si="3"/>
        <v>#N/A</v>
      </c>
      <c r="I35" t="e">
        <f t="shared" si="4"/>
        <v>#N/A</v>
      </c>
      <c r="J35" t="e">
        <f t="shared" si="5"/>
        <v>#N/A</v>
      </c>
      <c r="K35">
        <f t="shared" si="6"/>
        <v>2026</v>
      </c>
      <c r="L35">
        <f t="shared" si="7"/>
        <v>3.0230000000000001</v>
      </c>
      <c r="M35" t="e">
        <f t="shared" si="8"/>
        <v>#N/A</v>
      </c>
      <c r="N35" t="e">
        <f t="shared" si="9"/>
        <v>#N/A</v>
      </c>
      <c r="O35">
        <f t="shared" si="10"/>
        <v>2.000035</v>
      </c>
      <c r="P35" t="str">
        <f>IF(OR($A35="",games!$H35=""),"",games!$H35)</f>
        <v/>
      </c>
      <c r="Q35" t="str">
        <f t="shared" si="11"/>
        <v/>
      </c>
      <c r="T35">
        <f>IF(connections!$A35="","",IFERROR(INDEX(games!$B$2:$B$950,MATCH(connections!$A35,games!$A$2:$A$950,0)),""))</f>
        <v>2017</v>
      </c>
      <c r="U35">
        <f>IF(connections!$A35="","",IFERROR(INDEX(games!$B$2:$B$950,MATCH(connections!$B35,games!$A$2:$A$950,0)),""))</f>
        <v>2022</v>
      </c>
      <c r="V35">
        <f t="shared" si="12"/>
        <v>5</v>
      </c>
    </row>
    <row r="36" spans="1:22" x14ac:dyDescent="0.25">
      <c r="A36" t="str">
        <f>IF(games!$A36="","",games!$A36)</f>
        <v>Archons</v>
      </c>
      <c r="B36">
        <f>IF($A36="","",games!$B36)</f>
        <v>2024</v>
      </c>
      <c r="C36" t="str">
        <f>IF($A36="","",games!$C36)</f>
        <v>Action</v>
      </c>
      <c r="D36">
        <f>IF($A36="","",COUNTIF(connections!$A$2:$A$1473,$A36)+COUNTIF(connections!$B$2:$B$1473,$A36))</f>
        <v>1</v>
      </c>
      <c r="E36">
        <f t="shared" si="0"/>
        <v>1</v>
      </c>
      <c r="F36">
        <f t="shared" si="1"/>
        <v>2</v>
      </c>
      <c r="G36">
        <f t="shared" si="2"/>
        <v>2024</v>
      </c>
      <c r="H36">
        <f t="shared" si="3"/>
        <v>1.046</v>
      </c>
      <c r="I36" t="e">
        <f t="shared" si="4"/>
        <v>#N/A</v>
      </c>
      <c r="J36" t="e">
        <f t="shared" si="5"/>
        <v>#N/A</v>
      </c>
      <c r="K36" t="e">
        <f t="shared" si="6"/>
        <v>#N/A</v>
      </c>
      <c r="L36" t="e">
        <f t="shared" si="7"/>
        <v>#N/A</v>
      </c>
      <c r="M36" t="e">
        <f t="shared" si="8"/>
        <v>#N/A</v>
      </c>
      <c r="N36" t="e">
        <f t="shared" si="9"/>
        <v>#N/A</v>
      </c>
      <c r="O36">
        <f t="shared" si="10"/>
        <v>1.0000359999999999</v>
      </c>
      <c r="P36" t="str">
        <f>IF(OR($A36="",games!$H36=""),"",games!$H36)</f>
        <v>Yes</v>
      </c>
      <c r="Q36">
        <f t="shared" si="11"/>
        <v>1.0000359999999999</v>
      </c>
      <c r="T36">
        <f>IF(connections!$A36="","",IFERROR(INDEX(games!$B$2:$B$950,MATCH(connections!$A36,games!$A$2:$A$950,0)),""))</f>
        <v>2018</v>
      </c>
      <c r="U36">
        <f>IF(connections!$A36="","",IFERROR(INDEX(games!$B$2:$B$950,MATCH(connections!$B36,games!$A$2:$A$950,0)),""))</f>
        <v>2025</v>
      </c>
      <c r="V36">
        <f t="shared" si="12"/>
        <v>7</v>
      </c>
    </row>
    <row r="37" spans="1:22" x14ac:dyDescent="0.25">
      <c r="A37" t="str">
        <f>IF(games!$A37="","",games!$A37)</f>
        <v>Arms of God</v>
      </c>
      <c r="B37">
        <f>IF($A37="","",games!$B37)</f>
        <v>2026</v>
      </c>
      <c r="C37" t="str">
        <f>IF($A37="","",games!$C37)</f>
        <v>Action</v>
      </c>
      <c r="D37">
        <f>IF($A37="","",COUNTIF(connections!$A$2:$A$1473,$A37)+COUNTIF(connections!$B$2:$B$1473,$A37))</f>
        <v>3</v>
      </c>
      <c r="E37">
        <f t="shared" si="0"/>
        <v>1</v>
      </c>
      <c r="F37">
        <f t="shared" si="1"/>
        <v>3</v>
      </c>
      <c r="G37">
        <f t="shared" si="2"/>
        <v>2026</v>
      </c>
      <c r="H37">
        <f t="shared" si="3"/>
        <v>1.069</v>
      </c>
      <c r="I37" t="e">
        <f t="shared" si="4"/>
        <v>#N/A</v>
      </c>
      <c r="J37" t="e">
        <f t="shared" si="5"/>
        <v>#N/A</v>
      </c>
      <c r="K37" t="e">
        <f t="shared" si="6"/>
        <v>#N/A</v>
      </c>
      <c r="L37" t="e">
        <f t="shared" si="7"/>
        <v>#N/A</v>
      </c>
      <c r="M37" t="e">
        <f t="shared" si="8"/>
        <v>#N/A</v>
      </c>
      <c r="N37" t="e">
        <f t="shared" si="9"/>
        <v>#N/A</v>
      </c>
      <c r="O37">
        <f t="shared" si="10"/>
        <v>3.0000369999999998</v>
      </c>
      <c r="P37" t="str">
        <f>IF(OR($A37="",games!$H37=""),"",games!$H37)</f>
        <v/>
      </c>
      <c r="Q37" t="str">
        <f t="shared" si="11"/>
        <v/>
      </c>
      <c r="T37">
        <f>IF(connections!$A37="","",IFERROR(INDEX(games!$B$2:$B$950,MATCH(connections!$A37,games!$A$2:$A$950,0)),""))</f>
        <v>2019</v>
      </c>
      <c r="U37">
        <f>IF(connections!$A37="","",IFERROR(INDEX(games!$B$2:$B$950,MATCH(connections!$B37,games!$A$2:$A$950,0)),""))</f>
        <v>2025</v>
      </c>
      <c r="V37">
        <f t="shared" si="12"/>
        <v>6</v>
      </c>
    </row>
    <row r="38" spans="1:22" x14ac:dyDescent="0.25">
      <c r="A38" t="str">
        <f>IF(games!$A38="","",games!$A38)</f>
        <v>Army of Ruin</v>
      </c>
      <c r="B38">
        <f>IF($A38="","",games!$B38)</f>
        <v>2022</v>
      </c>
      <c r="C38" t="str">
        <f>IF($A38="","",games!$C38)</f>
        <v>Action</v>
      </c>
      <c r="D38">
        <f>IF($A38="","",COUNTIF(connections!$A$2:$A$1473,$A38)+COUNTIF(connections!$B$2:$B$1473,$A38))</f>
        <v>1</v>
      </c>
      <c r="E38">
        <f t="shared" si="0"/>
        <v>1</v>
      </c>
      <c r="F38">
        <f t="shared" si="1"/>
        <v>4</v>
      </c>
      <c r="G38">
        <f t="shared" si="2"/>
        <v>2022</v>
      </c>
      <c r="H38">
        <f t="shared" si="3"/>
        <v>1.0920000000000001</v>
      </c>
      <c r="I38" t="e">
        <f t="shared" si="4"/>
        <v>#N/A</v>
      </c>
      <c r="J38" t="e">
        <f t="shared" si="5"/>
        <v>#N/A</v>
      </c>
      <c r="K38" t="e">
        <f t="shared" si="6"/>
        <v>#N/A</v>
      </c>
      <c r="L38" t="e">
        <f t="shared" si="7"/>
        <v>#N/A</v>
      </c>
      <c r="M38" t="e">
        <f t="shared" si="8"/>
        <v>#N/A</v>
      </c>
      <c r="N38" t="e">
        <f t="shared" si="9"/>
        <v>#N/A</v>
      </c>
      <c r="O38">
        <f t="shared" si="10"/>
        <v>1.000038</v>
      </c>
      <c r="P38" t="str">
        <f>IF(OR($A38="",games!$H38=""),"",games!$H38)</f>
        <v>Yes</v>
      </c>
      <c r="Q38">
        <f t="shared" si="11"/>
        <v>1.000038</v>
      </c>
      <c r="T38">
        <f>IF(connections!$A38="","",IFERROR(INDEX(games!$B$2:$B$950,MATCH(connections!$A38,games!$A$2:$A$950,0)),""))</f>
        <v>2011</v>
      </c>
      <c r="U38">
        <f>IF(connections!$A38="","",IFERROR(INDEX(games!$B$2:$B$950,MATCH(connections!$B38,games!$A$2:$A$950,0)),""))</f>
        <v>2025</v>
      </c>
      <c r="V38">
        <f t="shared" si="12"/>
        <v>14</v>
      </c>
    </row>
    <row r="39" spans="1:22" x14ac:dyDescent="0.25">
      <c r="A39" t="str">
        <f>IF(games!$A39="","",games!$A39)</f>
        <v>Arrogue</v>
      </c>
      <c r="B39">
        <f>IF($A39="","",games!$B39)</f>
        <v>2025</v>
      </c>
      <c r="C39" t="str">
        <f>IF($A39="","",games!$C39)</f>
        <v>Deckbuilder</v>
      </c>
      <c r="D39">
        <f>IF($A39="","",COUNTIF(connections!$A$2:$A$1473,$A39)+COUNTIF(connections!$B$2:$B$1473,$A39))</f>
        <v>2</v>
      </c>
      <c r="E39">
        <f t="shared" si="0"/>
        <v>3</v>
      </c>
      <c r="F39">
        <f t="shared" si="1"/>
        <v>5</v>
      </c>
      <c r="G39" t="e">
        <f t="shared" si="2"/>
        <v>#N/A</v>
      </c>
      <c r="H39" t="e">
        <f t="shared" si="3"/>
        <v>#N/A</v>
      </c>
      <c r="I39" t="e">
        <f t="shared" si="4"/>
        <v>#N/A</v>
      </c>
      <c r="J39" t="e">
        <f t="shared" si="5"/>
        <v>#N/A</v>
      </c>
      <c r="K39">
        <f t="shared" si="6"/>
        <v>2025</v>
      </c>
      <c r="L39">
        <f t="shared" si="7"/>
        <v>3.1150000000000002</v>
      </c>
      <c r="M39" t="e">
        <f t="shared" si="8"/>
        <v>#N/A</v>
      </c>
      <c r="N39" t="e">
        <f t="shared" si="9"/>
        <v>#N/A</v>
      </c>
      <c r="O39">
        <f t="shared" si="10"/>
        <v>2.0000390000000001</v>
      </c>
      <c r="P39" t="str">
        <f>IF(OR($A39="",games!$H39=""),"",games!$H39)</f>
        <v/>
      </c>
      <c r="Q39" t="str">
        <f t="shared" si="11"/>
        <v/>
      </c>
      <c r="T39">
        <f>IF(connections!$A39="","",IFERROR(INDEX(games!$B$2:$B$950,MATCH(connections!$A39,games!$A$2:$A$950,0)),""))</f>
        <v>1984</v>
      </c>
      <c r="U39">
        <f>IF(connections!$A39="","",IFERROR(INDEX(games!$B$2:$B$950,MATCH(connections!$B39,games!$A$2:$A$950,0)),""))</f>
        <v>1994</v>
      </c>
      <c r="V39">
        <f t="shared" si="12"/>
        <v>10</v>
      </c>
    </row>
    <row r="40" spans="1:22" x14ac:dyDescent="0.25">
      <c r="A40" t="str">
        <f>IF(games!$A40="","",games!$A40)</f>
        <v>As We Descend</v>
      </c>
      <c r="B40">
        <f>IF($A40="","",games!$B40)</f>
        <v>2025</v>
      </c>
      <c r="C40" t="str">
        <f>IF($A40="","",games!$C40)</f>
        <v>Deckbuilder</v>
      </c>
      <c r="D40">
        <f>IF($A40="","",COUNTIF(connections!$A$2:$A$1473,$A40)+COUNTIF(connections!$B$2:$B$1473,$A40))</f>
        <v>2</v>
      </c>
      <c r="E40">
        <f t="shared" si="0"/>
        <v>3</v>
      </c>
      <c r="F40">
        <f t="shared" si="1"/>
        <v>6</v>
      </c>
      <c r="G40" t="e">
        <f t="shared" si="2"/>
        <v>#N/A</v>
      </c>
      <c r="H40" t="e">
        <f t="shared" si="3"/>
        <v>#N/A</v>
      </c>
      <c r="I40" t="e">
        <f t="shared" si="4"/>
        <v>#N/A</v>
      </c>
      <c r="J40" t="e">
        <f t="shared" si="5"/>
        <v>#N/A</v>
      </c>
      <c r="K40">
        <f t="shared" si="6"/>
        <v>2025</v>
      </c>
      <c r="L40">
        <f t="shared" si="7"/>
        <v>3.1379999999999999</v>
      </c>
      <c r="M40" t="e">
        <f t="shared" si="8"/>
        <v>#N/A</v>
      </c>
      <c r="N40" t="e">
        <f t="shared" si="9"/>
        <v>#N/A</v>
      </c>
      <c r="O40">
        <f t="shared" si="10"/>
        <v>2.0000399999999998</v>
      </c>
      <c r="P40" t="str">
        <f>IF(OR($A40="",games!$H40=""),"",games!$H40)</f>
        <v/>
      </c>
      <c r="Q40" t="str">
        <f t="shared" si="11"/>
        <v/>
      </c>
      <c r="T40">
        <f>IF(connections!$A40="","",IFERROR(INDEX(games!$B$2:$B$950,MATCH(connections!$A40,games!$A$2:$A$950,0)),""))</f>
        <v>1987</v>
      </c>
      <c r="U40">
        <f>IF(connections!$A40="","",IFERROR(INDEX(games!$B$2:$B$950,MATCH(connections!$B40,games!$A$2:$A$950,0)),""))</f>
        <v>1994</v>
      </c>
      <c r="V40">
        <f t="shared" si="12"/>
        <v>7</v>
      </c>
    </row>
    <row r="41" spans="1:22" x14ac:dyDescent="0.25">
      <c r="A41" t="str">
        <f>IF(games!$A41="","",games!$A41)</f>
        <v>Asgard's Fall: Viking Survivors</v>
      </c>
      <c r="B41">
        <f>IF($A41="","",games!$B41)</f>
        <v>2025</v>
      </c>
      <c r="C41" t="str">
        <f>IF($A41="","",games!$C41)</f>
        <v>Action</v>
      </c>
      <c r="D41">
        <f>IF($A41="","",COUNTIF(connections!$A$2:$A$1473,$A41)+COUNTIF(connections!$B$2:$B$1473,$A41))</f>
        <v>2</v>
      </c>
      <c r="E41">
        <f t="shared" si="0"/>
        <v>1</v>
      </c>
      <c r="F41">
        <f t="shared" si="1"/>
        <v>7</v>
      </c>
      <c r="G41">
        <f t="shared" si="2"/>
        <v>2025</v>
      </c>
      <c r="H41">
        <f t="shared" si="3"/>
        <v>1.161</v>
      </c>
      <c r="I41" t="e">
        <f t="shared" si="4"/>
        <v>#N/A</v>
      </c>
      <c r="J41" t="e">
        <f t="shared" si="5"/>
        <v>#N/A</v>
      </c>
      <c r="K41" t="e">
        <f t="shared" si="6"/>
        <v>#N/A</v>
      </c>
      <c r="L41" t="e">
        <f t="shared" si="7"/>
        <v>#N/A</v>
      </c>
      <c r="M41" t="e">
        <f t="shared" si="8"/>
        <v>#N/A</v>
      </c>
      <c r="N41" t="e">
        <f t="shared" si="9"/>
        <v>#N/A</v>
      </c>
      <c r="O41">
        <f t="shared" si="10"/>
        <v>2.000041</v>
      </c>
      <c r="P41" t="str">
        <f>IF(OR($A41="",games!$H41=""),"",games!$H41)</f>
        <v>Yes</v>
      </c>
      <c r="Q41">
        <f t="shared" si="11"/>
        <v>2.000041</v>
      </c>
      <c r="T41">
        <f>IF(connections!$A41="","",IFERROR(INDEX(games!$B$2:$B$950,MATCH(connections!$A41,games!$A$2:$A$950,0)),""))</f>
        <v>1980</v>
      </c>
      <c r="U41">
        <f>IF(connections!$A41="","",IFERROR(INDEX(games!$B$2:$B$950,MATCH(connections!$B41,games!$A$2:$A$950,0)),""))</f>
        <v>1994</v>
      </c>
      <c r="V41">
        <f t="shared" si="12"/>
        <v>14</v>
      </c>
    </row>
    <row r="42" spans="1:22" x14ac:dyDescent="0.25">
      <c r="A42" t="str">
        <f>IF(games!$A42="","",games!$A42)</f>
        <v>Asterogues</v>
      </c>
      <c r="B42">
        <f>IF($A42="","",games!$B42)</f>
        <v>2023</v>
      </c>
      <c r="C42" t="str">
        <f>IF($A42="","",games!$C42)</f>
        <v>Action</v>
      </c>
      <c r="D42">
        <f>IF($A42="","",COUNTIF(connections!$A$2:$A$1473,$A42)+COUNTIF(connections!$B$2:$B$1473,$A42))</f>
        <v>2</v>
      </c>
      <c r="E42">
        <f t="shared" si="0"/>
        <v>1</v>
      </c>
      <c r="F42">
        <f t="shared" si="1"/>
        <v>8</v>
      </c>
      <c r="G42">
        <f t="shared" si="2"/>
        <v>2023</v>
      </c>
      <c r="H42">
        <f t="shared" si="3"/>
        <v>1.1839999999999999</v>
      </c>
      <c r="I42" t="e">
        <f t="shared" si="4"/>
        <v>#N/A</v>
      </c>
      <c r="J42" t="e">
        <f t="shared" si="5"/>
        <v>#N/A</v>
      </c>
      <c r="K42" t="e">
        <f t="shared" si="6"/>
        <v>#N/A</v>
      </c>
      <c r="L42" t="e">
        <f t="shared" si="7"/>
        <v>#N/A</v>
      </c>
      <c r="M42" t="e">
        <f t="shared" si="8"/>
        <v>#N/A</v>
      </c>
      <c r="N42" t="e">
        <f t="shared" si="9"/>
        <v>#N/A</v>
      </c>
      <c r="O42">
        <f t="shared" si="10"/>
        <v>2.0000420000000001</v>
      </c>
      <c r="P42" t="str">
        <f>IF(OR($A42="",games!$H42=""),"",games!$H42)</f>
        <v/>
      </c>
      <c r="Q42" t="str">
        <f t="shared" si="11"/>
        <v/>
      </c>
      <c r="T42">
        <f>IF(connections!$A42="","",IFERROR(INDEX(games!$B$2:$B$950,MATCH(connections!$A42,games!$A$2:$A$950,0)),""))</f>
        <v>1983</v>
      </c>
      <c r="U42">
        <f>IF(connections!$A42="","",IFERROR(INDEX(games!$B$2:$B$950,MATCH(connections!$B42,games!$A$2:$A$950,0)),""))</f>
        <v>1990</v>
      </c>
      <c r="V42">
        <f t="shared" si="12"/>
        <v>7</v>
      </c>
    </row>
    <row r="43" spans="1:22" x14ac:dyDescent="0.25">
      <c r="A43" t="str">
        <f>IF(games!$A43="","",games!$A43)</f>
        <v>Astral Ascent</v>
      </c>
      <c r="B43">
        <f>IF($A43="","",games!$B43)</f>
        <v>2022</v>
      </c>
      <c r="C43" t="str">
        <f>IF($A43="","",games!$C43)</f>
        <v>Action</v>
      </c>
      <c r="D43">
        <f>IF($A43="","",COUNTIF(connections!$A$2:$A$1473,$A43)+COUNTIF(connections!$B$2:$B$1473,$A43))</f>
        <v>6</v>
      </c>
      <c r="E43">
        <f t="shared" si="0"/>
        <v>1</v>
      </c>
      <c r="F43">
        <f t="shared" si="1"/>
        <v>9</v>
      </c>
      <c r="G43">
        <f t="shared" si="2"/>
        <v>2022</v>
      </c>
      <c r="H43">
        <f t="shared" si="3"/>
        <v>1.2070000000000001</v>
      </c>
      <c r="I43" t="e">
        <f t="shared" si="4"/>
        <v>#N/A</v>
      </c>
      <c r="J43" t="e">
        <f t="shared" si="5"/>
        <v>#N/A</v>
      </c>
      <c r="K43" t="e">
        <f t="shared" si="6"/>
        <v>#N/A</v>
      </c>
      <c r="L43" t="e">
        <f t="shared" si="7"/>
        <v>#N/A</v>
      </c>
      <c r="M43" t="e">
        <f t="shared" si="8"/>
        <v>#N/A</v>
      </c>
      <c r="N43" t="e">
        <f t="shared" si="9"/>
        <v>#N/A</v>
      </c>
      <c r="O43">
        <f t="shared" si="10"/>
        <v>6.0000429999999998</v>
      </c>
      <c r="P43" t="str">
        <f>IF(OR($A43="",games!$H43=""),"",games!$H43)</f>
        <v>Yes</v>
      </c>
      <c r="Q43">
        <f t="shared" si="11"/>
        <v>6.0000429999999998</v>
      </c>
      <c r="T43">
        <f>IF(connections!$A43="","",IFERROR(INDEX(games!$B$2:$B$950,MATCH(connections!$A43,games!$A$2:$A$950,0)),""))</f>
        <v>2015</v>
      </c>
      <c r="U43">
        <f>IF(connections!$A43="","",IFERROR(INDEX(games!$B$2:$B$950,MATCH(connections!$B43,games!$A$2:$A$950,0)),""))</f>
        <v>2024</v>
      </c>
      <c r="V43">
        <f t="shared" si="12"/>
        <v>9</v>
      </c>
    </row>
    <row r="44" spans="1:22" x14ac:dyDescent="0.25">
      <c r="A44" t="str">
        <f>IF(games!$A44="","",games!$A44)</f>
        <v>Astrea: Six-Sided Oracles</v>
      </c>
      <c r="B44">
        <f>IF($A44="","",games!$B44)</f>
        <v>2023</v>
      </c>
      <c r="C44" t="str">
        <f>IF($A44="","",games!$C44)</f>
        <v>Deckbuilder</v>
      </c>
      <c r="D44">
        <f>IF($A44="","",COUNTIF(connections!$A$2:$A$1473,$A44)+COUNTIF(connections!$B$2:$B$1473,$A44))</f>
        <v>1</v>
      </c>
      <c r="E44">
        <f t="shared" si="0"/>
        <v>3</v>
      </c>
      <c r="F44">
        <f t="shared" si="1"/>
        <v>10</v>
      </c>
      <c r="G44" t="e">
        <f t="shared" si="2"/>
        <v>#N/A</v>
      </c>
      <c r="H44" t="e">
        <f t="shared" si="3"/>
        <v>#N/A</v>
      </c>
      <c r="I44" t="e">
        <f t="shared" si="4"/>
        <v>#N/A</v>
      </c>
      <c r="J44" t="e">
        <f t="shared" si="5"/>
        <v>#N/A</v>
      </c>
      <c r="K44">
        <f t="shared" si="6"/>
        <v>2023</v>
      </c>
      <c r="L44">
        <f t="shared" si="7"/>
        <v>3.23</v>
      </c>
      <c r="M44" t="e">
        <f t="shared" si="8"/>
        <v>#N/A</v>
      </c>
      <c r="N44" t="e">
        <f t="shared" si="9"/>
        <v>#N/A</v>
      </c>
      <c r="O44">
        <f t="shared" si="10"/>
        <v>1.0000439999999999</v>
      </c>
      <c r="P44" t="str">
        <f>IF(OR($A44="",games!$H44=""),"",games!$H44)</f>
        <v>Yes</v>
      </c>
      <c r="Q44">
        <f t="shared" si="11"/>
        <v>1.0000439999999999</v>
      </c>
      <c r="T44">
        <f>IF(connections!$A44="","",IFERROR(INDEX(games!$B$2:$B$950,MATCH(connections!$A44,games!$A$2:$A$950,0)),""))</f>
        <v>2018</v>
      </c>
      <c r="U44">
        <f>IF(connections!$A44="","",IFERROR(INDEX(games!$B$2:$B$950,MATCH(connections!$B44,games!$A$2:$A$950,0)),""))</f>
        <v>2024</v>
      </c>
      <c r="V44">
        <f t="shared" si="12"/>
        <v>6</v>
      </c>
    </row>
    <row r="45" spans="1:22" x14ac:dyDescent="0.25">
      <c r="A45" t="str">
        <f>IF(games!$A45="","",games!$A45)</f>
        <v>Astro Prospector</v>
      </c>
      <c r="B45">
        <f>IF($A45="","",games!$B45)</f>
        <v>2025</v>
      </c>
      <c r="C45" t="str">
        <f>IF($A45="","",games!$C45)</f>
        <v>Action</v>
      </c>
      <c r="D45">
        <f>IF($A45="","",COUNTIF(connections!$A$2:$A$1473,$A45)+COUNTIF(connections!$B$2:$B$1473,$A45))</f>
        <v>5</v>
      </c>
      <c r="E45">
        <f t="shared" si="0"/>
        <v>1</v>
      </c>
      <c r="F45">
        <f t="shared" si="1"/>
        <v>11</v>
      </c>
      <c r="G45">
        <f t="shared" si="2"/>
        <v>2025</v>
      </c>
      <c r="H45">
        <f t="shared" si="3"/>
        <v>1.2530000000000001</v>
      </c>
      <c r="I45" t="e">
        <f t="shared" si="4"/>
        <v>#N/A</v>
      </c>
      <c r="J45" t="e">
        <f t="shared" si="5"/>
        <v>#N/A</v>
      </c>
      <c r="K45" t="e">
        <f t="shared" si="6"/>
        <v>#N/A</v>
      </c>
      <c r="L45" t="e">
        <f t="shared" si="7"/>
        <v>#N/A</v>
      </c>
      <c r="M45" t="e">
        <f t="shared" si="8"/>
        <v>#N/A</v>
      </c>
      <c r="N45" t="e">
        <f t="shared" si="9"/>
        <v>#N/A</v>
      </c>
      <c r="O45">
        <f t="shared" si="10"/>
        <v>5.0000450000000001</v>
      </c>
      <c r="P45" t="str">
        <f>IF(OR($A45="",games!$H45=""),"",games!$H45)</f>
        <v>Yes</v>
      </c>
      <c r="Q45">
        <f t="shared" si="11"/>
        <v>5.0000450000000001</v>
      </c>
      <c r="T45">
        <f>IF(connections!$A45="","",IFERROR(INDEX(games!$B$2:$B$950,MATCH(connections!$A45,games!$A$2:$A$950,0)),""))</f>
        <v>2022</v>
      </c>
      <c r="U45">
        <f>IF(connections!$A45="","",IFERROR(INDEX(games!$B$2:$B$950,MATCH(connections!$B45,games!$A$2:$A$950,0)),""))</f>
        <v>2025</v>
      </c>
      <c r="V45">
        <f t="shared" si="12"/>
        <v>3</v>
      </c>
    </row>
    <row r="46" spans="1:22" x14ac:dyDescent="0.25">
      <c r="A46" t="str">
        <f>IF(games!$A46="","",games!$A46)</f>
        <v>Astronarch</v>
      </c>
      <c r="B46">
        <f>IF($A46="","",games!$B46)</f>
        <v>2020</v>
      </c>
      <c r="C46" t="str">
        <f>IF($A46="","",games!$C46)</f>
        <v>Strategy</v>
      </c>
      <c r="D46">
        <f>IF($A46="","",COUNTIF(connections!$A$2:$A$1473,$A46)+COUNTIF(connections!$B$2:$B$1473,$A46))</f>
        <v>1</v>
      </c>
      <c r="E46">
        <f t="shared" si="0"/>
        <v>2</v>
      </c>
      <c r="F46">
        <f t="shared" si="1"/>
        <v>12</v>
      </c>
      <c r="G46" t="e">
        <f t="shared" si="2"/>
        <v>#N/A</v>
      </c>
      <c r="H46" t="e">
        <f t="shared" si="3"/>
        <v>#N/A</v>
      </c>
      <c r="I46">
        <f t="shared" si="4"/>
        <v>2020</v>
      </c>
      <c r="J46">
        <f t="shared" si="5"/>
        <v>2.2759999999999998</v>
      </c>
      <c r="K46" t="e">
        <f t="shared" si="6"/>
        <v>#N/A</v>
      </c>
      <c r="L46" t="e">
        <f t="shared" si="7"/>
        <v>#N/A</v>
      </c>
      <c r="M46" t="e">
        <f t="shared" si="8"/>
        <v>#N/A</v>
      </c>
      <c r="N46" t="e">
        <f t="shared" si="9"/>
        <v>#N/A</v>
      </c>
      <c r="O46">
        <f t="shared" si="10"/>
        <v>1.000046</v>
      </c>
      <c r="P46" t="str">
        <f>IF(OR($A46="",games!$H46=""),"",games!$H46)</f>
        <v>Yes</v>
      </c>
      <c r="Q46">
        <f t="shared" si="11"/>
        <v>1.000046</v>
      </c>
      <c r="T46">
        <f>IF(connections!$A46="","",IFERROR(INDEX(games!$B$2:$B$950,MATCH(connections!$A46,games!$A$2:$A$950,0)),""))</f>
        <v>2023</v>
      </c>
      <c r="U46">
        <f>IF(connections!$A46="","",IFERROR(INDEX(games!$B$2:$B$950,MATCH(connections!$B46,games!$A$2:$A$950,0)),""))</f>
        <v>2024</v>
      </c>
      <c r="V46">
        <f t="shared" si="12"/>
        <v>1</v>
      </c>
    </row>
    <row r="47" spans="1:22" x14ac:dyDescent="0.25">
      <c r="A47" t="str">
        <f>IF(games!$A47="","",games!$A47)</f>
        <v>Atai no Gensoukyou</v>
      </c>
      <c r="B47">
        <f>IF($A47="","",games!$B47)</f>
        <v>2010</v>
      </c>
      <c r="C47" t="str">
        <f>IF($A47="","",games!$C47)</f>
        <v>Traditional</v>
      </c>
      <c r="D47">
        <f>IF($A47="","",COUNTIF(connections!$A$2:$A$1473,$A47)+COUNTIF(connections!$B$2:$B$1473,$A47))</f>
        <v>1</v>
      </c>
      <c r="E47">
        <f t="shared" si="0"/>
        <v>4</v>
      </c>
      <c r="F47">
        <f t="shared" si="1"/>
        <v>13</v>
      </c>
      <c r="G47" t="e">
        <f t="shared" si="2"/>
        <v>#N/A</v>
      </c>
      <c r="H47" t="e">
        <f t="shared" si="3"/>
        <v>#N/A</v>
      </c>
      <c r="I47" t="e">
        <f t="shared" si="4"/>
        <v>#N/A</v>
      </c>
      <c r="J47" t="e">
        <f t="shared" si="5"/>
        <v>#N/A</v>
      </c>
      <c r="K47" t="e">
        <f t="shared" si="6"/>
        <v>#N/A</v>
      </c>
      <c r="L47" t="e">
        <f t="shared" si="7"/>
        <v>#N/A</v>
      </c>
      <c r="M47">
        <f t="shared" si="8"/>
        <v>2010</v>
      </c>
      <c r="N47">
        <f t="shared" si="9"/>
        <v>4.2990000000000004</v>
      </c>
      <c r="O47">
        <f t="shared" si="10"/>
        <v>1.0000469999999999</v>
      </c>
      <c r="P47" t="str">
        <f>IF(OR($A47="",games!$H47=""),"",games!$H47)</f>
        <v/>
      </c>
      <c r="Q47" t="str">
        <f t="shared" si="11"/>
        <v/>
      </c>
      <c r="T47">
        <f>IF(connections!$A47="","",IFERROR(INDEX(games!$B$2:$B$950,MATCH(connections!$A47,games!$A$2:$A$950,0)),""))</f>
        <v>2021</v>
      </c>
      <c r="U47">
        <f>IF(connections!$A47="","",IFERROR(INDEX(games!$B$2:$B$950,MATCH(connections!$B47,games!$A$2:$A$950,0)),""))</f>
        <v>2024</v>
      </c>
      <c r="V47">
        <f t="shared" si="12"/>
        <v>3</v>
      </c>
    </row>
    <row r="48" spans="1:22" x14ac:dyDescent="0.25">
      <c r="A48" t="str">
        <f>IF(games!$A48="","",games!$A48)</f>
        <v>Atomic Owl</v>
      </c>
      <c r="B48">
        <f>IF($A48="","",games!$B48)</f>
        <v>2025</v>
      </c>
      <c r="C48" t="str">
        <f>IF($A48="","",games!$C48)</f>
        <v>Action</v>
      </c>
      <c r="D48">
        <f>IF($A48="","",COUNTIF(connections!$A$2:$A$1473,$A48)+COUNTIF(connections!$B$2:$B$1473,$A48))</f>
        <v>1</v>
      </c>
      <c r="E48">
        <f t="shared" si="0"/>
        <v>1</v>
      </c>
      <c r="F48">
        <f t="shared" si="1"/>
        <v>14</v>
      </c>
      <c r="G48">
        <f t="shared" si="2"/>
        <v>2025</v>
      </c>
      <c r="H48">
        <f t="shared" si="3"/>
        <v>1.3220000000000001</v>
      </c>
      <c r="I48" t="e">
        <f t="shared" si="4"/>
        <v>#N/A</v>
      </c>
      <c r="J48" t="e">
        <f t="shared" si="5"/>
        <v>#N/A</v>
      </c>
      <c r="K48" t="e">
        <f t="shared" si="6"/>
        <v>#N/A</v>
      </c>
      <c r="L48" t="e">
        <f t="shared" si="7"/>
        <v>#N/A</v>
      </c>
      <c r="M48" t="e">
        <f t="shared" si="8"/>
        <v>#N/A</v>
      </c>
      <c r="N48" t="e">
        <f t="shared" si="9"/>
        <v>#N/A</v>
      </c>
      <c r="O48">
        <f t="shared" si="10"/>
        <v>1.000048</v>
      </c>
      <c r="P48" t="str">
        <f>IF(OR($A48="",games!$H48=""),"",games!$H48)</f>
        <v/>
      </c>
      <c r="Q48" t="str">
        <f t="shared" si="11"/>
        <v/>
      </c>
      <c r="T48">
        <f>IF(connections!$A48="","",IFERROR(INDEX(games!$B$2:$B$950,MATCH(connections!$A48,games!$A$2:$A$950,0)),""))</f>
        <v>2020</v>
      </c>
      <c r="U48">
        <f>IF(connections!$A48="","",IFERROR(INDEX(games!$B$2:$B$950,MATCH(connections!$B48,games!$A$2:$A$950,0)),""))</f>
        <v>2024</v>
      </c>
      <c r="V48">
        <f t="shared" si="12"/>
        <v>4</v>
      </c>
    </row>
    <row r="49" spans="1:22" x14ac:dyDescent="0.25">
      <c r="A49" t="str">
        <f>IF(games!$A49="","",games!$A49)</f>
        <v>Atomicrops</v>
      </c>
      <c r="B49">
        <f>IF($A49="","",games!$B49)</f>
        <v>2020</v>
      </c>
      <c r="C49" t="str">
        <f>IF($A49="","",games!$C49)</f>
        <v>Action</v>
      </c>
      <c r="D49">
        <f>IF($A49="","",COUNTIF(connections!$A$2:$A$1473,$A49)+COUNTIF(connections!$B$2:$B$1473,$A49))</f>
        <v>4</v>
      </c>
      <c r="E49">
        <f t="shared" si="0"/>
        <v>1</v>
      </c>
      <c r="F49">
        <f t="shared" si="1"/>
        <v>15</v>
      </c>
      <c r="G49">
        <f t="shared" si="2"/>
        <v>2020</v>
      </c>
      <c r="H49">
        <f t="shared" si="3"/>
        <v>1.345</v>
      </c>
      <c r="I49" t="e">
        <f t="shared" si="4"/>
        <v>#N/A</v>
      </c>
      <c r="J49" t="e">
        <f t="shared" si="5"/>
        <v>#N/A</v>
      </c>
      <c r="K49" t="e">
        <f t="shared" si="6"/>
        <v>#N/A</v>
      </c>
      <c r="L49" t="e">
        <f t="shared" si="7"/>
        <v>#N/A</v>
      </c>
      <c r="M49" t="e">
        <f t="shared" si="8"/>
        <v>#N/A</v>
      </c>
      <c r="N49" t="e">
        <f t="shared" si="9"/>
        <v>#N/A</v>
      </c>
      <c r="O49">
        <f t="shared" si="10"/>
        <v>4.0000489999999997</v>
      </c>
      <c r="P49" t="str">
        <f>IF(OR($A49="",games!$H49=""),"",games!$H49)</f>
        <v>Yes</v>
      </c>
      <c r="Q49">
        <f t="shared" si="11"/>
        <v>4.0000489999999997</v>
      </c>
      <c r="T49">
        <f>IF(connections!$A49="","",IFERROR(INDEX(games!$B$2:$B$950,MATCH(connections!$A49,games!$A$2:$A$950,0)),""))</f>
        <v>2017</v>
      </c>
      <c r="U49">
        <f>IF(connections!$A49="","",IFERROR(INDEX(games!$B$2:$B$950,MATCH(connections!$B49,games!$A$2:$A$950,0)),""))</f>
        <v>2024</v>
      </c>
      <c r="V49">
        <f t="shared" si="12"/>
        <v>7</v>
      </c>
    </row>
    <row r="50" spans="1:22" x14ac:dyDescent="0.25">
      <c r="A50" t="str">
        <f>IF(games!$A50="","",games!$A50)</f>
        <v>Auro: A Monster-Bumping Adventure</v>
      </c>
      <c r="B50">
        <f>IF($A50="","",games!$B50)</f>
        <v>2014</v>
      </c>
      <c r="C50" t="str">
        <f>IF($A50="","",games!$C50)</f>
        <v>Strategy</v>
      </c>
      <c r="D50">
        <f>IF($A50="","",COUNTIF(connections!$A$2:$A$1473,$A50)+COUNTIF(connections!$B$2:$B$1473,$A50))</f>
        <v>2</v>
      </c>
      <c r="E50">
        <f t="shared" si="0"/>
        <v>2</v>
      </c>
      <c r="F50">
        <f t="shared" si="1"/>
        <v>16</v>
      </c>
      <c r="G50" t="e">
        <f t="shared" si="2"/>
        <v>#N/A</v>
      </c>
      <c r="H50" t="e">
        <f t="shared" si="3"/>
        <v>#N/A</v>
      </c>
      <c r="I50">
        <f t="shared" si="4"/>
        <v>2014</v>
      </c>
      <c r="J50">
        <f t="shared" si="5"/>
        <v>2.3679999999999999</v>
      </c>
      <c r="K50" t="e">
        <f t="shared" si="6"/>
        <v>#N/A</v>
      </c>
      <c r="L50" t="e">
        <f t="shared" si="7"/>
        <v>#N/A</v>
      </c>
      <c r="M50" t="e">
        <f t="shared" si="8"/>
        <v>#N/A</v>
      </c>
      <c r="N50" t="e">
        <f t="shared" si="9"/>
        <v>#N/A</v>
      </c>
      <c r="O50">
        <f t="shared" si="10"/>
        <v>2.0000499999999999</v>
      </c>
      <c r="P50" t="str">
        <f>IF(OR($A50="",games!$H50=""),"",games!$H50)</f>
        <v/>
      </c>
      <c r="Q50" t="str">
        <f t="shared" si="11"/>
        <v/>
      </c>
      <c r="T50">
        <f>IF(connections!$A50="","",IFERROR(INDEX(games!$B$2:$B$950,MATCH(connections!$A50,games!$A$2:$A$950,0)),""))</f>
        <v>2010</v>
      </c>
      <c r="U50">
        <f>IF(connections!$A50="","",IFERROR(INDEX(games!$B$2:$B$950,MATCH(connections!$B50,games!$A$2:$A$950,0)),""))</f>
        <v>2020</v>
      </c>
      <c r="V50">
        <f t="shared" si="12"/>
        <v>10</v>
      </c>
    </row>
    <row r="51" spans="1:22" x14ac:dyDescent="0.25">
      <c r="A51" t="str">
        <f>IF(games!$A51="","",games!$A51)</f>
        <v>Auto Rogue</v>
      </c>
      <c r="B51">
        <f>IF($A51="","",games!$B51)</f>
        <v>2025</v>
      </c>
      <c r="C51" t="str">
        <f>IF($A51="","",games!$C51)</f>
        <v>Strategy</v>
      </c>
      <c r="D51">
        <f>IF($A51="","",COUNTIF(connections!$A$2:$A$1473,$A51)+COUNTIF(connections!$B$2:$B$1473,$A51))</f>
        <v>0</v>
      </c>
      <c r="E51">
        <f t="shared" si="0"/>
        <v>2</v>
      </c>
      <c r="F51">
        <f t="shared" si="1"/>
        <v>17</v>
      </c>
      <c r="G51" t="e">
        <f t="shared" si="2"/>
        <v>#N/A</v>
      </c>
      <c r="H51" t="e">
        <f t="shared" si="3"/>
        <v>#N/A</v>
      </c>
      <c r="I51">
        <f t="shared" si="4"/>
        <v>2025</v>
      </c>
      <c r="J51">
        <f t="shared" si="5"/>
        <v>2.391</v>
      </c>
      <c r="K51" t="e">
        <f t="shared" si="6"/>
        <v>#N/A</v>
      </c>
      <c r="L51" t="e">
        <f t="shared" si="7"/>
        <v>#N/A</v>
      </c>
      <c r="M51" t="e">
        <f t="shared" si="8"/>
        <v>#N/A</v>
      </c>
      <c r="N51" t="e">
        <f t="shared" si="9"/>
        <v>#N/A</v>
      </c>
      <c r="O51">
        <f t="shared" si="10"/>
        <v>5.1E-5</v>
      </c>
      <c r="P51" t="str">
        <f>IF(OR($A51="",games!$H51=""),"",games!$H51)</f>
        <v/>
      </c>
      <c r="Q51" t="str">
        <f t="shared" si="11"/>
        <v/>
      </c>
      <c r="T51">
        <f>IF(connections!$A51="","",IFERROR(INDEX(games!$B$2:$B$950,MATCH(connections!$A51,games!$A$2:$A$950,0)),""))</f>
        <v>2020</v>
      </c>
      <c r="U51">
        <f>IF(connections!$A51="","",IFERROR(INDEX(games!$B$2:$B$950,MATCH(connections!$B51,games!$A$2:$A$950,0)),""))</f>
        <v>2024</v>
      </c>
      <c r="V51">
        <f t="shared" si="12"/>
        <v>4</v>
      </c>
    </row>
    <row r="52" spans="1:22" x14ac:dyDescent="0.25">
      <c r="A52" t="str">
        <f>IF(games!$A52="","",games!$A52)</f>
        <v>Azure Dreams</v>
      </c>
      <c r="B52">
        <f>IF($A52="","",games!$B52)</f>
        <v>1997</v>
      </c>
      <c r="C52" t="str">
        <f>IF($A52="","",games!$C52)</f>
        <v>Traditional</v>
      </c>
      <c r="D52">
        <f>IF($A52="","",COUNTIF(connections!$A$2:$A$1473,$A52)+COUNTIF(connections!$B$2:$B$1473,$A52))</f>
        <v>4</v>
      </c>
      <c r="E52">
        <f t="shared" si="0"/>
        <v>4</v>
      </c>
      <c r="F52">
        <f t="shared" si="1"/>
        <v>18</v>
      </c>
      <c r="G52" t="e">
        <f t="shared" si="2"/>
        <v>#N/A</v>
      </c>
      <c r="H52" t="e">
        <f t="shared" si="3"/>
        <v>#N/A</v>
      </c>
      <c r="I52" t="e">
        <f t="shared" si="4"/>
        <v>#N/A</v>
      </c>
      <c r="J52" t="e">
        <f t="shared" si="5"/>
        <v>#N/A</v>
      </c>
      <c r="K52" t="e">
        <f t="shared" si="6"/>
        <v>#N/A</v>
      </c>
      <c r="L52" t="e">
        <f t="shared" si="7"/>
        <v>#N/A</v>
      </c>
      <c r="M52">
        <f t="shared" si="8"/>
        <v>1997</v>
      </c>
      <c r="N52">
        <f t="shared" si="9"/>
        <v>4.4139999999999997</v>
      </c>
      <c r="O52">
        <f t="shared" si="10"/>
        <v>4.0000520000000002</v>
      </c>
      <c r="P52" t="str">
        <f>IF(OR($A52="",games!$H52=""),"",games!$H52)</f>
        <v>Yes</v>
      </c>
      <c r="Q52">
        <f t="shared" si="11"/>
        <v>4.0000520000000002</v>
      </c>
      <c r="T52">
        <f>IF(connections!$A52="","",IFERROR(INDEX(games!$B$2:$B$950,MATCH(connections!$A52,games!$A$2:$A$950,0)),""))</f>
        <v>2018</v>
      </c>
      <c r="U52">
        <f>IF(connections!$A52="","",IFERROR(INDEX(games!$B$2:$B$950,MATCH(connections!$B52,games!$A$2:$A$950,0)),""))</f>
        <v>2024</v>
      </c>
      <c r="V52">
        <f t="shared" si="12"/>
        <v>6</v>
      </c>
    </row>
    <row r="53" spans="1:22" x14ac:dyDescent="0.25">
      <c r="A53" t="str">
        <f>IF(games!$A53="","",games!$A53)</f>
        <v>Backpack Battles</v>
      </c>
      <c r="B53">
        <f>IF($A53="","",games!$B53)</f>
        <v>2023</v>
      </c>
      <c r="C53" t="str">
        <f>IF($A53="","",games!$C53)</f>
        <v>Strategy</v>
      </c>
      <c r="D53">
        <f>IF($A53="","",COUNTIF(connections!$A$2:$A$1473,$A53)+COUNTIF(connections!$B$2:$B$1473,$A53))</f>
        <v>10</v>
      </c>
      <c r="E53">
        <f t="shared" si="0"/>
        <v>2</v>
      </c>
      <c r="F53">
        <f t="shared" si="1"/>
        <v>19</v>
      </c>
      <c r="G53" t="e">
        <f t="shared" si="2"/>
        <v>#N/A</v>
      </c>
      <c r="H53" t="e">
        <f t="shared" si="3"/>
        <v>#N/A</v>
      </c>
      <c r="I53">
        <f t="shared" si="4"/>
        <v>2023</v>
      </c>
      <c r="J53">
        <f t="shared" si="5"/>
        <v>2.4369999999999998</v>
      </c>
      <c r="K53" t="e">
        <f t="shared" si="6"/>
        <v>#N/A</v>
      </c>
      <c r="L53" t="e">
        <f t="shared" si="7"/>
        <v>#N/A</v>
      </c>
      <c r="M53" t="e">
        <f t="shared" si="8"/>
        <v>#N/A</v>
      </c>
      <c r="N53" t="e">
        <f t="shared" si="9"/>
        <v>#N/A</v>
      </c>
      <c r="O53">
        <f t="shared" si="10"/>
        <v>10.000052999999999</v>
      </c>
      <c r="P53" t="str">
        <f>IF(OR($A53="",games!$H53=""),"",games!$H53)</f>
        <v>Yes</v>
      </c>
      <c r="Q53">
        <f t="shared" si="11"/>
        <v>10.000052999999999</v>
      </c>
      <c r="T53">
        <f>IF(connections!$A53="","",IFERROR(INDEX(games!$B$2:$B$950,MATCH(connections!$A53,games!$A$2:$A$950,0)),""))</f>
        <v>2023</v>
      </c>
      <c r="U53">
        <f>IF(connections!$A53="","",IFERROR(INDEX(games!$B$2:$B$950,MATCH(connections!$B53,games!$A$2:$A$950,0)),""))</f>
        <v>2025</v>
      </c>
      <c r="V53">
        <f t="shared" si="12"/>
        <v>2</v>
      </c>
    </row>
    <row r="54" spans="1:22" x14ac:dyDescent="0.25">
      <c r="A54" t="str">
        <f>IF(games!$A54="","",games!$A54)</f>
        <v>Backpack Hero</v>
      </c>
      <c r="B54">
        <f>IF($A54="","",games!$B54)</f>
        <v>2022</v>
      </c>
      <c r="C54" t="str">
        <f>IF($A54="","",games!$C54)</f>
        <v>Deckbuilder</v>
      </c>
      <c r="D54">
        <f>IF($A54="","",COUNTIF(connections!$A$2:$A$1473,$A54)+COUNTIF(connections!$B$2:$B$1473,$A54))</f>
        <v>12</v>
      </c>
      <c r="E54">
        <f t="shared" si="0"/>
        <v>3</v>
      </c>
      <c r="F54">
        <f t="shared" si="1"/>
        <v>20</v>
      </c>
      <c r="G54" t="e">
        <f t="shared" si="2"/>
        <v>#N/A</v>
      </c>
      <c r="H54" t="e">
        <f t="shared" si="3"/>
        <v>#N/A</v>
      </c>
      <c r="I54" t="e">
        <f t="shared" si="4"/>
        <v>#N/A</v>
      </c>
      <c r="J54" t="e">
        <f t="shared" si="5"/>
        <v>#N/A</v>
      </c>
      <c r="K54">
        <f t="shared" si="6"/>
        <v>2022</v>
      </c>
      <c r="L54">
        <f t="shared" si="7"/>
        <v>3.46</v>
      </c>
      <c r="M54" t="e">
        <f t="shared" si="8"/>
        <v>#N/A</v>
      </c>
      <c r="N54" t="e">
        <f t="shared" si="9"/>
        <v>#N/A</v>
      </c>
      <c r="O54">
        <f t="shared" si="10"/>
        <v>12.000054</v>
      </c>
      <c r="P54" t="str">
        <f>IF(OR($A54="",games!$H54=""),"",games!$H54)</f>
        <v>Yes</v>
      </c>
      <c r="Q54">
        <f t="shared" si="11"/>
        <v>12.000054</v>
      </c>
      <c r="T54">
        <f>IF(connections!$A54="","",IFERROR(INDEX(games!$B$2:$B$950,MATCH(connections!$A54,games!$A$2:$A$950,0)),""))</f>
        <v>2012</v>
      </c>
      <c r="U54">
        <f>IF(connections!$A54="","",IFERROR(INDEX(games!$B$2:$B$950,MATCH(connections!$B54,games!$A$2:$A$950,0)),""))</f>
        <v>2020</v>
      </c>
      <c r="V54">
        <f t="shared" si="12"/>
        <v>8</v>
      </c>
    </row>
    <row r="55" spans="1:22" x14ac:dyDescent="0.25">
      <c r="A55" t="str">
        <f>IF(games!$A55="","",games!$A55)</f>
        <v>Bad North</v>
      </c>
      <c r="B55">
        <f>IF($A55="","",games!$B55)</f>
        <v>2018</v>
      </c>
      <c r="C55" t="str">
        <f>IF($A55="","",games!$C55)</f>
        <v>Strategy</v>
      </c>
      <c r="D55">
        <f>IF($A55="","",COUNTIF(connections!$A$2:$A$1473,$A55)+COUNTIF(connections!$B$2:$B$1473,$A55))</f>
        <v>2</v>
      </c>
      <c r="E55">
        <f t="shared" si="0"/>
        <v>2</v>
      </c>
      <c r="F55">
        <f t="shared" si="1"/>
        <v>21</v>
      </c>
      <c r="G55" t="e">
        <f t="shared" si="2"/>
        <v>#N/A</v>
      </c>
      <c r="H55" t="e">
        <f t="shared" si="3"/>
        <v>#N/A</v>
      </c>
      <c r="I55">
        <f t="shared" si="4"/>
        <v>2018</v>
      </c>
      <c r="J55">
        <f t="shared" si="5"/>
        <v>2.4830000000000001</v>
      </c>
      <c r="K55" t="e">
        <f t="shared" si="6"/>
        <v>#N/A</v>
      </c>
      <c r="L55" t="e">
        <f t="shared" si="7"/>
        <v>#N/A</v>
      </c>
      <c r="M55" t="e">
        <f t="shared" si="8"/>
        <v>#N/A</v>
      </c>
      <c r="N55" t="e">
        <f t="shared" si="9"/>
        <v>#N/A</v>
      </c>
      <c r="O55">
        <f t="shared" si="10"/>
        <v>2.0000550000000001</v>
      </c>
      <c r="P55" t="str">
        <f>IF(OR($A55="",games!$H55=""),"",games!$H55)</f>
        <v>Yes</v>
      </c>
      <c r="Q55">
        <f t="shared" si="11"/>
        <v>2.0000550000000001</v>
      </c>
      <c r="T55">
        <f>IF(connections!$A55="","",IFERROR(INDEX(games!$B$2:$B$950,MATCH(connections!$A55,games!$A$2:$A$950,0)),""))</f>
        <v>2017</v>
      </c>
      <c r="U55">
        <f>IF(connections!$A55="","",IFERROR(INDEX(games!$B$2:$B$950,MATCH(connections!$B55,games!$A$2:$A$950,0)),""))</f>
        <v>2020</v>
      </c>
      <c r="V55">
        <f t="shared" si="12"/>
        <v>3</v>
      </c>
    </row>
    <row r="56" spans="1:22" x14ac:dyDescent="0.25">
      <c r="A56" t="str">
        <f>IF(games!$A56="","",games!$A56)</f>
        <v>Balatro</v>
      </c>
      <c r="B56">
        <f>IF($A56="","",games!$B56)</f>
        <v>2023</v>
      </c>
      <c r="C56" t="str">
        <f>IF($A56="","",games!$C56)</f>
        <v>Deckbuilder</v>
      </c>
      <c r="D56">
        <f>IF($A56="","",COUNTIF(connections!$A$2:$A$1473,$A56)+COUNTIF(connections!$B$2:$B$1473,$A56))</f>
        <v>60</v>
      </c>
      <c r="E56">
        <f t="shared" si="0"/>
        <v>3</v>
      </c>
      <c r="F56">
        <f t="shared" si="1"/>
        <v>22</v>
      </c>
      <c r="G56" t="e">
        <f t="shared" si="2"/>
        <v>#N/A</v>
      </c>
      <c r="H56" t="e">
        <f t="shared" si="3"/>
        <v>#N/A</v>
      </c>
      <c r="I56" t="e">
        <f t="shared" si="4"/>
        <v>#N/A</v>
      </c>
      <c r="J56" t="e">
        <f t="shared" si="5"/>
        <v>#N/A</v>
      </c>
      <c r="K56">
        <f t="shared" si="6"/>
        <v>2023</v>
      </c>
      <c r="L56">
        <f t="shared" si="7"/>
        <v>3.5060000000000002</v>
      </c>
      <c r="M56" t="e">
        <f t="shared" si="8"/>
        <v>#N/A</v>
      </c>
      <c r="N56" t="e">
        <f t="shared" si="9"/>
        <v>#N/A</v>
      </c>
      <c r="O56">
        <f t="shared" si="10"/>
        <v>60.000056000000001</v>
      </c>
      <c r="P56" t="str">
        <f>IF(OR($A56="",games!$H56=""),"",games!$H56)</f>
        <v>Yes</v>
      </c>
      <c r="Q56">
        <f t="shared" si="11"/>
        <v>60.000056000000001</v>
      </c>
      <c r="T56">
        <f>IF(connections!$A56="","",IFERROR(INDEX(games!$B$2:$B$950,MATCH(connections!$A56,games!$A$2:$A$950,0)),""))</f>
        <v>2019</v>
      </c>
      <c r="U56">
        <f>IF(connections!$A56="","",IFERROR(INDEX(games!$B$2:$B$950,MATCH(connections!$B56,games!$A$2:$A$950,0)),""))</f>
        <v>2026</v>
      </c>
      <c r="V56">
        <f t="shared" si="12"/>
        <v>7</v>
      </c>
    </row>
    <row r="57" spans="1:22" x14ac:dyDescent="0.25">
      <c r="A57" t="str">
        <f>IF(games!$A57="","",games!$A57)</f>
        <v>Baldi's Basics Plus</v>
      </c>
      <c r="B57">
        <f>IF($A57="","",games!$B57)</f>
        <v>2020</v>
      </c>
      <c r="C57" t="str">
        <f>IF($A57="","",games!$C57)</f>
        <v>Strategy</v>
      </c>
      <c r="D57">
        <f>IF($A57="","",COUNTIF(connections!$A$2:$A$1473,$A57)+COUNTIF(connections!$B$2:$B$1473,$A57))</f>
        <v>1</v>
      </c>
      <c r="E57">
        <f t="shared" si="0"/>
        <v>2</v>
      </c>
      <c r="F57">
        <f t="shared" si="1"/>
        <v>23</v>
      </c>
      <c r="G57" t="e">
        <f t="shared" si="2"/>
        <v>#N/A</v>
      </c>
      <c r="H57" t="e">
        <f t="shared" si="3"/>
        <v>#N/A</v>
      </c>
      <c r="I57">
        <f t="shared" si="4"/>
        <v>2020</v>
      </c>
      <c r="J57">
        <f t="shared" si="5"/>
        <v>2.5289999999999999</v>
      </c>
      <c r="K57" t="e">
        <f t="shared" si="6"/>
        <v>#N/A</v>
      </c>
      <c r="L57" t="e">
        <f t="shared" si="7"/>
        <v>#N/A</v>
      </c>
      <c r="M57" t="e">
        <f t="shared" si="8"/>
        <v>#N/A</v>
      </c>
      <c r="N57" t="e">
        <f t="shared" si="9"/>
        <v>#N/A</v>
      </c>
      <c r="O57">
        <f t="shared" si="10"/>
        <v>1.000057</v>
      </c>
      <c r="P57" t="str">
        <f>IF(OR($A57="",games!$H57=""),"",games!$H57)</f>
        <v/>
      </c>
      <c r="Q57" t="str">
        <f t="shared" si="11"/>
        <v/>
      </c>
      <c r="T57">
        <f>IF(connections!$A57="","",IFERROR(INDEX(games!$B$2:$B$950,MATCH(connections!$A57,games!$A$2:$A$950,0)),""))</f>
        <v>2017</v>
      </c>
      <c r="U57">
        <f>IF(connections!$A57="","",IFERROR(INDEX(games!$B$2:$B$950,MATCH(connections!$B57,games!$A$2:$A$950,0)),""))</f>
        <v>2026</v>
      </c>
      <c r="V57">
        <f t="shared" si="12"/>
        <v>9</v>
      </c>
    </row>
    <row r="58" spans="1:22" x14ac:dyDescent="0.25">
      <c r="A58" t="str">
        <f>IF(games!$A58="","",games!$A58)</f>
        <v>Ball x Pit</v>
      </c>
      <c r="B58">
        <f>IF($A58="","",games!$B58)</f>
        <v>2025</v>
      </c>
      <c r="C58" t="str">
        <f>IF($A58="","",games!$C58)</f>
        <v>Action</v>
      </c>
      <c r="D58">
        <f>IF($A58="","",COUNTIF(connections!$A$2:$A$1473,$A58)+COUNTIF(connections!$B$2:$B$1473,$A58))</f>
        <v>3</v>
      </c>
      <c r="E58">
        <f t="shared" si="0"/>
        <v>1</v>
      </c>
      <c r="F58">
        <f t="shared" si="1"/>
        <v>24</v>
      </c>
      <c r="G58">
        <f t="shared" si="2"/>
        <v>2025</v>
      </c>
      <c r="H58">
        <f t="shared" si="3"/>
        <v>1.552</v>
      </c>
      <c r="I58" t="e">
        <f t="shared" si="4"/>
        <v>#N/A</v>
      </c>
      <c r="J58" t="e">
        <f t="shared" si="5"/>
        <v>#N/A</v>
      </c>
      <c r="K58" t="e">
        <f t="shared" si="6"/>
        <v>#N/A</v>
      </c>
      <c r="L58" t="e">
        <f t="shared" si="7"/>
        <v>#N/A</v>
      </c>
      <c r="M58" t="e">
        <f t="shared" si="8"/>
        <v>#N/A</v>
      </c>
      <c r="N58" t="e">
        <f t="shared" si="9"/>
        <v>#N/A</v>
      </c>
      <c r="O58">
        <f t="shared" si="10"/>
        <v>3.0000580000000001</v>
      </c>
      <c r="P58" t="str">
        <f>IF(OR($A58="",games!$H58=""),"",games!$H58)</f>
        <v>Yes</v>
      </c>
      <c r="Q58">
        <f t="shared" si="11"/>
        <v>3.0000580000000001</v>
      </c>
      <c r="T58">
        <f>IF(connections!$A58="","",IFERROR(INDEX(games!$B$2:$B$950,MATCH(connections!$A58,games!$A$2:$A$950,0)),""))</f>
        <v>2021</v>
      </c>
      <c r="U58">
        <f>IF(connections!$A58="","",IFERROR(INDEX(games!$B$2:$B$950,MATCH(connections!$B58,games!$A$2:$A$950,0)),""))</f>
        <v>2024</v>
      </c>
      <c r="V58">
        <f t="shared" si="12"/>
        <v>3</v>
      </c>
    </row>
    <row r="59" spans="1:22" x14ac:dyDescent="0.25">
      <c r="A59" t="str">
        <f>IF(games!$A59="","",games!$A59)</f>
        <v>Ballionaire</v>
      </c>
      <c r="B59">
        <f>IF($A59="","",games!$B59)</f>
        <v>2024</v>
      </c>
      <c r="C59" t="str">
        <f>IF($A59="","",games!$C59)</f>
        <v>Deckbuilder</v>
      </c>
      <c r="D59">
        <f>IF($A59="","",COUNTIF(connections!$A$2:$A$1473,$A59)+COUNTIF(connections!$B$2:$B$1473,$A59))</f>
        <v>4</v>
      </c>
      <c r="E59">
        <f t="shared" si="0"/>
        <v>3</v>
      </c>
      <c r="F59">
        <f t="shared" si="1"/>
        <v>25</v>
      </c>
      <c r="G59" t="e">
        <f t="shared" si="2"/>
        <v>#N/A</v>
      </c>
      <c r="H59" t="e">
        <f t="shared" si="3"/>
        <v>#N/A</v>
      </c>
      <c r="I59" t="e">
        <f t="shared" si="4"/>
        <v>#N/A</v>
      </c>
      <c r="J59" t="e">
        <f t="shared" si="5"/>
        <v>#N/A</v>
      </c>
      <c r="K59">
        <f t="shared" si="6"/>
        <v>2024</v>
      </c>
      <c r="L59">
        <f t="shared" si="7"/>
        <v>3.5750000000000002</v>
      </c>
      <c r="M59" t="e">
        <f t="shared" si="8"/>
        <v>#N/A</v>
      </c>
      <c r="N59" t="e">
        <f t="shared" si="9"/>
        <v>#N/A</v>
      </c>
      <c r="O59">
        <f t="shared" si="10"/>
        <v>4.0000590000000003</v>
      </c>
      <c r="P59" t="str">
        <f>IF(OR($A59="",games!$H59=""),"",games!$H59)</f>
        <v>Yes</v>
      </c>
      <c r="Q59">
        <f t="shared" si="11"/>
        <v>4.0000590000000003</v>
      </c>
      <c r="T59">
        <f>IF(connections!$A59="","",IFERROR(INDEX(games!$B$2:$B$950,MATCH(connections!$A59,games!$A$2:$A$950,0)),""))</f>
        <v>2022</v>
      </c>
      <c r="U59">
        <f>IF(connections!$A59="","",IFERROR(INDEX(games!$B$2:$B$950,MATCH(connections!$B59,games!$A$2:$A$950,0)),""))</f>
        <v>2026</v>
      </c>
      <c r="V59">
        <f t="shared" si="12"/>
        <v>4</v>
      </c>
    </row>
    <row r="60" spans="1:22" x14ac:dyDescent="0.25">
      <c r="A60" t="str">
        <f>IF(games!$A60="","",games!$A60)</f>
        <v>Banners of Ruin</v>
      </c>
      <c r="B60">
        <f>IF($A60="","",games!$B60)</f>
        <v>2020</v>
      </c>
      <c r="C60" t="str">
        <f>IF($A60="","",games!$C60)</f>
        <v>Deckbuilder</v>
      </c>
      <c r="D60">
        <f>IF($A60="","",COUNTIF(connections!$A$2:$A$1473,$A60)+COUNTIF(connections!$B$2:$B$1473,$A60))</f>
        <v>1</v>
      </c>
      <c r="E60">
        <f t="shared" si="0"/>
        <v>3</v>
      </c>
      <c r="F60">
        <f t="shared" si="1"/>
        <v>26</v>
      </c>
      <c r="G60" t="e">
        <f t="shared" si="2"/>
        <v>#N/A</v>
      </c>
      <c r="H60" t="e">
        <f t="shared" si="3"/>
        <v>#N/A</v>
      </c>
      <c r="I60" t="e">
        <f t="shared" si="4"/>
        <v>#N/A</v>
      </c>
      <c r="J60" t="e">
        <f t="shared" si="5"/>
        <v>#N/A</v>
      </c>
      <c r="K60">
        <f t="shared" si="6"/>
        <v>2020</v>
      </c>
      <c r="L60">
        <f t="shared" si="7"/>
        <v>3.5979999999999999</v>
      </c>
      <c r="M60" t="e">
        <f t="shared" si="8"/>
        <v>#N/A</v>
      </c>
      <c r="N60" t="e">
        <f t="shared" si="9"/>
        <v>#N/A</v>
      </c>
      <c r="O60">
        <f t="shared" si="10"/>
        <v>1.0000599999999999</v>
      </c>
      <c r="P60" t="str">
        <f>IF(OR($A60="",games!$H60=""),"",games!$H60)</f>
        <v>Yes</v>
      </c>
      <c r="Q60">
        <f t="shared" si="11"/>
        <v>1.0000599999999999</v>
      </c>
      <c r="T60">
        <f>IF(connections!$A60="","",IFERROR(INDEX(games!$B$2:$B$950,MATCH(connections!$A60,games!$A$2:$A$950,0)),""))</f>
        <v>1996</v>
      </c>
      <c r="U60">
        <f>IF(connections!$A60="","",IFERROR(INDEX(games!$B$2:$B$950,MATCH(connections!$B60,games!$A$2:$A$950,0)),""))</f>
        <v>2026</v>
      </c>
      <c r="V60">
        <f t="shared" si="12"/>
        <v>30</v>
      </c>
    </row>
    <row r="61" spans="1:22" x14ac:dyDescent="0.25">
      <c r="A61" t="str">
        <f>IF(games!$A61="","",games!$A61)</f>
        <v>Barda</v>
      </c>
      <c r="B61">
        <f>IF($A61="","",games!$B61)</f>
        <v>2026</v>
      </c>
      <c r="C61" t="str">
        <f>IF($A61="","",games!$C61)</f>
        <v>Strategy</v>
      </c>
      <c r="D61">
        <f>IF($A61="","",COUNTIF(connections!$A$2:$A$1473,$A61)+COUNTIF(connections!$B$2:$B$1473,$A61))</f>
        <v>2</v>
      </c>
      <c r="E61">
        <f t="shared" si="0"/>
        <v>2</v>
      </c>
      <c r="F61">
        <f t="shared" si="1"/>
        <v>27</v>
      </c>
      <c r="G61" t="e">
        <f t="shared" si="2"/>
        <v>#N/A</v>
      </c>
      <c r="H61" t="e">
        <f t="shared" si="3"/>
        <v>#N/A</v>
      </c>
      <c r="I61">
        <f t="shared" si="4"/>
        <v>2026</v>
      </c>
      <c r="J61">
        <f t="shared" si="5"/>
        <v>2.621</v>
      </c>
      <c r="K61" t="e">
        <f t="shared" si="6"/>
        <v>#N/A</v>
      </c>
      <c r="L61" t="e">
        <f t="shared" si="7"/>
        <v>#N/A</v>
      </c>
      <c r="M61" t="e">
        <f t="shared" si="8"/>
        <v>#N/A</v>
      </c>
      <c r="N61" t="e">
        <f t="shared" si="9"/>
        <v>#N/A</v>
      </c>
      <c r="O61">
        <f t="shared" si="10"/>
        <v>2.0000610000000001</v>
      </c>
      <c r="P61" t="str">
        <f>IF(OR($A61="",games!$H61=""),"",games!$H61)</f>
        <v/>
      </c>
      <c r="Q61" t="str">
        <f t="shared" si="11"/>
        <v/>
      </c>
      <c r="T61">
        <f>IF(connections!$A61="","",IFERROR(INDEX(games!$B$2:$B$950,MATCH(connections!$A61,games!$A$2:$A$950,0)),""))</f>
        <v>2021</v>
      </c>
      <c r="U61">
        <f>IF(connections!$A61="","",IFERROR(INDEX(games!$B$2:$B$950,MATCH(connections!$B61,games!$A$2:$A$950,0)),""))</f>
        <v>2026</v>
      </c>
      <c r="V61">
        <f t="shared" si="12"/>
        <v>5</v>
      </c>
    </row>
    <row r="62" spans="1:22" x14ac:dyDescent="0.25">
      <c r="A62" t="str">
        <f>IF(games!$A62="","",games!$A62)</f>
        <v>Barony</v>
      </c>
      <c r="B62">
        <f>IF($A62="","",games!$B62)</f>
        <v>2015</v>
      </c>
      <c r="C62" t="str">
        <f>IF($A62="","",games!$C62)</f>
        <v>Action</v>
      </c>
      <c r="D62">
        <f>IF($A62="","",COUNTIF(connections!$A$2:$A$1473,$A62)+COUNTIF(connections!$B$2:$B$1473,$A62))</f>
        <v>2</v>
      </c>
      <c r="E62">
        <f t="shared" si="0"/>
        <v>1</v>
      </c>
      <c r="F62">
        <f t="shared" si="1"/>
        <v>28</v>
      </c>
      <c r="G62">
        <f t="shared" si="2"/>
        <v>2015</v>
      </c>
      <c r="H62">
        <f t="shared" si="3"/>
        <v>1.6440000000000001</v>
      </c>
      <c r="I62" t="e">
        <f t="shared" si="4"/>
        <v>#N/A</v>
      </c>
      <c r="J62" t="e">
        <f t="shared" si="5"/>
        <v>#N/A</v>
      </c>
      <c r="K62" t="e">
        <f t="shared" si="6"/>
        <v>#N/A</v>
      </c>
      <c r="L62" t="e">
        <f t="shared" si="7"/>
        <v>#N/A</v>
      </c>
      <c r="M62" t="e">
        <f t="shared" si="8"/>
        <v>#N/A</v>
      </c>
      <c r="N62" t="e">
        <f t="shared" si="9"/>
        <v>#N/A</v>
      </c>
      <c r="O62">
        <f t="shared" si="10"/>
        <v>2.0000619999999998</v>
      </c>
      <c r="P62" t="str">
        <f>IF(OR($A62="",games!$H62=""),"",games!$H62)</f>
        <v>Yes</v>
      </c>
      <c r="Q62">
        <f t="shared" si="11"/>
        <v>2.0000619999999998</v>
      </c>
      <c r="T62">
        <f>IF(connections!$A62="","",IFERROR(INDEX(games!$B$2:$B$950,MATCH(connections!$A62,games!$A$2:$A$950,0)),""))</f>
        <v>2021</v>
      </c>
      <c r="U62">
        <f>IF(connections!$A62="","",IFERROR(INDEX(games!$B$2:$B$950,MATCH(connections!$B62,games!$A$2:$A$950,0)),""))</f>
        <v>2022</v>
      </c>
      <c r="V62">
        <f t="shared" si="12"/>
        <v>1</v>
      </c>
    </row>
    <row r="63" spans="1:22" x14ac:dyDescent="0.25">
      <c r="A63" t="str">
        <f>IF(games!$A63="","",games!$A63)</f>
        <v>Baroque</v>
      </c>
      <c r="B63">
        <f>IF($A63="","",games!$B63)</f>
        <v>1998</v>
      </c>
      <c r="C63" t="str">
        <f>IF($A63="","",games!$C63)</f>
        <v>Action</v>
      </c>
      <c r="D63">
        <f>IF($A63="","",COUNTIF(connections!$A$2:$A$1473,$A63)+COUNTIF(connections!$B$2:$B$1473,$A63))</f>
        <v>5</v>
      </c>
      <c r="E63">
        <f t="shared" si="0"/>
        <v>1</v>
      </c>
      <c r="F63">
        <f t="shared" si="1"/>
        <v>29</v>
      </c>
      <c r="G63">
        <f t="shared" si="2"/>
        <v>1998</v>
      </c>
      <c r="H63">
        <f t="shared" si="3"/>
        <v>1.667</v>
      </c>
      <c r="I63" t="e">
        <f t="shared" si="4"/>
        <v>#N/A</v>
      </c>
      <c r="J63" t="e">
        <f t="shared" si="5"/>
        <v>#N/A</v>
      </c>
      <c r="K63" t="e">
        <f t="shared" si="6"/>
        <v>#N/A</v>
      </c>
      <c r="L63" t="e">
        <f t="shared" si="7"/>
        <v>#N/A</v>
      </c>
      <c r="M63" t="e">
        <f t="shared" si="8"/>
        <v>#N/A</v>
      </c>
      <c r="N63" t="e">
        <f t="shared" si="9"/>
        <v>#N/A</v>
      </c>
      <c r="O63">
        <f t="shared" si="10"/>
        <v>5.0000629999999999</v>
      </c>
      <c r="P63" t="str">
        <f>IF(OR($A63="",games!$H63=""),"",games!$H63)</f>
        <v/>
      </c>
      <c r="Q63" t="str">
        <f t="shared" si="11"/>
        <v/>
      </c>
      <c r="T63">
        <f>IF(connections!$A63="","",IFERROR(INDEX(games!$B$2:$B$950,MATCH(connections!$A63,games!$A$2:$A$950,0)),""))</f>
        <v>2022</v>
      </c>
      <c r="U63">
        <f>IF(connections!$A63="","",IFERROR(INDEX(games!$B$2:$B$950,MATCH(connections!$B63,games!$A$2:$A$950,0)),""))</f>
        <v>2025</v>
      </c>
      <c r="V63">
        <f t="shared" si="12"/>
        <v>3</v>
      </c>
    </row>
    <row r="64" spans="1:22" x14ac:dyDescent="0.25">
      <c r="A64" t="str">
        <f>IF(games!$A64="","",games!$A64)</f>
        <v>Baroque (2007)</v>
      </c>
      <c r="B64">
        <f>IF($A64="","",games!$B64)</f>
        <v>2007</v>
      </c>
      <c r="C64" t="str">
        <f>IF($A64="","",games!$C64)</f>
        <v>Action</v>
      </c>
      <c r="D64">
        <f>IF($A64="","",COUNTIF(connections!$A$2:$A$1473,$A64)+COUNTIF(connections!$B$2:$B$1473,$A64))</f>
        <v>1</v>
      </c>
      <c r="E64">
        <f t="shared" si="0"/>
        <v>1</v>
      </c>
      <c r="F64">
        <f t="shared" si="1"/>
        <v>30</v>
      </c>
      <c r="G64">
        <f t="shared" si="2"/>
        <v>2007</v>
      </c>
      <c r="H64">
        <f t="shared" si="3"/>
        <v>1.69</v>
      </c>
      <c r="I64" t="e">
        <f t="shared" si="4"/>
        <v>#N/A</v>
      </c>
      <c r="J64" t="e">
        <f t="shared" si="5"/>
        <v>#N/A</v>
      </c>
      <c r="K64" t="e">
        <f t="shared" si="6"/>
        <v>#N/A</v>
      </c>
      <c r="L64" t="e">
        <f t="shared" si="7"/>
        <v>#N/A</v>
      </c>
      <c r="M64" t="e">
        <f t="shared" si="8"/>
        <v>#N/A</v>
      </c>
      <c r="N64" t="e">
        <f t="shared" si="9"/>
        <v>#N/A</v>
      </c>
      <c r="O64">
        <f t="shared" si="10"/>
        <v>1.0000640000000001</v>
      </c>
      <c r="P64" t="str">
        <f>IF(OR($A64="",games!$H64=""),"",games!$H64)</f>
        <v/>
      </c>
      <c r="Q64" t="str">
        <f t="shared" si="11"/>
        <v/>
      </c>
      <c r="T64">
        <f>IF(connections!$A64="","",IFERROR(INDEX(games!$B$2:$B$950,MATCH(connections!$A64,games!$A$2:$A$950,0)),""))</f>
        <v>2017</v>
      </c>
      <c r="U64">
        <f>IF(connections!$A64="","",IFERROR(INDEX(games!$B$2:$B$950,MATCH(connections!$B64,games!$A$2:$A$950,0)),""))</f>
        <v>2025</v>
      </c>
      <c r="V64">
        <f t="shared" si="12"/>
        <v>8</v>
      </c>
    </row>
    <row r="65" spans="1:22" x14ac:dyDescent="0.25">
      <c r="A65" t="str">
        <f>IF(games!$A65="","",games!$A65)</f>
        <v>Batomon Showdown</v>
      </c>
      <c r="B65">
        <f>IF($A65="","",games!$B65)</f>
        <v>2026</v>
      </c>
      <c r="C65" t="str">
        <f>IF($A65="","",games!$C65)</f>
        <v>Strategy</v>
      </c>
      <c r="D65">
        <f>IF($A65="","",COUNTIF(connections!$A$2:$A$1473,$A65)+COUNTIF(connections!$B$2:$B$1473,$A65))</f>
        <v>3</v>
      </c>
      <c r="E65">
        <f t="shared" si="0"/>
        <v>2</v>
      </c>
      <c r="F65">
        <f t="shared" si="1"/>
        <v>31</v>
      </c>
      <c r="G65" t="e">
        <f t="shared" si="2"/>
        <v>#N/A</v>
      </c>
      <c r="H65" t="e">
        <f t="shared" si="3"/>
        <v>#N/A</v>
      </c>
      <c r="I65">
        <f t="shared" si="4"/>
        <v>2026</v>
      </c>
      <c r="J65">
        <f t="shared" si="5"/>
        <v>2.7130000000000001</v>
      </c>
      <c r="K65" t="e">
        <f t="shared" si="6"/>
        <v>#N/A</v>
      </c>
      <c r="L65" t="e">
        <f t="shared" si="7"/>
        <v>#N/A</v>
      </c>
      <c r="M65" t="e">
        <f t="shared" si="8"/>
        <v>#N/A</v>
      </c>
      <c r="N65" t="e">
        <f t="shared" si="9"/>
        <v>#N/A</v>
      </c>
      <c r="O65">
        <f t="shared" si="10"/>
        <v>3.0000650000000002</v>
      </c>
      <c r="P65" t="str">
        <f>IF(OR($A65="",games!$H65=""),"",games!$H65)</f>
        <v>Yes</v>
      </c>
      <c r="Q65">
        <f t="shared" si="11"/>
        <v>3.0000650000000002</v>
      </c>
      <c r="T65">
        <f>IF(connections!$A65="","",IFERROR(INDEX(games!$B$2:$B$950,MATCH(connections!$A65,games!$A$2:$A$950,0)),""))</f>
        <v>2015</v>
      </c>
      <c r="U65">
        <f>IF(connections!$A65="","",IFERROR(INDEX(games!$B$2:$B$950,MATCH(connections!$B65,games!$A$2:$A$950,0)),""))</f>
        <v>2025</v>
      </c>
      <c r="V65">
        <f t="shared" si="12"/>
        <v>10</v>
      </c>
    </row>
    <row r="66" spans="1:22" x14ac:dyDescent="0.25">
      <c r="A66" t="str">
        <f>IF(games!$A66="","",games!$A66)</f>
        <v>Battle Brothers</v>
      </c>
      <c r="B66">
        <f>IF($A66="","",games!$B66)</f>
        <v>2017</v>
      </c>
      <c r="C66" t="str">
        <f>IF($A66="","",games!$C66)</f>
        <v>Strategy</v>
      </c>
      <c r="D66">
        <f>IF($A66="","",COUNTIF(connections!$A$2:$A$1473,$A66)+COUNTIF(connections!$B$2:$B$1473,$A66))</f>
        <v>2</v>
      </c>
      <c r="E66">
        <f t="shared" ref="E66:E129" si="13">IF($A66="","",IFERROR(MATCH($C66,$R$2:$R$5,0),0))</f>
        <v>2</v>
      </c>
      <c r="F66">
        <f t="shared" ref="F66:F129" si="14">IF($A66="","",MOD(ROW(),34))</f>
        <v>32</v>
      </c>
      <c r="G66" t="e">
        <f t="shared" ref="G66:G129" si="15">IF($A66="",NA(),IF($C66="Action",$B66,NA()))</f>
        <v>#N/A</v>
      </c>
      <c r="H66" t="e">
        <f t="shared" ref="H66:H129" si="16">IF($A66="",NA(),IF($C66="Action",1+$F66*0.023,NA()))</f>
        <v>#N/A</v>
      </c>
      <c r="I66">
        <f t="shared" ref="I66:I129" si="17">IF($A66="",NA(),IF($C66="Strategy",$B66,NA()))</f>
        <v>2017</v>
      </c>
      <c r="J66">
        <f t="shared" ref="J66:J129" si="18">IF($A66="",NA(),IF($C66="Strategy",2+$F66*0.023,NA()))</f>
        <v>2.7359999999999998</v>
      </c>
      <c r="K66" t="e">
        <f t="shared" ref="K66:K129" si="19">IF($A66="",NA(),IF($C66="Deckbuilder",$B66,NA()))</f>
        <v>#N/A</v>
      </c>
      <c r="L66" t="e">
        <f t="shared" ref="L66:L129" si="20">IF($A66="",NA(),IF($C66="Deckbuilder",3+$F66*0.023,NA()))</f>
        <v>#N/A</v>
      </c>
      <c r="M66" t="e">
        <f t="shared" ref="M66:M129" si="21">IF($A66="",NA(),IF($C66="Traditional",$B66,NA()))</f>
        <v>#N/A</v>
      </c>
      <c r="N66" t="e">
        <f t="shared" ref="N66:N129" si="22">IF($A66="",NA(),IF($C66="Traditional",4+$F66*0.023,NA()))</f>
        <v>#N/A</v>
      </c>
      <c r="O66">
        <f t="shared" ref="O66:O129" si="23">IF($A66="","",$D66+ROW()/1000000)</f>
        <v>2.0000659999999999</v>
      </c>
      <c r="P66" t="str">
        <f>IF(OR($A66="",games!$H66=""),"",games!$H66)</f>
        <v>Yes</v>
      </c>
      <c r="Q66">
        <f t="shared" ref="Q66:Q129" si="24">IF(OR($A66="",$P66&lt;&gt;"Yes"),"",$D66+ROW()/1000000)</f>
        <v>2.0000659999999999</v>
      </c>
      <c r="T66">
        <f>IF(connections!$A66="","",IFERROR(INDEX(games!$B$2:$B$950,MATCH(connections!$A66,games!$A$2:$A$950,0)),""))</f>
        <v>2017</v>
      </c>
      <c r="U66">
        <f>IF(connections!$A66="","",IFERROR(INDEX(games!$B$2:$B$950,MATCH(connections!$B66,games!$A$2:$A$950,0)),""))</f>
        <v>2025</v>
      </c>
      <c r="V66">
        <f t="shared" ref="V66:V129" si="25">IF(OR($T66="",$U66=""),"",$U66-$T66)</f>
        <v>8</v>
      </c>
    </row>
    <row r="67" spans="1:22" x14ac:dyDescent="0.25">
      <c r="A67" t="str">
        <f>IF(games!$A67="","",games!$A67)</f>
        <v>Battle Shapers</v>
      </c>
      <c r="B67">
        <f>IF($A67="","",games!$B67)</f>
        <v>2023</v>
      </c>
      <c r="C67" t="str">
        <f>IF($A67="","",games!$C67)</f>
        <v>Action</v>
      </c>
      <c r="D67">
        <f>IF($A67="","",COUNTIF(connections!$A$2:$A$1473,$A67)+COUNTIF(connections!$B$2:$B$1473,$A67))</f>
        <v>2</v>
      </c>
      <c r="E67">
        <f t="shared" si="13"/>
        <v>1</v>
      </c>
      <c r="F67">
        <f t="shared" si="14"/>
        <v>33</v>
      </c>
      <c r="G67">
        <f t="shared" si="15"/>
        <v>2023</v>
      </c>
      <c r="H67">
        <f t="shared" si="16"/>
        <v>1.7589999999999999</v>
      </c>
      <c r="I67" t="e">
        <f t="shared" si="17"/>
        <v>#N/A</v>
      </c>
      <c r="J67" t="e">
        <f t="shared" si="18"/>
        <v>#N/A</v>
      </c>
      <c r="K67" t="e">
        <f t="shared" si="19"/>
        <v>#N/A</v>
      </c>
      <c r="L67" t="e">
        <f t="shared" si="20"/>
        <v>#N/A</v>
      </c>
      <c r="M67" t="e">
        <f t="shared" si="21"/>
        <v>#N/A</v>
      </c>
      <c r="N67" t="e">
        <f t="shared" si="22"/>
        <v>#N/A</v>
      </c>
      <c r="O67">
        <f t="shared" si="23"/>
        <v>2.000067</v>
      </c>
      <c r="P67" t="str">
        <f>IF(OR($A67="",games!$H67=""),"",games!$H67)</f>
        <v>Yes</v>
      </c>
      <c r="Q67">
        <f t="shared" si="24"/>
        <v>2.000067</v>
      </c>
      <c r="T67">
        <f>IF(connections!$A67="","",IFERROR(INDEX(games!$B$2:$B$950,MATCH(connections!$A67,games!$A$2:$A$950,0)),""))</f>
        <v>2019</v>
      </c>
      <c r="U67">
        <f>IF(connections!$A67="","",IFERROR(INDEX(games!$B$2:$B$950,MATCH(connections!$B67,games!$A$2:$A$950,0)),""))</f>
        <v>2025</v>
      </c>
      <c r="V67">
        <f t="shared" si="25"/>
        <v>6</v>
      </c>
    </row>
    <row r="68" spans="1:22" x14ac:dyDescent="0.25">
      <c r="A68" t="str">
        <f>IF(games!$A68="","",games!$A68)</f>
        <v>BAZR</v>
      </c>
      <c r="B68">
        <f>IF($A68="","",games!$B68)</f>
        <v>2025</v>
      </c>
      <c r="C68" t="str">
        <f>IF($A68="","",games!$C68)</f>
        <v>Deckbuilder</v>
      </c>
      <c r="D68">
        <f>IF($A68="","",COUNTIF(connections!$A$2:$A$1473,$A68)+COUNTIF(connections!$B$2:$B$1473,$A68))</f>
        <v>1</v>
      </c>
      <c r="E68">
        <f t="shared" si="13"/>
        <v>3</v>
      </c>
      <c r="F68">
        <f t="shared" si="14"/>
        <v>0</v>
      </c>
      <c r="G68" t="e">
        <f t="shared" si="15"/>
        <v>#N/A</v>
      </c>
      <c r="H68" t="e">
        <f t="shared" si="16"/>
        <v>#N/A</v>
      </c>
      <c r="I68" t="e">
        <f t="shared" si="17"/>
        <v>#N/A</v>
      </c>
      <c r="J68" t="e">
        <f t="shared" si="18"/>
        <v>#N/A</v>
      </c>
      <c r="K68">
        <f t="shared" si="19"/>
        <v>2025</v>
      </c>
      <c r="L68">
        <f t="shared" si="20"/>
        <v>3</v>
      </c>
      <c r="M68" t="e">
        <f t="shared" si="21"/>
        <v>#N/A</v>
      </c>
      <c r="N68" t="e">
        <f t="shared" si="22"/>
        <v>#N/A</v>
      </c>
      <c r="O68">
        <f t="shared" si="23"/>
        <v>1.000068</v>
      </c>
      <c r="P68" t="str">
        <f>IF(OR($A68="",games!$H68=""),"",games!$H68)</f>
        <v>Yes</v>
      </c>
      <c r="Q68">
        <f t="shared" si="24"/>
        <v>1.000068</v>
      </c>
      <c r="T68">
        <f>IF(connections!$A68="","",IFERROR(INDEX(games!$B$2:$B$950,MATCH(connections!$A68,games!$A$2:$A$950,0)),""))</f>
        <v>2021</v>
      </c>
      <c r="U68">
        <f>IF(connections!$A68="","",IFERROR(INDEX(games!$B$2:$B$950,MATCH(connections!$B68,games!$A$2:$A$950,0)),""))</f>
        <v>2025</v>
      </c>
      <c r="V68">
        <f t="shared" si="25"/>
        <v>4</v>
      </c>
    </row>
    <row r="69" spans="1:22" x14ac:dyDescent="0.25">
      <c r="A69" t="str">
        <f>IF(games!$A69="","",games!$A69)</f>
        <v>Be My Horde</v>
      </c>
      <c r="B69">
        <f>IF($A69="","",games!$B69)</f>
        <v>2024</v>
      </c>
      <c r="C69" t="str">
        <f>IF($A69="","",games!$C69)</f>
        <v>Action</v>
      </c>
      <c r="D69">
        <f>IF($A69="","",COUNTIF(connections!$A$2:$A$1473,$A69)+COUNTIF(connections!$B$2:$B$1473,$A69))</f>
        <v>6</v>
      </c>
      <c r="E69">
        <f t="shared" si="13"/>
        <v>1</v>
      </c>
      <c r="F69">
        <f t="shared" si="14"/>
        <v>1</v>
      </c>
      <c r="G69">
        <f t="shared" si="15"/>
        <v>2024</v>
      </c>
      <c r="H69">
        <f t="shared" si="16"/>
        <v>1.0229999999999999</v>
      </c>
      <c r="I69" t="e">
        <f t="shared" si="17"/>
        <v>#N/A</v>
      </c>
      <c r="J69" t="e">
        <f t="shared" si="18"/>
        <v>#N/A</v>
      </c>
      <c r="K69" t="e">
        <f t="shared" si="19"/>
        <v>#N/A</v>
      </c>
      <c r="L69" t="e">
        <f t="shared" si="20"/>
        <v>#N/A</v>
      </c>
      <c r="M69" t="e">
        <f t="shared" si="21"/>
        <v>#N/A</v>
      </c>
      <c r="N69" t="e">
        <f t="shared" si="22"/>
        <v>#N/A</v>
      </c>
      <c r="O69">
        <f t="shared" si="23"/>
        <v>6.0000689999999999</v>
      </c>
      <c r="P69" t="str">
        <f>IF(OR($A69="",games!$H69=""),"",games!$H69)</f>
        <v>Yes</v>
      </c>
      <c r="Q69">
        <f t="shared" si="24"/>
        <v>6.0000689999999999</v>
      </c>
      <c r="T69">
        <f>IF(connections!$A69="","",IFERROR(INDEX(games!$B$2:$B$950,MATCH(connections!$A69,games!$A$2:$A$950,0)),""))</f>
        <v>2016</v>
      </c>
      <c r="U69">
        <f>IF(connections!$A69="","",IFERROR(INDEX(games!$B$2:$B$950,MATCH(connections!$B69,games!$A$2:$A$950,0)),""))</f>
        <v>2023</v>
      </c>
      <c r="V69">
        <f t="shared" si="25"/>
        <v>7</v>
      </c>
    </row>
    <row r="70" spans="1:22" x14ac:dyDescent="0.25">
      <c r="A70" t="str">
        <f>IF(games!$A70="","",games!$A70)</f>
        <v>Beat Blast</v>
      </c>
      <c r="B70">
        <f>IF($A70="","",games!$B70)</f>
        <v>2020</v>
      </c>
      <c r="C70" t="str">
        <f>IF($A70="","",games!$C70)</f>
        <v>Action</v>
      </c>
      <c r="D70">
        <f>IF($A70="","",COUNTIF(connections!$A$2:$A$1473,$A70)+COUNTIF(connections!$B$2:$B$1473,$A70))</f>
        <v>0</v>
      </c>
      <c r="E70">
        <f t="shared" si="13"/>
        <v>1</v>
      </c>
      <c r="F70">
        <f t="shared" si="14"/>
        <v>2</v>
      </c>
      <c r="G70">
        <f t="shared" si="15"/>
        <v>2020</v>
      </c>
      <c r="H70">
        <f t="shared" si="16"/>
        <v>1.046</v>
      </c>
      <c r="I70" t="e">
        <f t="shared" si="17"/>
        <v>#N/A</v>
      </c>
      <c r="J70" t="e">
        <f t="shared" si="18"/>
        <v>#N/A</v>
      </c>
      <c r="K70" t="e">
        <f t="shared" si="19"/>
        <v>#N/A</v>
      </c>
      <c r="L70" t="e">
        <f t="shared" si="20"/>
        <v>#N/A</v>
      </c>
      <c r="M70" t="e">
        <f t="shared" si="21"/>
        <v>#N/A</v>
      </c>
      <c r="N70" t="e">
        <f t="shared" si="22"/>
        <v>#N/A</v>
      </c>
      <c r="O70">
        <f t="shared" si="23"/>
        <v>6.9999999999999994E-5</v>
      </c>
      <c r="P70" t="str">
        <f>IF(OR($A70="",games!$H70=""),"",games!$H70)</f>
        <v>Yes</v>
      </c>
      <c r="Q70">
        <f t="shared" si="24"/>
        <v>6.9999999999999994E-5</v>
      </c>
      <c r="T70">
        <f>IF(connections!$A70="","",IFERROR(INDEX(games!$B$2:$B$950,MATCH(connections!$A70,games!$A$2:$A$950,0)),""))</f>
        <v>2011</v>
      </c>
      <c r="U70">
        <f>IF(connections!$A70="","",IFERROR(INDEX(games!$B$2:$B$950,MATCH(connections!$B70,games!$A$2:$A$950,0)),""))</f>
        <v>2023</v>
      </c>
      <c r="V70">
        <f t="shared" si="25"/>
        <v>12</v>
      </c>
    </row>
    <row r="71" spans="1:22" x14ac:dyDescent="0.25">
      <c r="A71" t="str">
        <f>IF(games!$A71="","",games!$A71)</f>
        <v>Bella Wants Blood</v>
      </c>
      <c r="B71">
        <f>IF($A71="","",games!$B71)</f>
        <v>2024</v>
      </c>
      <c r="C71" t="str">
        <f>IF($A71="","",games!$C71)</f>
        <v>Strategy</v>
      </c>
      <c r="D71">
        <f>IF($A71="","",COUNTIF(connections!$A$2:$A$1473,$A71)+COUNTIF(connections!$B$2:$B$1473,$A71))</f>
        <v>2</v>
      </c>
      <c r="E71">
        <f t="shared" si="13"/>
        <v>2</v>
      </c>
      <c r="F71">
        <f t="shared" si="14"/>
        <v>3</v>
      </c>
      <c r="G71" t="e">
        <f t="shared" si="15"/>
        <v>#N/A</v>
      </c>
      <c r="H71" t="e">
        <f t="shared" si="16"/>
        <v>#N/A</v>
      </c>
      <c r="I71">
        <f t="shared" si="17"/>
        <v>2024</v>
      </c>
      <c r="J71">
        <f t="shared" si="18"/>
        <v>2.069</v>
      </c>
      <c r="K71" t="e">
        <f t="shared" si="19"/>
        <v>#N/A</v>
      </c>
      <c r="L71" t="e">
        <f t="shared" si="20"/>
        <v>#N/A</v>
      </c>
      <c r="M71" t="e">
        <f t="shared" si="21"/>
        <v>#N/A</v>
      </c>
      <c r="N71" t="e">
        <f t="shared" si="22"/>
        <v>#N/A</v>
      </c>
      <c r="O71">
        <f t="shared" si="23"/>
        <v>2.0000710000000002</v>
      </c>
      <c r="P71" t="str">
        <f>IF(OR($A71="",games!$H71=""),"",games!$H71)</f>
        <v>Yes</v>
      </c>
      <c r="Q71">
        <f t="shared" si="24"/>
        <v>2.0000710000000002</v>
      </c>
      <c r="T71">
        <f>IF(connections!$A71="","",IFERROR(INDEX(games!$B$2:$B$950,MATCH(connections!$A71,games!$A$2:$A$950,0)),""))</f>
        <v>2019</v>
      </c>
      <c r="U71">
        <f>IF(connections!$A71="","",IFERROR(INDEX(games!$B$2:$B$950,MATCH(connections!$B71,games!$A$2:$A$950,0)),""))</f>
        <v>2022</v>
      </c>
      <c r="V71">
        <f t="shared" si="25"/>
        <v>3</v>
      </c>
    </row>
    <row r="72" spans="1:22" x14ac:dyDescent="0.25">
      <c r="A72" t="str">
        <f>IF(games!$A72="","",games!$A72)</f>
        <v>Beneath Apple Manor</v>
      </c>
      <c r="B72">
        <f>IF($A72="","",games!$B72)</f>
        <v>1978</v>
      </c>
      <c r="C72" t="str">
        <f>IF($A72="","",games!$C72)</f>
        <v>Traditional</v>
      </c>
      <c r="D72">
        <f>IF($A72="","",COUNTIF(connections!$A$2:$A$1473,$A72)+COUNTIF(connections!$B$2:$B$1473,$A72))</f>
        <v>0</v>
      </c>
      <c r="E72">
        <f t="shared" si="13"/>
        <v>4</v>
      </c>
      <c r="F72">
        <f t="shared" si="14"/>
        <v>4</v>
      </c>
      <c r="G72" t="e">
        <f t="shared" si="15"/>
        <v>#N/A</v>
      </c>
      <c r="H72" t="e">
        <f t="shared" si="16"/>
        <v>#N/A</v>
      </c>
      <c r="I72" t="e">
        <f t="shared" si="17"/>
        <v>#N/A</v>
      </c>
      <c r="J72" t="e">
        <f t="shared" si="18"/>
        <v>#N/A</v>
      </c>
      <c r="K72" t="e">
        <f t="shared" si="19"/>
        <v>#N/A</v>
      </c>
      <c r="L72" t="e">
        <f t="shared" si="20"/>
        <v>#N/A</v>
      </c>
      <c r="M72">
        <f t="shared" si="21"/>
        <v>1978</v>
      </c>
      <c r="N72">
        <f t="shared" si="22"/>
        <v>4.0919999999999996</v>
      </c>
      <c r="O72">
        <f t="shared" si="23"/>
        <v>7.2000000000000002E-5</v>
      </c>
      <c r="P72" t="str">
        <f>IF(OR($A72="",games!$H72=""),"",games!$H72)</f>
        <v>Yes</v>
      </c>
      <c r="Q72">
        <f t="shared" si="24"/>
        <v>7.2000000000000002E-5</v>
      </c>
      <c r="T72">
        <f>IF(connections!$A72="","",IFERROR(INDEX(games!$B$2:$B$950,MATCH(connections!$A72,games!$A$2:$A$950,0)),""))</f>
        <v>2019</v>
      </c>
      <c r="U72">
        <f>IF(connections!$A72="","",IFERROR(INDEX(games!$B$2:$B$950,MATCH(connections!$B72,games!$A$2:$A$950,0)),""))</f>
        <v>2022</v>
      </c>
      <c r="V72">
        <f t="shared" si="25"/>
        <v>3</v>
      </c>
    </row>
    <row r="73" spans="1:22" x14ac:dyDescent="0.25">
      <c r="A73" t="str">
        <f>IF(games!$A73="","",games!$A73)</f>
        <v>Beneath Oresa</v>
      </c>
      <c r="B73">
        <f>IF($A73="","",games!$B73)</f>
        <v>2022</v>
      </c>
      <c r="C73" t="str">
        <f>IF($A73="","",games!$C73)</f>
        <v>Deckbuilder</v>
      </c>
      <c r="D73">
        <f>IF($A73="","",COUNTIF(connections!$A$2:$A$1473,$A73)+COUNTIF(connections!$B$2:$B$1473,$A73))</f>
        <v>1</v>
      </c>
      <c r="E73">
        <f t="shared" si="13"/>
        <v>3</v>
      </c>
      <c r="F73">
        <f t="shared" si="14"/>
        <v>5</v>
      </c>
      <c r="G73" t="e">
        <f t="shared" si="15"/>
        <v>#N/A</v>
      </c>
      <c r="H73" t="e">
        <f t="shared" si="16"/>
        <v>#N/A</v>
      </c>
      <c r="I73" t="e">
        <f t="shared" si="17"/>
        <v>#N/A</v>
      </c>
      <c r="J73" t="e">
        <f t="shared" si="18"/>
        <v>#N/A</v>
      </c>
      <c r="K73">
        <f t="shared" si="19"/>
        <v>2022</v>
      </c>
      <c r="L73">
        <f t="shared" si="20"/>
        <v>3.1150000000000002</v>
      </c>
      <c r="M73" t="e">
        <f t="shared" si="21"/>
        <v>#N/A</v>
      </c>
      <c r="N73" t="e">
        <f t="shared" si="22"/>
        <v>#N/A</v>
      </c>
      <c r="O73">
        <f t="shared" si="23"/>
        <v>1.000073</v>
      </c>
      <c r="P73" t="str">
        <f>IF(OR($A73="",games!$H73=""),"",games!$H73)</f>
        <v>Yes</v>
      </c>
      <c r="Q73">
        <f t="shared" si="24"/>
        <v>1.000073</v>
      </c>
      <c r="T73">
        <f>IF(connections!$A73="","",IFERROR(INDEX(games!$B$2:$B$950,MATCH(connections!$A73,games!$A$2:$A$950,0)),""))</f>
        <v>2018</v>
      </c>
      <c r="U73">
        <f>IF(connections!$A73="","",IFERROR(INDEX(games!$B$2:$B$950,MATCH(connections!$B73,games!$A$2:$A$950,0)),""))</f>
        <v>2022</v>
      </c>
      <c r="V73">
        <f t="shared" si="25"/>
        <v>4</v>
      </c>
    </row>
    <row r="74" spans="1:22" x14ac:dyDescent="0.25">
      <c r="A74" t="str">
        <f>IF(games!$A74="","",games!$A74)</f>
        <v>Beyond the Long Night</v>
      </c>
      <c r="B74">
        <f>IF($A74="","",games!$B74)</f>
        <v>2023</v>
      </c>
      <c r="C74" t="str">
        <f>IF($A74="","",games!$C74)</f>
        <v>Action</v>
      </c>
      <c r="D74">
        <f>IF($A74="","",COUNTIF(connections!$A$2:$A$1473,$A74)+COUNTIF(connections!$B$2:$B$1473,$A74))</f>
        <v>4</v>
      </c>
      <c r="E74">
        <f t="shared" si="13"/>
        <v>1</v>
      </c>
      <c r="F74">
        <f t="shared" si="14"/>
        <v>6</v>
      </c>
      <c r="G74">
        <f t="shared" si="15"/>
        <v>2023</v>
      </c>
      <c r="H74">
        <f t="shared" si="16"/>
        <v>1.1379999999999999</v>
      </c>
      <c r="I74" t="e">
        <f t="shared" si="17"/>
        <v>#N/A</v>
      </c>
      <c r="J74" t="e">
        <f t="shared" si="18"/>
        <v>#N/A</v>
      </c>
      <c r="K74" t="e">
        <f t="shared" si="19"/>
        <v>#N/A</v>
      </c>
      <c r="L74" t="e">
        <f t="shared" si="20"/>
        <v>#N/A</v>
      </c>
      <c r="M74" t="e">
        <f t="shared" si="21"/>
        <v>#N/A</v>
      </c>
      <c r="N74" t="e">
        <f t="shared" si="22"/>
        <v>#N/A</v>
      </c>
      <c r="O74">
        <f t="shared" si="23"/>
        <v>4.0000739999999997</v>
      </c>
      <c r="P74" t="str">
        <f>IF(OR($A74="",games!$H74=""),"",games!$H74)</f>
        <v>Yes</v>
      </c>
      <c r="Q74">
        <f t="shared" si="24"/>
        <v>4.0000739999999997</v>
      </c>
      <c r="T74">
        <f>IF(connections!$A74="","",IFERROR(INDEX(games!$B$2:$B$950,MATCH(connections!$A74,games!$A$2:$A$950,0)),""))</f>
        <v>2019</v>
      </c>
      <c r="U74">
        <f>IF(connections!$A74="","",IFERROR(INDEX(games!$B$2:$B$950,MATCH(connections!$B74,games!$A$2:$A$950,0)),""))</f>
        <v>2022</v>
      </c>
      <c r="V74">
        <f t="shared" si="25"/>
        <v>3</v>
      </c>
    </row>
    <row r="75" spans="1:22" x14ac:dyDescent="0.25">
      <c r="A75" t="str">
        <f>IF(games!$A75="","",games!$A75)</f>
        <v>Beyond Words</v>
      </c>
      <c r="B75">
        <f>IF($A75="","",games!$B75)</f>
        <v>2026</v>
      </c>
      <c r="C75" t="str">
        <f>IF($A75="","",games!$C75)</f>
        <v>Deckbuilder</v>
      </c>
      <c r="D75">
        <f>IF($A75="","",COUNTIF(connections!$A$2:$A$1473,$A75)+COUNTIF(connections!$B$2:$B$1473,$A75))</f>
        <v>1</v>
      </c>
      <c r="E75">
        <f t="shared" si="13"/>
        <v>3</v>
      </c>
      <c r="F75">
        <f t="shared" si="14"/>
        <v>7</v>
      </c>
      <c r="G75" t="e">
        <f t="shared" si="15"/>
        <v>#N/A</v>
      </c>
      <c r="H75" t="e">
        <f t="shared" si="16"/>
        <v>#N/A</v>
      </c>
      <c r="I75" t="e">
        <f t="shared" si="17"/>
        <v>#N/A</v>
      </c>
      <c r="J75" t="e">
        <f t="shared" si="18"/>
        <v>#N/A</v>
      </c>
      <c r="K75">
        <f t="shared" si="19"/>
        <v>2026</v>
      </c>
      <c r="L75">
        <f t="shared" si="20"/>
        <v>3.161</v>
      </c>
      <c r="M75" t="e">
        <f t="shared" si="21"/>
        <v>#N/A</v>
      </c>
      <c r="N75" t="e">
        <f t="shared" si="22"/>
        <v>#N/A</v>
      </c>
      <c r="O75">
        <f t="shared" si="23"/>
        <v>1.000075</v>
      </c>
      <c r="P75" t="str">
        <f>IF(OR($A75="",games!$H75=""),"",games!$H75)</f>
        <v/>
      </c>
      <c r="Q75" t="str">
        <f t="shared" si="24"/>
        <v/>
      </c>
      <c r="T75">
        <f>IF(connections!$A75="","",IFERROR(INDEX(games!$B$2:$B$950,MATCH(connections!$A75,games!$A$2:$A$950,0)),""))</f>
        <v>2017</v>
      </c>
      <c r="U75">
        <f>IF(connections!$A75="","",IFERROR(INDEX(games!$B$2:$B$950,MATCH(connections!$B75,games!$A$2:$A$950,0)),""))</f>
        <v>2022</v>
      </c>
      <c r="V75">
        <f t="shared" si="25"/>
        <v>5</v>
      </c>
    </row>
    <row r="76" spans="1:22" x14ac:dyDescent="0.25">
      <c r="A76" t="str">
        <f>IF(games!$A76="","",games!$A76)</f>
        <v>Bingle Bingle</v>
      </c>
      <c r="B76">
        <f>IF($A76="","",games!$B76)</f>
        <v>2024</v>
      </c>
      <c r="C76" t="str">
        <f>IF($A76="","",games!$C76)</f>
        <v>Deckbuilder</v>
      </c>
      <c r="D76">
        <f>IF($A76="","",COUNTIF(connections!$A$2:$A$1473,$A76)+COUNTIF(connections!$B$2:$B$1473,$A76))</f>
        <v>3</v>
      </c>
      <c r="E76">
        <f t="shared" si="13"/>
        <v>3</v>
      </c>
      <c r="F76">
        <f t="shared" si="14"/>
        <v>8</v>
      </c>
      <c r="G76" t="e">
        <f t="shared" si="15"/>
        <v>#N/A</v>
      </c>
      <c r="H76" t="e">
        <f t="shared" si="16"/>
        <v>#N/A</v>
      </c>
      <c r="I76" t="e">
        <f t="shared" si="17"/>
        <v>#N/A</v>
      </c>
      <c r="J76" t="e">
        <f t="shared" si="18"/>
        <v>#N/A</v>
      </c>
      <c r="K76">
        <f t="shared" si="19"/>
        <v>2024</v>
      </c>
      <c r="L76">
        <f t="shared" si="20"/>
        <v>3.1840000000000002</v>
      </c>
      <c r="M76" t="e">
        <f t="shared" si="21"/>
        <v>#N/A</v>
      </c>
      <c r="N76" t="e">
        <f t="shared" si="22"/>
        <v>#N/A</v>
      </c>
      <c r="O76">
        <f t="shared" si="23"/>
        <v>3.000076</v>
      </c>
      <c r="P76" t="str">
        <f>IF(OR($A76="",games!$H76=""),"",games!$H76)</f>
        <v>Yes</v>
      </c>
      <c r="Q76">
        <f t="shared" si="24"/>
        <v>3.000076</v>
      </c>
      <c r="T76">
        <f>IF(connections!$A76="","",IFERROR(INDEX(games!$B$2:$B$950,MATCH(connections!$A76,games!$A$2:$A$950,0)),""))</f>
        <v>2018</v>
      </c>
      <c r="U76">
        <f>IF(connections!$A76="","",IFERROR(INDEX(games!$B$2:$B$950,MATCH(connections!$B76,games!$A$2:$A$950,0)),""))</f>
        <v>2022</v>
      </c>
      <c r="V76">
        <f t="shared" si="25"/>
        <v>4</v>
      </c>
    </row>
    <row r="77" spans="1:22" x14ac:dyDescent="0.25">
      <c r="A77" t="str">
        <f>IF(games!$A77="","",games!$A77)</f>
        <v>Bioprototype</v>
      </c>
      <c r="B77">
        <f>IF($A77="","",games!$B77)</f>
        <v>2022</v>
      </c>
      <c r="C77" t="str">
        <f>IF($A77="","",games!$C77)</f>
        <v>Action</v>
      </c>
      <c r="D77">
        <f>IF($A77="","",COUNTIF(connections!$A$2:$A$1473,$A77)+COUNTIF(connections!$B$2:$B$1473,$A77))</f>
        <v>1</v>
      </c>
      <c r="E77">
        <f t="shared" si="13"/>
        <v>1</v>
      </c>
      <c r="F77">
        <f t="shared" si="14"/>
        <v>9</v>
      </c>
      <c r="G77">
        <f t="shared" si="15"/>
        <v>2022</v>
      </c>
      <c r="H77">
        <f t="shared" si="16"/>
        <v>1.2070000000000001</v>
      </c>
      <c r="I77" t="e">
        <f t="shared" si="17"/>
        <v>#N/A</v>
      </c>
      <c r="J77" t="e">
        <f t="shared" si="18"/>
        <v>#N/A</v>
      </c>
      <c r="K77" t="e">
        <f t="shared" si="19"/>
        <v>#N/A</v>
      </c>
      <c r="L77" t="e">
        <f t="shared" si="20"/>
        <v>#N/A</v>
      </c>
      <c r="M77" t="e">
        <f t="shared" si="21"/>
        <v>#N/A</v>
      </c>
      <c r="N77" t="e">
        <f t="shared" si="22"/>
        <v>#N/A</v>
      </c>
      <c r="O77">
        <f t="shared" si="23"/>
        <v>1.0000770000000001</v>
      </c>
      <c r="P77" t="str">
        <f>IF(OR($A77="",games!$H77=""),"",games!$H77)</f>
        <v/>
      </c>
      <c r="Q77" t="str">
        <f t="shared" si="24"/>
        <v/>
      </c>
      <c r="T77">
        <f>IF(connections!$A77="","",IFERROR(INDEX(games!$B$2:$B$950,MATCH(connections!$A77,games!$A$2:$A$950,0)),""))</f>
        <v>2017</v>
      </c>
      <c r="U77">
        <f>IF(connections!$A77="","",IFERROR(INDEX(games!$B$2:$B$950,MATCH(connections!$B77,games!$A$2:$A$950,0)),""))</f>
        <v>2023</v>
      </c>
      <c r="V77">
        <f t="shared" si="25"/>
        <v>6</v>
      </c>
    </row>
    <row r="78" spans="1:22" x14ac:dyDescent="0.25">
      <c r="A78" t="str">
        <f>IF(games!$A78="","",games!$A78)</f>
        <v>Black Jacket</v>
      </c>
      <c r="B78">
        <f>IF($A78="","",games!$B78)</f>
        <v>2026</v>
      </c>
      <c r="C78" t="str">
        <f>IF($A78="","",games!$C78)</f>
        <v>Deckbuilder</v>
      </c>
      <c r="D78">
        <f>IF($A78="","",COUNTIF(connections!$A$2:$A$1473,$A78)+COUNTIF(connections!$B$2:$B$1473,$A78))</f>
        <v>5</v>
      </c>
      <c r="E78">
        <f t="shared" si="13"/>
        <v>3</v>
      </c>
      <c r="F78">
        <f t="shared" si="14"/>
        <v>10</v>
      </c>
      <c r="G78" t="e">
        <f t="shared" si="15"/>
        <v>#N/A</v>
      </c>
      <c r="H78" t="e">
        <f t="shared" si="16"/>
        <v>#N/A</v>
      </c>
      <c r="I78" t="e">
        <f t="shared" si="17"/>
        <v>#N/A</v>
      </c>
      <c r="J78" t="e">
        <f t="shared" si="18"/>
        <v>#N/A</v>
      </c>
      <c r="K78">
        <f t="shared" si="19"/>
        <v>2026</v>
      </c>
      <c r="L78">
        <f t="shared" si="20"/>
        <v>3.23</v>
      </c>
      <c r="M78" t="e">
        <f t="shared" si="21"/>
        <v>#N/A</v>
      </c>
      <c r="N78" t="e">
        <f t="shared" si="22"/>
        <v>#N/A</v>
      </c>
      <c r="O78">
        <f t="shared" si="23"/>
        <v>5.0000780000000002</v>
      </c>
      <c r="P78" t="str">
        <f>IF(OR($A78="",games!$H78=""),"",games!$H78)</f>
        <v/>
      </c>
      <c r="Q78" t="str">
        <f t="shared" si="24"/>
        <v/>
      </c>
      <c r="T78">
        <f>IF(connections!$A78="","",IFERROR(INDEX(games!$B$2:$B$950,MATCH(connections!$A78,games!$A$2:$A$950,0)),""))</f>
        <v>2022</v>
      </c>
      <c r="U78">
        <f>IF(connections!$A78="","",IFERROR(INDEX(games!$B$2:$B$950,MATCH(connections!$B78,games!$A$2:$A$950,0)),""))</f>
        <v>2025</v>
      </c>
      <c r="V78">
        <f t="shared" si="25"/>
        <v>3</v>
      </c>
    </row>
    <row r="79" spans="1:22" x14ac:dyDescent="0.25">
      <c r="A79" t="str">
        <f>IF(games!$A79="","",games!$A79)</f>
        <v>Blazing Beaks</v>
      </c>
      <c r="B79">
        <f>IF($A79="","",games!$B79)</f>
        <v>2019</v>
      </c>
      <c r="C79" t="str">
        <f>IF($A79="","",games!$C79)</f>
        <v>Action</v>
      </c>
      <c r="D79">
        <f>IF($A79="","",COUNTIF(connections!$A$2:$A$1473,$A79)+COUNTIF(connections!$B$2:$B$1473,$A79))</f>
        <v>3</v>
      </c>
      <c r="E79">
        <f t="shared" si="13"/>
        <v>1</v>
      </c>
      <c r="F79">
        <f t="shared" si="14"/>
        <v>11</v>
      </c>
      <c r="G79">
        <f t="shared" si="15"/>
        <v>2019</v>
      </c>
      <c r="H79">
        <f t="shared" si="16"/>
        <v>1.2530000000000001</v>
      </c>
      <c r="I79" t="e">
        <f t="shared" si="17"/>
        <v>#N/A</v>
      </c>
      <c r="J79" t="e">
        <f t="shared" si="18"/>
        <v>#N/A</v>
      </c>
      <c r="K79" t="e">
        <f t="shared" si="19"/>
        <v>#N/A</v>
      </c>
      <c r="L79" t="e">
        <f t="shared" si="20"/>
        <v>#N/A</v>
      </c>
      <c r="M79" t="e">
        <f t="shared" si="21"/>
        <v>#N/A</v>
      </c>
      <c r="N79" t="e">
        <f t="shared" si="22"/>
        <v>#N/A</v>
      </c>
      <c r="O79">
        <f t="shared" si="23"/>
        <v>3.0000789999999999</v>
      </c>
      <c r="P79" t="str">
        <f>IF(OR($A79="",games!$H79=""),"",games!$H79)</f>
        <v>Yes</v>
      </c>
      <c r="Q79">
        <f t="shared" si="24"/>
        <v>3.0000789999999999</v>
      </c>
      <c r="T79">
        <f>IF(connections!$A79="","",IFERROR(INDEX(games!$B$2:$B$950,MATCH(connections!$A79,games!$A$2:$A$950,0)),""))</f>
        <v>2016</v>
      </c>
      <c r="U79">
        <f>IF(connections!$A79="","",IFERROR(INDEX(games!$B$2:$B$950,MATCH(connections!$B79,games!$A$2:$A$950,0)),""))</f>
        <v>2025</v>
      </c>
      <c r="V79">
        <f t="shared" si="25"/>
        <v>9</v>
      </c>
    </row>
    <row r="80" spans="1:22" x14ac:dyDescent="0.25">
      <c r="A80" t="str">
        <f>IF(games!$A80="","",games!$A80)</f>
        <v>Bleak Sword</v>
      </c>
      <c r="B80">
        <f>IF($A80="","",games!$B80)</f>
        <v>2019</v>
      </c>
      <c r="C80" t="str">
        <f>IF($A80="","",games!$C80)</f>
        <v>Action</v>
      </c>
      <c r="D80">
        <f>IF($A80="","",COUNTIF(connections!$A$2:$A$1473,$A80)+COUNTIF(connections!$B$2:$B$1473,$A80))</f>
        <v>1</v>
      </c>
      <c r="E80">
        <f t="shared" si="13"/>
        <v>1</v>
      </c>
      <c r="F80">
        <f t="shared" si="14"/>
        <v>12</v>
      </c>
      <c r="G80">
        <f t="shared" si="15"/>
        <v>2019</v>
      </c>
      <c r="H80">
        <f t="shared" si="16"/>
        <v>1.276</v>
      </c>
      <c r="I80" t="e">
        <f t="shared" si="17"/>
        <v>#N/A</v>
      </c>
      <c r="J80" t="e">
        <f t="shared" si="18"/>
        <v>#N/A</v>
      </c>
      <c r="K80" t="e">
        <f t="shared" si="19"/>
        <v>#N/A</v>
      </c>
      <c r="L80" t="e">
        <f t="shared" si="20"/>
        <v>#N/A</v>
      </c>
      <c r="M80" t="e">
        <f t="shared" si="21"/>
        <v>#N/A</v>
      </c>
      <c r="N80" t="e">
        <f t="shared" si="22"/>
        <v>#N/A</v>
      </c>
      <c r="O80">
        <f t="shared" si="23"/>
        <v>1.0000800000000001</v>
      </c>
      <c r="P80" t="str">
        <f>IF(OR($A80="",games!$H80=""),"",games!$H80)</f>
        <v>Yes</v>
      </c>
      <c r="Q80">
        <f t="shared" si="24"/>
        <v>1.0000800000000001</v>
      </c>
      <c r="T80">
        <f>IF(connections!$A80="","",IFERROR(INDEX(games!$B$2:$B$950,MATCH(connections!$A80,games!$A$2:$A$950,0)),""))</f>
        <v>2023</v>
      </c>
      <c r="U80">
        <f>IF(connections!$A80="","",IFERROR(INDEX(games!$B$2:$B$950,MATCH(connections!$B80,games!$A$2:$A$950,0)),""))</f>
        <v>2025</v>
      </c>
      <c r="V80">
        <f t="shared" si="25"/>
        <v>2</v>
      </c>
    </row>
    <row r="81" spans="1:22" x14ac:dyDescent="0.25">
      <c r="A81" t="str">
        <f>IF(games!$A81="","",games!$A81)</f>
        <v>Block Tower TD</v>
      </c>
      <c r="B81">
        <f>IF($A81="","",games!$B81)</f>
        <v>2023</v>
      </c>
      <c r="C81" t="str">
        <f>IF($A81="","",games!$C81)</f>
        <v>Strategy</v>
      </c>
      <c r="D81">
        <f>IF($A81="","",COUNTIF(connections!$A$2:$A$1473,$A81)+COUNTIF(connections!$B$2:$B$1473,$A81))</f>
        <v>1</v>
      </c>
      <c r="E81">
        <f t="shared" si="13"/>
        <v>2</v>
      </c>
      <c r="F81">
        <f t="shared" si="14"/>
        <v>13</v>
      </c>
      <c r="G81" t="e">
        <f t="shared" si="15"/>
        <v>#N/A</v>
      </c>
      <c r="H81" t="e">
        <f t="shared" si="16"/>
        <v>#N/A</v>
      </c>
      <c r="I81">
        <f t="shared" si="17"/>
        <v>2023</v>
      </c>
      <c r="J81">
        <f t="shared" si="18"/>
        <v>2.2989999999999999</v>
      </c>
      <c r="K81" t="e">
        <f t="shared" si="19"/>
        <v>#N/A</v>
      </c>
      <c r="L81" t="e">
        <f t="shared" si="20"/>
        <v>#N/A</v>
      </c>
      <c r="M81" t="e">
        <f t="shared" si="21"/>
        <v>#N/A</v>
      </c>
      <c r="N81" t="e">
        <f t="shared" si="22"/>
        <v>#N/A</v>
      </c>
      <c r="O81">
        <f t="shared" si="23"/>
        <v>1.000081</v>
      </c>
      <c r="P81" t="str">
        <f>IF(OR($A81="",games!$H81=""),"",games!$H81)</f>
        <v>Yes</v>
      </c>
      <c r="Q81">
        <f t="shared" si="24"/>
        <v>1.000081</v>
      </c>
      <c r="T81">
        <f>IF(connections!$A81="","",IFERROR(INDEX(games!$B$2:$B$950,MATCH(connections!$A81,games!$A$2:$A$950,0)),""))</f>
        <v>2015</v>
      </c>
      <c r="U81">
        <f>IF(connections!$A81="","",IFERROR(INDEX(games!$B$2:$B$950,MATCH(connections!$B81,games!$A$2:$A$950,0)),""))</f>
        <v>2025</v>
      </c>
      <c r="V81">
        <f t="shared" si="25"/>
        <v>10</v>
      </c>
    </row>
    <row r="82" spans="1:22" x14ac:dyDescent="0.25">
      <c r="A82" t="str">
        <f>IF(games!$A82="","",games!$A82)</f>
        <v>Block Tower TD 2</v>
      </c>
      <c r="B82">
        <f>IF($A82="","",games!$B82)</f>
        <v>2024</v>
      </c>
      <c r="C82" t="str">
        <f>IF($A82="","",games!$C82)</f>
        <v>Strategy</v>
      </c>
      <c r="D82">
        <f>IF($A82="","",COUNTIF(connections!$A$2:$A$1473,$A82)+COUNTIF(connections!$B$2:$B$1473,$A82))</f>
        <v>1</v>
      </c>
      <c r="E82">
        <f t="shared" si="13"/>
        <v>2</v>
      </c>
      <c r="F82">
        <f t="shared" si="14"/>
        <v>14</v>
      </c>
      <c r="G82" t="e">
        <f t="shared" si="15"/>
        <v>#N/A</v>
      </c>
      <c r="H82" t="e">
        <f t="shared" si="16"/>
        <v>#N/A</v>
      </c>
      <c r="I82">
        <f t="shared" si="17"/>
        <v>2024</v>
      </c>
      <c r="J82">
        <f t="shared" si="18"/>
        <v>2.3220000000000001</v>
      </c>
      <c r="K82" t="e">
        <f t="shared" si="19"/>
        <v>#N/A</v>
      </c>
      <c r="L82" t="e">
        <f t="shared" si="20"/>
        <v>#N/A</v>
      </c>
      <c r="M82" t="e">
        <f t="shared" si="21"/>
        <v>#N/A</v>
      </c>
      <c r="N82" t="e">
        <f t="shared" si="22"/>
        <v>#N/A</v>
      </c>
      <c r="O82">
        <f t="shared" si="23"/>
        <v>1.0000819999999999</v>
      </c>
      <c r="P82" t="str">
        <f>IF(OR($A82="",games!$H82=""),"",games!$H82)</f>
        <v>Yes</v>
      </c>
      <c r="Q82">
        <f t="shared" si="24"/>
        <v>1.0000819999999999</v>
      </c>
      <c r="T82">
        <f>IF(connections!$A82="","",IFERROR(INDEX(games!$B$2:$B$950,MATCH(connections!$A82,games!$A$2:$A$950,0)),""))</f>
        <v>2021</v>
      </c>
      <c r="U82">
        <f>IF(connections!$A82="","",IFERROR(INDEX(games!$B$2:$B$950,MATCH(connections!$B82,games!$A$2:$A$950,0)),""))</f>
        <v>2025</v>
      </c>
      <c r="V82">
        <f t="shared" si="25"/>
        <v>4</v>
      </c>
    </row>
    <row r="83" spans="1:22" x14ac:dyDescent="0.25">
      <c r="A83" t="str">
        <f>IF(games!$A83="","",games!$A83)</f>
        <v>BloodDome99</v>
      </c>
      <c r="B83">
        <f>IF($A83="","",games!$B83)</f>
        <v>2023</v>
      </c>
      <c r="C83" t="str">
        <f>IF($A83="","",games!$C83)</f>
        <v>Action</v>
      </c>
      <c r="D83">
        <f>IF($A83="","",COUNTIF(connections!$A$2:$A$1473,$A83)+COUNTIF(connections!$B$2:$B$1473,$A83))</f>
        <v>2</v>
      </c>
      <c r="E83">
        <f t="shared" si="13"/>
        <v>1</v>
      </c>
      <c r="F83">
        <f t="shared" si="14"/>
        <v>15</v>
      </c>
      <c r="G83">
        <f t="shared" si="15"/>
        <v>2023</v>
      </c>
      <c r="H83">
        <f t="shared" si="16"/>
        <v>1.345</v>
      </c>
      <c r="I83" t="e">
        <f t="shared" si="17"/>
        <v>#N/A</v>
      </c>
      <c r="J83" t="e">
        <f t="shared" si="18"/>
        <v>#N/A</v>
      </c>
      <c r="K83" t="e">
        <f t="shared" si="19"/>
        <v>#N/A</v>
      </c>
      <c r="L83" t="e">
        <f t="shared" si="20"/>
        <v>#N/A</v>
      </c>
      <c r="M83" t="e">
        <f t="shared" si="21"/>
        <v>#N/A</v>
      </c>
      <c r="N83" t="e">
        <f t="shared" si="22"/>
        <v>#N/A</v>
      </c>
      <c r="O83">
        <f t="shared" si="23"/>
        <v>2.0000830000000001</v>
      </c>
      <c r="P83" t="str">
        <f>IF(OR($A83="",games!$H83=""),"",games!$H83)</f>
        <v/>
      </c>
      <c r="Q83" t="str">
        <f t="shared" si="24"/>
        <v/>
      </c>
      <c r="T83">
        <f>IF(connections!$A83="","",IFERROR(INDEX(games!$B$2:$B$950,MATCH(connections!$A83,games!$A$2:$A$950,0)),""))</f>
        <v>2010</v>
      </c>
      <c r="U83">
        <f>IF(connections!$A83="","",IFERROR(INDEX(games!$B$2:$B$950,MATCH(connections!$B83,games!$A$2:$A$950,0)),""))</f>
        <v>2010</v>
      </c>
      <c r="V83">
        <f t="shared" si="25"/>
        <v>0</v>
      </c>
    </row>
    <row r="84" spans="1:22" x14ac:dyDescent="0.25">
      <c r="A84" t="str">
        <f>IF(games!$A84="","",games!$A84)</f>
        <v>Bloodshed</v>
      </c>
      <c r="B84">
        <f>IF($A84="","",games!$B84)</f>
        <v>2024</v>
      </c>
      <c r="C84" t="str">
        <f>IF($A84="","",games!$C84)</f>
        <v>Action</v>
      </c>
      <c r="D84">
        <f>IF($A84="","",COUNTIF(connections!$A$2:$A$1473,$A84)+COUNTIF(connections!$B$2:$B$1473,$A84))</f>
        <v>1</v>
      </c>
      <c r="E84">
        <f t="shared" si="13"/>
        <v>1</v>
      </c>
      <c r="F84">
        <f t="shared" si="14"/>
        <v>16</v>
      </c>
      <c r="G84">
        <f t="shared" si="15"/>
        <v>2024</v>
      </c>
      <c r="H84">
        <f t="shared" si="16"/>
        <v>1.3679999999999999</v>
      </c>
      <c r="I84" t="e">
        <f t="shared" si="17"/>
        <v>#N/A</v>
      </c>
      <c r="J84" t="e">
        <f t="shared" si="18"/>
        <v>#N/A</v>
      </c>
      <c r="K84" t="e">
        <f t="shared" si="19"/>
        <v>#N/A</v>
      </c>
      <c r="L84" t="e">
        <f t="shared" si="20"/>
        <v>#N/A</v>
      </c>
      <c r="M84" t="e">
        <f t="shared" si="21"/>
        <v>#N/A</v>
      </c>
      <c r="N84" t="e">
        <f t="shared" si="22"/>
        <v>#N/A</v>
      </c>
      <c r="O84">
        <f t="shared" si="23"/>
        <v>1.000084</v>
      </c>
      <c r="P84" t="str">
        <f>IF(OR($A84="",games!$H84=""),"",games!$H84)</f>
        <v>Yes</v>
      </c>
      <c r="Q84">
        <f t="shared" si="24"/>
        <v>1.000084</v>
      </c>
      <c r="T84">
        <f>IF(connections!$A84="","",IFERROR(INDEX(games!$B$2:$B$950,MATCH(connections!$A84,games!$A$2:$A$950,0)),""))</f>
        <v>2018</v>
      </c>
      <c r="U84">
        <f>IF(connections!$A84="","",IFERROR(INDEX(games!$B$2:$B$950,MATCH(connections!$B84,games!$A$2:$A$950,0)),""))</f>
        <v>2025</v>
      </c>
      <c r="V84">
        <f t="shared" si="25"/>
        <v>7</v>
      </c>
    </row>
    <row r="85" spans="1:22" x14ac:dyDescent="0.25">
      <c r="A85" t="str">
        <f>IF(games!$A85="","",games!$A85)</f>
        <v>Bloons TD 6: Rogue Legends</v>
      </c>
      <c r="B85">
        <f>IF($A85="","",games!$B85)</f>
        <v>2025</v>
      </c>
      <c r="C85" t="str">
        <f>IF($A85="","",games!$C85)</f>
        <v>Strategy</v>
      </c>
      <c r="D85">
        <f>IF($A85="","",COUNTIF(connections!$A$2:$A$1473,$A85)+COUNTIF(connections!$B$2:$B$1473,$A85))</f>
        <v>0</v>
      </c>
      <c r="E85">
        <f t="shared" si="13"/>
        <v>2</v>
      </c>
      <c r="F85">
        <f t="shared" si="14"/>
        <v>17</v>
      </c>
      <c r="G85" t="e">
        <f t="shared" si="15"/>
        <v>#N/A</v>
      </c>
      <c r="H85" t="e">
        <f t="shared" si="16"/>
        <v>#N/A</v>
      </c>
      <c r="I85">
        <f t="shared" si="17"/>
        <v>2025</v>
      </c>
      <c r="J85">
        <f t="shared" si="18"/>
        <v>2.391</v>
      </c>
      <c r="K85" t="e">
        <f t="shared" si="19"/>
        <v>#N/A</v>
      </c>
      <c r="L85" t="e">
        <f t="shared" si="20"/>
        <v>#N/A</v>
      </c>
      <c r="M85" t="e">
        <f t="shared" si="21"/>
        <v>#N/A</v>
      </c>
      <c r="N85" t="e">
        <f t="shared" si="22"/>
        <v>#N/A</v>
      </c>
      <c r="O85">
        <f t="shared" si="23"/>
        <v>8.5000000000000006E-5</v>
      </c>
      <c r="P85" t="str">
        <f>IF(OR($A85="",games!$H85=""),"",games!$H85)</f>
        <v/>
      </c>
      <c r="Q85" t="str">
        <f t="shared" si="24"/>
        <v/>
      </c>
      <c r="T85">
        <f>IF(connections!$A85="","",IFERROR(INDEX(games!$B$2:$B$950,MATCH(connections!$A85,games!$A$2:$A$950,0)),""))</f>
        <v>2016</v>
      </c>
      <c r="U85">
        <f>IF(connections!$A85="","",IFERROR(INDEX(games!$B$2:$B$950,MATCH(connections!$B85,games!$A$2:$A$950,0)),""))</f>
        <v>2020</v>
      </c>
      <c r="V85">
        <f t="shared" si="25"/>
        <v>4</v>
      </c>
    </row>
    <row r="86" spans="1:22" x14ac:dyDescent="0.25">
      <c r="A86" t="str">
        <f>IF(games!$A86="","",games!$A86)</f>
        <v>Blue Prince</v>
      </c>
      <c r="B86">
        <f>IF($A86="","",games!$B86)</f>
        <v>2025</v>
      </c>
      <c r="C86" t="str">
        <f>IF($A86="","",games!$C86)</f>
        <v>Strategy</v>
      </c>
      <c r="D86">
        <f>IF($A86="","",COUNTIF(connections!$A$2:$A$1473,$A86)+COUNTIF(connections!$B$2:$B$1473,$A86))</f>
        <v>0</v>
      </c>
      <c r="E86">
        <f t="shared" si="13"/>
        <v>2</v>
      </c>
      <c r="F86">
        <f t="shared" si="14"/>
        <v>18</v>
      </c>
      <c r="G86" t="e">
        <f t="shared" si="15"/>
        <v>#N/A</v>
      </c>
      <c r="H86" t="e">
        <f t="shared" si="16"/>
        <v>#N/A</v>
      </c>
      <c r="I86">
        <f t="shared" si="17"/>
        <v>2025</v>
      </c>
      <c r="J86">
        <f t="shared" si="18"/>
        <v>2.4140000000000001</v>
      </c>
      <c r="K86" t="e">
        <f t="shared" si="19"/>
        <v>#N/A</v>
      </c>
      <c r="L86" t="e">
        <f t="shared" si="20"/>
        <v>#N/A</v>
      </c>
      <c r="M86" t="e">
        <f t="shared" si="21"/>
        <v>#N/A</v>
      </c>
      <c r="N86" t="e">
        <f t="shared" si="22"/>
        <v>#N/A</v>
      </c>
      <c r="O86">
        <f t="shared" si="23"/>
        <v>8.6000000000000003E-5</v>
      </c>
      <c r="P86" t="str">
        <f>IF(OR($A86="",games!$H86=""),"",games!$H86)</f>
        <v/>
      </c>
      <c r="Q86" t="str">
        <f t="shared" si="24"/>
        <v/>
      </c>
      <c r="T86">
        <f>IF(connections!$A86="","",IFERROR(INDEX(games!$B$2:$B$950,MATCH(connections!$A86,games!$A$2:$A$950,0)),""))</f>
        <v>2015</v>
      </c>
      <c r="U86">
        <f>IF(connections!$A86="","",IFERROR(INDEX(games!$B$2:$B$950,MATCH(connections!$B86,games!$A$2:$A$950,0)),""))</f>
        <v>2020</v>
      </c>
      <c r="V86">
        <f t="shared" si="25"/>
        <v>5</v>
      </c>
    </row>
    <row r="87" spans="1:22" x14ac:dyDescent="0.25">
      <c r="A87" t="str">
        <f>IF(games!$A87="","",games!$A87)</f>
        <v>Boneraiser Minions</v>
      </c>
      <c r="B87">
        <f>IF($A87="","",games!$B87)</f>
        <v>2022</v>
      </c>
      <c r="C87" t="str">
        <f>IF($A87="","",games!$C87)</f>
        <v>Action</v>
      </c>
      <c r="D87">
        <f>IF($A87="","",COUNTIF(connections!$A$2:$A$1473,$A87)+COUNTIF(connections!$B$2:$B$1473,$A87))</f>
        <v>5</v>
      </c>
      <c r="E87">
        <f t="shared" si="13"/>
        <v>1</v>
      </c>
      <c r="F87">
        <f t="shared" si="14"/>
        <v>19</v>
      </c>
      <c r="G87">
        <f t="shared" si="15"/>
        <v>2022</v>
      </c>
      <c r="H87">
        <f t="shared" si="16"/>
        <v>1.4370000000000001</v>
      </c>
      <c r="I87" t="e">
        <f t="shared" si="17"/>
        <v>#N/A</v>
      </c>
      <c r="J87" t="e">
        <f t="shared" si="18"/>
        <v>#N/A</v>
      </c>
      <c r="K87" t="e">
        <f t="shared" si="19"/>
        <v>#N/A</v>
      </c>
      <c r="L87" t="e">
        <f t="shared" si="20"/>
        <v>#N/A</v>
      </c>
      <c r="M87" t="e">
        <f t="shared" si="21"/>
        <v>#N/A</v>
      </c>
      <c r="N87" t="e">
        <f t="shared" si="22"/>
        <v>#N/A</v>
      </c>
      <c r="O87">
        <f t="shared" si="23"/>
        <v>5.0000869999999997</v>
      </c>
      <c r="P87" t="str">
        <f>IF(OR($A87="",games!$H87=""),"",games!$H87)</f>
        <v>Yes</v>
      </c>
      <c r="Q87">
        <f t="shared" si="24"/>
        <v>5.0000869999999997</v>
      </c>
      <c r="T87">
        <f>IF(connections!$A87="","",IFERROR(INDEX(games!$B$2:$B$950,MATCH(connections!$A87,games!$A$2:$A$950,0)),""))</f>
        <v>2017</v>
      </c>
      <c r="U87">
        <f>IF(connections!$A87="","",IFERROR(INDEX(games!$B$2:$B$950,MATCH(connections!$B87,games!$A$2:$A$950,0)),""))</f>
        <v>2020</v>
      </c>
      <c r="V87">
        <f t="shared" si="25"/>
        <v>3</v>
      </c>
    </row>
    <row r="88" spans="1:22" x14ac:dyDescent="0.25">
      <c r="A88" t="str">
        <f>IF(games!$A88="","",games!$A88)</f>
        <v>Book of Demons</v>
      </c>
      <c r="B88">
        <f>IF($A88="","",games!$B88)</f>
        <v>2018</v>
      </c>
      <c r="C88" t="str">
        <f>IF($A88="","",games!$C88)</f>
        <v>Deckbuilder</v>
      </c>
      <c r="D88">
        <f>IF($A88="","",COUNTIF(connections!$A$2:$A$1473,$A88)+COUNTIF(connections!$B$2:$B$1473,$A88))</f>
        <v>2</v>
      </c>
      <c r="E88">
        <f t="shared" si="13"/>
        <v>3</v>
      </c>
      <c r="F88">
        <f t="shared" si="14"/>
        <v>20</v>
      </c>
      <c r="G88" t="e">
        <f t="shared" si="15"/>
        <v>#N/A</v>
      </c>
      <c r="H88" t="e">
        <f t="shared" si="16"/>
        <v>#N/A</v>
      </c>
      <c r="I88" t="e">
        <f t="shared" si="17"/>
        <v>#N/A</v>
      </c>
      <c r="J88" t="e">
        <f t="shared" si="18"/>
        <v>#N/A</v>
      </c>
      <c r="K88">
        <f t="shared" si="19"/>
        <v>2018</v>
      </c>
      <c r="L88">
        <f t="shared" si="20"/>
        <v>3.46</v>
      </c>
      <c r="M88" t="e">
        <f t="shared" si="21"/>
        <v>#N/A</v>
      </c>
      <c r="N88" t="e">
        <f t="shared" si="22"/>
        <v>#N/A</v>
      </c>
      <c r="O88">
        <f t="shared" si="23"/>
        <v>2.0000879999999999</v>
      </c>
      <c r="P88" t="str">
        <f>IF(OR($A88="",games!$H88=""),"",games!$H88)</f>
        <v/>
      </c>
      <c r="Q88" t="str">
        <f t="shared" si="24"/>
        <v/>
      </c>
      <c r="T88">
        <f>IF(connections!$A88="","",IFERROR(INDEX(games!$B$2:$B$950,MATCH(connections!$A88,games!$A$2:$A$950,0)),""))</f>
        <v>2010</v>
      </c>
      <c r="U88">
        <f>IF(connections!$A88="","",IFERROR(INDEX(games!$B$2:$B$950,MATCH(connections!$B88,games!$A$2:$A$950,0)),""))</f>
        <v>2014</v>
      </c>
      <c r="V88">
        <f t="shared" si="25"/>
        <v>4</v>
      </c>
    </row>
    <row r="89" spans="1:22" x14ac:dyDescent="0.25">
      <c r="A89" t="str">
        <f>IF(games!$A89="","",games!$A89)</f>
        <v>Bounty of One</v>
      </c>
      <c r="B89">
        <f>IF($A89="","",games!$B89)</f>
        <v>2022</v>
      </c>
      <c r="C89" t="str">
        <f>IF($A89="","",games!$C89)</f>
        <v>Action</v>
      </c>
      <c r="D89">
        <f>IF($A89="","",COUNTIF(connections!$A$2:$A$1473,$A89)+COUNTIF(connections!$B$2:$B$1473,$A89))</f>
        <v>3</v>
      </c>
      <c r="E89">
        <f t="shared" si="13"/>
        <v>1</v>
      </c>
      <c r="F89">
        <f t="shared" si="14"/>
        <v>21</v>
      </c>
      <c r="G89">
        <f t="shared" si="15"/>
        <v>2022</v>
      </c>
      <c r="H89">
        <f t="shared" si="16"/>
        <v>1.4830000000000001</v>
      </c>
      <c r="I89" t="e">
        <f t="shared" si="17"/>
        <v>#N/A</v>
      </c>
      <c r="J89" t="e">
        <f t="shared" si="18"/>
        <v>#N/A</v>
      </c>
      <c r="K89" t="e">
        <f t="shared" si="19"/>
        <v>#N/A</v>
      </c>
      <c r="L89" t="e">
        <f t="shared" si="20"/>
        <v>#N/A</v>
      </c>
      <c r="M89" t="e">
        <f t="shared" si="21"/>
        <v>#N/A</v>
      </c>
      <c r="N89" t="e">
        <f t="shared" si="22"/>
        <v>#N/A</v>
      </c>
      <c r="O89">
        <f t="shared" si="23"/>
        <v>3.000089</v>
      </c>
      <c r="P89" t="str">
        <f>IF(OR($A89="",games!$H89=""),"",games!$H89)</f>
        <v>Yes</v>
      </c>
      <c r="Q89">
        <f t="shared" si="24"/>
        <v>3.000089</v>
      </c>
      <c r="T89">
        <f>IF(connections!$A89="","",IFERROR(INDEX(games!$B$2:$B$950,MATCH(connections!$A89,games!$A$2:$A$950,0)),""))</f>
        <v>1993</v>
      </c>
      <c r="U89">
        <f>IF(connections!$A89="","",IFERROR(INDEX(games!$B$2:$B$950,MATCH(connections!$B89,games!$A$2:$A$950,0)),""))</f>
        <v>1997</v>
      </c>
      <c r="V89">
        <f t="shared" si="25"/>
        <v>4</v>
      </c>
    </row>
    <row r="90" spans="1:22" x14ac:dyDescent="0.25">
      <c r="A90" t="str">
        <f>IF(games!$A90="","",games!$A90)</f>
        <v>Boyfriend Dungeon</v>
      </c>
      <c r="B90">
        <f>IF($A90="","",games!$B90)</f>
        <v>2021</v>
      </c>
      <c r="C90" t="str">
        <f>IF($A90="","",games!$C90)</f>
        <v>Action</v>
      </c>
      <c r="D90">
        <f>IF($A90="","",COUNTIF(connections!$A$2:$A$1473,$A90)+COUNTIF(connections!$B$2:$B$1473,$A90))</f>
        <v>1</v>
      </c>
      <c r="E90">
        <f t="shared" si="13"/>
        <v>1</v>
      </c>
      <c r="F90">
        <f t="shared" si="14"/>
        <v>22</v>
      </c>
      <c r="G90">
        <f t="shared" si="15"/>
        <v>2021</v>
      </c>
      <c r="H90">
        <f t="shared" si="16"/>
        <v>1.506</v>
      </c>
      <c r="I90" t="e">
        <f t="shared" si="17"/>
        <v>#N/A</v>
      </c>
      <c r="J90" t="e">
        <f t="shared" si="18"/>
        <v>#N/A</v>
      </c>
      <c r="K90" t="e">
        <f t="shared" si="19"/>
        <v>#N/A</v>
      </c>
      <c r="L90" t="e">
        <f t="shared" si="20"/>
        <v>#N/A</v>
      </c>
      <c r="M90" t="e">
        <f t="shared" si="21"/>
        <v>#N/A</v>
      </c>
      <c r="N90" t="e">
        <f t="shared" si="22"/>
        <v>#N/A</v>
      </c>
      <c r="O90">
        <f t="shared" si="23"/>
        <v>1.0000899999999999</v>
      </c>
      <c r="P90" t="str">
        <f>IF(OR($A90="",games!$H90=""),"",games!$H90)</f>
        <v>Yes</v>
      </c>
      <c r="Q90">
        <f t="shared" si="24"/>
        <v>1.0000899999999999</v>
      </c>
      <c r="T90">
        <f>IF(connections!$A90="","",IFERROR(INDEX(games!$B$2:$B$950,MATCH(connections!$A90,games!$A$2:$A$950,0)),""))</f>
        <v>2022</v>
      </c>
      <c r="U90">
        <f>IF(connections!$A90="","",IFERROR(INDEX(games!$B$2:$B$950,MATCH(connections!$B90,games!$A$2:$A$950,0)),""))</f>
        <v>2023</v>
      </c>
      <c r="V90">
        <f t="shared" si="25"/>
        <v>1</v>
      </c>
    </row>
    <row r="91" spans="1:22" x14ac:dyDescent="0.25">
      <c r="A91" t="str">
        <f>IF(games!$A91="","",games!$A91)</f>
        <v>BPM: Bullets Per Minute</v>
      </c>
      <c r="B91">
        <f>IF($A91="","",games!$B91)</f>
        <v>2020</v>
      </c>
      <c r="C91" t="str">
        <f>IF($A91="","",games!$C91)</f>
        <v>Action</v>
      </c>
      <c r="D91">
        <f>IF($A91="","",COUNTIF(connections!$A$2:$A$1473,$A91)+COUNTIF(connections!$B$2:$B$1473,$A91))</f>
        <v>1</v>
      </c>
      <c r="E91">
        <f t="shared" si="13"/>
        <v>1</v>
      </c>
      <c r="F91">
        <f t="shared" si="14"/>
        <v>23</v>
      </c>
      <c r="G91">
        <f t="shared" si="15"/>
        <v>2020</v>
      </c>
      <c r="H91">
        <f t="shared" si="16"/>
        <v>1.5289999999999999</v>
      </c>
      <c r="I91" t="e">
        <f t="shared" si="17"/>
        <v>#N/A</v>
      </c>
      <c r="J91" t="e">
        <f t="shared" si="18"/>
        <v>#N/A</v>
      </c>
      <c r="K91" t="e">
        <f t="shared" si="19"/>
        <v>#N/A</v>
      </c>
      <c r="L91" t="e">
        <f t="shared" si="20"/>
        <v>#N/A</v>
      </c>
      <c r="M91" t="e">
        <f t="shared" si="21"/>
        <v>#N/A</v>
      </c>
      <c r="N91" t="e">
        <f t="shared" si="22"/>
        <v>#N/A</v>
      </c>
      <c r="O91">
        <f t="shared" si="23"/>
        <v>1.0000910000000001</v>
      </c>
      <c r="P91" t="str">
        <f>IF(OR($A91="",games!$H91=""),"",games!$H91)</f>
        <v>Yes</v>
      </c>
      <c r="Q91">
        <f t="shared" si="24"/>
        <v>1.0000910000000001</v>
      </c>
      <c r="T91">
        <f>IF(connections!$A91="","",IFERROR(INDEX(games!$B$2:$B$950,MATCH(connections!$A91,games!$A$2:$A$950,0)),""))</f>
        <v>2021</v>
      </c>
      <c r="U91">
        <f>IF(connections!$A91="","",IFERROR(INDEX(games!$B$2:$B$950,MATCH(connections!$B91,games!$A$2:$A$950,0)),""))</f>
        <v>2023</v>
      </c>
      <c r="V91">
        <f t="shared" si="25"/>
        <v>2</v>
      </c>
    </row>
    <row r="92" spans="1:22" x14ac:dyDescent="0.25">
      <c r="A92" t="str">
        <f>IF(games!$A92="","",games!$A92)</f>
        <v>Brawl Tactics: Origins</v>
      </c>
      <c r="B92">
        <f>IF($A92="","",games!$B92)</f>
        <v>2023</v>
      </c>
      <c r="C92" t="str">
        <f>IF($A92="","",games!$C92)</f>
        <v>Deckbuilder</v>
      </c>
      <c r="D92">
        <f>IF($A92="","",COUNTIF(connections!$A$2:$A$1473,$A92)+COUNTIF(connections!$B$2:$B$1473,$A92))</f>
        <v>2</v>
      </c>
      <c r="E92">
        <f t="shared" si="13"/>
        <v>3</v>
      </c>
      <c r="F92">
        <f t="shared" si="14"/>
        <v>24</v>
      </c>
      <c r="G92" t="e">
        <f t="shared" si="15"/>
        <v>#N/A</v>
      </c>
      <c r="H92" t="e">
        <f t="shared" si="16"/>
        <v>#N/A</v>
      </c>
      <c r="I92" t="e">
        <f t="shared" si="17"/>
        <v>#N/A</v>
      </c>
      <c r="J92" t="e">
        <f t="shared" si="18"/>
        <v>#N/A</v>
      </c>
      <c r="K92">
        <f t="shared" si="19"/>
        <v>2023</v>
      </c>
      <c r="L92">
        <f t="shared" si="20"/>
        <v>3.552</v>
      </c>
      <c r="M92" t="e">
        <f t="shared" si="21"/>
        <v>#N/A</v>
      </c>
      <c r="N92" t="e">
        <f t="shared" si="22"/>
        <v>#N/A</v>
      </c>
      <c r="O92">
        <f t="shared" si="23"/>
        <v>2.000092</v>
      </c>
      <c r="P92" t="str">
        <f>IF(OR($A92="",games!$H92=""),"",games!$H92)</f>
        <v/>
      </c>
      <c r="Q92" t="str">
        <f t="shared" si="24"/>
        <v/>
      </c>
      <c r="T92">
        <f>IF(connections!$A92="","",IFERROR(INDEX(games!$B$2:$B$950,MATCH(connections!$A92,games!$A$2:$A$950,0)),""))</f>
        <v>2019</v>
      </c>
      <c r="U92">
        <f>IF(connections!$A92="","",IFERROR(INDEX(games!$B$2:$B$950,MATCH(connections!$B92,games!$A$2:$A$950,0)),""))</f>
        <v>2022</v>
      </c>
      <c r="V92">
        <f t="shared" si="25"/>
        <v>3</v>
      </c>
    </row>
    <row r="93" spans="1:22" x14ac:dyDescent="0.25">
      <c r="A93" t="str">
        <f>IF(games!$A93="","",games!$A93)</f>
        <v>Breach Wanderers</v>
      </c>
      <c r="B93">
        <f>IF($A93="","",games!$B93)</f>
        <v>2021</v>
      </c>
      <c r="C93" t="str">
        <f>IF($A93="","",games!$C93)</f>
        <v>Deckbuilder</v>
      </c>
      <c r="D93">
        <f>IF($A93="","",COUNTIF(connections!$A$2:$A$1473,$A93)+COUNTIF(connections!$B$2:$B$1473,$A93))</f>
        <v>1</v>
      </c>
      <c r="E93">
        <f t="shared" si="13"/>
        <v>3</v>
      </c>
      <c r="F93">
        <f t="shared" si="14"/>
        <v>25</v>
      </c>
      <c r="G93" t="e">
        <f t="shared" si="15"/>
        <v>#N/A</v>
      </c>
      <c r="H93" t="e">
        <f t="shared" si="16"/>
        <v>#N/A</v>
      </c>
      <c r="I93" t="e">
        <f t="shared" si="17"/>
        <v>#N/A</v>
      </c>
      <c r="J93" t="e">
        <f t="shared" si="18"/>
        <v>#N/A</v>
      </c>
      <c r="K93">
        <f t="shared" si="19"/>
        <v>2021</v>
      </c>
      <c r="L93">
        <f t="shared" si="20"/>
        <v>3.5750000000000002</v>
      </c>
      <c r="M93" t="e">
        <f t="shared" si="21"/>
        <v>#N/A</v>
      </c>
      <c r="N93" t="e">
        <f t="shared" si="22"/>
        <v>#N/A</v>
      </c>
      <c r="O93">
        <f t="shared" si="23"/>
        <v>1.0000929999999999</v>
      </c>
      <c r="P93" t="str">
        <f>IF(OR($A93="",games!$H93=""),"",games!$H93)</f>
        <v>Yes</v>
      </c>
      <c r="Q93">
        <f t="shared" si="24"/>
        <v>1.0000929999999999</v>
      </c>
      <c r="T93">
        <f>IF(connections!$A93="","",IFERROR(INDEX(games!$B$2:$B$950,MATCH(connections!$A93,games!$A$2:$A$950,0)),""))</f>
        <v>2021</v>
      </c>
      <c r="U93">
        <f>IF(connections!$A93="","",IFERROR(INDEX(games!$B$2:$B$950,MATCH(connections!$B93,games!$A$2:$A$950,0)),""))</f>
        <v>2022</v>
      </c>
      <c r="V93">
        <f t="shared" si="25"/>
        <v>1</v>
      </c>
    </row>
    <row r="94" spans="1:22" x14ac:dyDescent="0.25">
      <c r="A94" t="str">
        <f>IF(games!$A94="","",games!$A94)</f>
        <v>Breachway</v>
      </c>
      <c r="B94">
        <f>IF($A94="","",games!$B94)</f>
        <v>2024</v>
      </c>
      <c r="C94" t="str">
        <f>IF($A94="","",games!$C94)</f>
        <v>Deckbuilder</v>
      </c>
      <c r="D94">
        <f>IF($A94="","",COUNTIF(connections!$A$2:$A$1473,$A94)+COUNTIF(connections!$B$2:$B$1473,$A94))</f>
        <v>2</v>
      </c>
      <c r="E94">
        <f t="shared" si="13"/>
        <v>3</v>
      </c>
      <c r="F94">
        <f t="shared" si="14"/>
        <v>26</v>
      </c>
      <c r="G94" t="e">
        <f t="shared" si="15"/>
        <v>#N/A</v>
      </c>
      <c r="H94" t="e">
        <f t="shared" si="16"/>
        <v>#N/A</v>
      </c>
      <c r="I94" t="e">
        <f t="shared" si="17"/>
        <v>#N/A</v>
      </c>
      <c r="J94" t="e">
        <f t="shared" si="18"/>
        <v>#N/A</v>
      </c>
      <c r="K94">
        <f t="shared" si="19"/>
        <v>2024</v>
      </c>
      <c r="L94">
        <f t="shared" si="20"/>
        <v>3.5979999999999999</v>
      </c>
      <c r="M94" t="e">
        <f t="shared" si="21"/>
        <v>#N/A</v>
      </c>
      <c r="N94" t="e">
        <f t="shared" si="22"/>
        <v>#N/A</v>
      </c>
      <c r="O94">
        <f t="shared" si="23"/>
        <v>2.0000939999999998</v>
      </c>
      <c r="P94" t="str">
        <f>IF(OR($A94="",games!$H94=""),"",games!$H94)</f>
        <v>Yes</v>
      </c>
      <c r="Q94">
        <f t="shared" si="24"/>
        <v>2.0000939999999998</v>
      </c>
      <c r="T94">
        <f>IF(connections!$A94="","",IFERROR(INDEX(games!$B$2:$B$950,MATCH(connections!$A94,games!$A$2:$A$950,0)),""))</f>
        <v>2018</v>
      </c>
      <c r="U94">
        <f>IF(connections!$A94="","",IFERROR(INDEX(games!$B$2:$B$950,MATCH(connections!$B94,games!$A$2:$A$950,0)),""))</f>
        <v>2022</v>
      </c>
      <c r="V94">
        <f t="shared" si="25"/>
        <v>4</v>
      </c>
    </row>
    <row r="95" spans="1:22" x14ac:dyDescent="0.25">
      <c r="A95" t="str">
        <f>IF(games!$A95="","",games!$A95)</f>
        <v>Brew</v>
      </c>
      <c r="B95">
        <f>IF($A95="","",games!$B95)</f>
        <v>2025</v>
      </c>
      <c r="C95" t="str">
        <f>IF($A95="","",games!$C95)</f>
        <v>Action</v>
      </c>
      <c r="D95">
        <f>IF($A95="","",COUNTIF(connections!$A$2:$A$1473,$A95)+COUNTIF(connections!$B$2:$B$1473,$A95))</f>
        <v>3</v>
      </c>
      <c r="E95">
        <f t="shared" si="13"/>
        <v>1</v>
      </c>
      <c r="F95">
        <f t="shared" si="14"/>
        <v>27</v>
      </c>
      <c r="G95">
        <f t="shared" si="15"/>
        <v>2025</v>
      </c>
      <c r="H95">
        <f t="shared" si="16"/>
        <v>1.621</v>
      </c>
      <c r="I95" t="e">
        <f t="shared" si="17"/>
        <v>#N/A</v>
      </c>
      <c r="J95" t="e">
        <f t="shared" si="18"/>
        <v>#N/A</v>
      </c>
      <c r="K95" t="e">
        <f t="shared" si="19"/>
        <v>#N/A</v>
      </c>
      <c r="L95" t="e">
        <f t="shared" si="20"/>
        <v>#N/A</v>
      </c>
      <c r="M95" t="e">
        <f t="shared" si="21"/>
        <v>#N/A</v>
      </c>
      <c r="N95" t="e">
        <f t="shared" si="22"/>
        <v>#N/A</v>
      </c>
      <c r="O95">
        <f t="shared" si="23"/>
        <v>3.000095</v>
      </c>
      <c r="P95" t="str">
        <f>IF(OR($A95="",games!$H95=""),"",games!$H95)</f>
        <v/>
      </c>
      <c r="Q95" t="str">
        <f t="shared" si="24"/>
        <v/>
      </c>
      <c r="T95">
        <f>IF(connections!$A95="","",IFERROR(INDEX(games!$B$2:$B$950,MATCH(connections!$A95,games!$A$2:$A$950,0)),""))</f>
        <v>2021</v>
      </c>
      <c r="U95">
        <f>IF(connections!$A95="","",IFERROR(INDEX(games!$B$2:$B$950,MATCH(connections!$B95,games!$A$2:$A$950,0)),""))</f>
        <v>2022</v>
      </c>
      <c r="V95">
        <f t="shared" si="25"/>
        <v>1</v>
      </c>
    </row>
    <row r="96" spans="1:22" x14ac:dyDescent="0.25">
      <c r="A96" t="str">
        <f>IF(games!$A96="","",games!$A96)</f>
        <v>Brogue</v>
      </c>
      <c r="B96">
        <f>IF($A96="","",games!$B96)</f>
        <v>2009</v>
      </c>
      <c r="C96" t="str">
        <f>IF($A96="","",games!$C96)</f>
        <v>Traditional</v>
      </c>
      <c r="D96">
        <f>IF($A96="","",COUNTIF(connections!$A$2:$A$1473,$A96)+COUNTIF(connections!$B$2:$B$1473,$A96))</f>
        <v>11</v>
      </c>
      <c r="E96">
        <f t="shared" si="13"/>
        <v>4</v>
      </c>
      <c r="F96">
        <f t="shared" si="14"/>
        <v>28</v>
      </c>
      <c r="G96" t="e">
        <f t="shared" si="15"/>
        <v>#N/A</v>
      </c>
      <c r="H96" t="e">
        <f t="shared" si="16"/>
        <v>#N/A</v>
      </c>
      <c r="I96" t="e">
        <f t="shared" si="17"/>
        <v>#N/A</v>
      </c>
      <c r="J96" t="e">
        <f t="shared" si="18"/>
        <v>#N/A</v>
      </c>
      <c r="K96" t="e">
        <f t="shared" si="19"/>
        <v>#N/A</v>
      </c>
      <c r="L96" t="e">
        <f t="shared" si="20"/>
        <v>#N/A</v>
      </c>
      <c r="M96">
        <f t="shared" si="21"/>
        <v>2009</v>
      </c>
      <c r="N96">
        <f t="shared" si="22"/>
        <v>4.6440000000000001</v>
      </c>
      <c r="O96">
        <f t="shared" si="23"/>
        <v>11.000095999999999</v>
      </c>
      <c r="P96" t="str">
        <f>IF(OR($A96="",games!$H96=""),"",games!$H96)</f>
        <v>Yes</v>
      </c>
      <c r="Q96">
        <f t="shared" si="24"/>
        <v>11.000095999999999</v>
      </c>
      <c r="T96">
        <f>IF(connections!$A96="","",IFERROR(INDEX(games!$B$2:$B$950,MATCH(connections!$A96,games!$A$2:$A$950,0)),""))</f>
        <v>2017</v>
      </c>
      <c r="U96">
        <f>IF(connections!$A96="","",IFERROR(INDEX(games!$B$2:$B$950,MATCH(connections!$B96,games!$A$2:$A$950,0)),""))</f>
        <v>2022</v>
      </c>
      <c r="V96">
        <f t="shared" si="25"/>
        <v>5</v>
      </c>
    </row>
    <row r="97" spans="1:22" x14ac:dyDescent="0.25">
      <c r="A97" t="str">
        <f>IF(games!$A97="","",games!$A97)</f>
        <v>BroomSweeper</v>
      </c>
      <c r="B97">
        <f>IF($A97="","",games!$B97)</f>
        <v>2026</v>
      </c>
      <c r="C97" t="str">
        <f>IF($A97="","",games!$C97)</f>
        <v>Strategy</v>
      </c>
      <c r="D97">
        <f>IF($A97="","",COUNTIF(connections!$A$2:$A$1473,$A97)+COUNTIF(connections!$B$2:$B$1473,$A97))</f>
        <v>4</v>
      </c>
      <c r="E97">
        <f t="shared" si="13"/>
        <v>2</v>
      </c>
      <c r="F97">
        <f t="shared" si="14"/>
        <v>29</v>
      </c>
      <c r="G97" t="e">
        <f t="shared" si="15"/>
        <v>#N/A</v>
      </c>
      <c r="H97" t="e">
        <f t="shared" si="16"/>
        <v>#N/A</v>
      </c>
      <c r="I97">
        <f t="shared" si="17"/>
        <v>2026</v>
      </c>
      <c r="J97">
        <f t="shared" si="18"/>
        <v>2.6669999999999998</v>
      </c>
      <c r="K97" t="e">
        <f t="shared" si="19"/>
        <v>#N/A</v>
      </c>
      <c r="L97" t="e">
        <f t="shared" si="20"/>
        <v>#N/A</v>
      </c>
      <c r="M97" t="e">
        <f t="shared" si="21"/>
        <v>#N/A</v>
      </c>
      <c r="N97" t="e">
        <f t="shared" si="22"/>
        <v>#N/A</v>
      </c>
      <c r="O97">
        <f t="shared" si="23"/>
        <v>4.0000970000000002</v>
      </c>
      <c r="P97" t="str">
        <f>IF(OR($A97="",games!$H97=""),"",games!$H97)</f>
        <v>Yes</v>
      </c>
      <c r="Q97">
        <f t="shared" si="24"/>
        <v>4.0000970000000002</v>
      </c>
      <c r="T97">
        <f>IF(connections!$A97="","",IFERROR(INDEX(games!$B$2:$B$950,MATCH(connections!$A97,games!$A$2:$A$950,0)),""))</f>
        <v>2021</v>
      </c>
      <c r="U97">
        <f>IF(connections!$A97="","",IFERROR(INDEX(games!$B$2:$B$950,MATCH(connections!$B97,games!$A$2:$A$950,0)),""))</f>
        <v>2023</v>
      </c>
      <c r="V97">
        <f t="shared" si="25"/>
        <v>2</v>
      </c>
    </row>
    <row r="98" spans="1:22" x14ac:dyDescent="0.25">
      <c r="A98" t="str">
        <f>IF(games!$A98="","",games!$A98)</f>
        <v>Brotato</v>
      </c>
      <c r="B98">
        <f>IF($A98="","",games!$B98)</f>
        <v>2022</v>
      </c>
      <c r="C98" t="str">
        <f>IF($A98="","",games!$C98)</f>
        <v>Action</v>
      </c>
      <c r="D98">
        <f>IF($A98="","",COUNTIF(connections!$A$2:$A$1473,$A98)+COUNTIF(connections!$B$2:$B$1473,$A98))</f>
        <v>22</v>
      </c>
      <c r="E98">
        <f t="shared" si="13"/>
        <v>1</v>
      </c>
      <c r="F98">
        <f t="shared" si="14"/>
        <v>30</v>
      </c>
      <c r="G98">
        <f t="shared" si="15"/>
        <v>2022</v>
      </c>
      <c r="H98">
        <f t="shared" si="16"/>
        <v>1.69</v>
      </c>
      <c r="I98" t="e">
        <f t="shared" si="17"/>
        <v>#N/A</v>
      </c>
      <c r="J98" t="e">
        <f t="shared" si="18"/>
        <v>#N/A</v>
      </c>
      <c r="K98" t="e">
        <f t="shared" si="19"/>
        <v>#N/A</v>
      </c>
      <c r="L98" t="e">
        <f t="shared" si="20"/>
        <v>#N/A</v>
      </c>
      <c r="M98" t="e">
        <f t="shared" si="21"/>
        <v>#N/A</v>
      </c>
      <c r="N98" t="e">
        <f t="shared" si="22"/>
        <v>#N/A</v>
      </c>
      <c r="O98">
        <f t="shared" si="23"/>
        <v>22.000098000000001</v>
      </c>
      <c r="P98" t="str">
        <f>IF(OR($A98="",games!$H98=""),"",games!$H98)</f>
        <v>Yes</v>
      </c>
      <c r="Q98">
        <f t="shared" si="24"/>
        <v>22.000098000000001</v>
      </c>
      <c r="T98">
        <f>IF(connections!$A98="","",IFERROR(INDEX(games!$B$2:$B$950,MATCH(connections!$A98,games!$A$2:$A$950,0)),""))</f>
        <v>1991</v>
      </c>
      <c r="U98">
        <f>IF(connections!$A98="","",IFERROR(INDEX(games!$B$2:$B$950,MATCH(connections!$B98,games!$A$2:$A$950,0)),""))</f>
        <v>2020</v>
      </c>
      <c r="V98">
        <f t="shared" si="25"/>
        <v>29</v>
      </c>
    </row>
    <row r="99" spans="1:22" x14ac:dyDescent="0.25">
      <c r="A99" t="str">
        <f>IF(games!$A99="","",games!$A99)</f>
        <v>Brutal Orchestra</v>
      </c>
      <c r="B99">
        <f>IF($A99="","",games!$B99)</f>
        <v>2021</v>
      </c>
      <c r="C99" t="str">
        <f>IF($A99="","",games!$C99)</f>
        <v>Strategy</v>
      </c>
      <c r="D99">
        <f>IF($A99="","",COUNTIF(connections!$A$2:$A$1473,$A99)+COUNTIF(connections!$B$2:$B$1473,$A99))</f>
        <v>3</v>
      </c>
      <c r="E99">
        <f t="shared" si="13"/>
        <v>2</v>
      </c>
      <c r="F99">
        <f t="shared" si="14"/>
        <v>31</v>
      </c>
      <c r="G99" t="e">
        <f t="shared" si="15"/>
        <v>#N/A</v>
      </c>
      <c r="H99" t="e">
        <f t="shared" si="16"/>
        <v>#N/A</v>
      </c>
      <c r="I99">
        <f t="shared" si="17"/>
        <v>2021</v>
      </c>
      <c r="J99">
        <f t="shared" si="18"/>
        <v>2.7130000000000001</v>
      </c>
      <c r="K99" t="e">
        <f t="shared" si="19"/>
        <v>#N/A</v>
      </c>
      <c r="L99" t="e">
        <f t="shared" si="20"/>
        <v>#N/A</v>
      </c>
      <c r="M99" t="e">
        <f t="shared" si="21"/>
        <v>#N/A</v>
      </c>
      <c r="N99" t="e">
        <f t="shared" si="22"/>
        <v>#N/A</v>
      </c>
      <c r="O99">
        <f t="shared" si="23"/>
        <v>3.0000990000000001</v>
      </c>
      <c r="P99" t="str">
        <f>IF(OR($A99="",games!$H99=""),"",games!$H99)</f>
        <v>Yes</v>
      </c>
      <c r="Q99">
        <f t="shared" si="24"/>
        <v>3.0000990000000001</v>
      </c>
      <c r="T99">
        <f>IF(connections!$A99="","",IFERROR(INDEX(games!$B$2:$B$950,MATCH(connections!$A99,games!$A$2:$A$950,0)),""))</f>
        <v>2024</v>
      </c>
      <c r="U99">
        <f>IF(connections!$A99="","",IFERROR(INDEX(games!$B$2:$B$950,MATCH(connections!$B99,games!$A$2:$A$950,0)),""))</f>
        <v>2025</v>
      </c>
      <c r="V99">
        <f t="shared" si="25"/>
        <v>1</v>
      </c>
    </row>
    <row r="100" spans="1:22" x14ac:dyDescent="0.25">
      <c r="A100" t="str">
        <f>IF(games!$A100="","",games!$A100)</f>
        <v>Buckshot Roulette</v>
      </c>
      <c r="B100">
        <f>IF($A100="","",games!$B100)</f>
        <v>2023</v>
      </c>
      <c r="C100" t="str">
        <f>IF($A100="","",games!$C100)</f>
        <v>Strategy</v>
      </c>
      <c r="D100">
        <f>IF($A100="","",COUNTIF(connections!$A$2:$A$1473,$A100)+COUNTIF(connections!$B$2:$B$1473,$A100))</f>
        <v>2</v>
      </c>
      <c r="E100">
        <f t="shared" si="13"/>
        <v>2</v>
      </c>
      <c r="F100">
        <f t="shared" si="14"/>
        <v>32</v>
      </c>
      <c r="G100" t="e">
        <f t="shared" si="15"/>
        <v>#N/A</v>
      </c>
      <c r="H100" t="e">
        <f t="shared" si="16"/>
        <v>#N/A</v>
      </c>
      <c r="I100">
        <f t="shared" si="17"/>
        <v>2023</v>
      </c>
      <c r="J100">
        <f t="shared" si="18"/>
        <v>2.7359999999999998</v>
      </c>
      <c r="K100" t="e">
        <f t="shared" si="19"/>
        <v>#N/A</v>
      </c>
      <c r="L100" t="e">
        <f t="shared" si="20"/>
        <v>#N/A</v>
      </c>
      <c r="M100" t="e">
        <f t="shared" si="21"/>
        <v>#N/A</v>
      </c>
      <c r="N100" t="e">
        <f t="shared" si="22"/>
        <v>#N/A</v>
      </c>
      <c r="O100">
        <f t="shared" si="23"/>
        <v>2.0001000000000002</v>
      </c>
      <c r="P100" t="str">
        <f>IF(OR($A100="",games!$H100=""),"",games!$H100)</f>
        <v>Yes</v>
      </c>
      <c r="Q100">
        <f t="shared" si="24"/>
        <v>2.0001000000000002</v>
      </c>
      <c r="T100">
        <f>IF(connections!$A100="","",IFERROR(INDEX(games!$B$2:$B$950,MATCH(connections!$A100,games!$A$2:$A$950,0)),""))</f>
        <v>2021</v>
      </c>
      <c r="U100">
        <f>IF(connections!$A100="","",IFERROR(INDEX(games!$B$2:$B$950,MATCH(connections!$B100,games!$A$2:$A$950,0)),""))</f>
        <v>2025</v>
      </c>
      <c r="V100">
        <f t="shared" si="25"/>
        <v>4</v>
      </c>
    </row>
    <row r="101" spans="1:22" x14ac:dyDescent="0.25">
      <c r="A101" t="str">
        <f>IF(games!$A101="","",games!$A101)</f>
        <v>Cadence of Hyrule</v>
      </c>
      <c r="B101">
        <f>IF($A101="","",games!$B101)</f>
        <v>2019</v>
      </c>
      <c r="C101" t="str">
        <f>IF($A101="","",games!$C101)</f>
        <v>Traditional</v>
      </c>
      <c r="D101">
        <f>IF($A101="","",COUNTIF(connections!$A$2:$A$1473,$A101)+COUNTIF(connections!$B$2:$B$1473,$A101))</f>
        <v>1</v>
      </c>
      <c r="E101">
        <f t="shared" si="13"/>
        <v>4</v>
      </c>
      <c r="F101">
        <f t="shared" si="14"/>
        <v>33</v>
      </c>
      <c r="G101" t="e">
        <f t="shared" si="15"/>
        <v>#N/A</v>
      </c>
      <c r="H101" t="e">
        <f t="shared" si="16"/>
        <v>#N/A</v>
      </c>
      <c r="I101" t="e">
        <f t="shared" si="17"/>
        <v>#N/A</v>
      </c>
      <c r="J101" t="e">
        <f t="shared" si="18"/>
        <v>#N/A</v>
      </c>
      <c r="K101" t="e">
        <f t="shared" si="19"/>
        <v>#N/A</v>
      </c>
      <c r="L101" t="e">
        <f t="shared" si="20"/>
        <v>#N/A</v>
      </c>
      <c r="M101">
        <f t="shared" si="21"/>
        <v>2019</v>
      </c>
      <c r="N101">
        <f t="shared" si="22"/>
        <v>4.7590000000000003</v>
      </c>
      <c r="O101">
        <f t="shared" si="23"/>
        <v>1.0001009999999999</v>
      </c>
      <c r="P101" t="str">
        <f>IF(OR($A101="",games!$H101=""),"",games!$H101)</f>
        <v/>
      </c>
      <c r="Q101" t="str">
        <f t="shared" si="24"/>
        <v/>
      </c>
      <c r="T101">
        <f>IF(connections!$A101="","",IFERROR(INDEX(games!$B$2:$B$950,MATCH(connections!$A101,games!$A$2:$A$950,0)),""))</f>
        <v>2021</v>
      </c>
      <c r="U101">
        <f>IF(connections!$A101="","",IFERROR(INDEX(games!$B$2:$B$950,MATCH(connections!$B101,games!$A$2:$A$950,0)),""))</f>
        <v>2024</v>
      </c>
      <c r="V101">
        <f t="shared" si="25"/>
        <v>3</v>
      </c>
    </row>
    <row r="102" spans="1:22" x14ac:dyDescent="0.25">
      <c r="A102" t="str">
        <f>IF(games!$A102="","",games!$A102)</f>
        <v>Candies 'n Curses</v>
      </c>
      <c r="B102">
        <f>IF($A102="","",games!$B102)</f>
        <v>2018</v>
      </c>
      <c r="C102" t="str">
        <f>IF($A102="","",games!$C102)</f>
        <v>Action</v>
      </c>
      <c r="D102">
        <f>IF($A102="","",COUNTIF(connections!$A$2:$A$1473,$A102)+COUNTIF(connections!$B$2:$B$1473,$A102))</f>
        <v>1</v>
      </c>
      <c r="E102">
        <f t="shared" si="13"/>
        <v>1</v>
      </c>
      <c r="F102">
        <f t="shared" si="14"/>
        <v>0</v>
      </c>
      <c r="G102">
        <f t="shared" si="15"/>
        <v>2018</v>
      </c>
      <c r="H102">
        <f t="shared" si="16"/>
        <v>1</v>
      </c>
      <c r="I102" t="e">
        <f t="shared" si="17"/>
        <v>#N/A</v>
      </c>
      <c r="J102" t="e">
        <f t="shared" si="18"/>
        <v>#N/A</v>
      </c>
      <c r="K102" t="e">
        <f t="shared" si="19"/>
        <v>#N/A</v>
      </c>
      <c r="L102" t="e">
        <f t="shared" si="20"/>
        <v>#N/A</v>
      </c>
      <c r="M102" t="e">
        <f t="shared" si="21"/>
        <v>#N/A</v>
      </c>
      <c r="N102" t="e">
        <f t="shared" si="22"/>
        <v>#N/A</v>
      </c>
      <c r="O102">
        <f t="shared" si="23"/>
        <v>1.000102</v>
      </c>
      <c r="P102" t="str">
        <f>IF(OR($A102="",games!$H102=""),"",games!$H102)</f>
        <v>Yes</v>
      </c>
      <c r="Q102">
        <f t="shared" si="24"/>
        <v>1.000102</v>
      </c>
      <c r="T102">
        <f>IF(connections!$A102="","",IFERROR(INDEX(games!$B$2:$B$950,MATCH(connections!$A102,games!$A$2:$A$950,0)),""))</f>
        <v>2017</v>
      </c>
      <c r="U102">
        <f>IF(connections!$A102="","",IFERROR(INDEX(games!$B$2:$B$950,MATCH(connections!$B102,games!$A$2:$A$950,0)),""))</f>
        <v>2020</v>
      </c>
      <c r="V102">
        <f t="shared" si="25"/>
        <v>3</v>
      </c>
    </row>
    <row r="103" spans="1:22" x14ac:dyDescent="0.25">
      <c r="A103" t="str">
        <f>IF(games!$A103="","",games!$A103)</f>
        <v>Captain Forever Remix</v>
      </c>
      <c r="B103">
        <f>IF($A103="","",games!$B103)</f>
        <v>2016</v>
      </c>
      <c r="C103" t="str">
        <f>IF($A103="","",games!$C103)</f>
        <v>Action</v>
      </c>
      <c r="D103">
        <f>IF($A103="","",COUNTIF(connections!$A$2:$A$1473,$A103)+COUNTIF(connections!$B$2:$B$1473,$A103))</f>
        <v>0</v>
      </c>
      <c r="E103">
        <f t="shared" si="13"/>
        <v>1</v>
      </c>
      <c r="F103">
        <f t="shared" si="14"/>
        <v>1</v>
      </c>
      <c r="G103">
        <f t="shared" si="15"/>
        <v>2016</v>
      </c>
      <c r="H103">
        <f t="shared" si="16"/>
        <v>1.0229999999999999</v>
      </c>
      <c r="I103" t="e">
        <f t="shared" si="17"/>
        <v>#N/A</v>
      </c>
      <c r="J103" t="e">
        <f t="shared" si="18"/>
        <v>#N/A</v>
      </c>
      <c r="K103" t="e">
        <f t="shared" si="19"/>
        <v>#N/A</v>
      </c>
      <c r="L103" t="e">
        <f t="shared" si="20"/>
        <v>#N/A</v>
      </c>
      <c r="M103" t="e">
        <f t="shared" si="21"/>
        <v>#N/A</v>
      </c>
      <c r="N103" t="e">
        <f t="shared" si="22"/>
        <v>#N/A</v>
      </c>
      <c r="O103">
        <f t="shared" si="23"/>
        <v>1.03E-4</v>
      </c>
      <c r="P103" t="str">
        <f>IF(OR($A103="",games!$H103=""),"",games!$H103)</f>
        <v>Yes</v>
      </c>
      <c r="Q103">
        <f t="shared" si="24"/>
        <v>1.03E-4</v>
      </c>
      <c r="T103">
        <f>IF(connections!$A103="","",IFERROR(INDEX(games!$B$2:$B$950,MATCH(connections!$A103,games!$A$2:$A$950,0)),""))</f>
        <v>2022</v>
      </c>
      <c r="U103">
        <f>IF(connections!$A103="","",IFERROR(INDEX(games!$B$2:$B$950,MATCH(connections!$B103,games!$A$2:$A$950,0)),""))</f>
        <v>2026</v>
      </c>
      <c r="V103">
        <f t="shared" si="25"/>
        <v>4</v>
      </c>
    </row>
    <row r="104" spans="1:22" x14ac:dyDescent="0.25">
      <c r="A104" t="str">
        <f>IF(games!$A104="","",games!$A104)</f>
        <v>Cardinal Quest</v>
      </c>
      <c r="B104">
        <f>IF($A104="","",games!$B104)</f>
        <v>2010</v>
      </c>
      <c r="C104" t="str">
        <f>IF($A104="","",games!$C104)</f>
        <v>Traditional</v>
      </c>
      <c r="D104">
        <f>IF($A104="","",COUNTIF(connections!$A$2:$A$1473,$A104)+COUNTIF(connections!$B$2:$B$1473,$A104))</f>
        <v>8</v>
      </c>
      <c r="E104">
        <f t="shared" si="13"/>
        <v>4</v>
      </c>
      <c r="F104">
        <f t="shared" si="14"/>
        <v>2</v>
      </c>
      <c r="G104" t="e">
        <f t="shared" si="15"/>
        <v>#N/A</v>
      </c>
      <c r="H104" t="e">
        <f t="shared" si="16"/>
        <v>#N/A</v>
      </c>
      <c r="I104" t="e">
        <f t="shared" si="17"/>
        <v>#N/A</v>
      </c>
      <c r="J104" t="e">
        <f t="shared" si="18"/>
        <v>#N/A</v>
      </c>
      <c r="K104" t="e">
        <f t="shared" si="19"/>
        <v>#N/A</v>
      </c>
      <c r="L104" t="e">
        <f t="shared" si="20"/>
        <v>#N/A</v>
      </c>
      <c r="M104">
        <f t="shared" si="21"/>
        <v>2010</v>
      </c>
      <c r="N104">
        <f t="shared" si="22"/>
        <v>4.0460000000000003</v>
      </c>
      <c r="O104">
        <f t="shared" si="23"/>
        <v>8.0001040000000003</v>
      </c>
      <c r="P104" t="str">
        <f>IF(OR($A104="",games!$H104=""),"",games!$H104)</f>
        <v/>
      </c>
      <c r="Q104" t="str">
        <f t="shared" si="24"/>
        <v/>
      </c>
      <c r="T104">
        <f>IF(connections!$A104="","",IFERROR(INDEX(games!$B$2:$B$950,MATCH(connections!$A104,games!$A$2:$A$950,0)),""))</f>
        <v>2017</v>
      </c>
      <c r="U104">
        <f>IF(connections!$A104="","",IFERROR(INDEX(games!$B$2:$B$950,MATCH(connections!$B104,games!$A$2:$A$950,0)),""))</f>
        <v>2026</v>
      </c>
      <c r="V104">
        <f t="shared" si="25"/>
        <v>9</v>
      </c>
    </row>
    <row r="105" spans="1:22" x14ac:dyDescent="0.25">
      <c r="A105" t="str">
        <f>IF(games!$A105="","",games!$A105)</f>
        <v>Cardinal Quest 2</v>
      </c>
      <c r="B105">
        <f>IF($A105="","",games!$B105)</f>
        <v>2014</v>
      </c>
      <c r="C105" t="str">
        <f>IF($A105="","",games!$C105)</f>
        <v>Traditional</v>
      </c>
      <c r="D105">
        <f>IF($A105="","",COUNTIF(connections!$A$2:$A$1473,$A105)+COUNTIF(connections!$B$2:$B$1473,$A105))</f>
        <v>1</v>
      </c>
      <c r="E105">
        <f t="shared" si="13"/>
        <v>4</v>
      </c>
      <c r="F105">
        <f t="shared" si="14"/>
        <v>3</v>
      </c>
      <c r="G105" t="e">
        <f t="shared" si="15"/>
        <v>#N/A</v>
      </c>
      <c r="H105" t="e">
        <f t="shared" si="16"/>
        <v>#N/A</v>
      </c>
      <c r="I105" t="e">
        <f t="shared" si="17"/>
        <v>#N/A</v>
      </c>
      <c r="J105" t="e">
        <f t="shared" si="18"/>
        <v>#N/A</v>
      </c>
      <c r="K105" t="e">
        <f t="shared" si="19"/>
        <v>#N/A</v>
      </c>
      <c r="L105" t="e">
        <f t="shared" si="20"/>
        <v>#N/A</v>
      </c>
      <c r="M105">
        <f t="shared" si="21"/>
        <v>2014</v>
      </c>
      <c r="N105">
        <f t="shared" si="22"/>
        <v>4.069</v>
      </c>
      <c r="O105">
        <f t="shared" si="23"/>
        <v>1.000105</v>
      </c>
      <c r="P105" t="str">
        <f>IF(OR($A105="",games!$H105=""),"",games!$H105)</f>
        <v/>
      </c>
      <c r="Q105" t="str">
        <f t="shared" si="24"/>
        <v/>
      </c>
      <c r="T105">
        <f>IF(connections!$A105="","",IFERROR(INDEX(games!$B$2:$B$950,MATCH(connections!$A105,games!$A$2:$A$950,0)),""))</f>
        <v>1987</v>
      </c>
      <c r="U105">
        <f>IF(connections!$A105="","",IFERROR(INDEX(games!$B$2:$B$950,MATCH(connections!$B105,games!$A$2:$A$950,0)),""))</f>
        <v>2015</v>
      </c>
      <c r="V105">
        <f t="shared" si="25"/>
        <v>28</v>
      </c>
    </row>
    <row r="106" spans="1:22" x14ac:dyDescent="0.25">
      <c r="A106" t="str">
        <f>IF(games!$A106="","",games!$A106)</f>
        <v>Castle of the Winds</v>
      </c>
      <c r="B106">
        <f>IF($A106="","",games!$B106)</f>
        <v>1994</v>
      </c>
      <c r="C106" t="str">
        <f>IF($A106="","",games!$C106)</f>
        <v>Traditional</v>
      </c>
      <c r="D106">
        <f>IF($A106="","",COUNTIF(connections!$A$2:$A$1473,$A106)+COUNTIF(connections!$B$2:$B$1473,$A106))</f>
        <v>5</v>
      </c>
      <c r="E106">
        <f t="shared" si="13"/>
        <v>4</v>
      </c>
      <c r="F106">
        <f t="shared" si="14"/>
        <v>4</v>
      </c>
      <c r="G106" t="e">
        <f t="shared" si="15"/>
        <v>#N/A</v>
      </c>
      <c r="H106" t="e">
        <f t="shared" si="16"/>
        <v>#N/A</v>
      </c>
      <c r="I106" t="e">
        <f t="shared" si="17"/>
        <v>#N/A</v>
      </c>
      <c r="J106" t="e">
        <f t="shared" si="18"/>
        <v>#N/A</v>
      </c>
      <c r="K106" t="e">
        <f t="shared" si="19"/>
        <v>#N/A</v>
      </c>
      <c r="L106" t="e">
        <f t="shared" si="20"/>
        <v>#N/A</v>
      </c>
      <c r="M106">
        <f t="shared" si="21"/>
        <v>1994</v>
      </c>
      <c r="N106">
        <f t="shared" si="22"/>
        <v>4.0919999999999996</v>
      </c>
      <c r="O106">
        <f t="shared" si="23"/>
        <v>5.0001059999999997</v>
      </c>
      <c r="P106" t="str">
        <f>IF(OR($A106="",games!$H106=""),"",games!$H106)</f>
        <v>Yes</v>
      </c>
      <c r="Q106">
        <f t="shared" si="24"/>
        <v>5.0001059999999997</v>
      </c>
      <c r="T106">
        <f>IF(connections!$A106="","",IFERROR(INDEX(games!$B$2:$B$950,MATCH(connections!$A106,games!$A$2:$A$950,0)),""))</f>
        <v>2008</v>
      </c>
      <c r="U106">
        <f>IF(connections!$A106="","",IFERROR(INDEX(games!$B$2:$B$950,MATCH(connections!$B106,games!$A$2:$A$950,0)),""))</f>
        <v>2015</v>
      </c>
      <c r="V106">
        <f t="shared" si="25"/>
        <v>7</v>
      </c>
    </row>
    <row r="107" spans="1:22" x14ac:dyDescent="0.25">
      <c r="A107" t="str">
        <f>IF(games!$A107="","",games!$A107)</f>
        <v>CastlevaniaRL</v>
      </c>
      <c r="B107">
        <f>IF($A107="","",games!$B107)</f>
        <v>2005</v>
      </c>
      <c r="C107" t="str">
        <f>IF($A107="","",games!$C107)</f>
        <v>Traditional</v>
      </c>
      <c r="D107">
        <f>IF($A107="","",COUNTIF(connections!$A$2:$A$1473,$A107)+COUNTIF(connections!$B$2:$B$1473,$A107))</f>
        <v>1</v>
      </c>
      <c r="E107">
        <f t="shared" si="13"/>
        <v>4</v>
      </c>
      <c r="F107">
        <f t="shared" si="14"/>
        <v>5</v>
      </c>
      <c r="G107" t="e">
        <f t="shared" si="15"/>
        <v>#N/A</v>
      </c>
      <c r="H107" t="e">
        <f t="shared" si="16"/>
        <v>#N/A</v>
      </c>
      <c r="I107" t="e">
        <f t="shared" si="17"/>
        <v>#N/A</v>
      </c>
      <c r="J107" t="e">
        <f t="shared" si="18"/>
        <v>#N/A</v>
      </c>
      <c r="K107" t="e">
        <f t="shared" si="19"/>
        <v>#N/A</v>
      </c>
      <c r="L107" t="e">
        <f t="shared" si="20"/>
        <v>#N/A</v>
      </c>
      <c r="M107">
        <f t="shared" si="21"/>
        <v>2005</v>
      </c>
      <c r="N107">
        <f t="shared" si="22"/>
        <v>4.1150000000000002</v>
      </c>
      <c r="O107">
        <f t="shared" si="23"/>
        <v>1.0001070000000001</v>
      </c>
      <c r="P107" t="str">
        <f>IF(OR($A107="",games!$H107=""),"",games!$H107)</f>
        <v>Yes</v>
      </c>
      <c r="Q107">
        <f t="shared" si="24"/>
        <v>1.0001070000000001</v>
      </c>
      <c r="T107">
        <f>IF(connections!$A107="","",IFERROR(INDEX(games!$B$2:$B$950,MATCH(connections!$A107,games!$A$2:$A$950,0)),""))</f>
        <v>1980</v>
      </c>
      <c r="U107">
        <f>IF(connections!$A107="","",IFERROR(INDEX(games!$B$2:$B$950,MATCH(connections!$B107,games!$A$2:$A$950,0)),""))</f>
        <v>1998</v>
      </c>
      <c r="V107">
        <f t="shared" si="25"/>
        <v>18</v>
      </c>
    </row>
    <row r="108" spans="1:22" x14ac:dyDescent="0.25">
      <c r="A108" t="str">
        <f>IF(games!$A108="","",games!$A108)</f>
        <v>Cat God Ranch</v>
      </c>
      <c r="B108">
        <f>IF($A108="","",games!$B108)</f>
        <v>2024</v>
      </c>
      <c r="C108" t="str">
        <f>IF($A108="","",games!$C108)</f>
        <v>Deckbuilder</v>
      </c>
      <c r="D108">
        <f>IF($A108="","",COUNTIF(connections!$A$2:$A$1473,$A108)+COUNTIF(connections!$B$2:$B$1473,$A108))</f>
        <v>1</v>
      </c>
      <c r="E108">
        <f t="shared" si="13"/>
        <v>3</v>
      </c>
      <c r="F108">
        <f t="shared" si="14"/>
        <v>6</v>
      </c>
      <c r="G108" t="e">
        <f t="shared" si="15"/>
        <v>#N/A</v>
      </c>
      <c r="H108" t="e">
        <f t="shared" si="16"/>
        <v>#N/A</v>
      </c>
      <c r="I108" t="e">
        <f t="shared" si="17"/>
        <v>#N/A</v>
      </c>
      <c r="J108" t="e">
        <f t="shared" si="18"/>
        <v>#N/A</v>
      </c>
      <c r="K108">
        <f t="shared" si="19"/>
        <v>2024</v>
      </c>
      <c r="L108">
        <f t="shared" si="20"/>
        <v>3.1379999999999999</v>
      </c>
      <c r="M108" t="e">
        <f t="shared" si="21"/>
        <v>#N/A</v>
      </c>
      <c r="N108" t="e">
        <f t="shared" si="22"/>
        <v>#N/A</v>
      </c>
      <c r="O108">
        <f t="shared" si="23"/>
        <v>1.000108</v>
      </c>
      <c r="P108" t="str">
        <f>IF(OR($A108="",games!$H108=""),"",games!$H108)</f>
        <v/>
      </c>
      <c r="Q108" t="str">
        <f t="shared" si="24"/>
        <v/>
      </c>
      <c r="T108">
        <f>IF(connections!$A108="","",IFERROR(INDEX(games!$B$2:$B$950,MATCH(connections!$A108,games!$A$2:$A$950,0)),""))</f>
        <v>1993</v>
      </c>
      <c r="U108">
        <f>IF(connections!$A108="","",IFERROR(INDEX(games!$B$2:$B$950,MATCH(connections!$B108,games!$A$2:$A$950,0)),""))</f>
        <v>1998</v>
      </c>
      <c r="V108">
        <f t="shared" si="25"/>
        <v>5</v>
      </c>
    </row>
    <row r="109" spans="1:22" x14ac:dyDescent="0.25">
      <c r="A109" t="str">
        <f>IF(games!$A109="","",games!$A109)</f>
        <v>Cataclysm</v>
      </c>
      <c r="B109">
        <f>IF($A109="","",games!$B109)</f>
        <v>2010</v>
      </c>
      <c r="C109" t="str">
        <f>IF($A109="","",games!$C109)</f>
        <v>Traditional</v>
      </c>
      <c r="D109">
        <f>IF($A109="","",COUNTIF(connections!$A$2:$A$1473,$A109)+COUNTIF(connections!$B$2:$B$1473,$A109))</f>
        <v>3</v>
      </c>
      <c r="E109">
        <f t="shared" si="13"/>
        <v>4</v>
      </c>
      <c r="F109">
        <f t="shared" si="14"/>
        <v>7</v>
      </c>
      <c r="G109" t="e">
        <f t="shared" si="15"/>
        <v>#N/A</v>
      </c>
      <c r="H109" t="e">
        <f t="shared" si="16"/>
        <v>#N/A</v>
      </c>
      <c r="I109" t="e">
        <f t="shared" si="17"/>
        <v>#N/A</v>
      </c>
      <c r="J109" t="e">
        <f t="shared" si="18"/>
        <v>#N/A</v>
      </c>
      <c r="K109" t="e">
        <f t="shared" si="19"/>
        <v>#N/A</v>
      </c>
      <c r="L109" t="e">
        <f t="shared" si="20"/>
        <v>#N/A</v>
      </c>
      <c r="M109">
        <f t="shared" si="21"/>
        <v>2010</v>
      </c>
      <c r="N109">
        <f t="shared" si="22"/>
        <v>4.1609999999999996</v>
      </c>
      <c r="O109">
        <f t="shared" si="23"/>
        <v>3.0001090000000001</v>
      </c>
      <c r="P109" t="str">
        <f>IF(OR($A109="",games!$H109=""),"",games!$H109)</f>
        <v>Yes</v>
      </c>
      <c r="Q109">
        <f t="shared" si="24"/>
        <v>3.0001090000000001</v>
      </c>
      <c r="T109">
        <f>IF(connections!$A109="","",IFERROR(INDEX(games!$B$2:$B$950,MATCH(connections!$A109,games!$A$2:$A$950,0)),""))</f>
        <v>1998</v>
      </c>
      <c r="U109">
        <f>IF(connections!$A109="","",IFERROR(INDEX(games!$B$2:$B$950,MATCH(connections!$B109,games!$A$2:$A$950,0)),""))</f>
        <v>2007</v>
      </c>
      <c r="V109">
        <f t="shared" si="25"/>
        <v>9</v>
      </c>
    </row>
    <row r="110" spans="1:22" x14ac:dyDescent="0.25">
      <c r="A110" t="str">
        <f>IF(games!$A110="","",games!$A110)</f>
        <v>Cataclysm: Bright Nights</v>
      </c>
      <c r="B110">
        <f>IF($A110="","",games!$B110)</f>
        <v>2020</v>
      </c>
      <c r="C110" t="str">
        <f>IF($A110="","",games!$C110)</f>
        <v>Traditional</v>
      </c>
      <c r="D110">
        <f>IF($A110="","",COUNTIF(connections!$A$2:$A$1473,$A110)+COUNTIF(connections!$B$2:$B$1473,$A110))</f>
        <v>1</v>
      </c>
      <c r="E110">
        <f t="shared" si="13"/>
        <v>4</v>
      </c>
      <c r="F110">
        <f t="shared" si="14"/>
        <v>8</v>
      </c>
      <c r="G110" t="e">
        <f t="shared" si="15"/>
        <v>#N/A</v>
      </c>
      <c r="H110" t="e">
        <f t="shared" si="16"/>
        <v>#N/A</v>
      </c>
      <c r="I110" t="e">
        <f t="shared" si="17"/>
        <v>#N/A</v>
      </c>
      <c r="J110" t="e">
        <f t="shared" si="18"/>
        <v>#N/A</v>
      </c>
      <c r="K110" t="e">
        <f t="shared" si="19"/>
        <v>#N/A</v>
      </c>
      <c r="L110" t="e">
        <f t="shared" si="20"/>
        <v>#N/A</v>
      </c>
      <c r="M110">
        <f t="shared" si="21"/>
        <v>2020</v>
      </c>
      <c r="N110">
        <f t="shared" si="22"/>
        <v>4.1840000000000002</v>
      </c>
      <c r="O110">
        <f t="shared" si="23"/>
        <v>1.0001100000000001</v>
      </c>
      <c r="P110" t="str">
        <f>IF(OR($A110="",games!$H110=""),"",games!$H110)</f>
        <v>Yes</v>
      </c>
      <c r="Q110">
        <f t="shared" si="24"/>
        <v>1.0001100000000001</v>
      </c>
      <c r="T110">
        <f>IF(connections!$A110="","",IFERROR(INDEX(games!$B$2:$B$950,MATCH(connections!$A110,games!$A$2:$A$950,0)),""))</f>
        <v>2026</v>
      </c>
      <c r="U110">
        <f>IF(connections!$A110="","",IFERROR(INDEX(games!$B$2:$B$950,MATCH(connections!$B110,games!$A$2:$A$950,0)),""))</f>
        <v>2026</v>
      </c>
      <c r="V110">
        <f t="shared" si="25"/>
        <v>0</v>
      </c>
    </row>
    <row r="111" spans="1:22" x14ac:dyDescent="0.25">
      <c r="A111" t="str">
        <f>IF(games!$A111="","",games!$A111)</f>
        <v>Cataclysm: Dark Days Ahead</v>
      </c>
      <c r="B111">
        <f>IF($A111="","",games!$B111)</f>
        <v>2013</v>
      </c>
      <c r="C111" t="str">
        <f>IF($A111="","",games!$C111)</f>
        <v>Traditional</v>
      </c>
      <c r="D111">
        <f>IF($A111="","",COUNTIF(connections!$A$2:$A$1473,$A111)+COUNTIF(connections!$B$2:$B$1473,$A111))</f>
        <v>3</v>
      </c>
      <c r="E111">
        <f t="shared" si="13"/>
        <v>4</v>
      </c>
      <c r="F111">
        <f t="shared" si="14"/>
        <v>9</v>
      </c>
      <c r="G111" t="e">
        <f t="shared" si="15"/>
        <v>#N/A</v>
      </c>
      <c r="H111" t="e">
        <f t="shared" si="16"/>
        <v>#N/A</v>
      </c>
      <c r="I111" t="e">
        <f t="shared" si="17"/>
        <v>#N/A</v>
      </c>
      <c r="J111" t="e">
        <f t="shared" si="18"/>
        <v>#N/A</v>
      </c>
      <c r="K111" t="e">
        <f t="shared" si="19"/>
        <v>#N/A</v>
      </c>
      <c r="L111" t="e">
        <f t="shared" si="20"/>
        <v>#N/A</v>
      </c>
      <c r="M111">
        <f t="shared" si="21"/>
        <v>2013</v>
      </c>
      <c r="N111">
        <f t="shared" si="22"/>
        <v>4.2069999999999999</v>
      </c>
      <c r="O111">
        <f t="shared" si="23"/>
        <v>3.000111</v>
      </c>
      <c r="P111" t="str">
        <f>IF(OR($A111="",games!$H111=""),"",games!$H111)</f>
        <v>Yes</v>
      </c>
      <c r="Q111">
        <f t="shared" si="24"/>
        <v>3.000111</v>
      </c>
      <c r="T111">
        <f>IF(connections!$A111="","",IFERROR(INDEX(games!$B$2:$B$950,MATCH(connections!$A111,games!$A$2:$A$950,0)),""))</f>
        <v>2019</v>
      </c>
      <c r="U111">
        <f>IF(connections!$A111="","",IFERROR(INDEX(games!$B$2:$B$950,MATCH(connections!$B111,games!$A$2:$A$950,0)),""))</f>
        <v>2026</v>
      </c>
      <c r="V111">
        <f t="shared" si="25"/>
        <v>7</v>
      </c>
    </row>
    <row r="112" spans="1:22" x14ac:dyDescent="0.25">
      <c r="A112" t="str">
        <f>IF(games!$A112="","",games!$A112)</f>
        <v>Cataclysm: The Last Generation</v>
      </c>
      <c r="B112">
        <f>IF($A112="","",games!$B112)</f>
        <v>2025</v>
      </c>
      <c r="C112" t="str">
        <f>IF($A112="","",games!$C112)</f>
        <v>Traditional</v>
      </c>
      <c r="D112">
        <f>IF($A112="","",COUNTIF(connections!$A$2:$A$1473,$A112)+COUNTIF(connections!$B$2:$B$1473,$A112))</f>
        <v>1</v>
      </c>
      <c r="E112">
        <f t="shared" si="13"/>
        <v>4</v>
      </c>
      <c r="F112">
        <f t="shared" si="14"/>
        <v>10</v>
      </c>
      <c r="G112" t="e">
        <f t="shared" si="15"/>
        <v>#N/A</v>
      </c>
      <c r="H112" t="e">
        <f t="shared" si="16"/>
        <v>#N/A</v>
      </c>
      <c r="I112" t="e">
        <f t="shared" si="17"/>
        <v>#N/A</v>
      </c>
      <c r="J112" t="e">
        <f t="shared" si="18"/>
        <v>#N/A</v>
      </c>
      <c r="K112" t="e">
        <f t="shared" si="19"/>
        <v>#N/A</v>
      </c>
      <c r="L112" t="e">
        <f t="shared" si="20"/>
        <v>#N/A</v>
      </c>
      <c r="M112">
        <f t="shared" si="21"/>
        <v>2025</v>
      </c>
      <c r="N112">
        <f t="shared" si="22"/>
        <v>4.2300000000000004</v>
      </c>
      <c r="O112">
        <f t="shared" si="23"/>
        <v>1.0001119999999999</v>
      </c>
      <c r="P112" t="str">
        <f>IF(OR($A112="",games!$H112=""),"",games!$H112)</f>
        <v>Yes</v>
      </c>
      <c r="Q112">
        <f t="shared" si="24"/>
        <v>1.0001119999999999</v>
      </c>
      <c r="T112">
        <f>IF(connections!$A112="","",IFERROR(INDEX(games!$B$2:$B$950,MATCH(connections!$A112,games!$A$2:$A$950,0)),""))</f>
        <v>2025</v>
      </c>
      <c r="U112">
        <f>IF(connections!$A112="","",IFERROR(INDEX(games!$B$2:$B$950,MATCH(connections!$B112,games!$A$2:$A$950,0)),""))</f>
        <v>2026</v>
      </c>
      <c r="V112">
        <f t="shared" si="25"/>
        <v>1</v>
      </c>
    </row>
    <row r="113" spans="1:22" x14ac:dyDescent="0.25">
      <c r="A113" t="str">
        <f>IF(games!$A113="","",games!$A113)</f>
        <v>Catacomb Kids</v>
      </c>
      <c r="B113">
        <f>IF($A113="","",games!$B113)</f>
        <v>2015</v>
      </c>
      <c r="C113" t="str">
        <f>IF($A113="","",games!$C113)</f>
        <v>Action</v>
      </c>
      <c r="D113">
        <f>IF($A113="","",COUNTIF(connections!$A$2:$A$1473,$A113)+COUNTIF(connections!$B$2:$B$1473,$A113))</f>
        <v>4</v>
      </c>
      <c r="E113">
        <f t="shared" si="13"/>
        <v>1</v>
      </c>
      <c r="F113">
        <f t="shared" si="14"/>
        <v>11</v>
      </c>
      <c r="G113">
        <f t="shared" si="15"/>
        <v>2015</v>
      </c>
      <c r="H113">
        <f t="shared" si="16"/>
        <v>1.2530000000000001</v>
      </c>
      <c r="I113" t="e">
        <f t="shared" si="17"/>
        <v>#N/A</v>
      </c>
      <c r="J113" t="e">
        <f t="shared" si="18"/>
        <v>#N/A</v>
      </c>
      <c r="K113" t="e">
        <f t="shared" si="19"/>
        <v>#N/A</v>
      </c>
      <c r="L113" t="e">
        <f t="shared" si="20"/>
        <v>#N/A</v>
      </c>
      <c r="M113" t="e">
        <f t="shared" si="21"/>
        <v>#N/A</v>
      </c>
      <c r="N113" t="e">
        <f t="shared" si="22"/>
        <v>#N/A</v>
      </c>
      <c r="O113">
        <f t="shared" si="23"/>
        <v>4.0001129999999998</v>
      </c>
      <c r="P113" t="str">
        <f>IF(OR($A113="",games!$H113=""),"",games!$H113)</f>
        <v/>
      </c>
      <c r="Q113" t="str">
        <f t="shared" si="24"/>
        <v/>
      </c>
      <c r="T113">
        <f>IF(connections!$A113="","",IFERROR(INDEX(games!$B$2:$B$950,MATCH(connections!$A113,games!$A$2:$A$950,0)),""))</f>
        <v>2018</v>
      </c>
      <c r="U113">
        <f>IF(connections!$A113="","",IFERROR(INDEX(games!$B$2:$B$950,MATCH(connections!$B113,games!$A$2:$A$950,0)),""))</f>
        <v>2023</v>
      </c>
      <c r="V113">
        <f t="shared" si="25"/>
        <v>5</v>
      </c>
    </row>
    <row r="114" spans="1:22" x14ac:dyDescent="0.25">
      <c r="A114" t="str">
        <f>IF(games!$A114="","",games!$A114)</f>
        <v>Cats &amp; Dice</v>
      </c>
      <c r="B114">
        <f>IF($A114="","",games!$B114)</f>
        <v>2025</v>
      </c>
      <c r="C114" t="str">
        <f>IF($A114="","",games!$C114)</f>
        <v>Deckbuilder</v>
      </c>
      <c r="D114">
        <f>IF($A114="","",COUNTIF(connections!$A$2:$A$1473,$A114)+COUNTIF(connections!$B$2:$B$1473,$A114))</f>
        <v>2</v>
      </c>
      <c r="E114">
        <f t="shared" si="13"/>
        <v>3</v>
      </c>
      <c r="F114">
        <f t="shared" si="14"/>
        <v>12</v>
      </c>
      <c r="G114" t="e">
        <f t="shared" si="15"/>
        <v>#N/A</v>
      </c>
      <c r="H114" t="e">
        <f t="shared" si="16"/>
        <v>#N/A</v>
      </c>
      <c r="I114" t="e">
        <f t="shared" si="17"/>
        <v>#N/A</v>
      </c>
      <c r="J114" t="e">
        <f t="shared" si="18"/>
        <v>#N/A</v>
      </c>
      <c r="K114">
        <f t="shared" si="19"/>
        <v>2025</v>
      </c>
      <c r="L114">
        <f t="shared" si="20"/>
        <v>3.2759999999999998</v>
      </c>
      <c r="M114" t="e">
        <f t="shared" si="21"/>
        <v>#N/A</v>
      </c>
      <c r="N114" t="e">
        <f t="shared" si="22"/>
        <v>#N/A</v>
      </c>
      <c r="O114">
        <f t="shared" si="23"/>
        <v>2.0001139999999999</v>
      </c>
      <c r="P114" t="str">
        <f>IF(OR($A114="",games!$H114=""),"",games!$H114)</f>
        <v>Yes</v>
      </c>
      <c r="Q114">
        <f t="shared" si="24"/>
        <v>2.0001139999999999</v>
      </c>
      <c r="T114">
        <f>IF(connections!$A114="","",IFERROR(INDEX(games!$B$2:$B$950,MATCH(connections!$A114,games!$A$2:$A$950,0)),""))</f>
        <v>2019</v>
      </c>
      <c r="U114">
        <f>IF(connections!$A114="","",IFERROR(INDEX(games!$B$2:$B$950,MATCH(connections!$B114,games!$A$2:$A$950,0)),""))</f>
        <v>2023</v>
      </c>
      <c r="V114">
        <f t="shared" si="25"/>
        <v>4</v>
      </c>
    </row>
    <row r="115" spans="1:22" x14ac:dyDescent="0.25">
      <c r="A115" t="str">
        <f>IF(games!$A115="","",games!$A115)</f>
        <v>Cave Noire</v>
      </c>
      <c r="B115">
        <f>IF($A115="","",games!$B115)</f>
        <v>1991</v>
      </c>
      <c r="C115" t="str">
        <f>IF($A115="","",games!$C115)</f>
        <v>Traditional</v>
      </c>
      <c r="D115">
        <f>IF($A115="","",COUNTIF(connections!$A$2:$A$1473,$A115)+COUNTIF(connections!$B$2:$B$1473,$A115))</f>
        <v>1</v>
      </c>
      <c r="E115">
        <f t="shared" si="13"/>
        <v>4</v>
      </c>
      <c r="F115">
        <f t="shared" si="14"/>
        <v>13</v>
      </c>
      <c r="G115" t="e">
        <f t="shared" si="15"/>
        <v>#N/A</v>
      </c>
      <c r="H115" t="e">
        <f t="shared" si="16"/>
        <v>#N/A</v>
      </c>
      <c r="I115" t="e">
        <f t="shared" si="17"/>
        <v>#N/A</v>
      </c>
      <c r="J115" t="e">
        <f t="shared" si="18"/>
        <v>#N/A</v>
      </c>
      <c r="K115" t="e">
        <f t="shared" si="19"/>
        <v>#N/A</v>
      </c>
      <c r="L115" t="e">
        <f t="shared" si="20"/>
        <v>#N/A</v>
      </c>
      <c r="M115">
        <f t="shared" si="21"/>
        <v>1991</v>
      </c>
      <c r="N115">
        <f t="shared" si="22"/>
        <v>4.2990000000000004</v>
      </c>
      <c r="O115">
        <f t="shared" si="23"/>
        <v>1.0001150000000001</v>
      </c>
      <c r="P115" t="str">
        <f>IF(OR($A115="",games!$H115=""),"",games!$H115)</f>
        <v>Yes</v>
      </c>
      <c r="Q115">
        <f t="shared" si="24"/>
        <v>1.0001150000000001</v>
      </c>
      <c r="T115">
        <f>IF(connections!$A115="","",IFERROR(INDEX(games!$B$2:$B$950,MATCH(connections!$A115,games!$A$2:$A$950,0)),""))</f>
        <v>2023</v>
      </c>
      <c r="U115">
        <f>IF(connections!$A115="","",IFERROR(INDEX(games!$B$2:$B$950,MATCH(connections!$B115,games!$A$2:$A$950,0)),""))</f>
        <v>2025</v>
      </c>
      <c r="V115">
        <f t="shared" si="25"/>
        <v>2</v>
      </c>
    </row>
    <row r="116" spans="1:22" x14ac:dyDescent="0.25">
      <c r="A116" t="str">
        <f>IF(games!$A116="","",games!$A116)</f>
        <v>Caveblazers</v>
      </c>
      <c r="B116">
        <f>IF($A116="","",games!$B116)</f>
        <v>2017</v>
      </c>
      <c r="C116" t="str">
        <f>IF($A116="","",games!$C116)</f>
        <v>Action</v>
      </c>
      <c r="D116">
        <f>IF($A116="","",COUNTIF(connections!$A$2:$A$1473,$A116)+COUNTIF(connections!$B$2:$B$1473,$A116))</f>
        <v>2</v>
      </c>
      <c r="E116">
        <f t="shared" si="13"/>
        <v>1</v>
      </c>
      <c r="F116">
        <f t="shared" si="14"/>
        <v>14</v>
      </c>
      <c r="G116">
        <f t="shared" si="15"/>
        <v>2017</v>
      </c>
      <c r="H116">
        <f t="shared" si="16"/>
        <v>1.3220000000000001</v>
      </c>
      <c r="I116" t="e">
        <f t="shared" si="17"/>
        <v>#N/A</v>
      </c>
      <c r="J116" t="e">
        <f t="shared" si="18"/>
        <v>#N/A</v>
      </c>
      <c r="K116" t="e">
        <f t="shared" si="19"/>
        <v>#N/A</v>
      </c>
      <c r="L116" t="e">
        <f t="shared" si="20"/>
        <v>#N/A</v>
      </c>
      <c r="M116" t="e">
        <f t="shared" si="21"/>
        <v>#N/A</v>
      </c>
      <c r="N116" t="e">
        <f t="shared" si="22"/>
        <v>#N/A</v>
      </c>
      <c r="O116">
        <f t="shared" si="23"/>
        <v>2.0001159999999998</v>
      </c>
      <c r="P116" t="str">
        <f>IF(OR($A116="",games!$H116=""),"",games!$H116)</f>
        <v>Yes</v>
      </c>
      <c r="Q116">
        <f t="shared" si="24"/>
        <v>2.0001159999999998</v>
      </c>
      <c r="T116">
        <f>IF(connections!$A116="","",IFERROR(INDEX(games!$B$2:$B$950,MATCH(connections!$A116,games!$A$2:$A$950,0)),""))</f>
        <v>2022</v>
      </c>
      <c r="U116">
        <f>IF(connections!$A116="","",IFERROR(INDEX(games!$B$2:$B$950,MATCH(connections!$B116,games!$A$2:$A$950,0)),""))</f>
        <v>2024</v>
      </c>
      <c r="V116">
        <f t="shared" si="25"/>
        <v>2</v>
      </c>
    </row>
    <row r="117" spans="1:22" x14ac:dyDescent="0.25">
      <c r="A117" t="str">
        <f>IF(games!$A117="","",games!$A117)</f>
        <v>Caves of Qud</v>
      </c>
      <c r="B117">
        <f>IF($A117="","",games!$B117)</f>
        <v>2010</v>
      </c>
      <c r="C117" t="str">
        <f>IF($A117="","",games!$C117)</f>
        <v>Traditional</v>
      </c>
      <c r="D117">
        <f>IF($A117="","",COUNTIF(connections!$A$2:$A$1473,$A117)+COUNTIF(connections!$B$2:$B$1473,$A117))</f>
        <v>5</v>
      </c>
      <c r="E117">
        <f t="shared" si="13"/>
        <v>4</v>
      </c>
      <c r="F117">
        <f t="shared" si="14"/>
        <v>15</v>
      </c>
      <c r="G117" t="e">
        <f t="shared" si="15"/>
        <v>#N/A</v>
      </c>
      <c r="H117" t="e">
        <f t="shared" si="16"/>
        <v>#N/A</v>
      </c>
      <c r="I117" t="e">
        <f t="shared" si="17"/>
        <v>#N/A</v>
      </c>
      <c r="J117" t="e">
        <f t="shared" si="18"/>
        <v>#N/A</v>
      </c>
      <c r="K117" t="e">
        <f t="shared" si="19"/>
        <v>#N/A</v>
      </c>
      <c r="L117" t="e">
        <f t="shared" si="20"/>
        <v>#N/A</v>
      </c>
      <c r="M117">
        <f t="shared" si="21"/>
        <v>2010</v>
      </c>
      <c r="N117">
        <f t="shared" si="22"/>
        <v>4.3449999999999998</v>
      </c>
      <c r="O117">
        <f t="shared" si="23"/>
        <v>5.0001170000000004</v>
      </c>
      <c r="P117" t="str">
        <f>IF(OR($A117="",games!$H117=""),"",games!$H117)</f>
        <v>Yes</v>
      </c>
      <c r="Q117">
        <f t="shared" si="24"/>
        <v>5.0001170000000004</v>
      </c>
      <c r="T117">
        <f>IF(connections!$A117="","",IFERROR(INDEX(games!$B$2:$B$950,MATCH(connections!$A117,games!$A$2:$A$950,0)),""))</f>
        <v>2023</v>
      </c>
      <c r="U117">
        <f>IF(connections!$A117="","",IFERROR(INDEX(games!$B$2:$B$950,MATCH(connections!$B117,games!$A$2:$A$950,0)),""))</f>
        <v>2024</v>
      </c>
      <c r="V117">
        <f t="shared" si="25"/>
        <v>1</v>
      </c>
    </row>
    <row r="118" spans="1:22" x14ac:dyDescent="0.25">
      <c r="A118" t="str">
        <f>IF(games!$A118="","",games!$A118)</f>
        <v>Cavity Busters</v>
      </c>
      <c r="B118">
        <f>IF($A118="","",games!$B118)</f>
        <v>2020</v>
      </c>
      <c r="C118" t="str">
        <f>IF($A118="","",games!$C118)</f>
        <v>Action</v>
      </c>
      <c r="D118">
        <f>IF($A118="","",COUNTIF(connections!$A$2:$A$1473,$A118)+COUNTIF(connections!$B$2:$B$1473,$A118))</f>
        <v>2</v>
      </c>
      <c r="E118">
        <f t="shared" si="13"/>
        <v>1</v>
      </c>
      <c r="F118">
        <f t="shared" si="14"/>
        <v>16</v>
      </c>
      <c r="G118">
        <f t="shared" si="15"/>
        <v>2020</v>
      </c>
      <c r="H118">
        <f t="shared" si="16"/>
        <v>1.3679999999999999</v>
      </c>
      <c r="I118" t="e">
        <f t="shared" si="17"/>
        <v>#N/A</v>
      </c>
      <c r="J118" t="e">
        <f t="shared" si="18"/>
        <v>#N/A</v>
      </c>
      <c r="K118" t="e">
        <f t="shared" si="19"/>
        <v>#N/A</v>
      </c>
      <c r="L118" t="e">
        <f t="shared" si="20"/>
        <v>#N/A</v>
      </c>
      <c r="M118" t="e">
        <f t="shared" si="21"/>
        <v>#N/A</v>
      </c>
      <c r="N118" t="e">
        <f t="shared" si="22"/>
        <v>#N/A</v>
      </c>
      <c r="O118">
        <f t="shared" si="23"/>
        <v>2.0001180000000001</v>
      </c>
      <c r="P118" t="str">
        <f>IF(OR($A118="",games!$H118=""),"",games!$H118)</f>
        <v>Yes</v>
      </c>
      <c r="Q118">
        <f t="shared" si="24"/>
        <v>2.0001180000000001</v>
      </c>
      <c r="T118">
        <f>IF(connections!$A118="","",IFERROR(INDEX(games!$B$2:$B$950,MATCH(connections!$A118,games!$A$2:$A$950,0)),""))</f>
        <v>2023</v>
      </c>
      <c r="U118">
        <f>IF(connections!$A118="","",IFERROR(INDEX(games!$B$2:$B$950,MATCH(connections!$B118,games!$A$2:$A$950,0)),""))</f>
        <v>2024</v>
      </c>
      <c r="V118">
        <f t="shared" si="25"/>
        <v>1</v>
      </c>
    </row>
    <row r="119" spans="1:22" x14ac:dyDescent="0.25">
      <c r="A119" t="str">
        <f>IF(games!$A119="","",games!$A119)</f>
        <v>Cell Command</v>
      </c>
      <c r="B119">
        <f>IF($A119="","",games!$B119)</f>
        <v>2025</v>
      </c>
      <c r="C119" t="str">
        <f>IF($A119="","",games!$C119)</f>
        <v>Strategy</v>
      </c>
      <c r="D119">
        <f>IF($A119="","",COUNTIF(connections!$A$2:$A$1473,$A119)+COUNTIF(connections!$B$2:$B$1473,$A119))</f>
        <v>2</v>
      </c>
      <c r="E119">
        <f t="shared" si="13"/>
        <v>2</v>
      </c>
      <c r="F119">
        <f t="shared" si="14"/>
        <v>17</v>
      </c>
      <c r="G119" t="e">
        <f t="shared" si="15"/>
        <v>#N/A</v>
      </c>
      <c r="H119" t="e">
        <f t="shared" si="16"/>
        <v>#N/A</v>
      </c>
      <c r="I119">
        <f t="shared" si="17"/>
        <v>2025</v>
      </c>
      <c r="J119">
        <f t="shared" si="18"/>
        <v>2.391</v>
      </c>
      <c r="K119" t="e">
        <f t="shared" si="19"/>
        <v>#N/A</v>
      </c>
      <c r="L119" t="e">
        <f t="shared" si="20"/>
        <v>#N/A</v>
      </c>
      <c r="M119" t="e">
        <f t="shared" si="21"/>
        <v>#N/A</v>
      </c>
      <c r="N119" t="e">
        <f t="shared" si="22"/>
        <v>#N/A</v>
      </c>
      <c r="O119">
        <f t="shared" si="23"/>
        <v>2.0001190000000002</v>
      </c>
      <c r="P119" t="str">
        <f>IF(OR($A119="",games!$H119=""),"",games!$H119)</f>
        <v/>
      </c>
      <c r="Q119" t="str">
        <f t="shared" si="24"/>
        <v/>
      </c>
      <c r="T119">
        <f>IF(connections!$A119="","",IFERROR(INDEX(games!$B$2:$B$950,MATCH(connections!$A119,games!$A$2:$A$950,0)),""))</f>
        <v>2022</v>
      </c>
      <c r="U119">
        <f>IF(connections!$A119="","",IFERROR(INDEX(games!$B$2:$B$950,MATCH(connections!$B119,games!$A$2:$A$950,0)),""))</f>
        <v>2024</v>
      </c>
      <c r="V119">
        <f t="shared" si="25"/>
        <v>2</v>
      </c>
    </row>
    <row r="120" spans="1:22" x14ac:dyDescent="0.25">
      <c r="A120" t="str">
        <f>IF(games!$A120="","",games!$A120)</f>
        <v>Centipede Gun</v>
      </c>
      <c r="B120">
        <f>IF($A120="","",games!$B120)</f>
        <v>2023</v>
      </c>
      <c r="C120" t="str">
        <f>IF($A120="","",games!$C120)</f>
        <v>Action</v>
      </c>
      <c r="D120">
        <f>IF($A120="","",COUNTIF(connections!$A$2:$A$1473,$A120)+COUNTIF(connections!$B$2:$B$1473,$A120))</f>
        <v>2</v>
      </c>
      <c r="E120">
        <f t="shared" si="13"/>
        <v>1</v>
      </c>
      <c r="F120">
        <f t="shared" si="14"/>
        <v>18</v>
      </c>
      <c r="G120">
        <f t="shared" si="15"/>
        <v>2023</v>
      </c>
      <c r="H120">
        <f t="shared" si="16"/>
        <v>1.4139999999999999</v>
      </c>
      <c r="I120" t="e">
        <f t="shared" si="17"/>
        <v>#N/A</v>
      </c>
      <c r="J120" t="e">
        <f t="shared" si="18"/>
        <v>#N/A</v>
      </c>
      <c r="K120" t="e">
        <f t="shared" si="19"/>
        <v>#N/A</v>
      </c>
      <c r="L120" t="e">
        <f t="shared" si="20"/>
        <v>#N/A</v>
      </c>
      <c r="M120" t="e">
        <f t="shared" si="21"/>
        <v>#N/A</v>
      </c>
      <c r="N120" t="e">
        <f t="shared" si="22"/>
        <v>#N/A</v>
      </c>
      <c r="O120">
        <f t="shared" si="23"/>
        <v>2.0001199999999999</v>
      </c>
      <c r="P120" t="str">
        <f>IF(OR($A120="",games!$H120=""),"",games!$H120)</f>
        <v>Yes</v>
      </c>
      <c r="Q120">
        <f t="shared" si="24"/>
        <v>2.0001199999999999</v>
      </c>
      <c r="T120">
        <f>IF(connections!$A120="","",IFERROR(INDEX(games!$B$2:$B$950,MATCH(connections!$A120,games!$A$2:$A$950,0)),""))</f>
        <v>2022</v>
      </c>
      <c r="U120">
        <f>IF(connections!$A120="","",IFERROR(INDEX(games!$B$2:$B$950,MATCH(connections!$B120,games!$A$2:$A$950,0)),""))</f>
        <v>2024</v>
      </c>
      <c r="V120">
        <f t="shared" si="25"/>
        <v>2</v>
      </c>
    </row>
    <row r="121" spans="1:22" x14ac:dyDescent="0.25">
      <c r="A121" t="str">
        <f>IF(games!$A121="","",games!$A121)</f>
        <v>Chaos Zero Nightmare</v>
      </c>
      <c r="B121">
        <f>IF($A121="","",games!$B121)</f>
        <v>2025</v>
      </c>
      <c r="C121" t="str">
        <f>IF($A121="","",games!$C121)</f>
        <v>Deckbuilder</v>
      </c>
      <c r="D121">
        <f>IF($A121="","",COUNTIF(connections!$A$2:$A$1473,$A121)+COUNTIF(connections!$B$2:$B$1473,$A121))</f>
        <v>1</v>
      </c>
      <c r="E121">
        <f t="shared" si="13"/>
        <v>3</v>
      </c>
      <c r="F121">
        <f t="shared" si="14"/>
        <v>19</v>
      </c>
      <c r="G121" t="e">
        <f t="shared" si="15"/>
        <v>#N/A</v>
      </c>
      <c r="H121" t="e">
        <f t="shared" si="16"/>
        <v>#N/A</v>
      </c>
      <c r="I121" t="e">
        <f t="shared" si="17"/>
        <v>#N/A</v>
      </c>
      <c r="J121" t="e">
        <f t="shared" si="18"/>
        <v>#N/A</v>
      </c>
      <c r="K121">
        <f t="shared" si="19"/>
        <v>2025</v>
      </c>
      <c r="L121">
        <f t="shared" si="20"/>
        <v>3.4369999999999998</v>
      </c>
      <c r="M121" t="e">
        <f t="shared" si="21"/>
        <v>#N/A</v>
      </c>
      <c r="N121" t="e">
        <f t="shared" si="22"/>
        <v>#N/A</v>
      </c>
      <c r="O121">
        <f t="shared" si="23"/>
        <v>1.000121</v>
      </c>
      <c r="P121" t="str">
        <f>IF(OR($A121="",games!$H121=""),"",games!$H121)</f>
        <v>Yes</v>
      </c>
      <c r="Q121">
        <f t="shared" si="24"/>
        <v>1.000121</v>
      </c>
      <c r="T121">
        <f>IF(connections!$A121="","",IFERROR(INDEX(games!$B$2:$B$950,MATCH(connections!$A121,games!$A$2:$A$950,0)),""))</f>
        <v>2021</v>
      </c>
      <c r="U121">
        <f>IF(connections!$A121="","",IFERROR(INDEX(games!$B$2:$B$950,MATCH(connections!$B121,games!$A$2:$A$950,0)),""))</f>
        <v>2024</v>
      </c>
      <c r="V121">
        <f t="shared" si="25"/>
        <v>3</v>
      </c>
    </row>
    <row r="122" spans="1:22" x14ac:dyDescent="0.25">
      <c r="A122" t="str">
        <f>IF(games!$A122="","",games!$A122)</f>
        <v>Chess Survivors</v>
      </c>
      <c r="B122">
        <f>IF($A122="","",games!$B122)</f>
        <v>2022</v>
      </c>
      <c r="C122" t="str">
        <f>IF($A122="","",games!$C122)</f>
        <v>Action</v>
      </c>
      <c r="D122">
        <f>IF($A122="","",COUNTIF(connections!$A$2:$A$1473,$A122)+COUNTIF(connections!$B$2:$B$1473,$A122))</f>
        <v>5</v>
      </c>
      <c r="E122">
        <f t="shared" si="13"/>
        <v>1</v>
      </c>
      <c r="F122">
        <f t="shared" si="14"/>
        <v>20</v>
      </c>
      <c r="G122">
        <f t="shared" si="15"/>
        <v>2022</v>
      </c>
      <c r="H122">
        <f t="shared" si="16"/>
        <v>1.46</v>
      </c>
      <c r="I122" t="e">
        <f t="shared" si="17"/>
        <v>#N/A</v>
      </c>
      <c r="J122" t="e">
        <f t="shared" si="18"/>
        <v>#N/A</v>
      </c>
      <c r="K122" t="e">
        <f t="shared" si="19"/>
        <v>#N/A</v>
      </c>
      <c r="L122" t="e">
        <f t="shared" si="20"/>
        <v>#N/A</v>
      </c>
      <c r="M122" t="e">
        <f t="shared" si="21"/>
        <v>#N/A</v>
      </c>
      <c r="N122" t="e">
        <f t="shared" si="22"/>
        <v>#N/A</v>
      </c>
      <c r="O122">
        <f t="shared" si="23"/>
        <v>5.0001220000000002</v>
      </c>
      <c r="P122" t="str">
        <f>IF(OR($A122="",games!$H122=""),"",games!$H122)</f>
        <v>Yes</v>
      </c>
      <c r="Q122">
        <f t="shared" si="24"/>
        <v>5.0001220000000002</v>
      </c>
      <c r="T122">
        <f>IF(connections!$A122="","",IFERROR(INDEX(games!$B$2:$B$950,MATCH(connections!$A122,games!$A$2:$A$950,0)),""))</f>
        <v>2020</v>
      </c>
      <c r="U122">
        <f>IF(connections!$A122="","",IFERROR(INDEX(games!$B$2:$B$950,MATCH(connections!$B122,games!$A$2:$A$950,0)),""))</f>
        <v>2024</v>
      </c>
      <c r="V122">
        <f t="shared" si="25"/>
        <v>4</v>
      </c>
    </row>
    <row r="123" spans="1:22" x14ac:dyDescent="0.25">
      <c r="A123" t="str">
        <f>IF(games!$A123="","",games!$A123)</f>
        <v>Children of Morta</v>
      </c>
      <c r="B123">
        <f>IF($A123="","",games!$B123)</f>
        <v>2019</v>
      </c>
      <c r="C123" t="str">
        <f>IF($A123="","",games!$C123)</f>
        <v>Action</v>
      </c>
      <c r="D123">
        <f>IF($A123="","",COUNTIF(connections!$A$2:$A$1473,$A123)+COUNTIF(connections!$B$2:$B$1473,$A123))</f>
        <v>5</v>
      </c>
      <c r="E123">
        <f t="shared" si="13"/>
        <v>1</v>
      </c>
      <c r="F123">
        <f t="shared" si="14"/>
        <v>21</v>
      </c>
      <c r="G123">
        <f t="shared" si="15"/>
        <v>2019</v>
      </c>
      <c r="H123">
        <f t="shared" si="16"/>
        <v>1.4830000000000001</v>
      </c>
      <c r="I123" t="e">
        <f t="shared" si="17"/>
        <v>#N/A</v>
      </c>
      <c r="J123" t="e">
        <f t="shared" si="18"/>
        <v>#N/A</v>
      </c>
      <c r="K123" t="e">
        <f t="shared" si="19"/>
        <v>#N/A</v>
      </c>
      <c r="L123" t="e">
        <f t="shared" si="20"/>
        <v>#N/A</v>
      </c>
      <c r="M123" t="e">
        <f t="shared" si="21"/>
        <v>#N/A</v>
      </c>
      <c r="N123" t="e">
        <f t="shared" si="22"/>
        <v>#N/A</v>
      </c>
      <c r="O123">
        <f t="shared" si="23"/>
        <v>5.0001230000000003</v>
      </c>
      <c r="P123" t="str">
        <f>IF(OR($A123="",games!$H123=""),"",games!$H123)</f>
        <v>Yes</v>
      </c>
      <c r="Q123">
        <f t="shared" si="24"/>
        <v>5.0001230000000003</v>
      </c>
      <c r="T123">
        <f>IF(connections!$A123="","",IFERROR(INDEX(games!$B$2:$B$950,MATCH(connections!$A123,games!$A$2:$A$950,0)),""))</f>
        <v>2017</v>
      </c>
      <c r="U123">
        <f>IF(connections!$A123="","",IFERROR(INDEX(games!$B$2:$B$950,MATCH(connections!$B123,games!$A$2:$A$950,0)),""))</f>
        <v>2024</v>
      </c>
      <c r="V123">
        <f t="shared" si="25"/>
        <v>7</v>
      </c>
    </row>
    <row r="124" spans="1:22" x14ac:dyDescent="0.25">
      <c r="A124" t="str">
        <f>IF(games!$A124="","",games!$A124)</f>
        <v>Chocobo's Dungeon 2</v>
      </c>
      <c r="B124">
        <f>IF($A124="","",games!$B124)</f>
        <v>1998</v>
      </c>
      <c r="C124" t="str">
        <f>IF($A124="","",games!$C124)</f>
        <v>Traditional</v>
      </c>
      <c r="D124">
        <f>IF($A124="","",COUNTIF(connections!$A$2:$A$1473,$A124)+COUNTIF(connections!$B$2:$B$1473,$A124))</f>
        <v>2</v>
      </c>
      <c r="E124">
        <f t="shared" si="13"/>
        <v>4</v>
      </c>
      <c r="F124">
        <f t="shared" si="14"/>
        <v>22</v>
      </c>
      <c r="G124" t="e">
        <f t="shared" si="15"/>
        <v>#N/A</v>
      </c>
      <c r="H124" t="e">
        <f t="shared" si="16"/>
        <v>#N/A</v>
      </c>
      <c r="I124" t="e">
        <f t="shared" si="17"/>
        <v>#N/A</v>
      </c>
      <c r="J124" t="e">
        <f t="shared" si="18"/>
        <v>#N/A</v>
      </c>
      <c r="K124" t="e">
        <f t="shared" si="19"/>
        <v>#N/A</v>
      </c>
      <c r="L124" t="e">
        <f t="shared" si="20"/>
        <v>#N/A</v>
      </c>
      <c r="M124">
        <f t="shared" si="21"/>
        <v>1998</v>
      </c>
      <c r="N124">
        <f t="shared" si="22"/>
        <v>4.5060000000000002</v>
      </c>
      <c r="O124">
        <f t="shared" si="23"/>
        <v>2.000124</v>
      </c>
      <c r="P124" t="str">
        <f>IF(OR($A124="",games!$H124=""),"",games!$H124)</f>
        <v>Yes</v>
      </c>
      <c r="Q124">
        <f t="shared" si="24"/>
        <v>2.000124</v>
      </c>
      <c r="T124">
        <f>IF(connections!$A124="","",IFERROR(INDEX(games!$B$2:$B$950,MATCH(connections!$A124,games!$A$2:$A$950,0)),""))</f>
        <v>2017</v>
      </c>
      <c r="U124">
        <f>IF(connections!$A124="","",IFERROR(INDEX(games!$B$2:$B$950,MATCH(connections!$B124,games!$A$2:$A$950,0)),""))</f>
        <v>2022</v>
      </c>
      <c r="V124">
        <f t="shared" si="25"/>
        <v>5</v>
      </c>
    </row>
    <row r="125" spans="1:22" x14ac:dyDescent="0.25">
      <c r="A125" t="str">
        <f>IF(games!$A125="","",games!$A125)</f>
        <v>Chocobo's Mysterious Dungeon</v>
      </c>
      <c r="B125">
        <f>IF($A125="","",games!$B125)</f>
        <v>1997</v>
      </c>
      <c r="C125" t="str">
        <f>IF($A125="","",games!$C125)</f>
        <v>Traditional</v>
      </c>
      <c r="D125">
        <f>IF($A125="","",COUNTIF(connections!$A$2:$A$1473,$A125)+COUNTIF(connections!$B$2:$B$1473,$A125))</f>
        <v>2</v>
      </c>
      <c r="E125">
        <f t="shared" si="13"/>
        <v>4</v>
      </c>
      <c r="F125">
        <f t="shared" si="14"/>
        <v>23</v>
      </c>
      <c r="G125" t="e">
        <f t="shared" si="15"/>
        <v>#N/A</v>
      </c>
      <c r="H125" t="e">
        <f t="shared" si="16"/>
        <v>#N/A</v>
      </c>
      <c r="I125" t="e">
        <f t="shared" si="17"/>
        <v>#N/A</v>
      </c>
      <c r="J125" t="e">
        <f t="shared" si="18"/>
        <v>#N/A</v>
      </c>
      <c r="K125" t="e">
        <f t="shared" si="19"/>
        <v>#N/A</v>
      </c>
      <c r="L125" t="e">
        <f t="shared" si="20"/>
        <v>#N/A</v>
      </c>
      <c r="M125">
        <f t="shared" si="21"/>
        <v>1997</v>
      </c>
      <c r="N125">
        <f t="shared" si="22"/>
        <v>4.5289999999999999</v>
      </c>
      <c r="O125">
        <f t="shared" si="23"/>
        <v>2.0001250000000002</v>
      </c>
      <c r="P125" t="str">
        <f>IF(OR($A125="",games!$H125=""),"",games!$H125)</f>
        <v>Yes</v>
      </c>
      <c r="Q125">
        <f t="shared" si="24"/>
        <v>2.0001250000000002</v>
      </c>
      <c r="T125">
        <f>IF(connections!$A125="","",IFERROR(INDEX(games!$B$2:$B$950,MATCH(connections!$A125,games!$A$2:$A$950,0)),""))</f>
        <v>2016</v>
      </c>
      <c r="U125">
        <f>IF(connections!$A125="","",IFERROR(INDEX(games!$B$2:$B$950,MATCH(connections!$B125,games!$A$2:$A$950,0)),""))</f>
        <v>2023</v>
      </c>
      <c r="V125">
        <f t="shared" si="25"/>
        <v>7</v>
      </c>
    </row>
    <row r="126" spans="1:22" x14ac:dyDescent="0.25">
      <c r="A126" t="str">
        <f>IF(games!$A126="","",games!$A126)</f>
        <v>Chocobo's Mystery Dungeon Every Buddy!</v>
      </c>
      <c r="B126">
        <f>IF($A126="","",games!$B126)</f>
        <v>2019</v>
      </c>
      <c r="C126" t="str">
        <f>IF($A126="","",games!$C126)</f>
        <v>Traditional</v>
      </c>
      <c r="D126">
        <f>IF($A126="","",COUNTIF(connections!$A$2:$A$1473,$A126)+COUNTIF(connections!$B$2:$B$1473,$A126))</f>
        <v>1</v>
      </c>
      <c r="E126">
        <f t="shared" si="13"/>
        <v>4</v>
      </c>
      <c r="F126">
        <f t="shared" si="14"/>
        <v>24</v>
      </c>
      <c r="G126" t="e">
        <f t="shared" si="15"/>
        <v>#N/A</v>
      </c>
      <c r="H126" t="e">
        <f t="shared" si="16"/>
        <v>#N/A</v>
      </c>
      <c r="I126" t="e">
        <f t="shared" si="17"/>
        <v>#N/A</v>
      </c>
      <c r="J126" t="e">
        <f t="shared" si="18"/>
        <v>#N/A</v>
      </c>
      <c r="K126" t="e">
        <f t="shared" si="19"/>
        <v>#N/A</v>
      </c>
      <c r="L126" t="e">
        <f t="shared" si="20"/>
        <v>#N/A</v>
      </c>
      <c r="M126">
        <f t="shared" si="21"/>
        <v>2019</v>
      </c>
      <c r="N126">
        <f t="shared" si="22"/>
        <v>4.5519999999999996</v>
      </c>
      <c r="O126">
        <f t="shared" si="23"/>
        <v>1.0001260000000001</v>
      </c>
      <c r="P126" t="str">
        <f>IF(OR($A126="",games!$H126=""),"",games!$H126)</f>
        <v/>
      </c>
      <c r="Q126" t="str">
        <f t="shared" si="24"/>
        <v/>
      </c>
      <c r="T126">
        <f>IF(connections!$A126="","",IFERROR(INDEX(games!$B$2:$B$950,MATCH(connections!$A126,games!$A$2:$A$950,0)),""))</f>
        <v>2012</v>
      </c>
      <c r="U126">
        <f>IF(connections!$A126="","",IFERROR(INDEX(games!$B$2:$B$950,MATCH(connections!$B126,games!$A$2:$A$950,0)),""))</f>
        <v>2023</v>
      </c>
      <c r="V126">
        <f t="shared" si="25"/>
        <v>11</v>
      </c>
    </row>
    <row r="127" spans="1:22" x14ac:dyDescent="0.25">
      <c r="A127" t="str">
        <f>IF(games!$A127="","",games!$A127)</f>
        <v>Choo Choo Survivor</v>
      </c>
      <c r="B127">
        <f>IF($A127="","",games!$B127)</f>
        <v>2023</v>
      </c>
      <c r="C127" t="str">
        <f>IF($A127="","",games!$C127)</f>
        <v>Action</v>
      </c>
      <c r="D127">
        <f>IF($A127="","",COUNTIF(connections!$A$2:$A$1473,$A127)+COUNTIF(connections!$B$2:$B$1473,$A127))</f>
        <v>3</v>
      </c>
      <c r="E127">
        <f t="shared" si="13"/>
        <v>1</v>
      </c>
      <c r="F127">
        <f t="shared" si="14"/>
        <v>25</v>
      </c>
      <c r="G127">
        <f t="shared" si="15"/>
        <v>2023</v>
      </c>
      <c r="H127">
        <f t="shared" si="16"/>
        <v>1.575</v>
      </c>
      <c r="I127" t="e">
        <f t="shared" si="17"/>
        <v>#N/A</v>
      </c>
      <c r="J127" t="e">
        <f t="shared" si="18"/>
        <v>#N/A</v>
      </c>
      <c r="K127" t="e">
        <f t="shared" si="19"/>
        <v>#N/A</v>
      </c>
      <c r="L127" t="e">
        <f t="shared" si="20"/>
        <v>#N/A</v>
      </c>
      <c r="M127" t="e">
        <f t="shared" si="21"/>
        <v>#N/A</v>
      </c>
      <c r="N127" t="e">
        <f t="shared" si="22"/>
        <v>#N/A</v>
      </c>
      <c r="O127">
        <f t="shared" si="23"/>
        <v>3.000127</v>
      </c>
      <c r="P127" t="str">
        <f>IF(OR($A127="",games!$H127=""),"",games!$H127)</f>
        <v>Yes</v>
      </c>
      <c r="Q127">
        <f t="shared" si="24"/>
        <v>3.000127</v>
      </c>
      <c r="T127">
        <f>IF(connections!$A127="","",IFERROR(INDEX(games!$B$2:$B$950,MATCH(connections!$A127,games!$A$2:$A$950,0)),""))</f>
        <v>2019</v>
      </c>
      <c r="U127">
        <f>IF(connections!$A127="","",IFERROR(INDEX(games!$B$2:$B$950,MATCH(connections!$B127,games!$A$2:$A$950,0)),""))</f>
        <v>2023</v>
      </c>
      <c r="V127">
        <f t="shared" si="25"/>
        <v>4</v>
      </c>
    </row>
    <row r="128" spans="1:22" x14ac:dyDescent="0.25">
      <c r="A128" t="str">
        <f>IF(games!$A128="","",games!$A128)</f>
        <v>Choo Choo Survivor 2</v>
      </c>
      <c r="B128">
        <f>IF($A128="","",games!$B128)</f>
        <v>2025</v>
      </c>
      <c r="C128" t="str">
        <f>IF($A128="","",games!$C128)</f>
        <v>Action</v>
      </c>
      <c r="D128">
        <f>IF($A128="","",COUNTIF(connections!$A$2:$A$1473,$A128)+COUNTIF(connections!$B$2:$B$1473,$A128))</f>
        <v>1</v>
      </c>
      <c r="E128">
        <f t="shared" si="13"/>
        <v>1</v>
      </c>
      <c r="F128">
        <f t="shared" si="14"/>
        <v>26</v>
      </c>
      <c r="G128">
        <f t="shared" si="15"/>
        <v>2025</v>
      </c>
      <c r="H128">
        <f t="shared" si="16"/>
        <v>1.5979999999999999</v>
      </c>
      <c r="I128" t="e">
        <f t="shared" si="17"/>
        <v>#N/A</v>
      </c>
      <c r="J128" t="e">
        <f t="shared" si="18"/>
        <v>#N/A</v>
      </c>
      <c r="K128" t="e">
        <f t="shared" si="19"/>
        <v>#N/A</v>
      </c>
      <c r="L128" t="e">
        <f t="shared" si="20"/>
        <v>#N/A</v>
      </c>
      <c r="M128" t="e">
        <f t="shared" si="21"/>
        <v>#N/A</v>
      </c>
      <c r="N128" t="e">
        <f t="shared" si="22"/>
        <v>#N/A</v>
      </c>
      <c r="O128">
        <f t="shared" si="23"/>
        <v>1.0001279999999999</v>
      </c>
      <c r="P128" t="str">
        <f>IF(OR($A128="",games!$H128=""),"",games!$H128)</f>
        <v>Yes</v>
      </c>
      <c r="Q128">
        <f t="shared" si="24"/>
        <v>1.0001279999999999</v>
      </c>
      <c r="T128">
        <f>IF(connections!$A128="","",IFERROR(INDEX(games!$B$2:$B$950,MATCH(connections!$A128,games!$A$2:$A$950,0)),""))</f>
        <v>2011</v>
      </c>
      <c r="U128">
        <f>IF(connections!$A128="","",IFERROR(INDEX(games!$B$2:$B$950,MATCH(connections!$B128,games!$A$2:$A$950,0)),""))</f>
        <v>2023</v>
      </c>
      <c r="V128">
        <f t="shared" si="25"/>
        <v>12</v>
      </c>
    </row>
    <row r="129" spans="1:22" x14ac:dyDescent="0.25">
      <c r="A129" t="str">
        <f>IF(games!$A129="","",games!$A129)</f>
        <v>Chosen Garden</v>
      </c>
      <c r="B129">
        <f>IF($A129="","",games!$B129)</f>
        <v>2026</v>
      </c>
      <c r="C129" t="str">
        <f>IF($A129="","",games!$C129)</f>
        <v>Deckbuilder</v>
      </c>
      <c r="D129">
        <f>IF($A129="","",COUNTIF(connections!$A$2:$A$1473,$A129)+COUNTIF(connections!$B$2:$B$1473,$A129))</f>
        <v>2</v>
      </c>
      <c r="E129">
        <f t="shared" si="13"/>
        <v>3</v>
      </c>
      <c r="F129">
        <f t="shared" si="14"/>
        <v>27</v>
      </c>
      <c r="G129" t="e">
        <f t="shared" si="15"/>
        <v>#N/A</v>
      </c>
      <c r="H129" t="e">
        <f t="shared" si="16"/>
        <v>#N/A</v>
      </c>
      <c r="I129" t="e">
        <f t="shared" si="17"/>
        <v>#N/A</v>
      </c>
      <c r="J129" t="e">
        <f t="shared" si="18"/>
        <v>#N/A</v>
      </c>
      <c r="K129">
        <f t="shared" si="19"/>
        <v>2026</v>
      </c>
      <c r="L129">
        <f t="shared" si="20"/>
        <v>3.621</v>
      </c>
      <c r="M129" t="e">
        <f t="shared" si="21"/>
        <v>#N/A</v>
      </c>
      <c r="N129" t="e">
        <f t="shared" si="22"/>
        <v>#N/A</v>
      </c>
      <c r="O129">
        <f t="shared" si="23"/>
        <v>2.0001289999999998</v>
      </c>
      <c r="P129" t="str">
        <f>IF(OR($A129="",games!$H129=""),"",games!$H129)</f>
        <v/>
      </c>
      <c r="Q129" t="str">
        <f t="shared" si="24"/>
        <v/>
      </c>
      <c r="T129">
        <f>IF(connections!$A129="","",IFERROR(INDEX(games!$B$2:$B$950,MATCH(connections!$A129,games!$A$2:$A$950,0)),""))</f>
        <v>2023</v>
      </c>
      <c r="U129">
        <f>IF(connections!$A129="","",IFERROR(INDEX(games!$B$2:$B$950,MATCH(connections!$B129,games!$A$2:$A$950,0)),""))</f>
        <v>2026</v>
      </c>
      <c r="V129">
        <f t="shared" si="25"/>
        <v>3</v>
      </c>
    </row>
    <row r="130" spans="1:22" x14ac:dyDescent="0.25">
      <c r="A130" t="str">
        <f>IF(games!$A130="","",games!$A130)</f>
        <v>Chrono Ark</v>
      </c>
      <c r="B130">
        <f>IF($A130="","",games!$B130)</f>
        <v>2019</v>
      </c>
      <c r="C130" t="str">
        <f>IF($A130="","",games!$C130)</f>
        <v>Deckbuilder</v>
      </c>
      <c r="D130">
        <f>IF($A130="","",COUNTIF(connections!$A$2:$A$1473,$A130)+COUNTIF(connections!$B$2:$B$1473,$A130))</f>
        <v>2</v>
      </c>
      <c r="E130">
        <f t="shared" ref="E130:E193" si="26">IF($A130="","",IFERROR(MATCH($C130,$R$2:$R$5,0),0))</f>
        <v>3</v>
      </c>
      <c r="F130">
        <f t="shared" ref="F130:F193" si="27">IF($A130="","",MOD(ROW(),34))</f>
        <v>28</v>
      </c>
      <c r="G130" t="e">
        <f t="shared" ref="G130:G193" si="28">IF($A130="",NA(),IF($C130="Action",$B130,NA()))</f>
        <v>#N/A</v>
      </c>
      <c r="H130" t="e">
        <f t="shared" ref="H130:H193" si="29">IF($A130="",NA(),IF($C130="Action",1+$F130*0.023,NA()))</f>
        <v>#N/A</v>
      </c>
      <c r="I130" t="e">
        <f t="shared" ref="I130:I193" si="30">IF($A130="",NA(),IF($C130="Strategy",$B130,NA()))</f>
        <v>#N/A</v>
      </c>
      <c r="J130" t="e">
        <f t="shared" ref="J130:J193" si="31">IF($A130="",NA(),IF($C130="Strategy",2+$F130*0.023,NA()))</f>
        <v>#N/A</v>
      </c>
      <c r="K130">
        <f t="shared" ref="K130:K193" si="32">IF($A130="",NA(),IF($C130="Deckbuilder",$B130,NA()))</f>
        <v>2019</v>
      </c>
      <c r="L130">
        <f t="shared" ref="L130:L193" si="33">IF($A130="",NA(),IF($C130="Deckbuilder",3+$F130*0.023,NA()))</f>
        <v>3.6440000000000001</v>
      </c>
      <c r="M130" t="e">
        <f t="shared" ref="M130:M193" si="34">IF($A130="",NA(),IF($C130="Traditional",$B130,NA()))</f>
        <v>#N/A</v>
      </c>
      <c r="N130" t="e">
        <f t="shared" ref="N130:N193" si="35">IF($A130="",NA(),IF($C130="Traditional",4+$F130*0.023,NA()))</f>
        <v>#N/A</v>
      </c>
      <c r="O130">
        <f t="shared" ref="O130:O193" si="36">IF($A130="","",$D130+ROW()/1000000)</f>
        <v>2.00013</v>
      </c>
      <c r="P130" t="str">
        <f>IF(OR($A130="",games!$H130=""),"",games!$H130)</f>
        <v>Yes</v>
      </c>
      <c r="Q130">
        <f t="shared" ref="Q130:Q193" si="37">IF(OR($A130="",$P130&lt;&gt;"Yes"),"",$D130+ROW()/1000000)</f>
        <v>2.00013</v>
      </c>
      <c r="T130">
        <f>IF(connections!$A130="","",IFERROR(INDEX(games!$B$2:$B$950,MATCH(connections!$A130,games!$A$2:$A$950,0)),""))</f>
        <v>2023</v>
      </c>
      <c r="U130">
        <f>IF(connections!$A130="","",IFERROR(INDEX(games!$B$2:$B$950,MATCH(connections!$B130,games!$A$2:$A$950,0)),""))</f>
        <v>2024</v>
      </c>
      <c r="V130">
        <f t="shared" ref="V130:V193" si="38">IF(OR($T130="",$U130=""),"",$U130-$T130)</f>
        <v>1</v>
      </c>
    </row>
    <row r="131" spans="1:22" x14ac:dyDescent="0.25">
      <c r="A131" t="str">
        <f>IF(games!$A131="","",games!$A131)</f>
        <v>Cinderia</v>
      </c>
      <c r="B131">
        <f>IF($A131="","",games!$B131)</f>
        <v>2026</v>
      </c>
      <c r="C131" t="str">
        <f>IF($A131="","",games!$C131)</f>
        <v>Action</v>
      </c>
      <c r="D131">
        <f>IF($A131="","",COUNTIF(connections!$A$2:$A$1473,$A131)+COUNTIF(connections!$B$2:$B$1473,$A131))</f>
        <v>2</v>
      </c>
      <c r="E131">
        <f t="shared" si="26"/>
        <v>1</v>
      </c>
      <c r="F131">
        <f t="shared" si="27"/>
        <v>29</v>
      </c>
      <c r="G131">
        <f t="shared" si="28"/>
        <v>2026</v>
      </c>
      <c r="H131">
        <f t="shared" si="29"/>
        <v>1.667</v>
      </c>
      <c r="I131" t="e">
        <f t="shared" si="30"/>
        <v>#N/A</v>
      </c>
      <c r="J131" t="e">
        <f t="shared" si="31"/>
        <v>#N/A</v>
      </c>
      <c r="K131" t="e">
        <f t="shared" si="32"/>
        <v>#N/A</v>
      </c>
      <c r="L131" t="e">
        <f t="shared" si="33"/>
        <v>#N/A</v>
      </c>
      <c r="M131" t="e">
        <f t="shared" si="34"/>
        <v>#N/A</v>
      </c>
      <c r="N131" t="e">
        <f t="shared" si="35"/>
        <v>#N/A</v>
      </c>
      <c r="O131">
        <f t="shared" si="36"/>
        <v>2.0001310000000001</v>
      </c>
      <c r="P131" t="str">
        <f>IF(OR($A131="",games!$H131=""),"",games!$H131)</f>
        <v/>
      </c>
      <c r="Q131" t="str">
        <f t="shared" si="37"/>
        <v/>
      </c>
      <c r="T131">
        <f>IF(connections!$A131="","",IFERROR(INDEX(games!$B$2:$B$950,MATCH(connections!$A131,games!$A$2:$A$950,0)),""))</f>
        <v>2021</v>
      </c>
      <c r="U131">
        <f>IF(connections!$A131="","",IFERROR(INDEX(games!$B$2:$B$950,MATCH(connections!$B131,games!$A$2:$A$950,0)),""))</f>
        <v>2024</v>
      </c>
      <c r="V131">
        <f t="shared" si="38"/>
        <v>3</v>
      </c>
    </row>
    <row r="132" spans="1:22" x14ac:dyDescent="0.25">
      <c r="A132" t="str">
        <f>IF(games!$A132="","",games!$A132)</f>
        <v>CleanFall</v>
      </c>
      <c r="B132">
        <f>IF($A132="","",games!$B132)</f>
        <v>2025</v>
      </c>
      <c r="C132" t="str">
        <f>IF($A132="","",games!$C132)</f>
        <v>Action</v>
      </c>
      <c r="D132">
        <f>IF($A132="","",COUNTIF(connections!$A$2:$A$1473,$A132)+COUNTIF(connections!$B$2:$B$1473,$A132))</f>
        <v>3</v>
      </c>
      <c r="E132">
        <f t="shared" si="26"/>
        <v>1</v>
      </c>
      <c r="F132">
        <f t="shared" si="27"/>
        <v>30</v>
      </c>
      <c r="G132">
        <f t="shared" si="28"/>
        <v>2025</v>
      </c>
      <c r="H132">
        <f t="shared" si="29"/>
        <v>1.69</v>
      </c>
      <c r="I132" t="e">
        <f t="shared" si="30"/>
        <v>#N/A</v>
      </c>
      <c r="J132" t="e">
        <f t="shared" si="31"/>
        <v>#N/A</v>
      </c>
      <c r="K132" t="e">
        <f t="shared" si="32"/>
        <v>#N/A</v>
      </c>
      <c r="L132" t="e">
        <f t="shared" si="33"/>
        <v>#N/A</v>
      </c>
      <c r="M132" t="e">
        <f t="shared" si="34"/>
        <v>#N/A</v>
      </c>
      <c r="N132" t="e">
        <f t="shared" si="35"/>
        <v>#N/A</v>
      </c>
      <c r="O132">
        <f t="shared" si="36"/>
        <v>3.0001319999999998</v>
      </c>
      <c r="P132" t="str">
        <f>IF(OR($A132="",games!$H132=""),"",games!$H132)</f>
        <v>Yes</v>
      </c>
      <c r="Q132">
        <f t="shared" si="37"/>
        <v>3.0001319999999998</v>
      </c>
      <c r="T132">
        <f>IF(connections!$A132="","",IFERROR(INDEX(games!$B$2:$B$950,MATCH(connections!$A132,games!$A$2:$A$950,0)),""))</f>
        <v>2022</v>
      </c>
      <c r="U132">
        <f>IF(connections!$A132="","",IFERROR(INDEX(games!$B$2:$B$950,MATCH(connections!$B132,games!$A$2:$A$950,0)),""))</f>
        <v>2024</v>
      </c>
      <c r="V132">
        <f t="shared" si="38"/>
        <v>2</v>
      </c>
    </row>
    <row r="133" spans="1:22" x14ac:dyDescent="0.25">
      <c r="A133" t="str">
        <f>IF(games!$A133="","",games!$A133)</f>
        <v>CloverPit</v>
      </c>
      <c r="B133">
        <f>IF($A133="","",games!$B133)</f>
        <v>2025</v>
      </c>
      <c r="C133" t="str">
        <f>IF($A133="","",games!$C133)</f>
        <v>Strategy</v>
      </c>
      <c r="D133">
        <f>IF($A133="","",COUNTIF(connections!$A$2:$A$1473,$A133)+COUNTIF(connections!$B$2:$B$1473,$A133))</f>
        <v>4</v>
      </c>
      <c r="E133">
        <f t="shared" si="26"/>
        <v>2</v>
      </c>
      <c r="F133">
        <f t="shared" si="27"/>
        <v>31</v>
      </c>
      <c r="G133" t="e">
        <f t="shared" si="28"/>
        <v>#N/A</v>
      </c>
      <c r="H133" t="e">
        <f t="shared" si="29"/>
        <v>#N/A</v>
      </c>
      <c r="I133">
        <f t="shared" si="30"/>
        <v>2025</v>
      </c>
      <c r="J133">
        <f t="shared" si="31"/>
        <v>2.7130000000000001</v>
      </c>
      <c r="K133" t="e">
        <f t="shared" si="32"/>
        <v>#N/A</v>
      </c>
      <c r="L133" t="e">
        <f t="shared" si="33"/>
        <v>#N/A</v>
      </c>
      <c r="M133" t="e">
        <f t="shared" si="34"/>
        <v>#N/A</v>
      </c>
      <c r="N133" t="e">
        <f t="shared" si="35"/>
        <v>#N/A</v>
      </c>
      <c r="O133">
        <f t="shared" si="36"/>
        <v>4.0001329999999999</v>
      </c>
      <c r="P133" t="str">
        <f>IF(OR($A133="",games!$H133=""),"",games!$H133)</f>
        <v>Yes</v>
      </c>
      <c r="Q133">
        <f t="shared" si="37"/>
        <v>4.0001329999999999</v>
      </c>
      <c r="T133">
        <f>IF(connections!$A133="","",IFERROR(INDEX(games!$B$2:$B$950,MATCH(connections!$A133,games!$A$2:$A$950,0)),""))</f>
        <v>2021</v>
      </c>
      <c r="U133">
        <f>IF(connections!$A133="","",IFERROR(INDEX(games!$B$2:$B$950,MATCH(connections!$B133,games!$A$2:$A$950,0)),""))</f>
        <v>2022</v>
      </c>
      <c r="V133">
        <f t="shared" si="38"/>
        <v>1</v>
      </c>
    </row>
    <row r="134" spans="1:22" x14ac:dyDescent="0.25">
      <c r="A134" t="str">
        <f>IF(games!$A134="","",games!$A134)</f>
        <v>Cluckmech Oasis</v>
      </c>
      <c r="B134">
        <f>IF($A134="","",games!$B134)</f>
        <v>2024</v>
      </c>
      <c r="C134" t="str">
        <f>IF($A134="","",games!$C134)</f>
        <v>Strategy</v>
      </c>
      <c r="D134">
        <f>IF($A134="","",COUNTIF(connections!$A$2:$A$1473,$A134)+COUNTIF(connections!$B$2:$B$1473,$A134))</f>
        <v>3</v>
      </c>
      <c r="E134">
        <f t="shared" si="26"/>
        <v>2</v>
      </c>
      <c r="F134">
        <f t="shared" si="27"/>
        <v>32</v>
      </c>
      <c r="G134" t="e">
        <f t="shared" si="28"/>
        <v>#N/A</v>
      </c>
      <c r="H134" t="e">
        <f t="shared" si="29"/>
        <v>#N/A</v>
      </c>
      <c r="I134">
        <f t="shared" si="30"/>
        <v>2024</v>
      </c>
      <c r="J134">
        <f t="shared" si="31"/>
        <v>2.7359999999999998</v>
      </c>
      <c r="K134" t="e">
        <f t="shared" si="32"/>
        <v>#N/A</v>
      </c>
      <c r="L134" t="e">
        <f t="shared" si="33"/>
        <v>#N/A</v>
      </c>
      <c r="M134" t="e">
        <f t="shared" si="34"/>
        <v>#N/A</v>
      </c>
      <c r="N134" t="e">
        <f t="shared" si="35"/>
        <v>#N/A</v>
      </c>
      <c r="O134">
        <f t="shared" si="36"/>
        <v>3.0001340000000001</v>
      </c>
      <c r="P134" t="str">
        <f>IF(OR($A134="",games!$H134=""),"",games!$H134)</f>
        <v/>
      </c>
      <c r="Q134" t="str">
        <f t="shared" si="37"/>
        <v/>
      </c>
      <c r="T134">
        <f>IF(connections!$A134="","",IFERROR(INDEX(games!$B$2:$B$950,MATCH(connections!$A134,games!$A$2:$A$950,0)),""))</f>
        <v>2023</v>
      </c>
      <c r="U134">
        <f>IF(connections!$A134="","",IFERROR(INDEX(games!$B$2:$B$950,MATCH(connections!$B134,games!$A$2:$A$950,0)),""))</f>
        <v>2026</v>
      </c>
      <c r="V134">
        <f t="shared" si="38"/>
        <v>3</v>
      </c>
    </row>
    <row r="135" spans="1:22" x14ac:dyDescent="0.25">
      <c r="A135" t="str">
        <f>IF(games!$A135="","",games!$A135)</f>
        <v>Clutchtime: Basketball Deckbuilder</v>
      </c>
      <c r="B135">
        <f>IF($A135="","",games!$B135)</f>
        <v>2025</v>
      </c>
      <c r="C135" t="str">
        <f>IF($A135="","",games!$C135)</f>
        <v>Deckbuilder</v>
      </c>
      <c r="D135">
        <f>IF($A135="","",COUNTIF(connections!$A$2:$A$1473,$A135)+COUNTIF(connections!$B$2:$B$1473,$A135))</f>
        <v>1</v>
      </c>
      <c r="E135">
        <f t="shared" si="26"/>
        <v>3</v>
      </c>
      <c r="F135">
        <f t="shared" si="27"/>
        <v>33</v>
      </c>
      <c r="G135" t="e">
        <f t="shared" si="28"/>
        <v>#N/A</v>
      </c>
      <c r="H135" t="e">
        <f t="shared" si="29"/>
        <v>#N/A</v>
      </c>
      <c r="I135" t="e">
        <f t="shared" si="30"/>
        <v>#N/A</v>
      </c>
      <c r="J135" t="e">
        <f t="shared" si="31"/>
        <v>#N/A</v>
      </c>
      <c r="K135">
        <f t="shared" si="32"/>
        <v>2025</v>
      </c>
      <c r="L135">
        <f t="shared" si="33"/>
        <v>3.7589999999999999</v>
      </c>
      <c r="M135" t="e">
        <f t="shared" si="34"/>
        <v>#N/A</v>
      </c>
      <c r="N135" t="e">
        <f t="shared" si="35"/>
        <v>#N/A</v>
      </c>
      <c r="O135">
        <f t="shared" si="36"/>
        <v>1.000135</v>
      </c>
      <c r="P135" t="str">
        <f>IF(OR($A135="",games!$H135=""),"",games!$H135)</f>
        <v/>
      </c>
      <c r="Q135" t="str">
        <f t="shared" si="37"/>
        <v/>
      </c>
      <c r="T135">
        <f>IF(connections!$A135="","",IFERROR(INDEX(games!$B$2:$B$950,MATCH(connections!$A135,games!$A$2:$A$950,0)),""))</f>
        <v>2019</v>
      </c>
      <c r="U135">
        <f>IF(connections!$A135="","",IFERROR(INDEX(games!$B$2:$B$950,MATCH(connections!$B135,games!$A$2:$A$950,0)),""))</f>
        <v>2026</v>
      </c>
      <c r="V135">
        <f t="shared" si="38"/>
        <v>7</v>
      </c>
    </row>
    <row r="136" spans="1:22" x14ac:dyDescent="0.25">
      <c r="A136" t="str">
        <f>IF(games!$A136="","",games!$A136)</f>
        <v>Coal LLC</v>
      </c>
      <c r="B136">
        <f>IF($A136="","",games!$B136)</f>
        <v>2025</v>
      </c>
      <c r="C136" t="str">
        <f>IF($A136="","",games!$C136)</f>
        <v>Strategy</v>
      </c>
      <c r="D136">
        <f>IF($A136="","",COUNTIF(connections!$A$2:$A$1473,$A136)+COUNTIF(connections!$B$2:$B$1473,$A136))</f>
        <v>0</v>
      </c>
      <c r="E136">
        <f t="shared" si="26"/>
        <v>2</v>
      </c>
      <c r="F136">
        <f t="shared" si="27"/>
        <v>0</v>
      </c>
      <c r="G136" t="e">
        <f t="shared" si="28"/>
        <v>#N/A</v>
      </c>
      <c r="H136" t="e">
        <f t="shared" si="29"/>
        <v>#N/A</v>
      </c>
      <c r="I136">
        <f t="shared" si="30"/>
        <v>2025</v>
      </c>
      <c r="J136">
        <f t="shared" si="31"/>
        <v>2</v>
      </c>
      <c r="K136" t="e">
        <f t="shared" si="32"/>
        <v>#N/A</v>
      </c>
      <c r="L136" t="e">
        <f t="shared" si="33"/>
        <v>#N/A</v>
      </c>
      <c r="M136" t="e">
        <f t="shared" si="34"/>
        <v>#N/A</v>
      </c>
      <c r="N136" t="e">
        <f t="shared" si="35"/>
        <v>#N/A</v>
      </c>
      <c r="O136">
        <f t="shared" si="36"/>
        <v>1.36E-4</v>
      </c>
      <c r="P136" t="str">
        <f>IF(OR($A136="",games!$H136=""),"",games!$H136)</f>
        <v/>
      </c>
      <c r="Q136" t="str">
        <f t="shared" si="37"/>
        <v/>
      </c>
      <c r="T136">
        <f>IF(connections!$A136="","",IFERROR(INDEX(games!$B$2:$B$950,MATCH(connections!$A136,games!$A$2:$A$950,0)),""))</f>
        <v>2021</v>
      </c>
      <c r="U136">
        <f>IF(connections!$A136="","",IFERROR(INDEX(games!$B$2:$B$950,MATCH(connections!$B136,games!$A$2:$A$950,0)),""))</f>
        <v>2026</v>
      </c>
      <c r="V136">
        <f t="shared" si="38"/>
        <v>5</v>
      </c>
    </row>
    <row r="137" spans="1:22" x14ac:dyDescent="0.25">
      <c r="A137" t="str">
        <f>IF(games!$A137="","",games!$A137)</f>
        <v>Cobalt Core</v>
      </c>
      <c r="B137">
        <f>IF($A137="","",games!$B137)</f>
        <v>2023</v>
      </c>
      <c r="C137" t="str">
        <f>IF($A137="","",games!$C137)</f>
        <v>Deckbuilder</v>
      </c>
      <c r="D137">
        <f>IF($A137="","",COUNTIF(connections!$A$2:$A$1473,$A137)+COUNTIF(connections!$B$2:$B$1473,$A137))</f>
        <v>4</v>
      </c>
      <c r="E137">
        <f t="shared" si="26"/>
        <v>3</v>
      </c>
      <c r="F137">
        <f t="shared" si="27"/>
        <v>1</v>
      </c>
      <c r="G137" t="e">
        <f t="shared" si="28"/>
        <v>#N/A</v>
      </c>
      <c r="H137" t="e">
        <f t="shared" si="29"/>
        <v>#N/A</v>
      </c>
      <c r="I137" t="e">
        <f t="shared" si="30"/>
        <v>#N/A</v>
      </c>
      <c r="J137" t="e">
        <f t="shared" si="31"/>
        <v>#N/A</v>
      </c>
      <c r="K137">
        <f t="shared" si="32"/>
        <v>2023</v>
      </c>
      <c r="L137">
        <f t="shared" si="33"/>
        <v>3.0230000000000001</v>
      </c>
      <c r="M137" t="e">
        <f t="shared" si="34"/>
        <v>#N/A</v>
      </c>
      <c r="N137" t="e">
        <f t="shared" si="35"/>
        <v>#N/A</v>
      </c>
      <c r="O137">
        <f t="shared" si="36"/>
        <v>4.0001369999999996</v>
      </c>
      <c r="P137" t="str">
        <f>IF(OR($A137="",games!$H137=""),"",games!$H137)</f>
        <v>Yes</v>
      </c>
      <c r="Q137">
        <f t="shared" si="37"/>
        <v>4.0001369999999996</v>
      </c>
      <c r="T137">
        <f>IF(connections!$A137="","",IFERROR(INDEX(games!$B$2:$B$950,MATCH(connections!$A137,games!$A$2:$A$950,0)),""))</f>
        <v>2017</v>
      </c>
      <c r="U137">
        <f>IF(connections!$A137="","",IFERROR(INDEX(games!$B$2:$B$950,MATCH(connections!$B137,games!$A$2:$A$950,0)),""))</f>
        <v>2026</v>
      </c>
      <c r="V137">
        <f t="shared" si="38"/>
        <v>9</v>
      </c>
    </row>
    <row r="138" spans="1:22" x14ac:dyDescent="0.25">
      <c r="A138" t="str">
        <f>IF(games!$A138="","",games!$A138)</f>
        <v>Cogmind</v>
      </c>
      <c r="B138">
        <f>IF($A138="","",games!$B138)</f>
        <v>2017</v>
      </c>
      <c r="C138" t="str">
        <f>IF($A138="","",games!$C138)</f>
        <v>Traditional</v>
      </c>
      <c r="D138">
        <f>IF($A138="","",COUNTIF(connections!$A$2:$A$1473,$A138)+COUNTIF(connections!$B$2:$B$1473,$A138))</f>
        <v>3</v>
      </c>
      <c r="E138">
        <f t="shared" si="26"/>
        <v>4</v>
      </c>
      <c r="F138">
        <f t="shared" si="27"/>
        <v>2</v>
      </c>
      <c r="G138" t="e">
        <f t="shared" si="28"/>
        <v>#N/A</v>
      </c>
      <c r="H138" t="e">
        <f t="shared" si="29"/>
        <v>#N/A</v>
      </c>
      <c r="I138" t="e">
        <f t="shared" si="30"/>
        <v>#N/A</v>
      </c>
      <c r="J138" t="e">
        <f t="shared" si="31"/>
        <v>#N/A</v>
      </c>
      <c r="K138" t="e">
        <f t="shared" si="32"/>
        <v>#N/A</v>
      </c>
      <c r="L138" t="e">
        <f t="shared" si="33"/>
        <v>#N/A</v>
      </c>
      <c r="M138">
        <f t="shared" si="34"/>
        <v>2017</v>
      </c>
      <c r="N138">
        <f t="shared" si="35"/>
        <v>4.0460000000000003</v>
      </c>
      <c r="O138">
        <f t="shared" si="36"/>
        <v>3.0001380000000002</v>
      </c>
      <c r="P138" t="str">
        <f>IF(OR($A138="",games!$H138=""),"",games!$H138)</f>
        <v/>
      </c>
      <c r="Q138" t="str">
        <f t="shared" si="37"/>
        <v/>
      </c>
      <c r="T138">
        <f>IF(connections!$A138="","",IFERROR(INDEX(games!$B$2:$B$950,MATCH(connections!$A138,games!$A$2:$A$950,0)),""))</f>
        <v>2021</v>
      </c>
      <c r="U138">
        <f>IF(connections!$A138="","",IFERROR(INDEX(games!$B$2:$B$950,MATCH(connections!$B138,games!$A$2:$A$950,0)),""))</f>
        <v>2026</v>
      </c>
      <c r="V138">
        <f t="shared" si="38"/>
        <v>5</v>
      </c>
    </row>
    <row r="139" spans="1:22" x14ac:dyDescent="0.25">
      <c r="A139" t="str">
        <f>IF(games!$A139="","",games!$A139)</f>
        <v>Coin Crypt</v>
      </c>
      <c r="B139">
        <f>IF($A139="","",games!$B139)</f>
        <v>2013</v>
      </c>
      <c r="C139" t="str">
        <f>IF($A139="","",games!$C139)</f>
        <v>Deckbuilder</v>
      </c>
      <c r="D139">
        <f>IF($A139="","",COUNTIF(connections!$A$2:$A$1473,$A139)+COUNTIF(connections!$B$2:$B$1473,$A139))</f>
        <v>1</v>
      </c>
      <c r="E139">
        <f t="shared" si="26"/>
        <v>3</v>
      </c>
      <c r="F139">
        <f t="shared" si="27"/>
        <v>3</v>
      </c>
      <c r="G139" t="e">
        <f t="shared" si="28"/>
        <v>#N/A</v>
      </c>
      <c r="H139" t="e">
        <f t="shared" si="29"/>
        <v>#N/A</v>
      </c>
      <c r="I139" t="e">
        <f t="shared" si="30"/>
        <v>#N/A</v>
      </c>
      <c r="J139" t="e">
        <f t="shared" si="31"/>
        <v>#N/A</v>
      </c>
      <c r="K139">
        <f t="shared" si="32"/>
        <v>2013</v>
      </c>
      <c r="L139">
        <f t="shared" si="33"/>
        <v>3.069</v>
      </c>
      <c r="M139" t="e">
        <f t="shared" si="34"/>
        <v>#N/A</v>
      </c>
      <c r="N139" t="e">
        <f t="shared" si="35"/>
        <v>#N/A</v>
      </c>
      <c r="O139">
        <f t="shared" si="36"/>
        <v>1.0001389999999999</v>
      </c>
      <c r="P139" t="str">
        <f>IF(OR($A139="",games!$H139=""),"",games!$H139)</f>
        <v>Yes</v>
      </c>
      <c r="Q139">
        <f t="shared" si="37"/>
        <v>1.0001389999999999</v>
      </c>
      <c r="T139">
        <f>IF(connections!$A139="","",IFERROR(INDEX(games!$B$2:$B$950,MATCH(connections!$A139,games!$A$2:$A$950,0)),""))</f>
        <v>2015</v>
      </c>
      <c r="U139">
        <f>IF(connections!$A139="","",IFERROR(INDEX(games!$B$2:$B$950,MATCH(connections!$B139,games!$A$2:$A$950,0)),""))</f>
        <v>2019</v>
      </c>
      <c r="V139">
        <f t="shared" si="38"/>
        <v>4</v>
      </c>
    </row>
    <row r="140" spans="1:22" x14ac:dyDescent="0.25">
      <c r="A140" t="str">
        <f>IF(games!$A140="","",games!$A140)</f>
        <v>Colt Canyon</v>
      </c>
      <c r="B140">
        <f>IF($A140="","",games!$B140)</f>
        <v>2020</v>
      </c>
      <c r="C140" t="str">
        <f>IF($A140="","",games!$C140)</f>
        <v>Action</v>
      </c>
      <c r="D140">
        <f>IF($A140="","",COUNTIF(connections!$A$2:$A$1473,$A140)+COUNTIF(connections!$B$2:$B$1473,$A140))</f>
        <v>1</v>
      </c>
      <c r="E140">
        <f t="shared" si="26"/>
        <v>1</v>
      </c>
      <c r="F140">
        <f t="shared" si="27"/>
        <v>4</v>
      </c>
      <c r="G140">
        <f t="shared" si="28"/>
        <v>2020</v>
      </c>
      <c r="H140">
        <f t="shared" si="29"/>
        <v>1.0920000000000001</v>
      </c>
      <c r="I140" t="e">
        <f t="shared" si="30"/>
        <v>#N/A</v>
      </c>
      <c r="J140" t="e">
        <f t="shared" si="31"/>
        <v>#N/A</v>
      </c>
      <c r="K140" t="e">
        <f t="shared" si="32"/>
        <v>#N/A</v>
      </c>
      <c r="L140" t="e">
        <f t="shared" si="33"/>
        <v>#N/A</v>
      </c>
      <c r="M140" t="e">
        <f t="shared" si="34"/>
        <v>#N/A</v>
      </c>
      <c r="N140" t="e">
        <f t="shared" si="35"/>
        <v>#N/A</v>
      </c>
      <c r="O140">
        <f t="shared" si="36"/>
        <v>1.00014</v>
      </c>
      <c r="P140" t="str">
        <f>IF(OR($A140="",games!$H140=""),"",games!$H140)</f>
        <v>Yes</v>
      </c>
      <c r="Q140">
        <f t="shared" si="37"/>
        <v>1.00014</v>
      </c>
      <c r="T140">
        <f>IF(connections!$A140="","",IFERROR(INDEX(games!$B$2:$B$950,MATCH(connections!$A140,games!$A$2:$A$950,0)),""))</f>
        <v>2008</v>
      </c>
      <c r="U140">
        <f>IF(connections!$A140="","",IFERROR(INDEX(games!$B$2:$B$950,MATCH(connections!$B140,games!$A$2:$A$950,0)),""))</f>
        <v>2019</v>
      </c>
      <c r="V140">
        <f t="shared" si="38"/>
        <v>11</v>
      </c>
    </row>
    <row r="141" spans="1:22" x14ac:dyDescent="0.25">
      <c r="A141" t="str">
        <f>IF(games!$A141="","",games!$A141)</f>
        <v>Combolands</v>
      </c>
      <c r="B141">
        <f>IF($A141="","",games!$B141)</f>
        <v>2026</v>
      </c>
      <c r="C141" t="str">
        <f>IF($A141="","",games!$C141)</f>
        <v>Strategy</v>
      </c>
      <c r="D141">
        <f>IF($A141="","",COUNTIF(connections!$A$2:$A$1473,$A141)+COUNTIF(connections!$B$2:$B$1473,$A141))</f>
        <v>2</v>
      </c>
      <c r="E141">
        <f t="shared" si="26"/>
        <v>2</v>
      </c>
      <c r="F141">
        <f t="shared" si="27"/>
        <v>5</v>
      </c>
      <c r="G141" t="e">
        <f t="shared" si="28"/>
        <v>#N/A</v>
      </c>
      <c r="H141" t="e">
        <f t="shared" si="29"/>
        <v>#N/A</v>
      </c>
      <c r="I141">
        <f t="shared" si="30"/>
        <v>2026</v>
      </c>
      <c r="J141">
        <f t="shared" si="31"/>
        <v>2.1150000000000002</v>
      </c>
      <c r="K141" t="e">
        <f t="shared" si="32"/>
        <v>#N/A</v>
      </c>
      <c r="L141" t="e">
        <f t="shared" si="33"/>
        <v>#N/A</v>
      </c>
      <c r="M141" t="e">
        <f t="shared" si="34"/>
        <v>#N/A</v>
      </c>
      <c r="N141" t="e">
        <f t="shared" si="35"/>
        <v>#N/A</v>
      </c>
      <c r="O141">
        <f t="shared" si="36"/>
        <v>2.0001410000000002</v>
      </c>
      <c r="P141" t="str">
        <f>IF(OR($A141="",games!$H141=""),"",games!$H141)</f>
        <v/>
      </c>
      <c r="Q141" t="str">
        <f t="shared" si="37"/>
        <v/>
      </c>
      <c r="T141">
        <f>IF(connections!$A141="","",IFERROR(INDEX(games!$B$2:$B$950,MATCH(connections!$A141,games!$A$2:$A$950,0)),""))</f>
        <v>2011</v>
      </c>
      <c r="U141">
        <f>IF(connections!$A141="","",IFERROR(INDEX(games!$B$2:$B$950,MATCH(connections!$B141,games!$A$2:$A$950,0)),""))</f>
        <v>2019</v>
      </c>
      <c r="V141">
        <f t="shared" si="38"/>
        <v>8</v>
      </c>
    </row>
    <row r="142" spans="1:22" x14ac:dyDescent="0.25">
      <c r="A142" t="str">
        <f>IF(games!$A142="","",games!$A142)</f>
        <v>Commander Quest</v>
      </c>
      <c r="B142">
        <f>IF($A142="","",games!$B142)</f>
        <v>2025</v>
      </c>
      <c r="C142" t="str">
        <f>IF($A142="","",games!$C142)</f>
        <v>Deckbuilder</v>
      </c>
      <c r="D142">
        <f>IF($A142="","",COUNTIF(connections!$A$2:$A$1473,$A142)+COUNTIF(connections!$B$2:$B$1473,$A142))</f>
        <v>1</v>
      </c>
      <c r="E142">
        <f t="shared" si="26"/>
        <v>3</v>
      </c>
      <c r="F142">
        <f t="shared" si="27"/>
        <v>6</v>
      </c>
      <c r="G142" t="e">
        <f t="shared" si="28"/>
        <v>#N/A</v>
      </c>
      <c r="H142" t="e">
        <f t="shared" si="29"/>
        <v>#N/A</v>
      </c>
      <c r="I142" t="e">
        <f t="shared" si="30"/>
        <v>#N/A</v>
      </c>
      <c r="J142" t="e">
        <f t="shared" si="31"/>
        <v>#N/A</v>
      </c>
      <c r="K142">
        <f t="shared" si="32"/>
        <v>2025</v>
      </c>
      <c r="L142">
        <f t="shared" si="33"/>
        <v>3.1379999999999999</v>
      </c>
      <c r="M142" t="e">
        <f t="shared" si="34"/>
        <v>#N/A</v>
      </c>
      <c r="N142" t="e">
        <f t="shared" si="35"/>
        <v>#N/A</v>
      </c>
      <c r="O142">
        <f t="shared" si="36"/>
        <v>1.0001420000000001</v>
      </c>
      <c r="P142" t="str">
        <f>IF(OR($A142="",games!$H142=""),"",games!$H142)</f>
        <v/>
      </c>
      <c r="Q142" t="str">
        <f t="shared" si="37"/>
        <v/>
      </c>
      <c r="T142">
        <f>IF(connections!$A142="","",IFERROR(INDEX(games!$B$2:$B$950,MATCH(connections!$A142,games!$A$2:$A$950,0)),""))</f>
        <v>2023</v>
      </c>
      <c r="U142">
        <f>IF(connections!$A142="","",IFERROR(INDEX(games!$B$2:$B$950,MATCH(connections!$B142,games!$A$2:$A$950,0)),""))</f>
        <v>2024</v>
      </c>
      <c r="V142">
        <f t="shared" si="38"/>
        <v>1</v>
      </c>
    </row>
    <row r="143" spans="1:22" x14ac:dyDescent="0.25">
      <c r="A143" t="str">
        <f>IF(games!$A143="","",games!$A143)</f>
        <v>Conan Chop Chop</v>
      </c>
      <c r="B143">
        <f>IF($A143="","",games!$B143)</f>
        <v>2022</v>
      </c>
      <c r="C143" t="str">
        <f>IF($A143="","",games!$C143)</f>
        <v>Action</v>
      </c>
      <c r="D143">
        <f>IF($A143="","",COUNTIF(connections!$A$2:$A$1473,$A143)+COUNTIF(connections!$B$2:$B$1473,$A143))</f>
        <v>1</v>
      </c>
      <c r="E143">
        <f t="shared" si="26"/>
        <v>1</v>
      </c>
      <c r="F143">
        <f t="shared" si="27"/>
        <v>7</v>
      </c>
      <c r="G143">
        <f t="shared" si="28"/>
        <v>2022</v>
      </c>
      <c r="H143">
        <f t="shared" si="29"/>
        <v>1.161</v>
      </c>
      <c r="I143" t="e">
        <f t="shared" si="30"/>
        <v>#N/A</v>
      </c>
      <c r="J143" t="e">
        <f t="shared" si="31"/>
        <v>#N/A</v>
      </c>
      <c r="K143" t="e">
        <f t="shared" si="32"/>
        <v>#N/A</v>
      </c>
      <c r="L143" t="e">
        <f t="shared" si="33"/>
        <v>#N/A</v>
      </c>
      <c r="M143" t="e">
        <f t="shared" si="34"/>
        <v>#N/A</v>
      </c>
      <c r="N143" t="e">
        <f t="shared" si="35"/>
        <v>#N/A</v>
      </c>
      <c r="O143">
        <f t="shared" si="36"/>
        <v>1.000143</v>
      </c>
      <c r="P143" t="str">
        <f>IF(OR($A143="",games!$H143=""),"",games!$H143)</f>
        <v>Yes</v>
      </c>
      <c r="Q143">
        <f t="shared" si="37"/>
        <v>1.000143</v>
      </c>
      <c r="T143">
        <f>IF(connections!$A143="","",IFERROR(INDEX(games!$B$2:$B$950,MATCH(connections!$A143,games!$A$2:$A$950,0)),""))</f>
        <v>2019</v>
      </c>
      <c r="U143">
        <f>IF(connections!$A143="","",IFERROR(INDEX(games!$B$2:$B$950,MATCH(connections!$B143,games!$A$2:$A$950,0)),""))</f>
        <v>2023</v>
      </c>
      <c r="V143">
        <f t="shared" si="38"/>
        <v>4</v>
      </c>
    </row>
    <row r="144" spans="1:22" x14ac:dyDescent="0.25">
      <c r="A144" t="str">
        <f>IF(games!$A144="","",games!$A144)</f>
        <v>Convoy</v>
      </c>
      <c r="B144">
        <f>IF($A144="","",games!$B144)</f>
        <v>2015</v>
      </c>
      <c r="C144" t="str">
        <f>IF($A144="","",games!$C144)</f>
        <v>Strategy</v>
      </c>
      <c r="D144">
        <f>IF($A144="","",COUNTIF(connections!$A$2:$A$1473,$A144)+COUNTIF(connections!$B$2:$B$1473,$A144))</f>
        <v>1</v>
      </c>
      <c r="E144">
        <f t="shared" si="26"/>
        <v>2</v>
      </c>
      <c r="F144">
        <f t="shared" si="27"/>
        <v>8</v>
      </c>
      <c r="G144" t="e">
        <f t="shared" si="28"/>
        <v>#N/A</v>
      </c>
      <c r="H144" t="e">
        <f t="shared" si="29"/>
        <v>#N/A</v>
      </c>
      <c r="I144">
        <f t="shared" si="30"/>
        <v>2015</v>
      </c>
      <c r="J144">
        <f t="shared" si="31"/>
        <v>2.1840000000000002</v>
      </c>
      <c r="K144" t="e">
        <f t="shared" si="32"/>
        <v>#N/A</v>
      </c>
      <c r="L144" t="e">
        <f t="shared" si="33"/>
        <v>#N/A</v>
      </c>
      <c r="M144" t="e">
        <f t="shared" si="34"/>
        <v>#N/A</v>
      </c>
      <c r="N144" t="e">
        <f t="shared" si="35"/>
        <v>#N/A</v>
      </c>
      <c r="O144">
        <f t="shared" si="36"/>
        <v>1.0001439999999999</v>
      </c>
      <c r="P144" t="str">
        <f>IF(OR($A144="",games!$H144=""),"",games!$H144)</f>
        <v>Yes</v>
      </c>
      <c r="Q144">
        <f t="shared" si="37"/>
        <v>1.0001439999999999</v>
      </c>
      <c r="T144">
        <f>IF(connections!$A144="","",IFERROR(INDEX(games!$B$2:$B$950,MATCH(connections!$A144,games!$A$2:$A$950,0)),""))</f>
        <v>2021</v>
      </c>
      <c r="U144">
        <f>IF(connections!$A144="","",IFERROR(INDEX(games!$B$2:$B$950,MATCH(connections!$B144,games!$A$2:$A$950,0)),""))</f>
        <v>2023</v>
      </c>
      <c r="V144">
        <f t="shared" si="38"/>
        <v>2</v>
      </c>
    </row>
    <row r="145" spans="1:22" x14ac:dyDescent="0.25">
      <c r="A145" t="str">
        <f>IF(games!$A145="","",games!$A145)</f>
        <v>Core Defense</v>
      </c>
      <c r="B145">
        <f>IF($A145="","",games!$B145)</f>
        <v>2020</v>
      </c>
      <c r="C145" t="str">
        <f>IF($A145="","",games!$C145)</f>
        <v>Strategy</v>
      </c>
      <c r="D145">
        <f>IF($A145="","",COUNTIF(connections!$A$2:$A$1473,$A145)+COUNTIF(connections!$B$2:$B$1473,$A145))</f>
        <v>2</v>
      </c>
      <c r="E145">
        <f t="shared" si="26"/>
        <v>2</v>
      </c>
      <c r="F145">
        <f t="shared" si="27"/>
        <v>9</v>
      </c>
      <c r="G145" t="e">
        <f t="shared" si="28"/>
        <v>#N/A</v>
      </c>
      <c r="H145" t="e">
        <f t="shared" si="29"/>
        <v>#N/A</v>
      </c>
      <c r="I145">
        <f t="shared" si="30"/>
        <v>2020</v>
      </c>
      <c r="J145">
        <f t="shared" si="31"/>
        <v>2.2069999999999999</v>
      </c>
      <c r="K145" t="e">
        <f t="shared" si="32"/>
        <v>#N/A</v>
      </c>
      <c r="L145" t="e">
        <f t="shared" si="33"/>
        <v>#N/A</v>
      </c>
      <c r="M145" t="e">
        <f t="shared" si="34"/>
        <v>#N/A</v>
      </c>
      <c r="N145" t="e">
        <f t="shared" si="35"/>
        <v>#N/A</v>
      </c>
      <c r="O145">
        <f t="shared" si="36"/>
        <v>2.0001449999999998</v>
      </c>
      <c r="P145" t="str">
        <f>IF(OR($A145="",games!$H145=""),"",games!$H145)</f>
        <v>Yes</v>
      </c>
      <c r="Q145">
        <f t="shared" si="37"/>
        <v>2.0001449999999998</v>
      </c>
      <c r="T145">
        <f>IF(connections!$A145="","",IFERROR(INDEX(games!$B$2:$B$950,MATCH(connections!$A145,games!$A$2:$A$950,0)),""))</f>
        <v>2021</v>
      </c>
      <c r="U145">
        <f>IF(connections!$A145="","",IFERROR(INDEX(games!$B$2:$B$950,MATCH(connections!$B145,games!$A$2:$A$950,0)),""))</f>
        <v>2024</v>
      </c>
      <c r="V145">
        <f t="shared" si="38"/>
        <v>3</v>
      </c>
    </row>
    <row r="146" spans="1:22" x14ac:dyDescent="0.25">
      <c r="A146" t="str">
        <f>IF(games!$A146="","",games!$A146)</f>
        <v>Corpse Keeper</v>
      </c>
      <c r="B146">
        <f>IF($A146="","",games!$B146)</f>
        <v>2023</v>
      </c>
      <c r="C146" t="str">
        <f>IF($A146="","",games!$C146)</f>
        <v>Action</v>
      </c>
      <c r="D146">
        <f>IF($A146="","",COUNTIF(connections!$A$2:$A$1473,$A146)+COUNTIF(connections!$B$2:$B$1473,$A146))</f>
        <v>1</v>
      </c>
      <c r="E146">
        <f t="shared" si="26"/>
        <v>1</v>
      </c>
      <c r="F146">
        <f t="shared" si="27"/>
        <v>10</v>
      </c>
      <c r="G146">
        <f t="shared" si="28"/>
        <v>2023</v>
      </c>
      <c r="H146">
        <f t="shared" si="29"/>
        <v>1.23</v>
      </c>
      <c r="I146" t="e">
        <f t="shared" si="30"/>
        <v>#N/A</v>
      </c>
      <c r="J146" t="e">
        <f t="shared" si="31"/>
        <v>#N/A</v>
      </c>
      <c r="K146" t="e">
        <f t="shared" si="32"/>
        <v>#N/A</v>
      </c>
      <c r="L146" t="e">
        <f t="shared" si="33"/>
        <v>#N/A</v>
      </c>
      <c r="M146" t="e">
        <f t="shared" si="34"/>
        <v>#N/A</v>
      </c>
      <c r="N146" t="e">
        <f t="shared" si="35"/>
        <v>#N/A</v>
      </c>
      <c r="O146">
        <f t="shared" si="36"/>
        <v>1.000146</v>
      </c>
      <c r="P146" t="str">
        <f>IF(OR($A146="",games!$H146=""),"",games!$H146)</f>
        <v>Yes</v>
      </c>
      <c r="Q146">
        <f t="shared" si="37"/>
        <v>1.000146</v>
      </c>
      <c r="T146">
        <f>IF(connections!$A146="","",IFERROR(INDEX(games!$B$2:$B$950,MATCH(connections!$A146,games!$A$2:$A$950,0)),""))</f>
        <v>2019</v>
      </c>
      <c r="U146">
        <f>IF(connections!$A146="","",IFERROR(INDEX(games!$B$2:$B$950,MATCH(connections!$B146,games!$A$2:$A$950,0)),""))</f>
        <v>2022</v>
      </c>
      <c r="V146">
        <f t="shared" si="38"/>
        <v>3</v>
      </c>
    </row>
    <row r="147" spans="1:22" x14ac:dyDescent="0.25">
      <c r="A147" t="str">
        <f>IF(games!$A147="","",games!$A147)</f>
        <v>Crab Champions</v>
      </c>
      <c r="B147">
        <f>IF($A147="","",games!$B147)</f>
        <v>2023</v>
      </c>
      <c r="C147" t="str">
        <f>IF($A147="","",games!$C147)</f>
        <v>Action</v>
      </c>
      <c r="D147">
        <f>IF($A147="","",COUNTIF(connections!$A$2:$A$1473,$A147)+COUNTIF(connections!$B$2:$B$1473,$A147))</f>
        <v>9</v>
      </c>
      <c r="E147">
        <f t="shared" si="26"/>
        <v>1</v>
      </c>
      <c r="F147">
        <f t="shared" si="27"/>
        <v>11</v>
      </c>
      <c r="G147">
        <f t="shared" si="28"/>
        <v>2023</v>
      </c>
      <c r="H147">
        <f t="shared" si="29"/>
        <v>1.2530000000000001</v>
      </c>
      <c r="I147" t="e">
        <f t="shared" si="30"/>
        <v>#N/A</v>
      </c>
      <c r="J147" t="e">
        <f t="shared" si="31"/>
        <v>#N/A</v>
      </c>
      <c r="K147" t="e">
        <f t="shared" si="32"/>
        <v>#N/A</v>
      </c>
      <c r="L147" t="e">
        <f t="shared" si="33"/>
        <v>#N/A</v>
      </c>
      <c r="M147" t="e">
        <f t="shared" si="34"/>
        <v>#N/A</v>
      </c>
      <c r="N147" t="e">
        <f t="shared" si="35"/>
        <v>#N/A</v>
      </c>
      <c r="O147">
        <f t="shared" si="36"/>
        <v>9.0001470000000001</v>
      </c>
      <c r="P147" t="str">
        <f>IF(OR($A147="",games!$H147=""),"",games!$H147)</f>
        <v>Yes</v>
      </c>
      <c r="Q147">
        <f t="shared" si="37"/>
        <v>9.0001470000000001</v>
      </c>
      <c r="T147">
        <f>IF(connections!$A147="","",IFERROR(INDEX(games!$B$2:$B$950,MATCH(connections!$A147,games!$A$2:$A$950,0)),""))</f>
        <v>2021</v>
      </c>
      <c r="U147">
        <f>IF(connections!$A147="","",IFERROR(INDEX(games!$B$2:$B$950,MATCH(connections!$B147,games!$A$2:$A$950,0)),""))</f>
        <v>2022</v>
      </c>
      <c r="V147">
        <f t="shared" si="38"/>
        <v>1</v>
      </c>
    </row>
    <row r="148" spans="1:22" x14ac:dyDescent="0.25">
      <c r="A148" t="str">
        <f>IF(games!$A148="","",games!$A148)</f>
        <v>Crablike</v>
      </c>
      <c r="B148">
        <f>IF($A148="","",games!$B148)</f>
        <v>2025</v>
      </c>
      <c r="C148" t="str">
        <f>IF($A148="","",games!$C148)</f>
        <v>Traditional</v>
      </c>
      <c r="D148">
        <f>IF($A148="","",COUNTIF(connections!$A$2:$A$1473,$A148)+COUNTIF(connections!$B$2:$B$1473,$A148))</f>
        <v>2</v>
      </c>
      <c r="E148">
        <f t="shared" si="26"/>
        <v>4</v>
      </c>
      <c r="F148">
        <f t="shared" si="27"/>
        <v>12</v>
      </c>
      <c r="G148" t="e">
        <f t="shared" si="28"/>
        <v>#N/A</v>
      </c>
      <c r="H148" t="e">
        <f t="shared" si="29"/>
        <v>#N/A</v>
      </c>
      <c r="I148" t="e">
        <f t="shared" si="30"/>
        <v>#N/A</v>
      </c>
      <c r="J148" t="e">
        <f t="shared" si="31"/>
        <v>#N/A</v>
      </c>
      <c r="K148" t="e">
        <f t="shared" si="32"/>
        <v>#N/A</v>
      </c>
      <c r="L148" t="e">
        <f t="shared" si="33"/>
        <v>#N/A</v>
      </c>
      <c r="M148">
        <f t="shared" si="34"/>
        <v>2025</v>
      </c>
      <c r="N148">
        <f t="shared" si="35"/>
        <v>4.2759999999999998</v>
      </c>
      <c r="O148">
        <f t="shared" si="36"/>
        <v>2.0001479999999998</v>
      </c>
      <c r="P148" t="str">
        <f>IF(OR($A148="",games!$H148=""),"",games!$H148)</f>
        <v>Yes</v>
      </c>
      <c r="Q148">
        <f t="shared" si="37"/>
        <v>2.0001479999999998</v>
      </c>
      <c r="T148">
        <f>IF(connections!$A148="","",IFERROR(INDEX(games!$B$2:$B$950,MATCH(connections!$A148,games!$A$2:$A$950,0)),""))</f>
        <v>1996</v>
      </c>
      <c r="U148">
        <f>IF(connections!$A148="","",IFERROR(INDEX(games!$B$2:$B$950,MATCH(connections!$B148,games!$A$2:$A$950,0)),""))</f>
        <v>2018</v>
      </c>
      <c r="V148">
        <f t="shared" si="38"/>
        <v>22</v>
      </c>
    </row>
    <row r="149" spans="1:22" x14ac:dyDescent="0.25">
      <c r="A149" t="str">
        <f>IF(games!$A149="","",games!$A149)</f>
        <v>Crafty Survivors</v>
      </c>
      <c r="B149">
        <f>IF($A149="","",games!$B149)</f>
        <v>2023</v>
      </c>
      <c r="C149" t="str">
        <f>IF($A149="","",games!$C149)</f>
        <v>Action</v>
      </c>
      <c r="D149">
        <f>IF($A149="","",COUNTIF(connections!$A$2:$A$1473,$A149)+COUNTIF(connections!$B$2:$B$1473,$A149))</f>
        <v>1</v>
      </c>
      <c r="E149">
        <f t="shared" si="26"/>
        <v>1</v>
      </c>
      <c r="F149">
        <f t="shared" si="27"/>
        <v>13</v>
      </c>
      <c r="G149">
        <f t="shared" si="28"/>
        <v>2023</v>
      </c>
      <c r="H149">
        <f t="shared" si="29"/>
        <v>1.2989999999999999</v>
      </c>
      <c r="I149" t="e">
        <f t="shared" si="30"/>
        <v>#N/A</v>
      </c>
      <c r="J149" t="e">
        <f t="shared" si="31"/>
        <v>#N/A</v>
      </c>
      <c r="K149" t="e">
        <f t="shared" si="32"/>
        <v>#N/A</v>
      </c>
      <c r="L149" t="e">
        <f t="shared" si="33"/>
        <v>#N/A</v>
      </c>
      <c r="M149" t="e">
        <f t="shared" si="34"/>
        <v>#N/A</v>
      </c>
      <c r="N149" t="e">
        <f t="shared" si="35"/>
        <v>#N/A</v>
      </c>
      <c r="O149">
        <f t="shared" si="36"/>
        <v>1.000149</v>
      </c>
      <c r="P149" t="str">
        <f>IF(OR($A149="",games!$H149=""),"",games!$H149)</f>
        <v>Yes</v>
      </c>
      <c r="Q149">
        <f t="shared" si="37"/>
        <v>1.000149</v>
      </c>
      <c r="T149">
        <f>IF(connections!$A149="","",IFERROR(INDEX(games!$B$2:$B$950,MATCH(connections!$A149,games!$A$2:$A$950,0)),""))</f>
        <v>2017</v>
      </c>
      <c r="U149">
        <f>IF(connections!$A149="","",IFERROR(INDEX(games!$B$2:$B$950,MATCH(connections!$B149,games!$A$2:$A$950,0)),""))</f>
        <v>2022</v>
      </c>
      <c r="V149">
        <f t="shared" si="38"/>
        <v>5</v>
      </c>
    </row>
    <row r="150" spans="1:22" x14ac:dyDescent="0.25">
      <c r="A150" t="str">
        <f>IF(games!$A150="","",games!$A150)</f>
        <v>Crawl</v>
      </c>
      <c r="B150">
        <f>IF($A150="","",games!$B150)</f>
        <v>2017</v>
      </c>
      <c r="C150" t="str">
        <f>IF($A150="","",games!$C150)</f>
        <v>Action</v>
      </c>
      <c r="D150">
        <f>IF($A150="","",COUNTIF(connections!$A$2:$A$1473,$A150)+COUNTIF(connections!$B$2:$B$1473,$A150))</f>
        <v>2</v>
      </c>
      <c r="E150">
        <f t="shared" si="26"/>
        <v>1</v>
      </c>
      <c r="F150">
        <f t="shared" si="27"/>
        <v>14</v>
      </c>
      <c r="G150">
        <f t="shared" si="28"/>
        <v>2017</v>
      </c>
      <c r="H150">
        <f t="shared" si="29"/>
        <v>1.3220000000000001</v>
      </c>
      <c r="I150" t="e">
        <f t="shared" si="30"/>
        <v>#N/A</v>
      </c>
      <c r="J150" t="e">
        <f t="shared" si="31"/>
        <v>#N/A</v>
      </c>
      <c r="K150" t="e">
        <f t="shared" si="32"/>
        <v>#N/A</v>
      </c>
      <c r="L150" t="e">
        <f t="shared" si="33"/>
        <v>#N/A</v>
      </c>
      <c r="M150" t="e">
        <f t="shared" si="34"/>
        <v>#N/A</v>
      </c>
      <c r="N150" t="e">
        <f t="shared" si="35"/>
        <v>#N/A</v>
      </c>
      <c r="O150">
        <f t="shared" si="36"/>
        <v>2.0001500000000001</v>
      </c>
      <c r="P150" t="str">
        <f>IF(OR($A150="",games!$H150=""),"",games!$H150)</f>
        <v>Yes</v>
      </c>
      <c r="Q150">
        <f t="shared" si="37"/>
        <v>2.0001500000000001</v>
      </c>
      <c r="T150">
        <f>IF(connections!$A150="","",IFERROR(INDEX(games!$B$2:$B$950,MATCH(connections!$A150,games!$A$2:$A$950,0)),""))</f>
        <v>2021</v>
      </c>
      <c r="U150">
        <f>IF(connections!$A150="","",IFERROR(INDEX(games!$B$2:$B$950,MATCH(connections!$B150,games!$A$2:$A$950,0)),""))</f>
        <v>2022</v>
      </c>
      <c r="V150">
        <f t="shared" si="38"/>
        <v>1</v>
      </c>
    </row>
    <row r="151" spans="1:22" x14ac:dyDescent="0.25">
      <c r="A151" t="str">
        <f>IF(games!$A151="","",games!$A151)</f>
        <v>Crop Rotation</v>
      </c>
      <c r="B151">
        <f>IF($A151="","",games!$B151)</f>
        <v>2023</v>
      </c>
      <c r="C151" t="str">
        <f>IF($A151="","",games!$C151)</f>
        <v>Deckbuilder</v>
      </c>
      <c r="D151">
        <f>IF($A151="","",COUNTIF(connections!$A$2:$A$1473,$A151)+COUNTIF(connections!$B$2:$B$1473,$A151))</f>
        <v>1</v>
      </c>
      <c r="E151">
        <f t="shared" si="26"/>
        <v>3</v>
      </c>
      <c r="F151">
        <f t="shared" si="27"/>
        <v>15</v>
      </c>
      <c r="G151" t="e">
        <f t="shared" si="28"/>
        <v>#N/A</v>
      </c>
      <c r="H151" t="e">
        <f t="shared" si="29"/>
        <v>#N/A</v>
      </c>
      <c r="I151" t="e">
        <f t="shared" si="30"/>
        <v>#N/A</v>
      </c>
      <c r="J151" t="e">
        <f t="shared" si="31"/>
        <v>#N/A</v>
      </c>
      <c r="K151">
        <f t="shared" si="32"/>
        <v>2023</v>
      </c>
      <c r="L151">
        <f t="shared" si="33"/>
        <v>3.3449999999999998</v>
      </c>
      <c r="M151" t="e">
        <f t="shared" si="34"/>
        <v>#N/A</v>
      </c>
      <c r="N151" t="e">
        <f t="shared" si="35"/>
        <v>#N/A</v>
      </c>
      <c r="O151">
        <f t="shared" si="36"/>
        <v>1.000151</v>
      </c>
      <c r="P151" t="str">
        <f>IF(OR($A151="",games!$H151=""),"",games!$H151)</f>
        <v>Yes</v>
      </c>
      <c r="Q151">
        <f t="shared" si="37"/>
        <v>1.000151</v>
      </c>
      <c r="T151">
        <f>IF(connections!$A151="","",IFERROR(INDEX(games!$B$2:$B$950,MATCH(connections!$A151,games!$A$2:$A$950,0)),""))</f>
        <v>2016</v>
      </c>
      <c r="U151">
        <f>IF(connections!$A151="","",IFERROR(INDEX(games!$B$2:$B$950,MATCH(connections!$B151,games!$A$2:$A$950,0)),""))</f>
        <v>2021</v>
      </c>
      <c r="V151">
        <f t="shared" si="38"/>
        <v>5</v>
      </c>
    </row>
    <row r="152" spans="1:22" x14ac:dyDescent="0.25">
      <c r="A152" t="str">
        <f>IF(games!$A152="","",games!$A152)</f>
        <v>Cropdeck</v>
      </c>
      <c r="B152">
        <f>IF($A152="","",games!$B152)</f>
        <v>2026</v>
      </c>
      <c r="C152" t="str">
        <f>IF($A152="","",games!$C152)</f>
        <v>Deckbuilder</v>
      </c>
      <c r="D152">
        <f>IF($A152="","",COUNTIF(connections!$A$2:$A$1473,$A152)+COUNTIF(connections!$B$2:$B$1473,$A152))</f>
        <v>3</v>
      </c>
      <c r="E152">
        <f t="shared" si="26"/>
        <v>3</v>
      </c>
      <c r="F152">
        <f t="shared" si="27"/>
        <v>16</v>
      </c>
      <c r="G152" t="e">
        <f t="shared" si="28"/>
        <v>#N/A</v>
      </c>
      <c r="H152" t="e">
        <f t="shared" si="29"/>
        <v>#N/A</v>
      </c>
      <c r="I152" t="e">
        <f t="shared" si="30"/>
        <v>#N/A</v>
      </c>
      <c r="J152" t="e">
        <f t="shared" si="31"/>
        <v>#N/A</v>
      </c>
      <c r="K152">
        <f t="shared" si="32"/>
        <v>2026</v>
      </c>
      <c r="L152">
        <f t="shared" si="33"/>
        <v>3.3679999999999999</v>
      </c>
      <c r="M152" t="e">
        <f t="shared" si="34"/>
        <v>#N/A</v>
      </c>
      <c r="N152" t="e">
        <f t="shared" si="35"/>
        <v>#N/A</v>
      </c>
      <c r="O152">
        <f t="shared" si="36"/>
        <v>3.0001519999999999</v>
      </c>
      <c r="P152" t="str">
        <f>IF(OR($A152="",games!$H152=""),"",games!$H152)</f>
        <v/>
      </c>
      <c r="Q152" t="str">
        <f t="shared" si="37"/>
        <v/>
      </c>
      <c r="T152">
        <f>IF(connections!$A152="","",IFERROR(INDEX(games!$B$2:$B$950,MATCH(connections!$A152,games!$A$2:$A$950,0)),""))</f>
        <v>2015</v>
      </c>
      <c r="U152">
        <f>IF(connections!$A152="","",IFERROR(INDEX(games!$B$2:$B$950,MATCH(connections!$B152,games!$A$2:$A$950,0)),""))</f>
        <v>2020</v>
      </c>
      <c r="V152">
        <f t="shared" si="38"/>
        <v>5</v>
      </c>
    </row>
    <row r="153" spans="1:22" x14ac:dyDescent="0.25">
      <c r="A153" t="str">
        <f>IF(games!$A153="","",games!$A153)</f>
        <v>Cross Blitz</v>
      </c>
      <c r="B153">
        <f>IF($A153="","",games!$B153)</f>
        <v>2023</v>
      </c>
      <c r="C153" t="str">
        <f>IF($A153="","",games!$C153)</f>
        <v>Deckbuilder</v>
      </c>
      <c r="D153">
        <f>IF($A153="","",COUNTIF(connections!$A$2:$A$1473,$A153)+COUNTIF(connections!$B$2:$B$1473,$A153))</f>
        <v>3</v>
      </c>
      <c r="E153">
        <f t="shared" si="26"/>
        <v>3</v>
      </c>
      <c r="F153">
        <f t="shared" si="27"/>
        <v>17</v>
      </c>
      <c r="G153" t="e">
        <f t="shared" si="28"/>
        <v>#N/A</v>
      </c>
      <c r="H153" t="e">
        <f t="shared" si="29"/>
        <v>#N/A</v>
      </c>
      <c r="I153" t="e">
        <f t="shared" si="30"/>
        <v>#N/A</v>
      </c>
      <c r="J153" t="e">
        <f t="shared" si="31"/>
        <v>#N/A</v>
      </c>
      <c r="K153">
        <f t="shared" si="32"/>
        <v>2023</v>
      </c>
      <c r="L153">
        <f t="shared" si="33"/>
        <v>3.391</v>
      </c>
      <c r="M153" t="e">
        <f t="shared" si="34"/>
        <v>#N/A</v>
      </c>
      <c r="N153" t="e">
        <f t="shared" si="35"/>
        <v>#N/A</v>
      </c>
      <c r="O153">
        <f t="shared" si="36"/>
        <v>3.0001530000000001</v>
      </c>
      <c r="P153" t="str">
        <f>IF(OR($A153="",games!$H153=""),"",games!$H153)</f>
        <v>Yes</v>
      </c>
      <c r="Q153">
        <f t="shared" si="37"/>
        <v>3.0001530000000001</v>
      </c>
      <c r="T153">
        <f>IF(connections!$A153="","",IFERROR(INDEX(games!$B$2:$B$950,MATCH(connections!$A153,games!$A$2:$A$950,0)),""))</f>
        <v>2017</v>
      </c>
      <c r="U153">
        <f>IF(connections!$A153="","",IFERROR(INDEX(games!$B$2:$B$950,MATCH(connections!$B153,games!$A$2:$A$950,0)),""))</f>
        <v>2023</v>
      </c>
      <c r="V153">
        <f t="shared" si="38"/>
        <v>6</v>
      </c>
    </row>
    <row r="154" spans="1:22" x14ac:dyDescent="0.25">
      <c r="A154" t="str">
        <f>IF(games!$A154="","",games!$A154)</f>
        <v>Crown Trick</v>
      </c>
      <c r="B154">
        <f>IF($A154="","",games!$B154)</f>
        <v>2020</v>
      </c>
      <c r="C154" t="str">
        <f>IF($A154="","",games!$C154)</f>
        <v>Strategy</v>
      </c>
      <c r="D154">
        <f>IF($A154="","",COUNTIF(connections!$A$2:$A$1473,$A154)+COUNTIF(connections!$B$2:$B$1473,$A154))</f>
        <v>1</v>
      </c>
      <c r="E154">
        <f t="shared" si="26"/>
        <v>2</v>
      </c>
      <c r="F154">
        <f t="shared" si="27"/>
        <v>18</v>
      </c>
      <c r="G154" t="e">
        <f t="shared" si="28"/>
        <v>#N/A</v>
      </c>
      <c r="H154" t="e">
        <f t="shared" si="29"/>
        <v>#N/A</v>
      </c>
      <c r="I154">
        <f t="shared" si="30"/>
        <v>2020</v>
      </c>
      <c r="J154">
        <f t="shared" si="31"/>
        <v>2.4140000000000001</v>
      </c>
      <c r="K154" t="e">
        <f t="shared" si="32"/>
        <v>#N/A</v>
      </c>
      <c r="L154" t="e">
        <f t="shared" si="33"/>
        <v>#N/A</v>
      </c>
      <c r="M154" t="e">
        <f t="shared" si="34"/>
        <v>#N/A</v>
      </c>
      <c r="N154" t="e">
        <f t="shared" si="35"/>
        <v>#N/A</v>
      </c>
      <c r="O154">
        <f t="shared" si="36"/>
        <v>1.000154</v>
      </c>
      <c r="P154" t="str">
        <f>IF(OR($A154="",games!$H154=""),"",games!$H154)</f>
        <v>Yes</v>
      </c>
      <c r="Q154">
        <f t="shared" si="37"/>
        <v>1.000154</v>
      </c>
      <c r="T154">
        <f>IF(connections!$A154="","",IFERROR(INDEX(games!$B$2:$B$950,MATCH(connections!$A154,games!$A$2:$A$950,0)),""))</f>
        <v>2021</v>
      </c>
      <c r="U154">
        <f>IF(connections!$A154="","",IFERROR(INDEX(games!$B$2:$B$950,MATCH(connections!$B154,games!$A$2:$A$950,0)),""))</f>
        <v>2023</v>
      </c>
      <c r="V154">
        <f t="shared" si="38"/>
        <v>2</v>
      </c>
    </row>
    <row r="155" spans="1:22" x14ac:dyDescent="0.25">
      <c r="A155" t="str">
        <f>IF(games!$A155="","",games!$A155)</f>
        <v>Crush the Industry</v>
      </c>
      <c r="B155">
        <f>IF($A155="","",games!$B155)</f>
        <v>2025</v>
      </c>
      <c r="C155" t="str">
        <f>IF($A155="","",games!$C155)</f>
        <v>Deckbuilder</v>
      </c>
      <c r="D155">
        <f>IF($A155="","",COUNTIF(connections!$A$2:$A$1473,$A155)+COUNTIF(connections!$B$2:$B$1473,$A155))</f>
        <v>1</v>
      </c>
      <c r="E155">
        <f t="shared" si="26"/>
        <v>3</v>
      </c>
      <c r="F155">
        <f t="shared" si="27"/>
        <v>19</v>
      </c>
      <c r="G155" t="e">
        <f t="shared" si="28"/>
        <v>#N/A</v>
      </c>
      <c r="H155" t="e">
        <f t="shared" si="29"/>
        <v>#N/A</v>
      </c>
      <c r="I155" t="e">
        <f t="shared" si="30"/>
        <v>#N/A</v>
      </c>
      <c r="J155" t="e">
        <f t="shared" si="31"/>
        <v>#N/A</v>
      </c>
      <c r="K155">
        <f t="shared" si="32"/>
        <v>2025</v>
      </c>
      <c r="L155">
        <f t="shared" si="33"/>
        <v>3.4369999999999998</v>
      </c>
      <c r="M155" t="e">
        <f t="shared" si="34"/>
        <v>#N/A</v>
      </c>
      <c r="N155" t="e">
        <f t="shared" si="35"/>
        <v>#N/A</v>
      </c>
      <c r="O155">
        <f t="shared" si="36"/>
        <v>1.0001549999999999</v>
      </c>
      <c r="P155" t="str">
        <f>IF(OR($A155="",games!$H155=""),"",games!$H155)</f>
        <v>Yes</v>
      </c>
      <c r="Q155">
        <f t="shared" si="37"/>
        <v>1.0001549999999999</v>
      </c>
      <c r="T155">
        <f>IF(connections!$A155="","",IFERROR(INDEX(games!$B$2:$B$950,MATCH(connections!$A155,games!$A$2:$A$950,0)),""))</f>
        <v>2017</v>
      </c>
      <c r="U155">
        <f>IF(connections!$A155="","",IFERROR(INDEX(games!$B$2:$B$950,MATCH(connections!$B155,games!$A$2:$A$950,0)),""))</f>
        <v>2021</v>
      </c>
      <c r="V155">
        <f t="shared" si="38"/>
        <v>4</v>
      </c>
    </row>
    <row r="156" spans="1:22" x14ac:dyDescent="0.25">
      <c r="A156" t="str">
        <f>IF(games!$A156="","",games!$A156)</f>
        <v>Crying Suns</v>
      </c>
      <c r="B156">
        <f>IF($A156="","",games!$B156)</f>
        <v>2019</v>
      </c>
      <c r="C156" t="str">
        <f>IF($A156="","",games!$C156)</f>
        <v>Strategy</v>
      </c>
      <c r="D156">
        <f>IF($A156="","",COUNTIF(connections!$A$2:$A$1473,$A156)+COUNTIF(connections!$B$2:$B$1473,$A156))</f>
        <v>1</v>
      </c>
      <c r="E156">
        <f t="shared" si="26"/>
        <v>2</v>
      </c>
      <c r="F156">
        <f t="shared" si="27"/>
        <v>20</v>
      </c>
      <c r="G156" t="e">
        <f t="shared" si="28"/>
        <v>#N/A</v>
      </c>
      <c r="H156" t="e">
        <f t="shared" si="29"/>
        <v>#N/A</v>
      </c>
      <c r="I156">
        <f t="shared" si="30"/>
        <v>2019</v>
      </c>
      <c r="J156">
        <f t="shared" si="31"/>
        <v>2.46</v>
      </c>
      <c r="K156" t="e">
        <f t="shared" si="32"/>
        <v>#N/A</v>
      </c>
      <c r="L156" t="e">
        <f t="shared" si="33"/>
        <v>#N/A</v>
      </c>
      <c r="M156" t="e">
        <f t="shared" si="34"/>
        <v>#N/A</v>
      </c>
      <c r="N156" t="e">
        <f t="shared" si="35"/>
        <v>#N/A</v>
      </c>
      <c r="O156">
        <f t="shared" si="36"/>
        <v>1.000156</v>
      </c>
      <c r="P156" t="str">
        <f>IF(OR($A156="",games!$H156=""),"",games!$H156)</f>
        <v>Yes</v>
      </c>
      <c r="Q156">
        <f t="shared" si="37"/>
        <v>1.000156</v>
      </c>
      <c r="T156">
        <f>IF(connections!$A156="","",IFERROR(INDEX(games!$B$2:$B$950,MATCH(connections!$A156,games!$A$2:$A$950,0)),""))</f>
        <v>2012</v>
      </c>
      <c r="U156">
        <f>IF(connections!$A156="","",IFERROR(INDEX(games!$B$2:$B$950,MATCH(connections!$B156,games!$A$2:$A$950,0)),""))</f>
        <v>2024</v>
      </c>
      <c r="V156">
        <f t="shared" si="38"/>
        <v>12</v>
      </c>
    </row>
    <row r="157" spans="1:22" x14ac:dyDescent="0.25">
      <c r="A157" t="str">
        <f>IF(games!$A157="","",games!$A157)</f>
        <v>Crypt of the NecroDancer</v>
      </c>
      <c r="B157">
        <f>IF($A157="","",games!$B157)</f>
        <v>2015</v>
      </c>
      <c r="C157" t="str">
        <f>IF($A157="","",games!$C157)</f>
        <v>Traditional</v>
      </c>
      <c r="D157">
        <f>IF($A157="","",COUNTIF(connections!$A$2:$A$1473,$A157)+COUNTIF(connections!$B$2:$B$1473,$A157))</f>
        <v>13</v>
      </c>
      <c r="E157">
        <f t="shared" si="26"/>
        <v>4</v>
      </c>
      <c r="F157">
        <f t="shared" si="27"/>
        <v>21</v>
      </c>
      <c r="G157" t="e">
        <f t="shared" si="28"/>
        <v>#N/A</v>
      </c>
      <c r="H157" t="e">
        <f t="shared" si="29"/>
        <v>#N/A</v>
      </c>
      <c r="I157" t="e">
        <f t="shared" si="30"/>
        <v>#N/A</v>
      </c>
      <c r="J157" t="e">
        <f t="shared" si="31"/>
        <v>#N/A</v>
      </c>
      <c r="K157" t="e">
        <f t="shared" si="32"/>
        <v>#N/A</v>
      </c>
      <c r="L157" t="e">
        <f t="shared" si="33"/>
        <v>#N/A</v>
      </c>
      <c r="M157">
        <f t="shared" si="34"/>
        <v>2015</v>
      </c>
      <c r="N157">
        <f t="shared" si="35"/>
        <v>4.4829999999999997</v>
      </c>
      <c r="O157">
        <f t="shared" si="36"/>
        <v>13.000157</v>
      </c>
      <c r="P157" t="str">
        <f>IF(OR($A157="",games!$H157=""),"",games!$H157)</f>
        <v>Yes</v>
      </c>
      <c r="Q157">
        <f t="shared" si="37"/>
        <v>13.000157</v>
      </c>
      <c r="T157">
        <f>IF(connections!$A157="","",IFERROR(INDEX(games!$B$2:$B$950,MATCH(connections!$A157,games!$A$2:$A$950,0)),""))</f>
        <v>2017</v>
      </c>
      <c r="U157">
        <f>IF(connections!$A157="","",IFERROR(INDEX(games!$B$2:$B$950,MATCH(connections!$B157,games!$A$2:$A$950,0)),""))</f>
        <v>2024</v>
      </c>
      <c r="V157">
        <f t="shared" si="38"/>
        <v>7</v>
      </c>
    </row>
    <row r="158" spans="1:22" x14ac:dyDescent="0.25">
      <c r="A158" t="str">
        <f>IF(games!$A158="","",games!$A158)</f>
        <v>Cryptark</v>
      </c>
      <c r="B158">
        <f>IF($A158="","",games!$B158)</f>
        <v>2017</v>
      </c>
      <c r="C158" t="str">
        <f>IF($A158="","",games!$C158)</f>
        <v>Action</v>
      </c>
      <c r="D158">
        <f>IF($A158="","",COUNTIF(connections!$A$2:$A$1473,$A158)+COUNTIF(connections!$B$2:$B$1473,$A158))</f>
        <v>0</v>
      </c>
      <c r="E158">
        <f t="shared" si="26"/>
        <v>1</v>
      </c>
      <c r="F158">
        <f t="shared" si="27"/>
        <v>22</v>
      </c>
      <c r="G158">
        <f t="shared" si="28"/>
        <v>2017</v>
      </c>
      <c r="H158">
        <f t="shared" si="29"/>
        <v>1.506</v>
      </c>
      <c r="I158" t="e">
        <f t="shared" si="30"/>
        <v>#N/A</v>
      </c>
      <c r="J158" t="e">
        <f t="shared" si="31"/>
        <v>#N/A</v>
      </c>
      <c r="K158" t="e">
        <f t="shared" si="32"/>
        <v>#N/A</v>
      </c>
      <c r="L158" t="e">
        <f t="shared" si="33"/>
        <v>#N/A</v>
      </c>
      <c r="M158" t="e">
        <f t="shared" si="34"/>
        <v>#N/A</v>
      </c>
      <c r="N158" t="e">
        <f t="shared" si="35"/>
        <v>#N/A</v>
      </c>
      <c r="O158">
        <f t="shared" si="36"/>
        <v>1.5799999999999999E-4</v>
      </c>
      <c r="P158" t="str">
        <f>IF(OR($A158="",games!$H158=""),"",games!$H158)</f>
        <v>Yes</v>
      </c>
      <c r="Q158">
        <f t="shared" si="37"/>
        <v>1.5799999999999999E-4</v>
      </c>
      <c r="T158">
        <f>IF(connections!$A158="","",IFERROR(INDEX(games!$B$2:$B$950,MATCH(connections!$A158,games!$A$2:$A$950,0)),""))</f>
        <v>2020</v>
      </c>
      <c r="U158">
        <f>IF(connections!$A158="","",IFERROR(INDEX(games!$B$2:$B$950,MATCH(connections!$B158,games!$A$2:$A$950,0)),""))</f>
        <v>2025</v>
      </c>
      <c r="V158">
        <f t="shared" si="38"/>
        <v>5</v>
      </c>
    </row>
    <row r="159" spans="1:22" x14ac:dyDescent="0.25">
      <c r="A159" t="str">
        <f>IF(games!$A159="","",games!$A159)</f>
        <v>Cthangband</v>
      </c>
      <c r="B159">
        <f>IF($A159="","",games!$B159)</f>
        <v>1998</v>
      </c>
      <c r="C159" t="str">
        <f>IF($A159="","",games!$C159)</f>
        <v>Traditional</v>
      </c>
      <c r="D159">
        <f>IF($A159="","",COUNTIF(connections!$A$2:$A$1473,$A159)+COUNTIF(connections!$B$2:$B$1473,$A159))</f>
        <v>1</v>
      </c>
      <c r="E159">
        <f t="shared" si="26"/>
        <v>4</v>
      </c>
      <c r="F159">
        <f t="shared" si="27"/>
        <v>23</v>
      </c>
      <c r="G159" t="e">
        <f t="shared" si="28"/>
        <v>#N/A</v>
      </c>
      <c r="H159" t="e">
        <f t="shared" si="29"/>
        <v>#N/A</v>
      </c>
      <c r="I159" t="e">
        <f t="shared" si="30"/>
        <v>#N/A</v>
      </c>
      <c r="J159" t="e">
        <f t="shared" si="31"/>
        <v>#N/A</v>
      </c>
      <c r="K159" t="e">
        <f t="shared" si="32"/>
        <v>#N/A</v>
      </c>
      <c r="L159" t="e">
        <f t="shared" si="33"/>
        <v>#N/A</v>
      </c>
      <c r="M159">
        <f t="shared" si="34"/>
        <v>1998</v>
      </c>
      <c r="N159">
        <f t="shared" si="35"/>
        <v>4.5289999999999999</v>
      </c>
      <c r="O159">
        <f t="shared" si="36"/>
        <v>1.000159</v>
      </c>
      <c r="P159" t="str">
        <f>IF(OR($A159="",games!$H159=""),"",games!$H159)</f>
        <v>Yes</v>
      </c>
      <c r="Q159">
        <f t="shared" si="37"/>
        <v>1.000159</v>
      </c>
      <c r="T159">
        <f>IF(connections!$A159="","",IFERROR(INDEX(games!$B$2:$B$950,MATCH(connections!$A159,games!$A$2:$A$950,0)),""))</f>
        <v>2019</v>
      </c>
      <c r="U159">
        <f>IF(connections!$A159="","",IFERROR(INDEX(games!$B$2:$B$950,MATCH(connections!$B159,games!$A$2:$A$950,0)),""))</f>
        <v>2025</v>
      </c>
      <c r="V159">
        <f t="shared" si="38"/>
        <v>6</v>
      </c>
    </row>
    <row r="160" spans="1:22" x14ac:dyDescent="0.25">
      <c r="A160" t="str">
        <f>IF(games!$A160="","",games!$A160)</f>
        <v>Cube Chaos</v>
      </c>
      <c r="B160">
        <f>IF($A160="","",games!$B160)</f>
        <v>2023</v>
      </c>
      <c r="C160" t="str">
        <f>IF($A160="","",games!$C160)</f>
        <v>Deckbuilder</v>
      </c>
      <c r="D160">
        <f>IF($A160="","",COUNTIF(connections!$A$2:$A$1473,$A160)+COUNTIF(connections!$B$2:$B$1473,$A160))</f>
        <v>0</v>
      </c>
      <c r="E160">
        <f t="shared" si="26"/>
        <v>3</v>
      </c>
      <c r="F160">
        <f t="shared" si="27"/>
        <v>24</v>
      </c>
      <c r="G160" t="e">
        <f t="shared" si="28"/>
        <v>#N/A</v>
      </c>
      <c r="H160" t="e">
        <f t="shared" si="29"/>
        <v>#N/A</v>
      </c>
      <c r="I160" t="e">
        <f t="shared" si="30"/>
        <v>#N/A</v>
      </c>
      <c r="J160" t="e">
        <f t="shared" si="31"/>
        <v>#N/A</v>
      </c>
      <c r="K160">
        <f t="shared" si="32"/>
        <v>2023</v>
      </c>
      <c r="L160">
        <f t="shared" si="33"/>
        <v>3.552</v>
      </c>
      <c r="M160" t="e">
        <f t="shared" si="34"/>
        <v>#N/A</v>
      </c>
      <c r="N160" t="e">
        <f t="shared" si="35"/>
        <v>#N/A</v>
      </c>
      <c r="O160">
        <f t="shared" si="36"/>
        <v>1.6000000000000001E-4</v>
      </c>
      <c r="P160" t="str">
        <f>IF(OR($A160="",games!$H160=""),"",games!$H160)</f>
        <v/>
      </c>
      <c r="Q160" t="str">
        <f t="shared" si="37"/>
        <v/>
      </c>
      <c r="T160">
        <f>IF(connections!$A160="","",IFERROR(INDEX(games!$B$2:$B$950,MATCH(connections!$A160,games!$A$2:$A$950,0)),""))</f>
        <v>2020</v>
      </c>
      <c r="U160">
        <f>IF(connections!$A160="","",IFERROR(INDEX(games!$B$2:$B$950,MATCH(connections!$B160,games!$A$2:$A$950,0)),""))</f>
        <v>2025</v>
      </c>
      <c r="V160">
        <f t="shared" si="38"/>
        <v>5</v>
      </c>
    </row>
    <row r="161" spans="1:22" x14ac:dyDescent="0.25">
      <c r="A161" t="str">
        <f>IF(games!$A161="","",games!$A161)</f>
        <v>Cubic Cosmos</v>
      </c>
      <c r="B161">
        <f>IF($A161="","",games!$B161)</f>
        <v>2025</v>
      </c>
      <c r="C161" t="str">
        <f>IF($A161="","",games!$C161)</f>
        <v>Deckbuilder</v>
      </c>
      <c r="D161">
        <f>IF($A161="","",COUNTIF(connections!$A$2:$A$1473,$A161)+COUNTIF(connections!$B$2:$B$1473,$A161))</f>
        <v>0</v>
      </c>
      <c r="E161">
        <f t="shared" si="26"/>
        <v>3</v>
      </c>
      <c r="F161">
        <f t="shared" si="27"/>
        <v>25</v>
      </c>
      <c r="G161" t="e">
        <f t="shared" si="28"/>
        <v>#N/A</v>
      </c>
      <c r="H161" t="e">
        <f t="shared" si="29"/>
        <v>#N/A</v>
      </c>
      <c r="I161" t="e">
        <f t="shared" si="30"/>
        <v>#N/A</v>
      </c>
      <c r="J161" t="e">
        <f t="shared" si="31"/>
        <v>#N/A</v>
      </c>
      <c r="K161">
        <f t="shared" si="32"/>
        <v>2025</v>
      </c>
      <c r="L161">
        <f t="shared" si="33"/>
        <v>3.5750000000000002</v>
      </c>
      <c r="M161" t="e">
        <f t="shared" si="34"/>
        <v>#N/A</v>
      </c>
      <c r="N161" t="e">
        <f t="shared" si="35"/>
        <v>#N/A</v>
      </c>
      <c r="O161">
        <f t="shared" si="36"/>
        <v>1.6100000000000001E-4</v>
      </c>
      <c r="P161" t="str">
        <f>IF(OR($A161="",games!$H161=""),"",games!$H161)</f>
        <v/>
      </c>
      <c r="Q161" t="str">
        <f t="shared" si="37"/>
        <v/>
      </c>
      <c r="T161">
        <f>IF(connections!$A161="","",IFERROR(INDEX(games!$B$2:$B$950,MATCH(connections!$A161,games!$A$2:$A$950,0)),""))</f>
        <v>1980</v>
      </c>
      <c r="U161">
        <f>IF(connections!$A161="","",IFERROR(INDEX(games!$B$2:$B$950,MATCH(connections!$B161,games!$A$2:$A$950,0)),""))</f>
        <v>2009</v>
      </c>
      <c r="V161">
        <f t="shared" si="38"/>
        <v>29</v>
      </c>
    </row>
    <row r="162" spans="1:22" x14ac:dyDescent="0.25">
      <c r="A162" t="str">
        <f>IF(games!$A162="","",games!$A162)</f>
        <v>Cult of PiN</v>
      </c>
      <c r="B162">
        <f>IF($A162="","",games!$B162)</f>
        <v>2026</v>
      </c>
      <c r="C162" t="str">
        <f>IF($A162="","",games!$C162)</f>
        <v>Deckbuilder</v>
      </c>
      <c r="D162">
        <f>IF($A162="","",COUNTIF(connections!$A$2:$A$1473,$A162)+COUNTIF(connections!$B$2:$B$1473,$A162))</f>
        <v>2</v>
      </c>
      <c r="E162">
        <f t="shared" si="26"/>
        <v>3</v>
      </c>
      <c r="F162">
        <f t="shared" si="27"/>
        <v>26</v>
      </c>
      <c r="G162" t="e">
        <f t="shared" si="28"/>
        <v>#N/A</v>
      </c>
      <c r="H162" t="e">
        <f t="shared" si="29"/>
        <v>#N/A</v>
      </c>
      <c r="I162" t="e">
        <f t="shared" si="30"/>
        <v>#N/A</v>
      </c>
      <c r="J162" t="e">
        <f t="shared" si="31"/>
        <v>#N/A</v>
      </c>
      <c r="K162">
        <f t="shared" si="32"/>
        <v>2026</v>
      </c>
      <c r="L162">
        <f t="shared" si="33"/>
        <v>3.5979999999999999</v>
      </c>
      <c r="M162" t="e">
        <f t="shared" si="34"/>
        <v>#N/A</v>
      </c>
      <c r="N162" t="e">
        <f t="shared" si="35"/>
        <v>#N/A</v>
      </c>
      <c r="O162">
        <f t="shared" si="36"/>
        <v>2.000162</v>
      </c>
      <c r="P162" t="str">
        <f>IF(OR($A162="",games!$H162=""),"",games!$H162)</f>
        <v/>
      </c>
      <c r="Q162" t="str">
        <f t="shared" si="37"/>
        <v/>
      </c>
      <c r="T162">
        <f>IF(connections!$A162="","",IFERROR(INDEX(games!$B$2:$B$950,MATCH(connections!$A162,games!$A$2:$A$950,0)),""))</f>
        <v>2019</v>
      </c>
      <c r="U162">
        <f>IF(connections!$A162="","",IFERROR(INDEX(games!$B$2:$B$950,MATCH(connections!$B162,games!$A$2:$A$950,0)),""))</f>
        <v>2026</v>
      </c>
      <c r="V162">
        <f t="shared" si="38"/>
        <v>7</v>
      </c>
    </row>
    <row r="163" spans="1:22" x14ac:dyDescent="0.25">
      <c r="A163" t="str">
        <f>IF(games!$A163="","",games!$A163)</f>
        <v>Cult of the Lamb</v>
      </c>
      <c r="B163">
        <f>IF($A163="","",games!$B163)</f>
        <v>2022</v>
      </c>
      <c r="C163" t="str">
        <f>IF($A163="","",games!$C163)</f>
        <v>Action</v>
      </c>
      <c r="D163">
        <f>IF($A163="","",COUNTIF(connections!$A$2:$A$1473,$A163)+COUNTIF(connections!$B$2:$B$1473,$A163))</f>
        <v>7</v>
      </c>
      <c r="E163">
        <f t="shared" si="26"/>
        <v>1</v>
      </c>
      <c r="F163">
        <f t="shared" si="27"/>
        <v>27</v>
      </c>
      <c r="G163">
        <f t="shared" si="28"/>
        <v>2022</v>
      </c>
      <c r="H163">
        <f t="shared" si="29"/>
        <v>1.621</v>
      </c>
      <c r="I163" t="e">
        <f t="shared" si="30"/>
        <v>#N/A</v>
      </c>
      <c r="J163" t="e">
        <f t="shared" si="31"/>
        <v>#N/A</v>
      </c>
      <c r="K163" t="e">
        <f t="shared" si="32"/>
        <v>#N/A</v>
      </c>
      <c r="L163" t="e">
        <f t="shared" si="33"/>
        <v>#N/A</v>
      </c>
      <c r="M163" t="e">
        <f t="shared" si="34"/>
        <v>#N/A</v>
      </c>
      <c r="N163" t="e">
        <f t="shared" si="35"/>
        <v>#N/A</v>
      </c>
      <c r="O163">
        <f t="shared" si="36"/>
        <v>7.0001629999999997</v>
      </c>
      <c r="P163" t="str">
        <f>IF(OR($A163="",games!$H163=""),"",games!$H163)</f>
        <v>Yes</v>
      </c>
      <c r="Q163">
        <f t="shared" si="37"/>
        <v>7.0001629999999997</v>
      </c>
      <c r="T163">
        <f>IF(connections!$A163="","",IFERROR(INDEX(games!$B$2:$B$950,MATCH(connections!$A163,games!$A$2:$A$950,0)),""))</f>
        <v>2012</v>
      </c>
      <c r="U163">
        <f>IF(connections!$A163="","",IFERROR(INDEX(games!$B$2:$B$950,MATCH(connections!$B163,games!$A$2:$A$950,0)),""))</f>
        <v>2026</v>
      </c>
      <c r="V163">
        <f t="shared" si="38"/>
        <v>14</v>
      </c>
    </row>
    <row r="164" spans="1:22" x14ac:dyDescent="0.25">
      <c r="A164" t="str">
        <f>IF(games!$A164="","",games!$A164)</f>
        <v>Cultist Simulator</v>
      </c>
      <c r="B164">
        <f>IF($A164="","",games!$B164)</f>
        <v>2018</v>
      </c>
      <c r="C164" t="str">
        <f>IF($A164="","",games!$C164)</f>
        <v>Strategy</v>
      </c>
      <c r="D164">
        <f>IF($A164="","",COUNTIF(connections!$A$2:$A$1473,$A164)+COUNTIF(connections!$B$2:$B$1473,$A164))</f>
        <v>2</v>
      </c>
      <c r="E164">
        <f t="shared" si="26"/>
        <v>2</v>
      </c>
      <c r="F164">
        <f t="shared" si="27"/>
        <v>28</v>
      </c>
      <c r="G164" t="e">
        <f t="shared" si="28"/>
        <v>#N/A</v>
      </c>
      <c r="H164" t="e">
        <f t="shared" si="29"/>
        <v>#N/A</v>
      </c>
      <c r="I164">
        <f t="shared" si="30"/>
        <v>2018</v>
      </c>
      <c r="J164">
        <f t="shared" si="31"/>
        <v>2.6440000000000001</v>
      </c>
      <c r="K164" t="e">
        <f t="shared" si="32"/>
        <v>#N/A</v>
      </c>
      <c r="L164" t="e">
        <f t="shared" si="33"/>
        <v>#N/A</v>
      </c>
      <c r="M164" t="e">
        <f t="shared" si="34"/>
        <v>#N/A</v>
      </c>
      <c r="N164" t="e">
        <f t="shared" si="35"/>
        <v>#N/A</v>
      </c>
      <c r="O164">
        <f t="shared" si="36"/>
        <v>2.0001639999999998</v>
      </c>
      <c r="P164" t="str">
        <f>IF(OR($A164="",games!$H164=""),"",games!$H164)</f>
        <v>Yes</v>
      </c>
      <c r="Q164">
        <f t="shared" si="37"/>
        <v>2.0001639999999998</v>
      </c>
      <c r="T164">
        <f>IF(connections!$A164="","",IFERROR(INDEX(games!$B$2:$B$950,MATCH(connections!$A164,games!$A$2:$A$950,0)),""))</f>
        <v>2021</v>
      </c>
      <c r="U164">
        <f>IF(connections!$A164="","",IFERROR(INDEX(games!$B$2:$B$950,MATCH(connections!$B164,games!$A$2:$A$950,0)),""))</f>
        <v>2026</v>
      </c>
      <c r="V164">
        <f t="shared" si="38"/>
        <v>5</v>
      </c>
    </row>
    <row r="165" spans="1:22" x14ac:dyDescent="0.25">
      <c r="A165" t="str">
        <f>IF(games!$A165="","",games!$A165)</f>
        <v>Cupiclaw</v>
      </c>
      <c r="B165">
        <f>IF($A165="","",games!$B165)</f>
        <v>2024</v>
      </c>
      <c r="C165" t="str">
        <f>IF($A165="","",games!$C165)</f>
        <v>Deckbuilder</v>
      </c>
      <c r="D165">
        <f>IF($A165="","",COUNTIF(connections!$A$2:$A$1473,$A165)+COUNTIF(connections!$B$2:$B$1473,$A165))</f>
        <v>2</v>
      </c>
      <c r="E165">
        <f t="shared" si="26"/>
        <v>3</v>
      </c>
      <c r="F165">
        <f t="shared" si="27"/>
        <v>29</v>
      </c>
      <c r="G165" t="e">
        <f t="shared" si="28"/>
        <v>#N/A</v>
      </c>
      <c r="H165" t="e">
        <f t="shared" si="29"/>
        <v>#N/A</v>
      </c>
      <c r="I165" t="e">
        <f t="shared" si="30"/>
        <v>#N/A</v>
      </c>
      <c r="J165" t="e">
        <f t="shared" si="31"/>
        <v>#N/A</v>
      </c>
      <c r="K165">
        <f t="shared" si="32"/>
        <v>2024</v>
      </c>
      <c r="L165">
        <f t="shared" si="33"/>
        <v>3.6669999999999998</v>
      </c>
      <c r="M165" t="e">
        <f t="shared" si="34"/>
        <v>#N/A</v>
      </c>
      <c r="N165" t="e">
        <f t="shared" si="35"/>
        <v>#N/A</v>
      </c>
      <c r="O165">
        <f t="shared" si="36"/>
        <v>2.000165</v>
      </c>
      <c r="P165" t="str">
        <f>IF(OR($A165="",games!$H165=""),"",games!$H165)</f>
        <v/>
      </c>
      <c r="Q165" t="str">
        <f t="shared" si="37"/>
        <v/>
      </c>
      <c r="T165">
        <f>IF(connections!$A165="","",IFERROR(INDEX(games!$B$2:$B$950,MATCH(connections!$A165,games!$A$2:$A$950,0)),""))</f>
        <v>2017</v>
      </c>
      <c r="U165">
        <f>IF(connections!$A165="","",IFERROR(INDEX(games!$B$2:$B$950,MATCH(connections!$B165,games!$A$2:$A$950,0)),""))</f>
        <v>2026</v>
      </c>
      <c r="V165">
        <f t="shared" si="38"/>
        <v>9</v>
      </c>
    </row>
    <row r="166" spans="1:22" x14ac:dyDescent="0.25">
      <c r="A166" t="str">
        <f>IF(games!$A166="","",games!$A166)</f>
        <v>Curious Expedition</v>
      </c>
      <c r="B166">
        <f>IF($A166="","",games!$B166)</f>
        <v>2016</v>
      </c>
      <c r="C166" t="str">
        <f>IF($A166="","",games!$C166)</f>
        <v>Strategy</v>
      </c>
      <c r="D166">
        <f>IF($A166="","",COUNTIF(connections!$A$2:$A$1473,$A166)+COUNTIF(connections!$B$2:$B$1473,$A166))</f>
        <v>3</v>
      </c>
      <c r="E166">
        <f t="shared" si="26"/>
        <v>2</v>
      </c>
      <c r="F166">
        <f t="shared" si="27"/>
        <v>30</v>
      </c>
      <c r="G166" t="e">
        <f t="shared" si="28"/>
        <v>#N/A</v>
      </c>
      <c r="H166" t="e">
        <f t="shared" si="29"/>
        <v>#N/A</v>
      </c>
      <c r="I166">
        <f t="shared" si="30"/>
        <v>2016</v>
      </c>
      <c r="J166">
        <f t="shared" si="31"/>
        <v>2.69</v>
      </c>
      <c r="K166" t="e">
        <f t="shared" si="32"/>
        <v>#N/A</v>
      </c>
      <c r="L166" t="e">
        <f t="shared" si="33"/>
        <v>#N/A</v>
      </c>
      <c r="M166" t="e">
        <f t="shared" si="34"/>
        <v>#N/A</v>
      </c>
      <c r="N166" t="e">
        <f t="shared" si="35"/>
        <v>#N/A</v>
      </c>
      <c r="O166">
        <f t="shared" si="36"/>
        <v>3.0001660000000001</v>
      </c>
      <c r="P166" t="str">
        <f>IF(OR($A166="",games!$H166=""),"",games!$H166)</f>
        <v>Yes</v>
      </c>
      <c r="Q166">
        <f t="shared" si="37"/>
        <v>3.0001660000000001</v>
      </c>
      <c r="T166">
        <f>IF(connections!$A166="","",IFERROR(INDEX(games!$B$2:$B$950,MATCH(connections!$A166,games!$A$2:$A$950,0)),""))</f>
        <v>2019</v>
      </c>
      <c r="U166">
        <f>IF(connections!$A166="","",IFERROR(INDEX(games!$B$2:$B$950,MATCH(connections!$B166,games!$A$2:$A$950,0)),""))</f>
        <v>2022</v>
      </c>
      <c r="V166">
        <f t="shared" si="38"/>
        <v>3</v>
      </c>
    </row>
    <row r="167" spans="1:22" x14ac:dyDescent="0.25">
      <c r="A167" t="str">
        <f>IF(games!$A167="","",games!$A167)</f>
        <v>Curious Expedition 2</v>
      </c>
      <c r="B167">
        <f>IF($A167="","",games!$B167)</f>
        <v>2020</v>
      </c>
      <c r="C167" t="str">
        <f>IF($A167="","",games!$C167)</f>
        <v>Strategy</v>
      </c>
      <c r="D167">
        <f>IF($A167="","",COUNTIF(connections!$A$2:$A$1473,$A167)+COUNTIF(connections!$B$2:$B$1473,$A167))</f>
        <v>1</v>
      </c>
      <c r="E167">
        <f t="shared" si="26"/>
        <v>2</v>
      </c>
      <c r="F167">
        <f t="shared" si="27"/>
        <v>31</v>
      </c>
      <c r="G167" t="e">
        <f t="shared" si="28"/>
        <v>#N/A</v>
      </c>
      <c r="H167" t="e">
        <f t="shared" si="29"/>
        <v>#N/A</v>
      </c>
      <c r="I167">
        <f t="shared" si="30"/>
        <v>2020</v>
      </c>
      <c r="J167">
        <f t="shared" si="31"/>
        <v>2.7130000000000001</v>
      </c>
      <c r="K167" t="e">
        <f t="shared" si="32"/>
        <v>#N/A</v>
      </c>
      <c r="L167" t="e">
        <f t="shared" si="33"/>
        <v>#N/A</v>
      </c>
      <c r="M167" t="e">
        <f t="shared" si="34"/>
        <v>#N/A</v>
      </c>
      <c r="N167" t="e">
        <f t="shared" si="35"/>
        <v>#N/A</v>
      </c>
      <c r="O167">
        <f t="shared" si="36"/>
        <v>1.000167</v>
      </c>
      <c r="P167" t="str">
        <f>IF(OR($A167="",games!$H167=""),"",games!$H167)</f>
        <v/>
      </c>
      <c r="Q167" t="str">
        <f t="shared" si="37"/>
        <v/>
      </c>
      <c r="T167">
        <f>IF(connections!$A167="","",IFERROR(INDEX(games!$B$2:$B$950,MATCH(connections!$A167,games!$A$2:$A$950,0)),""))</f>
        <v>2021</v>
      </c>
      <c r="U167">
        <f>IF(connections!$A167="","",IFERROR(INDEX(games!$B$2:$B$950,MATCH(connections!$B167,games!$A$2:$A$950,0)),""))</f>
        <v>2022</v>
      </c>
      <c r="V167">
        <f t="shared" si="38"/>
        <v>1</v>
      </c>
    </row>
    <row r="168" spans="1:22" x14ac:dyDescent="0.25">
      <c r="A168" t="str">
        <f>IF(games!$A168="","",games!$A168)</f>
        <v>Curse of Pirates</v>
      </c>
      <c r="B168">
        <f>IF($A168="","",games!$B168)</f>
        <v>2026</v>
      </c>
      <c r="C168" t="str">
        <f>IF($A168="","",games!$C168)</f>
        <v>Action</v>
      </c>
      <c r="D168">
        <f>IF($A168="","",COUNTIF(connections!$A$2:$A$1473,$A168)+COUNTIF(connections!$B$2:$B$1473,$A168))</f>
        <v>2</v>
      </c>
      <c r="E168">
        <f t="shared" si="26"/>
        <v>1</v>
      </c>
      <c r="F168">
        <f t="shared" si="27"/>
        <v>32</v>
      </c>
      <c r="G168">
        <f t="shared" si="28"/>
        <v>2026</v>
      </c>
      <c r="H168">
        <f t="shared" si="29"/>
        <v>1.736</v>
      </c>
      <c r="I168" t="e">
        <f t="shared" si="30"/>
        <v>#N/A</v>
      </c>
      <c r="J168" t="e">
        <f t="shared" si="31"/>
        <v>#N/A</v>
      </c>
      <c r="K168" t="e">
        <f t="shared" si="32"/>
        <v>#N/A</v>
      </c>
      <c r="L168" t="e">
        <f t="shared" si="33"/>
        <v>#N/A</v>
      </c>
      <c r="M168" t="e">
        <f t="shared" si="34"/>
        <v>#N/A</v>
      </c>
      <c r="N168" t="e">
        <f t="shared" si="35"/>
        <v>#N/A</v>
      </c>
      <c r="O168">
        <f t="shared" si="36"/>
        <v>2.0001679999999999</v>
      </c>
      <c r="P168" t="str">
        <f>IF(OR($A168="",games!$H168=""),"",games!$H168)</f>
        <v/>
      </c>
      <c r="Q168" t="str">
        <f t="shared" si="37"/>
        <v/>
      </c>
      <c r="T168">
        <f>IF(connections!$A168="","",IFERROR(INDEX(games!$B$2:$B$950,MATCH(connections!$A168,games!$A$2:$A$950,0)),""))</f>
        <v>2016</v>
      </c>
      <c r="U168">
        <f>IF(connections!$A168="","",IFERROR(INDEX(games!$B$2:$B$950,MATCH(connections!$B168,games!$A$2:$A$950,0)),""))</f>
        <v>2021</v>
      </c>
      <c r="V168">
        <f t="shared" si="38"/>
        <v>5</v>
      </c>
    </row>
    <row r="169" spans="1:22" x14ac:dyDescent="0.25">
      <c r="A169" t="str">
        <f>IF(games!$A169="","",games!$A169)</f>
        <v>Curse of the Dead Gods</v>
      </c>
      <c r="B169">
        <f>IF($A169="","",games!$B169)</f>
        <v>2020</v>
      </c>
      <c r="C169" t="str">
        <f>IF($A169="","",games!$C169)</f>
        <v>Action</v>
      </c>
      <c r="D169">
        <f>IF($A169="","",COUNTIF(connections!$A$2:$A$1473,$A169)+COUNTIF(connections!$B$2:$B$1473,$A169))</f>
        <v>5</v>
      </c>
      <c r="E169">
        <f t="shared" si="26"/>
        <v>1</v>
      </c>
      <c r="F169">
        <f t="shared" si="27"/>
        <v>33</v>
      </c>
      <c r="G169">
        <f t="shared" si="28"/>
        <v>2020</v>
      </c>
      <c r="H169">
        <f t="shared" si="29"/>
        <v>1.7589999999999999</v>
      </c>
      <c r="I169" t="e">
        <f t="shared" si="30"/>
        <v>#N/A</v>
      </c>
      <c r="J169" t="e">
        <f t="shared" si="31"/>
        <v>#N/A</v>
      </c>
      <c r="K169" t="e">
        <f t="shared" si="32"/>
        <v>#N/A</v>
      </c>
      <c r="L169" t="e">
        <f t="shared" si="33"/>
        <v>#N/A</v>
      </c>
      <c r="M169" t="e">
        <f t="shared" si="34"/>
        <v>#N/A</v>
      </c>
      <c r="N169" t="e">
        <f t="shared" si="35"/>
        <v>#N/A</v>
      </c>
      <c r="O169">
        <f t="shared" si="36"/>
        <v>5.0001689999999996</v>
      </c>
      <c r="P169" t="str">
        <f>IF(OR($A169="",games!$H169=""),"",games!$H169)</f>
        <v>Yes</v>
      </c>
      <c r="Q169">
        <f t="shared" si="37"/>
        <v>5.0001689999999996</v>
      </c>
      <c r="T169">
        <f>IF(connections!$A169="","",IFERROR(INDEX(games!$B$2:$B$950,MATCH(connections!$A169,games!$A$2:$A$950,0)),""))</f>
        <v>2011</v>
      </c>
      <c r="U169">
        <f>IF(connections!$A169="","",IFERROR(INDEX(games!$B$2:$B$950,MATCH(connections!$B169,games!$A$2:$A$950,0)),""))</f>
        <v>2021</v>
      </c>
      <c r="V169">
        <f t="shared" si="38"/>
        <v>10</v>
      </c>
    </row>
    <row r="170" spans="1:22" x14ac:dyDescent="0.25">
      <c r="A170" t="str">
        <f>IF(games!$A170="","",games!$A170)</f>
        <v>Cursed Words</v>
      </c>
      <c r="B170">
        <f>IF($A170="","",games!$B170)</f>
        <v>2026</v>
      </c>
      <c r="C170" t="str">
        <f>IF($A170="","",games!$C170)</f>
        <v>Strategy</v>
      </c>
      <c r="D170">
        <f>IF($A170="","",COUNTIF(connections!$A$2:$A$1473,$A170)+COUNTIF(connections!$B$2:$B$1473,$A170))</f>
        <v>5</v>
      </c>
      <c r="E170">
        <f t="shared" si="26"/>
        <v>2</v>
      </c>
      <c r="F170">
        <f t="shared" si="27"/>
        <v>0</v>
      </c>
      <c r="G170" t="e">
        <f t="shared" si="28"/>
        <v>#N/A</v>
      </c>
      <c r="H170" t="e">
        <f t="shared" si="29"/>
        <v>#N/A</v>
      </c>
      <c r="I170">
        <f t="shared" si="30"/>
        <v>2026</v>
      </c>
      <c r="J170">
        <f t="shared" si="31"/>
        <v>2</v>
      </c>
      <c r="K170" t="e">
        <f t="shared" si="32"/>
        <v>#N/A</v>
      </c>
      <c r="L170" t="e">
        <f t="shared" si="33"/>
        <v>#N/A</v>
      </c>
      <c r="M170" t="e">
        <f t="shared" si="34"/>
        <v>#N/A</v>
      </c>
      <c r="N170" t="e">
        <f t="shared" si="35"/>
        <v>#N/A</v>
      </c>
      <c r="O170">
        <f t="shared" si="36"/>
        <v>5.0001699999999998</v>
      </c>
      <c r="P170" t="str">
        <f>IF(OR($A170="",games!$H170=""),"",games!$H170)</f>
        <v/>
      </c>
      <c r="Q170" t="str">
        <f t="shared" si="37"/>
        <v/>
      </c>
      <c r="T170">
        <f>IF(connections!$A170="","",IFERROR(INDEX(games!$B$2:$B$950,MATCH(connections!$A170,games!$A$2:$A$950,0)),""))</f>
        <v>2019</v>
      </c>
      <c r="U170">
        <f>IF(connections!$A170="","",IFERROR(INDEX(games!$B$2:$B$950,MATCH(connections!$B170,games!$A$2:$A$950,0)),""))</f>
        <v>2021</v>
      </c>
      <c r="V170">
        <f t="shared" si="38"/>
        <v>2</v>
      </c>
    </row>
    <row r="171" spans="1:22" x14ac:dyDescent="0.25">
      <c r="A171" t="str">
        <f>IF(games!$A171="","",games!$A171)</f>
        <v>Cursorblade</v>
      </c>
      <c r="B171">
        <f>IF($A171="","",games!$B171)</f>
        <v>2023</v>
      </c>
      <c r="C171" t="str">
        <f>IF($A171="","",games!$C171)</f>
        <v>Action</v>
      </c>
      <c r="D171">
        <f>IF($A171="","",COUNTIF(connections!$A$2:$A$1473,$A171)+COUNTIF(connections!$B$2:$B$1473,$A171))</f>
        <v>0</v>
      </c>
      <c r="E171">
        <f t="shared" si="26"/>
        <v>1</v>
      </c>
      <c r="F171">
        <f t="shared" si="27"/>
        <v>1</v>
      </c>
      <c r="G171">
        <f t="shared" si="28"/>
        <v>2023</v>
      </c>
      <c r="H171">
        <f t="shared" si="29"/>
        <v>1.0229999999999999</v>
      </c>
      <c r="I171" t="e">
        <f t="shared" si="30"/>
        <v>#N/A</v>
      </c>
      <c r="J171" t="e">
        <f t="shared" si="31"/>
        <v>#N/A</v>
      </c>
      <c r="K171" t="e">
        <f t="shared" si="32"/>
        <v>#N/A</v>
      </c>
      <c r="L171" t="e">
        <f t="shared" si="33"/>
        <v>#N/A</v>
      </c>
      <c r="M171" t="e">
        <f t="shared" si="34"/>
        <v>#N/A</v>
      </c>
      <c r="N171" t="e">
        <f t="shared" si="35"/>
        <v>#N/A</v>
      </c>
      <c r="O171">
        <f t="shared" si="36"/>
        <v>1.7100000000000001E-4</v>
      </c>
      <c r="P171" t="str">
        <f>IF(OR($A171="",games!$H171=""),"",games!$H171)</f>
        <v>Yes</v>
      </c>
      <c r="Q171">
        <f t="shared" si="37"/>
        <v>1.7100000000000001E-4</v>
      </c>
      <c r="T171">
        <f>IF(connections!$A171="","",IFERROR(INDEX(games!$B$2:$B$950,MATCH(connections!$A171,games!$A$2:$A$950,0)),""))</f>
        <v>2021</v>
      </c>
      <c r="U171">
        <f>IF(connections!$A171="","",IFERROR(INDEX(games!$B$2:$B$950,MATCH(connections!$B171,games!$A$2:$A$950,0)),""))</f>
        <v>2023</v>
      </c>
      <c r="V171">
        <f t="shared" si="38"/>
        <v>2</v>
      </c>
    </row>
    <row r="172" spans="1:22" x14ac:dyDescent="0.25">
      <c r="A172" t="str">
        <f>IF(games!$A172="","",games!$A172)</f>
        <v>Dark Devotion</v>
      </c>
      <c r="B172">
        <f>IF($A172="","",games!$B172)</f>
        <v>2019</v>
      </c>
      <c r="C172" t="str">
        <f>IF($A172="","",games!$C172)</f>
        <v>Action</v>
      </c>
      <c r="D172">
        <f>IF($A172="","",COUNTIF(connections!$A$2:$A$1473,$A172)+COUNTIF(connections!$B$2:$B$1473,$A172))</f>
        <v>2</v>
      </c>
      <c r="E172">
        <f t="shared" si="26"/>
        <v>1</v>
      </c>
      <c r="F172">
        <f t="shared" si="27"/>
        <v>2</v>
      </c>
      <c r="G172">
        <f t="shared" si="28"/>
        <v>2019</v>
      </c>
      <c r="H172">
        <f t="shared" si="29"/>
        <v>1.046</v>
      </c>
      <c r="I172" t="e">
        <f t="shared" si="30"/>
        <v>#N/A</v>
      </c>
      <c r="J172" t="e">
        <f t="shared" si="31"/>
        <v>#N/A</v>
      </c>
      <c r="K172" t="e">
        <f t="shared" si="32"/>
        <v>#N/A</v>
      </c>
      <c r="L172" t="e">
        <f t="shared" si="33"/>
        <v>#N/A</v>
      </c>
      <c r="M172" t="e">
        <f t="shared" si="34"/>
        <v>#N/A</v>
      </c>
      <c r="N172" t="e">
        <f t="shared" si="35"/>
        <v>#N/A</v>
      </c>
      <c r="O172">
        <f t="shared" si="36"/>
        <v>2.0001720000000001</v>
      </c>
      <c r="P172" t="str">
        <f>IF(OR($A172="",games!$H172=""),"",games!$H172)</f>
        <v>Yes</v>
      </c>
      <c r="Q172">
        <f t="shared" si="37"/>
        <v>2.0001720000000001</v>
      </c>
      <c r="T172">
        <f>IF(connections!$A172="","",IFERROR(INDEX(games!$B$2:$B$950,MATCH(connections!$A172,games!$A$2:$A$950,0)),""))</f>
        <v>2015</v>
      </c>
      <c r="U172">
        <f>IF(connections!$A172="","",IFERROR(INDEX(games!$B$2:$B$950,MATCH(connections!$B172,games!$A$2:$A$950,0)),""))</f>
        <v>2019</v>
      </c>
      <c r="V172">
        <f t="shared" si="38"/>
        <v>4</v>
      </c>
    </row>
    <row r="173" spans="1:22" x14ac:dyDescent="0.25">
      <c r="A173" t="str">
        <f>IF(games!$A173="","",games!$A173)</f>
        <v>Dark Light: Survivor</v>
      </c>
      <c r="B173">
        <f>IF($A173="","",games!$B173)</f>
        <v>2026</v>
      </c>
      <c r="C173" t="str">
        <f>IF($A173="","",games!$C173)</f>
        <v>Action</v>
      </c>
      <c r="D173">
        <f>IF($A173="","",COUNTIF(connections!$A$2:$A$1473,$A173)+COUNTIF(connections!$B$2:$B$1473,$A173))</f>
        <v>4</v>
      </c>
      <c r="E173">
        <f t="shared" si="26"/>
        <v>1</v>
      </c>
      <c r="F173">
        <f t="shared" si="27"/>
        <v>3</v>
      </c>
      <c r="G173">
        <f t="shared" si="28"/>
        <v>2026</v>
      </c>
      <c r="H173">
        <f t="shared" si="29"/>
        <v>1.069</v>
      </c>
      <c r="I173" t="e">
        <f t="shared" si="30"/>
        <v>#N/A</v>
      </c>
      <c r="J173" t="e">
        <f t="shared" si="31"/>
        <v>#N/A</v>
      </c>
      <c r="K173" t="e">
        <f t="shared" si="32"/>
        <v>#N/A</v>
      </c>
      <c r="L173" t="e">
        <f t="shared" si="33"/>
        <v>#N/A</v>
      </c>
      <c r="M173" t="e">
        <f t="shared" si="34"/>
        <v>#N/A</v>
      </c>
      <c r="N173" t="e">
        <f t="shared" si="35"/>
        <v>#N/A</v>
      </c>
      <c r="O173">
        <f t="shared" si="36"/>
        <v>4.0001730000000002</v>
      </c>
      <c r="P173" t="str">
        <f>IF(OR($A173="",games!$H173=""),"",games!$H173)</f>
        <v/>
      </c>
      <c r="Q173" t="str">
        <f t="shared" si="37"/>
        <v/>
      </c>
      <c r="T173">
        <f>IF(connections!$A173="","",IFERROR(INDEX(games!$B$2:$B$950,MATCH(connections!$A173,games!$A$2:$A$950,0)),""))</f>
        <v>1990</v>
      </c>
      <c r="U173">
        <f>IF(connections!$A173="","",IFERROR(INDEX(games!$B$2:$B$950,MATCH(connections!$B173,games!$A$2:$A$950,0)),""))</f>
        <v>2010</v>
      </c>
      <c r="V173">
        <f t="shared" si="38"/>
        <v>20</v>
      </c>
    </row>
    <row r="174" spans="1:22" x14ac:dyDescent="0.25">
      <c r="A174" t="str">
        <f>IF(games!$A174="","",games!$A174)</f>
        <v>Darkblade Ascent</v>
      </c>
      <c r="B174">
        <f>IF($A174="","",games!$B174)</f>
        <v>2025</v>
      </c>
      <c r="C174" t="str">
        <f>IF($A174="","",games!$C174)</f>
        <v>Action</v>
      </c>
      <c r="D174">
        <f>IF($A174="","",COUNTIF(connections!$A$2:$A$1473,$A174)+COUNTIF(connections!$B$2:$B$1473,$A174))</f>
        <v>2</v>
      </c>
      <c r="E174">
        <f t="shared" si="26"/>
        <v>1</v>
      </c>
      <c r="F174">
        <f t="shared" si="27"/>
        <v>4</v>
      </c>
      <c r="G174">
        <f t="shared" si="28"/>
        <v>2025</v>
      </c>
      <c r="H174">
        <f t="shared" si="29"/>
        <v>1.0920000000000001</v>
      </c>
      <c r="I174" t="e">
        <f t="shared" si="30"/>
        <v>#N/A</v>
      </c>
      <c r="J174" t="e">
        <f t="shared" si="31"/>
        <v>#N/A</v>
      </c>
      <c r="K174" t="e">
        <f t="shared" si="32"/>
        <v>#N/A</v>
      </c>
      <c r="L174" t="e">
        <f t="shared" si="33"/>
        <v>#N/A</v>
      </c>
      <c r="M174" t="e">
        <f t="shared" si="34"/>
        <v>#N/A</v>
      </c>
      <c r="N174" t="e">
        <f t="shared" si="35"/>
        <v>#N/A</v>
      </c>
      <c r="O174">
        <f t="shared" si="36"/>
        <v>2.0001739999999999</v>
      </c>
      <c r="P174" t="str">
        <f>IF(OR($A174="",games!$H174=""),"",games!$H174)</f>
        <v/>
      </c>
      <c r="Q174" t="str">
        <f t="shared" si="37"/>
        <v/>
      </c>
      <c r="T174">
        <f>IF(connections!$A174="","",IFERROR(INDEX(games!$B$2:$B$950,MATCH(connections!$A174,games!$A$2:$A$950,0)),""))</f>
        <v>2009</v>
      </c>
      <c r="U174">
        <f>IF(connections!$A174="","",IFERROR(INDEX(games!$B$2:$B$950,MATCH(connections!$B174,games!$A$2:$A$950,0)),""))</f>
        <v>2010</v>
      </c>
      <c r="V174">
        <f t="shared" si="38"/>
        <v>1</v>
      </c>
    </row>
    <row r="175" spans="1:22" x14ac:dyDescent="0.25">
      <c r="A175" t="str">
        <f>IF(games!$A175="","",games!$A175)</f>
        <v>Darkest Dungeon</v>
      </c>
      <c r="B175">
        <f>IF($A175="","",games!$B175)</f>
        <v>2015</v>
      </c>
      <c r="C175" t="str">
        <f>IF($A175="","",games!$C175)</f>
        <v>Strategy</v>
      </c>
      <c r="D175">
        <f>IF($A175="","",COUNTIF(connections!$A$2:$A$1473,$A175)+COUNTIF(connections!$B$2:$B$1473,$A175))</f>
        <v>29</v>
      </c>
      <c r="E175">
        <f t="shared" si="26"/>
        <v>2</v>
      </c>
      <c r="F175">
        <f t="shared" si="27"/>
        <v>5</v>
      </c>
      <c r="G175" t="e">
        <f t="shared" si="28"/>
        <v>#N/A</v>
      </c>
      <c r="H175" t="e">
        <f t="shared" si="29"/>
        <v>#N/A</v>
      </c>
      <c r="I175">
        <f t="shared" si="30"/>
        <v>2015</v>
      </c>
      <c r="J175">
        <f t="shared" si="31"/>
        <v>2.1150000000000002</v>
      </c>
      <c r="K175" t="e">
        <f t="shared" si="32"/>
        <v>#N/A</v>
      </c>
      <c r="L175" t="e">
        <f t="shared" si="33"/>
        <v>#N/A</v>
      </c>
      <c r="M175" t="e">
        <f t="shared" si="34"/>
        <v>#N/A</v>
      </c>
      <c r="N175" t="e">
        <f t="shared" si="35"/>
        <v>#N/A</v>
      </c>
      <c r="O175">
        <f t="shared" si="36"/>
        <v>29.000174999999999</v>
      </c>
      <c r="P175" t="str">
        <f>IF(OR($A175="",games!$H175=""),"",games!$H175)</f>
        <v>Yes</v>
      </c>
      <c r="Q175">
        <f t="shared" si="37"/>
        <v>29.000174999999999</v>
      </c>
      <c r="T175">
        <f>IF(connections!$A175="","",IFERROR(INDEX(games!$B$2:$B$950,MATCH(connections!$A175,games!$A$2:$A$950,0)),""))</f>
        <v>2010</v>
      </c>
      <c r="U175">
        <f>IF(connections!$A175="","",IFERROR(INDEX(games!$B$2:$B$950,MATCH(connections!$B175,games!$A$2:$A$950,0)),""))</f>
        <v>2010</v>
      </c>
      <c r="V175">
        <f t="shared" si="38"/>
        <v>0</v>
      </c>
    </row>
    <row r="176" spans="1:22" x14ac:dyDescent="0.25">
      <c r="A176" t="str">
        <f>IF(games!$A176="","",games!$A176)</f>
        <v>Darkest Dungeon 2</v>
      </c>
      <c r="B176">
        <f>IF($A176="","",games!$B176)</f>
        <v>2023</v>
      </c>
      <c r="C176" t="str">
        <f>IF($A176="","",games!$C176)</f>
        <v>Strategy</v>
      </c>
      <c r="D176">
        <f>IF($A176="","",COUNTIF(connections!$A$2:$A$1473,$A176)+COUNTIF(connections!$B$2:$B$1473,$A176))</f>
        <v>1</v>
      </c>
      <c r="E176">
        <f t="shared" si="26"/>
        <v>2</v>
      </c>
      <c r="F176">
        <f t="shared" si="27"/>
        <v>6</v>
      </c>
      <c r="G176" t="e">
        <f t="shared" si="28"/>
        <v>#N/A</v>
      </c>
      <c r="H176" t="e">
        <f t="shared" si="29"/>
        <v>#N/A</v>
      </c>
      <c r="I176">
        <f t="shared" si="30"/>
        <v>2023</v>
      </c>
      <c r="J176">
        <f t="shared" si="31"/>
        <v>2.1379999999999999</v>
      </c>
      <c r="K176" t="e">
        <f t="shared" si="32"/>
        <v>#N/A</v>
      </c>
      <c r="L176" t="e">
        <f t="shared" si="33"/>
        <v>#N/A</v>
      </c>
      <c r="M176" t="e">
        <f t="shared" si="34"/>
        <v>#N/A</v>
      </c>
      <c r="N176" t="e">
        <f t="shared" si="35"/>
        <v>#N/A</v>
      </c>
      <c r="O176">
        <f t="shared" si="36"/>
        <v>1.000176</v>
      </c>
      <c r="P176" t="str">
        <f>IF(OR($A176="",games!$H176=""),"",games!$H176)</f>
        <v>Yes</v>
      </c>
      <c r="Q176">
        <f t="shared" si="37"/>
        <v>1.000176</v>
      </c>
      <c r="T176">
        <f>IF(connections!$A176="","",IFERROR(INDEX(games!$B$2:$B$950,MATCH(connections!$A176,games!$A$2:$A$950,0)),""))</f>
        <v>1996</v>
      </c>
      <c r="U176">
        <f>IF(connections!$A176="","",IFERROR(INDEX(games!$B$2:$B$950,MATCH(connections!$B176,games!$A$2:$A$950,0)),""))</f>
        <v>2010</v>
      </c>
      <c r="V176">
        <f t="shared" si="38"/>
        <v>14</v>
      </c>
    </row>
    <row r="177" spans="1:22" x14ac:dyDescent="0.25">
      <c r="A177" t="str">
        <f>IF(games!$A177="","",games!$A177)</f>
        <v>Dave the Diver</v>
      </c>
      <c r="B177">
        <f>IF($A177="","",games!$B177)</f>
        <v>2022</v>
      </c>
      <c r="C177" t="str">
        <f>IF($A177="","",games!$C177)</f>
        <v>Action</v>
      </c>
      <c r="D177">
        <f>IF($A177="","",COUNTIF(connections!$A$2:$A$1473,$A177)+COUNTIF(connections!$B$2:$B$1473,$A177))</f>
        <v>2</v>
      </c>
      <c r="E177">
        <f t="shared" si="26"/>
        <v>1</v>
      </c>
      <c r="F177">
        <f t="shared" si="27"/>
        <v>7</v>
      </c>
      <c r="G177">
        <f t="shared" si="28"/>
        <v>2022</v>
      </c>
      <c r="H177">
        <f t="shared" si="29"/>
        <v>1.161</v>
      </c>
      <c r="I177" t="e">
        <f t="shared" si="30"/>
        <v>#N/A</v>
      </c>
      <c r="J177" t="e">
        <f t="shared" si="31"/>
        <v>#N/A</v>
      </c>
      <c r="K177" t="e">
        <f t="shared" si="32"/>
        <v>#N/A</v>
      </c>
      <c r="L177" t="e">
        <f t="shared" si="33"/>
        <v>#N/A</v>
      </c>
      <c r="M177" t="e">
        <f t="shared" si="34"/>
        <v>#N/A</v>
      </c>
      <c r="N177" t="e">
        <f t="shared" si="35"/>
        <v>#N/A</v>
      </c>
      <c r="O177">
        <f t="shared" si="36"/>
        <v>2.0001769999999999</v>
      </c>
      <c r="P177" t="str">
        <f>IF(OR($A177="",games!$H177=""),"",games!$H177)</f>
        <v>Yes</v>
      </c>
      <c r="Q177">
        <f t="shared" si="37"/>
        <v>2.0001769999999999</v>
      </c>
      <c r="T177">
        <f>IF(connections!$A177="","",IFERROR(INDEX(games!$B$2:$B$950,MATCH(connections!$A177,games!$A$2:$A$950,0)),""))</f>
        <v>2002</v>
      </c>
      <c r="U177">
        <f>IF(connections!$A177="","",IFERROR(INDEX(games!$B$2:$B$950,MATCH(connections!$B177,games!$A$2:$A$950,0)),""))</f>
        <v>2010</v>
      </c>
      <c r="V177">
        <f t="shared" si="38"/>
        <v>8</v>
      </c>
    </row>
    <row r="178" spans="1:22" x14ac:dyDescent="0.25">
      <c r="A178" t="str">
        <f>IF(games!$A178="","",games!$A178)</f>
        <v>Dead Cells</v>
      </c>
      <c r="B178">
        <f>IF($A178="","",games!$B178)</f>
        <v>2018</v>
      </c>
      <c r="C178" t="str">
        <f>IF($A178="","",games!$C178)</f>
        <v>Action</v>
      </c>
      <c r="D178">
        <f>IF($A178="","",COUNTIF(connections!$A$2:$A$1473,$A178)+COUNTIF(connections!$B$2:$B$1473,$A178))</f>
        <v>31</v>
      </c>
      <c r="E178">
        <f t="shared" si="26"/>
        <v>1</v>
      </c>
      <c r="F178">
        <f t="shared" si="27"/>
        <v>8</v>
      </c>
      <c r="G178">
        <f t="shared" si="28"/>
        <v>2018</v>
      </c>
      <c r="H178">
        <f t="shared" si="29"/>
        <v>1.1839999999999999</v>
      </c>
      <c r="I178" t="e">
        <f t="shared" si="30"/>
        <v>#N/A</v>
      </c>
      <c r="J178" t="e">
        <f t="shared" si="31"/>
        <v>#N/A</v>
      </c>
      <c r="K178" t="e">
        <f t="shared" si="32"/>
        <v>#N/A</v>
      </c>
      <c r="L178" t="e">
        <f t="shared" si="33"/>
        <v>#N/A</v>
      </c>
      <c r="M178" t="e">
        <f t="shared" si="34"/>
        <v>#N/A</v>
      </c>
      <c r="N178" t="e">
        <f t="shared" si="35"/>
        <v>#N/A</v>
      </c>
      <c r="O178">
        <f t="shared" si="36"/>
        <v>31.000177999999998</v>
      </c>
      <c r="P178" t="str">
        <f>IF(OR($A178="",games!$H178=""),"",games!$H178)</f>
        <v>Yes</v>
      </c>
      <c r="Q178">
        <f t="shared" si="37"/>
        <v>31.000177999999998</v>
      </c>
      <c r="T178">
        <f>IF(connections!$A178="","",IFERROR(INDEX(games!$B$2:$B$950,MATCH(connections!$A178,games!$A$2:$A$950,0)),""))</f>
        <v>2008</v>
      </c>
      <c r="U178">
        <f>IF(connections!$A178="","",IFERROR(INDEX(games!$B$2:$B$950,MATCH(connections!$B178,games!$A$2:$A$950,0)),""))</f>
        <v>2010</v>
      </c>
      <c r="V178">
        <f t="shared" si="38"/>
        <v>2</v>
      </c>
    </row>
    <row r="179" spans="1:22" x14ac:dyDescent="0.25">
      <c r="A179" t="str">
        <f>IF(games!$A179="","",games!$A179)</f>
        <v>Dead Estate</v>
      </c>
      <c r="B179">
        <f>IF($A179="","",games!$B179)</f>
        <v>2020</v>
      </c>
      <c r="C179" t="str">
        <f>IF($A179="","",games!$C179)</f>
        <v>Action</v>
      </c>
      <c r="D179">
        <f>IF($A179="","",COUNTIF(connections!$A$2:$A$1473,$A179)+COUNTIF(connections!$B$2:$B$1473,$A179))</f>
        <v>2</v>
      </c>
      <c r="E179">
        <f t="shared" si="26"/>
        <v>1</v>
      </c>
      <c r="F179">
        <f t="shared" si="27"/>
        <v>9</v>
      </c>
      <c r="G179">
        <f t="shared" si="28"/>
        <v>2020</v>
      </c>
      <c r="H179">
        <f t="shared" si="29"/>
        <v>1.2070000000000001</v>
      </c>
      <c r="I179" t="e">
        <f t="shared" si="30"/>
        <v>#N/A</v>
      </c>
      <c r="J179" t="e">
        <f t="shared" si="31"/>
        <v>#N/A</v>
      </c>
      <c r="K179" t="e">
        <f t="shared" si="32"/>
        <v>#N/A</v>
      </c>
      <c r="L179" t="e">
        <f t="shared" si="33"/>
        <v>#N/A</v>
      </c>
      <c r="M179" t="e">
        <f t="shared" si="34"/>
        <v>#N/A</v>
      </c>
      <c r="N179" t="e">
        <f t="shared" si="35"/>
        <v>#N/A</v>
      </c>
      <c r="O179">
        <f t="shared" si="36"/>
        <v>2.0001790000000002</v>
      </c>
      <c r="P179" t="str">
        <f>IF(OR($A179="",games!$H179=""),"",games!$H179)</f>
        <v>Yes</v>
      </c>
      <c r="Q179">
        <f t="shared" si="37"/>
        <v>2.0001790000000002</v>
      </c>
      <c r="T179">
        <f>IF(connections!$A179="","",IFERROR(INDEX(games!$B$2:$B$950,MATCH(connections!$A179,games!$A$2:$A$950,0)),""))</f>
        <v>1998</v>
      </c>
      <c r="U179">
        <f>IF(connections!$A179="","",IFERROR(INDEX(games!$B$2:$B$950,MATCH(connections!$B179,games!$A$2:$A$950,0)),""))</f>
        <v>2010</v>
      </c>
      <c r="V179">
        <f t="shared" si="38"/>
        <v>12</v>
      </c>
    </row>
    <row r="180" spans="1:22" x14ac:dyDescent="0.25">
      <c r="A180" t="str">
        <f>IF(games!$A180="","",games!$A180)</f>
        <v>Dead Finger Dice</v>
      </c>
      <c r="B180">
        <f>IF($A180="","",games!$B180)</f>
        <v>2025</v>
      </c>
      <c r="C180" t="str">
        <f>IF($A180="","",games!$C180)</f>
        <v>Deckbuilder</v>
      </c>
      <c r="D180">
        <f>IF($A180="","",COUNTIF(connections!$A$2:$A$1473,$A180)+COUNTIF(connections!$B$2:$B$1473,$A180))</f>
        <v>1</v>
      </c>
      <c r="E180">
        <f t="shared" si="26"/>
        <v>3</v>
      </c>
      <c r="F180">
        <f t="shared" si="27"/>
        <v>10</v>
      </c>
      <c r="G180" t="e">
        <f t="shared" si="28"/>
        <v>#N/A</v>
      </c>
      <c r="H180" t="e">
        <f t="shared" si="29"/>
        <v>#N/A</v>
      </c>
      <c r="I180" t="e">
        <f t="shared" si="30"/>
        <v>#N/A</v>
      </c>
      <c r="J180" t="e">
        <f t="shared" si="31"/>
        <v>#N/A</v>
      </c>
      <c r="K180">
        <f t="shared" si="32"/>
        <v>2025</v>
      </c>
      <c r="L180">
        <f t="shared" si="33"/>
        <v>3.23</v>
      </c>
      <c r="M180" t="e">
        <f t="shared" si="34"/>
        <v>#N/A</v>
      </c>
      <c r="N180" t="e">
        <f t="shared" si="35"/>
        <v>#N/A</v>
      </c>
      <c r="O180">
        <f t="shared" si="36"/>
        <v>1.0001800000000001</v>
      </c>
      <c r="P180" t="str">
        <f>IF(OR($A180="",games!$H180=""),"",games!$H180)</f>
        <v>Yes</v>
      </c>
      <c r="Q180">
        <f t="shared" si="37"/>
        <v>1.0001800000000001</v>
      </c>
      <c r="T180">
        <f>IF(connections!$A180="","",IFERROR(INDEX(games!$B$2:$B$950,MATCH(connections!$A180,games!$A$2:$A$950,0)),""))</f>
        <v>2010</v>
      </c>
      <c r="U180">
        <f>IF(connections!$A180="","",IFERROR(INDEX(games!$B$2:$B$950,MATCH(connections!$B180,games!$A$2:$A$950,0)),""))</f>
        <v>2014</v>
      </c>
      <c r="V180">
        <f t="shared" si="38"/>
        <v>4</v>
      </c>
    </row>
    <row r="181" spans="1:22" x14ac:dyDescent="0.25">
      <c r="A181" t="str">
        <f>IF(games!$A181="","",games!$A181)</f>
        <v>Dead Weight</v>
      </c>
      <c r="B181">
        <f>IF($A181="","",games!$B181)</f>
        <v>2026</v>
      </c>
      <c r="C181" t="str">
        <f>IF($A181="","",games!$C181)</f>
        <v>Strategy</v>
      </c>
      <c r="D181">
        <f>IF($A181="","",COUNTIF(connections!$A$2:$A$1473,$A181)+COUNTIF(connections!$B$2:$B$1473,$A181))</f>
        <v>1</v>
      </c>
      <c r="E181">
        <f t="shared" si="26"/>
        <v>2</v>
      </c>
      <c r="F181">
        <f t="shared" si="27"/>
        <v>11</v>
      </c>
      <c r="G181" t="e">
        <f t="shared" si="28"/>
        <v>#N/A</v>
      </c>
      <c r="H181" t="e">
        <f t="shared" si="29"/>
        <v>#N/A</v>
      </c>
      <c r="I181">
        <f t="shared" si="30"/>
        <v>2026</v>
      </c>
      <c r="J181">
        <f t="shared" si="31"/>
        <v>2.2530000000000001</v>
      </c>
      <c r="K181" t="e">
        <f t="shared" si="32"/>
        <v>#N/A</v>
      </c>
      <c r="L181" t="e">
        <f t="shared" si="33"/>
        <v>#N/A</v>
      </c>
      <c r="M181" t="e">
        <f t="shared" si="34"/>
        <v>#N/A</v>
      </c>
      <c r="N181" t="e">
        <f t="shared" si="35"/>
        <v>#N/A</v>
      </c>
      <c r="O181">
        <f t="shared" si="36"/>
        <v>1.000181</v>
      </c>
      <c r="P181" t="str">
        <f>IF(OR($A181="",games!$H181=""),"",games!$H181)</f>
        <v/>
      </c>
      <c r="Q181" t="str">
        <f t="shared" si="37"/>
        <v/>
      </c>
      <c r="T181">
        <f>IF(connections!$A181="","",IFERROR(INDEX(games!$B$2:$B$950,MATCH(connections!$A181,games!$A$2:$A$950,0)),""))</f>
        <v>1986</v>
      </c>
      <c r="U181">
        <f>IF(connections!$A181="","",IFERROR(INDEX(games!$B$2:$B$950,MATCH(connections!$B181,games!$A$2:$A$950,0)),""))</f>
        <v>1994</v>
      </c>
      <c r="V181">
        <f t="shared" si="38"/>
        <v>8</v>
      </c>
    </row>
    <row r="182" spans="1:22" x14ac:dyDescent="0.25">
      <c r="A182" t="str">
        <f>IF(games!$A182="","",games!$A182)</f>
        <v>Deadzone: Rogue</v>
      </c>
      <c r="B182">
        <f>IF($A182="","",games!$B182)</f>
        <v>2025</v>
      </c>
      <c r="C182" t="str">
        <f>IF($A182="","",games!$C182)</f>
        <v>Action</v>
      </c>
      <c r="D182">
        <f>IF($A182="","",COUNTIF(connections!$A$2:$A$1473,$A182)+COUNTIF(connections!$B$2:$B$1473,$A182))</f>
        <v>1</v>
      </c>
      <c r="E182">
        <f t="shared" si="26"/>
        <v>1</v>
      </c>
      <c r="F182">
        <f t="shared" si="27"/>
        <v>12</v>
      </c>
      <c r="G182">
        <f t="shared" si="28"/>
        <v>2025</v>
      </c>
      <c r="H182">
        <f t="shared" si="29"/>
        <v>1.276</v>
      </c>
      <c r="I182" t="e">
        <f t="shared" si="30"/>
        <v>#N/A</v>
      </c>
      <c r="J182" t="e">
        <f t="shared" si="31"/>
        <v>#N/A</v>
      </c>
      <c r="K182" t="e">
        <f t="shared" si="32"/>
        <v>#N/A</v>
      </c>
      <c r="L182" t="e">
        <f t="shared" si="33"/>
        <v>#N/A</v>
      </c>
      <c r="M182" t="e">
        <f t="shared" si="34"/>
        <v>#N/A</v>
      </c>
      <c r="N182" t="e">
        <f t="shared" si="35"/>
        <v>#N/A</v>
      </c>
      <c r="O182">
        <f t="shared" si="36"/>
        <v>1.0001819999999999</v>
      </c>
      <c r="P182" t="str">
        <f>IF(OR($A182="",games!$H182=""),"",games!$H182)</f>
        <v/>
      </c>
      <c r="Q182" t="str">
        <f t="shared" si="37"/>
        <v/>
      </c>
      <c r="T182">
        <f>IF(connections!$A182="","",IFERROR(INDEX(games!$B$2:$B$950,MATCH(connections!$A182,games!$A$2:$A$950,0)),""))</f>
        <v>1987</v>
      </c>
      <c r="U182">
        <f>IF(connections!$A182="","",IFERROR(INDEX(games!$B$2:$B$950,MATCH(connections!$B182,games!$A$2:$A$950,0)),""))</f>
        <v>1994</v>
      </c>
      <c r="V182">
        <f t="shared" si="38"/>
        <v>7</v>
      </c>
    </row>
    <row r="183" spans="1:22" x14ac:dyDescent="0.25">
      <c r="A183" t="str">
        <f>IF(games!$A183="","",games!$A183)</f>
        <v>Death by Scrolling</v>
      </c>
      <c r="B183">
        <f>IF($A183="","",games!$B183)</f>
        <v>2025</v>
      </c>
      <c r="C183" t="str">
        <f>IF($A183="","",games!$C183)</f>
        <v>Action</v>
      </c>
      <c r="D183">
        <f>IF($A183="","",COUNTIF(connections!$A$2:$A$1473,$A183)+COUNTIF(connections!$B$2:$B$1473,$A183))</f>
        <v>0</v>
      </c>
      <c r="E183">
        <f t="shared" si="26"/>
        <v>1</v>
      </c>
      <c r="F183">
        <f t="shared" si="27"/>
        <v>13</v>
      </c>
      <c r="G183">
        <f t="shared" si="28"/>
        <v>2025</v>
      </c>
      <c r="H183">
        <f t="shared" si="29"/>
        <v>1.2989999999999999</v>
      </c>
      <c r="I183" t="e">
        <f t="shared" si="30"/>
        <v>#N/A</v>
      </c>
      <c r="J183" t="e">
        <f t="shared" si="31"/>
        <v>#N/A</v>
      </c>
      <c r="K183" t="e">
        <f t="shared" si="32"/>
        <v>#N/A</v>
      </c>
      <c r="L183" t="e">
        <f t="shared" si="33"/>
        <v>#N/A</v>
      </c>
      <c r="M183" t="e">
        <f t="shared" si="34"/>
        <v>#N/A</v>
      </c>
      <c r="N183" t="e">
        <f t="shared" si="35"/>
        <v>#N/A</v>
      </c>
      <c r="O183">
        <f t="shared" si="36"/>
        <v>1.83E-4</v>
      </c>
      <c r="P183" t="str">
        <f>IF(OR($A183="",games!$H183=""),"",games!$H183)</f>
        <v/>
      </c>
      <c r="Q183" t="str">
        <f t="shared" si="37"/>
        <v/>
      </c>
      <c r="T183">
        <f>IF(connections!$A183="","",IFERROR(INDEX(games!$B$2:$B$950,MATCH(connections!$A183,games!$A$2:$A$950,0)),""))</f>
        <v>1987</v>
      </c>
      <c r="U183">
        <f>IF(connections!$A183="","",IFERROR(INDEX(games!$B$2:$B$950,MATCH(connections!$B183,games!$A$2:$A$950,0)),""))</f>
        <v>1994</v>
      </c>
      <c r="V183">
        <f t="shared" si="38"/>
        <v>7</v>
      </c>
    </row>
    <row r="184" spans="1:22" x14ac:dyDescent="0.25">
      <c r="A184" t="str">
        <f>IF(games!$A184="","",games!$A184)</f>
        <v>Death Must Die</v>
      </c>
      <c r="B184">
        <f>IF($A184="","",games!$B184)</f>
        <v>2023</v>
      </c>
      <c r="C184" t="str">
        <f>IF($A184="","",games!$C184)</f>
        <v>Action</v>
      </c>
      <c r="D184">
        <f>IF($A184="","",COUNTIF(connections!$A$2:$A$1473,$A184)+COUNTIF(connections!$B$2:$B$1473,$A184))</f>
        <v>8</v>
      </c>
      <c r="E184">
        <f t="shared" si="26"/>
        <v>1</v>
      </c>
      <c r="F184">
        <f t="shared" si="27"/>
        <v>14</v>
      </c>
      <c r="G184">
        <f t="shared" si="28"/>
        <v>2023</v>
      </c>
      <c r="H184">
        <f t="shared" si="29"/>
        <v>1.3220000000000001</v>
      </c>
      <c r="I184" t="e">
        <f t="shared" si="30"/>
        <v>#N/A</v>
      </c>
      <c r="J184" t="e">
        <f t="shared" si="31"/>
        <v>#N/A</v>
      </c>
      <c r="K184" t="e">
        <f t="shared" si="32"/>
        <v>#N/A</v>
      </c>
      <c r="L184" t="e">
        <f t="shared" si="33"/>
        <v>#N/A</v>
      </c>
      <c r="M184" t="e">
        <f t="shared" si="34"/>
        <v>#N/A</v>
      </c>
      <c r="N184" t="e">
        <f t="shared" si="35"/>
        <v>#N/A</v>
      </c>
      <c r="O184">
        <f t="shared" si="36"/>
        <v>8.0001840000000009</v>
      </c>
      <c r="P184" t="str">
        <f>IF(OR($A184="",games!$H184=""),"",games!$H184)</f>
        <v>Yes</v>
      </c>
      <c r="Q184">
        <f t="shared" si="37"/>
        <v>8.0001840000000009</v>
      </c>
      <c r="T184">
        <f>IF(connections!$A184="","",IFERROR(INDEX(games!$B$2:$B$950,MATCH(connections!$A184,games!$A$2:$A$950,0)),""))</f>
        <v>1980</v>
      </c>
      <c r="U184">
        <f>IF(connections!$A184="","",IFERROR(INDEX(games!$B$2:$B$950,MATCH(connections!$B184,games!$A$2:$A$950,0)),""))</f>
        <v>1994</v>
      </c>
      <c r="V184">
        <f t="shared" si="38"/>
        <v>14</v>
      </c>
    </row>
    <row r="185" spans="1:22" x14ac:dyDescent="0.25">
      <c r="A185" t="str">
        <f>IF(games!$A185="","",games!$A185)</f>
        <v>Death Road to Canada</v>
      </c>
      <c r="B185">
        <f>IF($A185="","",games!$B185)</f>
        <v>2016</v>
      </c>
      <c r="C185" t="str">
        <f>IF($A185="","",games!$C185)</f>
        <v>Action</v>
      </c>
      <c r="D185">
        <f>IF($A185="","",COUNTIF(connections!$A$2:$A$1473,$A185)+COUNTIF(connections!$B$2:$B$1473,$A185))</f>
        <v>1</v>
      </c>
      <c r="E185">
        <f t="shared" si="26"/>
        <v>1</v>
      </c>
      <c r="F185">
        <f t="shared" si="27"/>
        <v>15</v>
      </c>
      <c r="G185">
        <f t="shared" si="28"/>
        <v>2016</v>
      </c>
      <c r="H185">
        <f t="shared" si="29"/>
        <v>1.345</v>
      </c>
      <c r="I185" t="e">
        <f t="shared" si="30"/>
        <v>#N/A</v>
      </c>
      <c r="J185" t="e">
        <f t="shared" si="31"/>
        <v>#N/A</v>
      </c>
      <c r="K185" t="e">
        <f t="shared" si="32"/>
        <v>#N/A</v>
      </c>
      <c r="L185" t="e">
        <f t="shared" si="33"/>
        <v>#N/A</v>
      </c>
      <c r="M185" t="e">
        <f t="shared" si="34"/>
        <v>#N/A</v>
      </c>
      <c r="N185" t="e">
        <f t="shared" si="35"/>
        <v>#N/A</v>
      </c>
      <c r="O185">
        <f t="shared" si="36"/>
        <v>1.0001850000000001</v>
      </c>
      <c r="P185" t="str">
        <f>IF(OR($A185="",games!$H185=""),"",games!$H185)</f>
        <v>Yes</v>
      </c>
      <c r="Q185">
        <f t="shared" si="37"/>
        <v>1.0001850000000001</v>
      </c>
      <c r="T185">
        <f>IF(connections!$A185="","",IFERROR(INDEX(games!$B$2:$B$950,MATCH(connections!$A185,games!$A$2:$A$950,0)),""))</f>
        <v>2021</v>
      </c>
      <c r="U185">
        <f>IF(connections!$A185="","",IFERROR(INDEX(games!$B$2:$B$950,MATCH(connections!$B185,games!$A$2:$A$950,0)),""))</f>
        <v>2024</v>
      </c>
      <c r="V185">
        <f t="shared" si="38"/>
        <v>3</v>
      </c>
    </row>
    <row r="186" spans="1:22" x14ac:dyDescent="0.25">
      <c r="A186" t="str">
        <f>IF(games!$A186="","",games!$A186)</f>
        <v>Death Roads: Tournament</v>
      </c>
      <c r="B186">
        <f>IF($A186="","",games!$B186)</f>
        <v>2023</v>
      </c>
      <c r="C186" t="str">
        <f>IF($A186="","",games!$C186)</f>
        <v>Deckbuilder</v>
      </c>
      <c r="D186">
        <f>IF($A186="","",COUNTIF(connections!$A$2:$A$1473,$A186)+COUNTIF(connections!$B$2:$B$1473,$A186))</f>
        <v>4</v>
      </c>
      <c r="E186">
        <f t="shared" si="26"/>
        <v>3</v>
      </c>
      <c r="F186">
        <f t="shared" si="27"/>
        <v>16</v>
      </c>
      <c r="G186" t="e">
        <f t="shared" si="28"/>
        <v>#N/A</v>
      </c>
      <c r="H186" t="e">
        <f t="shared" si="29"/>
        <v>#N/A</v>
      </c>
      <c r="I186" t="e">
        <f t="shared" si="30"/>
        <v>#N/A</v>
      </c>
      <c r="J186" t="e">
        <f t="shared" si="31"/>
        <v>#N/A</v>
      </c>
      <c r="K186">
        <f t="shared" si="32"/>
        <v>2023</v>
      </c>
      <c r="L186">
        <f t="shared" si="33"/>
        <v>3.3679999999999999</v>
      </c>
      <c r="M186" t="e">
        <f t="shared" si="34"/>
        <v>#N/A</v>
      </c>
      <c r="N186" t="e">
        <f t="shared" si="35"/>
        <v>#N/A</v>
      </c>
      <c r="O186">
        <f t="shared" si="36"/>
        <v>4.0001860000000002</v>
      </c>
      <c r="P186" t="str">
        <f>IF(OR($A186="",games!$H186=""),"",games!$H186)</f>
        <v>Yes</v>
      </c>
      <c r="Q186">
        <f t="shared" si="37"/>
        <v>4.0001860000000002</v>
      </c>
      <c r="T186">
        <f>IF(connections!$A186="","",IFERROR(INDEX(games!$B$2:$B$950,MATCH(connections!$A186,games!$A$2:$A$950,0)),""))</f>
        <v>2002</v>
      </c>
      <c r="U186">
        <f>IF(connections!$A186="","",IFERROR(INDEX(games!$B$2:$B$950,MATCH(connections!$B186,games!$A$2:$A$950,0)),""))</f>
        <v>2010</v>
      </c>
      <c r="V186">
        <f t="shared" si="38"/>
        <v>8</v>
      </c>
    </row>
    <row r="187" spans="1:22" x14ac:dyDescent="0.25">
      <c r="A187" t="str">
        <f>IF(games!$A187="","",games!$A187)</f>
        <v>Death Skid Marks</v>
      </c>
      <c r="B187">
        <f>IF($A187="","",games!$B187)</f>
        <v>2014</v>
      </c>
      <c r="C187" t="str">
        <f>IF($A187="","",games!$C187)</f>
        <v>Action</v>
      </c>
      <c r="D187">
        <f>IF($A187="","",COUNTIF(connections!$A$2:$A$1473,$A187)+COUNTIF(connections!$B$2:$B$1473,$A187))</f>
        <v>1</v>
      </c>
      <c r="E187">
        <f t="shared" si="26"/>
        <v>1</v>
      </c>
      <c r="F187">
        <f t="shared" si="27"/>
        <v>17</v>
      </c>
      <c r="G187">
        <f t="shared" si="28"/>
        <v>2014</v>
      </c>
      <c r="H187">
        <f t="shared" si="29"/>
        <v>1.391</v>
      </c>
      <c r="I187" t="e">
        <f t="shared" si="30"/>
        <v>#N/A</v>
      </c>
      <c r="J187" t="e">
        <f t="shared" si="31"/>
        <v>#N/A</v>
      </c>
      <c r="K187" t="e">
        <f t="shared" si="32"/>
        <v>#N/A</v>
      </c>
      <c r="L187" t="e">
        <f t="shared" si="33"/>
        <v>#N/A</v>
      </c>
      <c r="M187" t="e">
        <f t="shared" si="34"/>
        <v>#N/A</v>
      </c>
      <c r="N187" t="e">
        <f t="shared" si="35"/>
        <v>#N/A</v>
      </c>
      <c r="O187">
        <f t="shared" si="36"/>
        <v>1.0001869999999999</v>
      </c>
      <c r="P187" t="str">
        <f>IF(OR($A187="",games!$H187=""),"",games!$H187)</f>
        <v>Yes</v>
      </c>
      <c r="Q187">
        <f t="shared" si="37"/>
        <v>1.0001869999999999</v>
      </c>
      <c r="T187">
        <f>IF(connections!$A187="","",IFERROR(INDEX(games!$B$2:$B$950,MATCH(connections!$A187,games!$A$2:$A$950,0)),""))</f>
        <v>2006</v>
      </c>
      <c r="U187">
        <f>IF(connections!$A187="","",IFERROR(INDEX(games!$B$2:$B$950,MATCH(connections!$B187,games!$A$2:$A$950,0)),""))</f>
        <v>2010</v>
      </c>
      <c r="V187">
        <f t="shared" si="38"/>
        <v>4</v>
      </c>
    </row>
    <row r="188" spans="1:22" x14ac:dyDescent="0.25">
      <c r="A188" t="str">
        <f>IF(games!$A188="","",games!$A188)</f>
        <v>Deck of Ashes</v>
      </c>
      <c r="B188">
        <f>IF($A188="","",games!$B188)</f>
        <v>2019</v>
      </c>
      <c r="C188" t="str">
        <f>IF($A188="","",games!$C188)</f>
        <v>Deckbuilder</v>
      </c>
      <c r="D188">
        <f>IF($A188="","",COUNTIF(connections!$A$2:$A$1473,$A188)+COUNTIF(connections!$B$2:$B$1473,$A188))</f>
        <v>4</v>
      </c>
      <c r="E188">
        <f t="shared" si="26"/>
        <v>3</v>
      </c>
      <c r="F188">
        <f t="shared" si="27"/>
        <v>18</v>
      </c>
      <c r="G188" t="e">
        <f t="shared" si="28"/>
        <v>#N/A</v>
      </c>
      <c r="H188" t="e">
        <f t="shared" si="29"/>
        <v>#N/A</v>
      </c>
      <c r="I188" t="e">
        <f t="shared" si="30"/>
        <v>#N/A</v>
      </c>
      <c r="J188" t="e">
        <f t="shared" si="31"/>
        <v>#N/A</v>
      </c>
      <c r="K188">
        <f t="shared" si="32"/>
        <v>2019</v>
      </c>
      <c r="L188">
        <f t="shared" si="33"/>
        <v>3.4140000000000001</v>
      </c>
      <c r="M188" t="e">
        <f t="shared" si="34"/>
        <v>#N/A</v>
      </c>
      <c r="N188" t="e">
        <f t="shared" si="35"/>
        <v>#N/A</v>
      </c>
      <c r="O188">
        <f t="shared" si="36"/>
        <v>4.0001879999999996</v>
      </c>
      <c r="P188" t="str">
        <f>IF(OR($A188="",games!$H188=""),"",games!$H188)</f>
        <v>Yes</v>
      </c>
      <c r="Q188">
        <f t="shared" si="37"/>
        <v>4.0001879999999996</v>
      </c>
      <c r="T188">
        <f>IF(connections!$A188="","",IFERROR(INDEX(games!$B$2:$B$950,MATCH(connections!$A188,games!$A$2:$A$950,0)),""))</f>
        <v>2013</v>
      </c>
      <c r="U188">
        <f>IF(connections!$A188="","",IFERROR(INDEX(games!$B$2:$B$950,MATCH(connections!$B188,games!$A$2:$A$950,0)),""))</f>
        <v>2020</v>
      </c>
      <c r="V188">
        <f t="shared" si="38"/>
        <v>7</v>
      </c>
    </row>
    <row r="189" spans="1:22" x14ac:dyDescent="0.25">
      <c r="A189" t="str">
        <f>IF(games!$A189="","",games!$A189)</f>
        <v>Deck of Haunts</v>
      </c>
      <c r="B189">
        <f>IF($A189="","",games!$B189)</f>
        <v>2025</v>
      </c>
      <c r="C189" t="str">
        <f>IF($A189="","",games!$C189)</f>
        <v>Deckbuilder</v>
      </c>
      <c r="D189">
        <f>IF($A189="","",COUNTIF(connections!$A$2:$A$1473,$A189)+COUNTIF(connections!$B$2:$B$1473,$A189))</f>
        <v>1</v>
      </c>
      <c r="E189">
        <f t="shared" si="26"/>
        <v>3</v>
      </c>
      <c r="F189">
        <f t="shared" si="27"/>
        <v>19</v>
      </c>
      <c r="G189" t="e">
        <f t="shared" si="28"/>
        <v>#N/A</v>
      </c>
      <c r="H189" t="e">
        <f t="shared" si="29"/>
        <v>#N/A</v>
      </c>
      <c r="I189" t="e">
        <f t="shared" si="30"/>
        <v>#N/A</v>
      </c>
      <c r="J189" t="e">
        <f t="shared" si="31"/>
        <v>#N/A</v>
      </c>
      <c r="K189">
        <f t="shared" si="32"/>
        <v>2025</v>
      </c>
      <c r="L189">
        <f t="shared" si="33"/>
        <v>3.4369999999999998</v>
      </c>
      <c r="M189" t="e">
        <f t="shared" si="34"/>
        <v>#N/A</v>
      </c>
      <c r="N189" t="e">
        <f t="shared" si="35"/>
        <v>#N/A</v>
      </c>
      <c r="O189">
        <f t="shared" si="36"/>
        <v>1.000189</v>
      </c>
      <c r="P189" t="str">
        <f>IF(OR($A189="",games!$H189=""),"",games!$H189)</f>
        <v>Yes</v>
      </c>
      <c r="Q189">
        <f t="shared" si="37"/>
        <v>1.000189</v>
      </c>
      <c r="T189">
        <f>IF(connections!$A189="","",IFERROR(INDEX(games!$B$2:$B$950,MATCH(connections!$A189,games!$A$2:$A$950,0)),""))</f>
        <v>2010</v>
      </c>
      <c r="U189">
        <f>IF(connections!$A189="","",IFERROR(INDEX(games!$B$2:$B$950,MATCH(connections!$B189,games!$A$2:$A$950,0)),""))</f>
        <v>2013</v>
      </c>
      <c r="V189">
        <f t="shared" si="38"/>
        <v>3</v>
      </c>
    </row>
    <row r="190" spans="1:22" x14ac:dyDescent="0.25">
      <c r="A190" t="str">
        <f>IF(games!$A190="","",games!$A190)</f>
        <v>Decktamer</v>
      </c>
      <c r="B190">
        <f>IF($A190="","",games!$B190)</f>
        <v>2025</v>
      </c>
      <c r="C190" t="str">
        <f>IF($A190="","",games!$C190)</f>
        <v>Deckbuilder</v>
      </c>
      <c r="D190">
        <f>IF($A190="","",COUNTIF(connections!$A$2:$A$1473,$A190)+COUNTIF(connections!$B$2:$B$1473,$A190))</f>
        <v>2</v>
      </c>
      <c r="E190">
        <f t="shared" si="26"/>
        <v>3</v>
      </c>
      <c r="F190">
        <f t="shared" si="27"/>
        <v>20</v>
      </c>
      <c r="G190" t="e">
        <f t="shared" si="28"/>
        <v>#N/A</v>
      </c>
      <c r="H190" t="e">
        <f t="shared" si="29"/>
        <v>#N/A</v>
      </c>
      <c r="I190" t="e">
        <f t="shared" si="30"/>
        <v>#N/A</v>
      </c>
      <c r="J190" t="e">
        <f t="shared" si="31"/>
        <v>#N/A</v>
      </c>
      <c r="K190">
        <f t="shared" si="32"/>
        <v>2025</v>
      </c>
      <c r="L190">
        <f t="shared" si="33"/>
        <v>3.46</v>
      </c>
      <c r="M190" t="e">
        <f t="shared" si="34"/>
        <v>#N/A</v>
      </c>
      <c r="N190" t="e">
        <f t="shared" si="35"/>
        <v>#N/A</v>
      </c>
      <c r="O190">
        <f t="shared" si="36"/>
        <v>2.0001899999999999</v>
      </c>
      <c r="P190" t="str">
        <f>IF(OR($A190="",games!$H190=""),"",games!$H190)</f>
        <v>Yes</v>
      </c>
      <c r="Q190">
        <f t="shared" si="37"/>
        <v>2.0001899999999999</v>
      </c>
      <c r="T190">
        <f>IF(connections!$A190="","",IFERROR(INDEX(games!$B$2:$B$950,MATCH(connections!$A190,games!$A$2:$A$950,0)),""))</f>
        <v>2013</v>
      </c>
      <c r="U190">
        <f>IF(connections!$A190="","",IFERROR(INDEX(games!$B$2:$B$950,MATCH(connections!$B190,games!$A$2:$A$950,0)),""))</f>
        <v>2025</v>
      </c>
      <c r="V190">
        <f t="shared" si="38"/>
        <v>12</v>
      </c>
    </row>
    <row r="191" spans="1:22" x14ac:dyDescent="0.25">
      <c r="A191" t="str">
        <f>IF(games!$A191="","",games!$A191)</f>
        <v>Deep Dungeons of Doom</v>
      </c>
      <c r="B191">
        <f>IF($A191="","",games!$B191)</f>
        <v>2014</v>
      </c>
      <c r="C191" t="str">
        <f>IF($A191="","",games!$C191)</f>
        <v>Action</v>
      </c>
      <c r="D191">
        <f>IF($A191="","",COUNTIF(connections!$A$2:$A$1473,$A191)+COUNTIF(connections!$B$2:$B$1473,$A191))</f>
        <v>1</v>
      </c>
      <c r="E191">
        <f t="shared" si="26"/>
        <v>1</v>
      </c>
      <c r="F191">
        <f t="shared" si="27"/>
        <v>21</v>
      </c>
      <c r="G191">
        <f t="shared" si="28"/>
        <v>2014</v>
      </c>
      <c r="H191">
        <f t="shared" si="29"/>
        <v>1.4830000000000001</v>
      </c>
      <c r="I191" t="e">
        <f t="shared" si="30"/>
        <v>#N/A</v>
      </c>
      <c r="J191" t="e">
        <f t="shared" si="31"/>
        <v>#N/A</v>
      </c>
      <c r="K191" t="e">
        <f t="shared" si="32"/>
        <v>#N/A</v>
      </c>
      <c r="L191" t="e">
        <f t="shared" si="33"/>
        <v>#N/A</v>
      </c>
      <c r="M191" t="e">
        <f t="shared" si="34"/>
        <v>#N/A</v>
      </c>
      <c r="N191" t="e">
        <f t="shared" si="35"/>
        <v>#N/A</v>
      </c>
      <c r="O191">
        <f t="shared" si="36"/>
        <v>1.0001910000000001</v>
      </c>
      <c r="P191" t="str">
        <f>IF(OR($A191="",games!$H191=""),"",games!$H191)</f>
        <v>Yes</v>
      </c>
      <c r="Q191">
        <f t="shared" si="37"/>
        <v>1.0001910000000001</v>
      </c>
      <c r="T191">
        <f>IF(connections!$A191="","",IFERROR(INDEX(games!$B$2:$B$950,MATCH(connections!$A191,games!$A$2:$A$950,0)),""))</f>
        <v>2001</v>
      </c>
      <c r="U191">
        <f>IF(connections!$A191="","",IFERROR(INDEX(games!$B$2:$B$950,MATCH(connections!$B191,games!$A$2:$A$950,0)),""))</f>
        <v>2015</v>
      </c>
      <c r="V191">
        <f t="shared" si="38"/>
        <v>14</v>
      </c>
    </row>
    <row r="192" spans="1:22" x14ac:dyDescent="0.25">
      <c r="A192" t="str">
        <f>IF(games!$A192="","",games!$A192)</f>
        <v>Deep Rock Galactic: Rogue Core</v>
      </c>
      <c r="B192">
        <f>IF($A192="","",games!$B192)</f>
        <v>2026</v>
      </c>
      <c r="C192" t="str">
        <f>IF($A192="","",games!$C192)</f>
        <v>Action</v>
      </c>
      <c r="D192">
        <f>IF($A192="","",COUNTIF(connections!$A$2:$A$1473,$A192)+COUNTIF(connections!$B$2:$B$1473,$A192))</f>
        <v>4</v>
      </c>
      <c r="E192">
        <f t="shared" si="26"/>
        <v>1</v>
      </c>
      <c r="F192">
        <f t="shared" si="27"/>
        <v>22</v>
      </c>
      <c r="G192">
        <f t="shared" si="28"/>
        <v>2026</v>
      </c>
      <c r="H192">
        <f t="shared" si="29"/>
        <v>1.506</v>
      </c>
      <c r="I192" t="e">
        <f t="shared" si="30"/>
        <v>#N/A</v>
      </c>
      <c r="J192" t="e">
        <f t="shared" si="31"/>
        <v>#N/A</v>
      </c>
      <c r="K192" t="e">
        <f t="shared" si="32"/>
        <v>#N/A</v>
      </c>
      <c r="L192" t="e">
        <f t="shared" si="33"/>
        <v>#N/A</v>
      </c>
      <c r="M192" t="e">
        <f t="shared" si="34"/>
        <v>#N/A</v>
      </c>
      <c r="N192" t="e">
        <f t="shared" si="35"/>
        <v>#N/A</v>
      </c>
      <c r="O192">
        <f t="shared" si="36"/>
        <v>4.0001920000000002</v>
      </c>
      <c r="P192" t="str">
        <f>IF(OR($A192="",games!$H192=""),"",games!$H192)</f>
        <v/>
      </c>
      <c r="Q192" t="str">
        <f t="shared" si="37"/>
        <v/>
      </c>
      <c r="T192">
        <f>IF(connections!$A192="","",IFERROR(INDEX(games!$B$2:$B$950,MATCH(connections!$A192,games!$A$2:$A$950,0)),""))</f>
        <v>2003</v>
      </c>
      <c r="U192">
        <f>IF(connections!$A192="","",IFERROR(INDEX(games!$B$2:$B$950,MATCH(connections!$B192,games!$A$2:$A$950,0)),""))</f>
        <v>2015</v>
      </c>
      <c r="V192">
        <f t="shared" si="38"/>
        <v>12</v>
      </c>
    </row>
    <row r="193" spans="1:22" x14ac:dyDescent="0.25">
      <c r="A193" t="str">
        <f>IF(games!$A193="","",games!$A193)</f>
        <v>Deep Rock Galactic: Survivor</v>
      </c>
      <c r="B193">
        <f>IF($A193="","",games!$B193)</f>
        <v>2024</v>
      </c>
      <c r="C193" t="str">
        <f>IF($A193="","",games!$C193)</f>
        <v>Action</v>
      </c>
      <c r="D193">
        <f>IF($A193="","",COUNTIF(connections!$A$2:$A$1473,$A193)+COUNTIF(connections!$B$2:$B$1473,$A193))</f>
        <v>5</v>
      </c>
      <c r="E193">
        <f t="shared" si="26"/>
        <v>1</v>
      </c>
      <c r="F193">
        <f t="shared" si="27"/>
        <v>23</v>
      </c>
      <c r="G193">
        <f t="shared" si="28"/>
        <v>2024</v>
      </c>
      <c r="H193">
        <f t="shared" si="29"/>
        <v>1.5289999999999999</v>
      </c>
      <c r="I193" t="e">
        <f t="shared" si="30"/>
        <v>#N/A</v>
      </c>
      <c r="J193" t="e">
        <f t="shared" si="31"/>
        <v>#N/A</v>
      </c>
      <c r="K193" t="e">
        <f t="shared" si="32"/>
        <v>#N/A</v>
      </c>
      <c r="L193" t="e">
        <f t="shared" si="33"/>
        <v>#N/A</v>
      </c>
      <c r="M193" t="e">
        <f t="shared" si="34"/>
        <v>#N/A</v>
      </c>
      <c r="N193" t="e">
        <f t="shared" si="35"/>
        <v>#N/A</v>
      </c>
      <c r="O193">
        <f t="shared" si="36"/>
        <v>5.0001930000000003</v>
      </c>
      <c r="P193" t="str">
        <f>IF(OR($A193="",games!$H193=""),"",games!$H193)</f>
        <v/>
      </c>
      <c r="Q193" t="str">
        <f t="shared" si="37"/>
        <v/>
      </c>
      <c r="T193">
        <f>IF(connections!$A193="","",IFERROR(INDEX(games!$B$2:$B$950,MATCH(connections!$A193,games!$A$2:$A$950,0)),""))</f>
        <v>2008</v>
      </c>
      <c r="U193">
        <f>IF(connections!$A193="","",IFERROR(INDEX(games!$B$2:$B$950,MATCH(connections!$B193,games!$A$2:$A$950,0)),""))</f>
        <v>2015</v>
      </c>
      <c r="V193">
        <f t="shared" si="38"/>
        <v>7</v>
      </c>
    </row>
    <row r="194" spans="1:22" x14ac:dyDescent="0.25">
      <c r="A194" t="str">
        <f>IF(games!$A194="","",games!$A194)</f>
        <v>Deep Sky Derelicts</v>
      </c>
      <c r="B194">
        <f>IF($A194="","",games!$B194)</f>
        <v>2018</v>
      </c>
      <c r="C194" t="str">
        <f>IF($A194="","",games!$C194)</f>
        <v>Deckbuilder</v>
      </c>
      <c r="D194">
        <f>IF($A194="","",COUNTIF(connections!$A$2:$A$1473,$A194)+COUNTIF(connections!$B$2:$B$1473,$A194))</f>
        <v>3</v>
      </c>
      <c r="E194">
        <f t="shared" ref="E194:E257" si="39">IF($A194="","",IFERROR(MATCH($C194,$R$2:$R$5,0),0))</f>
        <v>3</v>
      </c>
      <c r="F194">
        <f t="shared" ref="F194:F257" si="40">IF($A194="","",MOD(ROW(),34))</f>
        <v>24</v>
      </c>
      <c r="G194" t="e">
        <f t="shared" ref="G194:G257" si="41">IF($A194="",NA(),IF($C194="Action",$B194,NA()))</f>
        <v>#N/A</v>
      </c>
      <c r="H194" t="e">
        <f t="shared" ref="H194:H257" si="42">IF($A194="",NA(),IF($C194="Action",1+$F194*0.023,NA()))</f>
        <v>#N/A</v>
      </c>
      <c r="I194" t="e">
        <f t="shared" ref="I194:I257" si="43">IF($A194="",NA(),IF($C194="Strategy",$B194,NA()))</f>
        <v>#N/A</v>
      </c>
      <c r="J194" t="e">
        <f t="shared" ref="J194:J257" si="44">IF($A194="",NA(),IF($C194="Strategy",2+$F194*0.023,NA()))</f>
        <v>#N/A</v>
      </c>
      <c r="K194">
        <f t="shared" ref="K194:K257" si="45">IF($A194="",NA(),IF($C194="Deckbuilder",$B194,NA()))</f>
        <v>2018</v>
      </c>
      <c r="L194">
        <f t="shared" ref="L194:L257" si="46">IF($A194="",NA(),IF($C194="Deckbuilder",3+$F194*0.023,NA()))</f>
        <v>3.552</v>
      </c>
      <c r="M194" t="e">
        <f t="shared" ref="M194:M257" si="47">IF($A194="",NA(),IF($C194="Traditional",$B194,NA()))</f>
        <v>#N/A</v>
      </c>
      <c r="N194" t="e">
        <f t="shared" ref="N194:N257" si="48">IF($A194="",NA(),IF($C194="Traditional",4+$F194*0.023,NA()))</f>
        <v>#N/A</v>
      </c>
      <c r="O194">
        <f t="shared" ref="O194:O257" si="49">IF($A194="","",$D194+ROW()/1000000)</f>
        <v>3.000194</v>
      </c>
      <c r="P194" t="str">
        <f>IF(OR($A194="",games!$H194=""),"",games!$H194)</f>
        <v/>
      </c>
      <c r="Q194" t="str">
        <f t="shared" ref="Q194:Q257" si="50">IF(OR($A194="",$P194&lt;&gt;"Yes"),"",$D194+ROW()/1000000)</f>
        <v/>
      </c>
      <c r="T194">
        <f>IF(connections!$A194="","",IFERROR(INDEX(games!$B$2:$B$950,MATCH(connections!$A194,games!$A$2:$A$950,0)),""))</f>
        <v>2023</v>
      </c>
      <c r="U194">
        <f>IF(connections!$A194="","",IFERROR(INDEX(games!$B$2:$B$950,MATCH(connections!$B194,games!$A$2:$A$950,0)),""))</f>
        <v>2025</v>
      </c>
      <c r="V194">
        <f t="shared" ref="V194:V257" si="51">IF(OR($T194="",$U194=""),"",$U194-$T194)</f>
        <v>2</v>
      </c>
    </row>
    <row r="195" spans="1:22" x14ac:dyDescent="0.25">
      <c r="A195" t="str">
        <f>IF(games!$A195="","",games!$A195)</f>
        <v>Deepest Chamber: Resurrection</v>
      </c>
      <c r="B195">
        <f>IF($A195="","",games!$B195)</f>
        <v>2021</v>
      </c>
      <c r="C195" t="str">
        <f>IF($A195="","",games!$C195)</f>
        <v>Deckbuilder</v>
      </c>
      <c r="D195">
        <f>IF($A195="","",COUNTIF(connections!$A$2:$A$1473,$A195)+COUNTIF(connections!$B$2:$B$1473,$A195))</f>
        <v>1</v>
      </c>
      <c r="E195">
        <f t="shared" si="39"/>
        <v>3</v>
      </c>
      <c r="F195">
        <f t="shared" si="40"/>
        <v>25</v>
      </c>
      <c r="G195" t="e">
        <f t="shared" si="41"/>
        <v>#N/A</v>
      </c>
      <c r="H195" t="e">
        <f t="shared" si="42"/>
        <v>#N/A</v>
      </c>
      <c r="I195" t="e">
        <f t="shared" si="43"/>
        <v>#N/A</v>
      </c>
      <c r="J195" t="e">
        <f t="shared" si="44"/>
        <v>#N/A</v>
      </c>
      <c r="K195">
        <f t="shared" si="45"/>
        <v>2021</v>
      </c>
      <c r="L195">
        <f t="shared" si="46"/>
        <v>3.5750000000000002</v>
      </c>
      <c r="M195" t="e">
        <f t="shared" si="47"/>
        <v>#N/A</v>
      </c>
      <c r="N195" t="e">
        <f t="shared" si="48"/>
        <v>#N/A</v>
      </c>
      <c r="O195">
        <f t="shared" si="49"/>
        <v>1.0001949999999999</v>
      </c>
      <c r="P195" t="str">
        <f>IF(OR($A195="",games!$H195=""),"",games!$H195)</f>
        <v>Yes</v>
      </c>
      <c r="Q195">
        <f t="shared" si="50"/>
        <v>1.0001949999999999</v>
      </c>
      <c r="T195">
        <f>IF(connections!$A195="","",IFERROR(INDEX(games!$B$2:$B$950,MATCH(connections!$A195,games!$A$2:$A$950,0)),""))</f>
        <v>2018</v>
      </c>
      <c r="U195">
        <f>IF(connections!$A195="","",IFERROR(INDEX(games!$B$2:$B$950,MATCH(connections!$B195,games!$A$2:$A$950,0)),""))</f>
        <v>2025</v>
      </c>
      <c r="V195">
        <f t="shared" si="51"/>
        <v>7</v>
      </c>
    </row>
    <row r="196" spans="1:22" x14ac:dyDescent="0.25">
      <c r="A196" t="str">
        <f>IF(games!$A196="","",games!$A196)</f>
        <v>Delver</v>
      </c>
      <c r="B196">
        <f>IF($A196="","",games!$B196)</f>
        <v>2012</v>
      </c>
      <c r="C196" t="str">
        <f>IF($A196="","",games!$C196)</f>
        <v>Action</v>
      </c>
      <c r="D196">
        <f>IF($A196="","",COUNTIF(connections!$A$2:$A$1473,$A196)+COUNTIF(connections!$B$2:$B$1473,$A196))</f>
        <v>4</v>
      </c>
      <c r="E196">
        <f t="shared" si="39"/>
        <v>1</v>
      </c>
      <c r="F196">
        <f t="shared" si="40"/>
        <v>26</v>
      </c>
      <c r="G196">
        <f t="shared" si="41"/>
        <v>2012</v>
      </c>
      <c r="H196">
        <f t="shared" si="42"/>
        <v>1.5979999999999999</v>
      </c>
      <c r="I196" t="e">
        <f t="shared" si="43"/>
        <v>#N/A</v>
      </c>
      <c r="J196" t="e">
        <f t="shared" si="44"/>
        <v>#N/A</v>
      </c>
      <c r="K196" t="e">
        <f t="shared" si="45"/>
        <v>#N/A</v>
      </c>
      <c r="L196" t="e">
        <f t="shared" si="46"/>
        <v>#N/A</v>
      </c>
      <c r="M196" t="e">
        <f t="shared" si="47"/>
        <v>#N/A</v>
      </c>
      <c r="N196" t="e">
        <f t="shared" si="48"/>
        <v>#N/A</v>
      </c>
      <c r="O196">
        <f t="shared" si="49"/>
        <v>4.0001959999999999</v>
      </c>
      <c r="P196" t="str">
        <f>IF(OR($A196="",games!$H196=""),"",games!$H196)</f>
        <v/>
      </c>
      <c r="Q196" t="str">
        <f t="shared" si="50"/>
        <v/>
      </c>
      <c r="T196">
        <f>IF(connections!$A196="","",IFERROR(INDEX(games!$B$2:$B$950,MATCH(connections!$A196,games!$A$2:$A$950,0)),""))</f>
        <v>1980</v>
      </c>
      <c r="U196">
        <f>IF(connections!$A196="","",IFERROR(INDEX(games!$B$2:$B$950,MATCH(connections!$B196,games!$A$2:$A$950,0)),""))</f>
        <v>1991</v>
      </c>
      <c r="V196">
        <f t="shared" si="51"/>
        <v>11</v>
      </c>
    </row>
    <row r="197" spans="1:22" x14ac:dyDescent="0.25">
      <c r="A197" t="str">
        <f>IF(games!$A197="","",games!$A197)</f>
        <v>Demon Lord: Just a Block</v>
      </c>
      <c r="B197">
        <f>IF($A197="","",games!$B197)</f>
        <v>2026</v>
      </c>
      <c r="C197" t="str">
        <f>IF($A197="","",games!$C197)</f>
        <v>Traditional</v>
      </c>
      <c r="D197">
        <f>IF($A197="","",COUNTIF(connections!$A$2:$A$1473,$A197)+COUNTIF(connections!$B$2:$B$1473,$A197))</f>
        <v>2</v>
      </c>
      <c r="E197">
        <f t="shared" si="39"/>
        <v>4</v>
      </c>
      <c r="F197">
        <f t="shared" si="40"/>
        <v>27</v>
      </c>
      <c r="G197" t="e">
        <f t="shared" si="41"/>
        <v>#N/A</v>
      </c>
      <c r="H197" t="e">
        <f t="shared" si="42"/>
        <v>#N/A</v>
      </c>
      <c r="I197" t="e">
        <f t="shared" si="43"/>
        <v>#N/A</v>
      </c>
      <c r="J197" t="e">
        <f t="shared" si="44"/>
        <v>#N/A</v>
      </c>
      <c r="K197" t="e">
        <f t="shared" si="45"/>
        <v>#N/A</v>
      </c>
      <c r="L197" t="e">
        <f t="shared" si="46"/>
        <v>#N/A</v>
      </c>
      <c r="M197">
        <f t="shared" si="47"/>
        <v>2026</v>
      </c>
      <c r="N197">
        <f t="shared" si="48"/>
        <v>4.6210000000000004</v>
      </c>
      <c r="O197">
        <f t="shared" si="49"/>
        <v>2.000197</v>
      </c>
      <c r="P197" t="str">
        <f>IF(OR($A197="",games!$H197=""),"",games!$H197)</f>
        <v>Yes</v>
      </c>
      <c r="Q197">
        <f t="shared" si="50"/>
        <v>2.000197</v>
      </c>
      <c r="T197">
        <f>IF(connections!$A197="","",IFERROR(INDEX(games!$B$2:$B$950,MATCH(connections!$A197,games!$A$2:$A$950,0)),""))</f>
        <v>2008</v>
      </c>
      <c r="U197">
        <f>IF(connections!$A197="","",IFERROR(INDEX(games!$B$2:$B$950,MATCH(connections!$B197,games!$A$2:$A$950,0)),""))</f>
        <v>2017</v>
      </c>
      <c r="V197">
        <f t="shared" si="51"/>
        <v>9</v>
      </c>
    </row>
    <row r="198" spans="1:22" x14ac:dyDescent="0.25">
      <c r="A198" t="str">
        <f>IF(games!$A198="","",games!$A198)</f>
        <v>DemonCrawl</v>
      </c>
      <c r="B198">
        <f>IF($A198="","",games!$B198)</f>
        <v>2019</v>
      </c>
      <c r="C198" t="str">
        <f>IF($A198="","",games!$C198)</f>
        <v>Strategy</v>
      </c>
      <c r="D198">
        <f>IF($A198="","",COUNTIF(connections!$A$2:$A$1473,$A198)+COUNTIF(connections!$B$2:$B$1473,$A198))</f>
        <v>1</v>
      </c>
      <c r="E198">
        <f t="shared" si="39"/>
        <v>2</v>
      </c>
      <c r="F198">
        <f t="shared" si="40"/>
        <v>28</v>
      </c>
      <c r="G198" t="e">
        <f t="shared" si="41"/>
        <v>#N/A</v>
      </c>
      <c r="H198" t="e">
        <f t="shared" si="42"/>
        <v>#N/A</v>
      </c>
      <c r="I198">
        <f t="shared" si="43"/>
        <v>2019</v>
      </c>
      <c r="J198">
        <f t="shared" si="44"/>
        <v>2.6440000000000001</v>
      </c>
      <c r="K198" t="e">
        <f t="shared" si="45"/>
        <v>#N/A</v>
      </c>
      <c r="L198" t="e">
        <f t="shared" si="46"/>
        <v>#N/A</v>
      </c>
      <c r="M198" t="e">
        <f t="shared" si="47"/>
        <v>#N/A</v>
      </c>
      <c r="N198" t="e">
        <f t="shared" si="48"/>
        <v>#N/A</v>
      </c>
      <c r="O198">
        <f t="shared" si="49"/>
        <v>1.0001979999999999</v>
      </c>
      <c r="P198" t="str">
        <f>IF(OR($A198="",games!$H198=""),"",games!$H198)</f>
        <v/>
      </c>
      <c r="Q198" t="str">
        <f t="shared" si="50"/>
        <v/>
      </c>
      <c r="T198">
        <f>IF(connections!$A198="","",IFERROR(INDEX(games!$B$2:$B$950,MATCH(connections!$A198,games!$A$2:$A$950,0)),""))</f>
        <v>1994</v>
      </c>
      <c r="U198">
        <f>IF(connections!$A198="","",IFERROR(INDEX(games!$B$2:$B$950,MATCH(connections!$B198,games!$A$2:$A$950,0)),""))</f>
        <v>2010</v>
      </c>
      <c r="V198">
        <f t="shared" si="51"/>
        <v>16</v>
      </c>
    </row>
    <row r="199" spans="1:22" x14ac:dyDescent="0.25">
      <c r="A199" t="str">
        <f>IF(games!$A199="","",games!$A199)</f>
        <v>Demonic Mahjong</v>
      </c>
      <c r="B199">
        <f>IF($A199="","",games!$B199)</f>
        <v>2025</v>
      </c>
      <c r="C199" t="str">
        <f>IF($A199="","",games!$C199)</f>
        <v>Deckbuilder</v>
      </c>
      <c r="D199">
        <f>IF($A199="","",COUNTIF(connections!$A$2:$A$1473,$A199)+COUNTIF(connections!$B$2:$B$1473,$A199))</f>
        <v>1</v>
      </c>
      <c r="E199">
        <f t="shared" si="39"/>
        <v>3</v>
      </c>
      <c r="F199">
        <f t="shared" si="40"/>
        <v>29</v>
      </c>
      <c r="G199" t="e">
        <f t="shared" si="41"/>
        <v>#N/A</v>
      </c>
      <c r="H199" t="e">
        <f t="shared" si="42"/>
        <v>#N/A</v>
      </c>
      <c r="I199" t="e">
        <f t="shared" si="43"/>
        <v>#N/A</v>
      </c>
      <c r="J199" t="e">
        <f t="shared" si="44"/>
        <v>#N/A</v>
      </c>
      <c r="K199">
        <f t="shared" si="45"/>
        <v>2025</v>
      </c>
      <c r="L199">
        <f t="shared" si="46"/>
        <v>3.6669999999999998</v>
      </c>
      <c r="M199" t="e">
        <f t="shared" si="47"/>
        <v>#N/A</v>
      </c>
      <c r="N199" t="e">
        <f t="shared" si="48"/>
        <v>#N/A</v>
      </c>
      <c r="O199">
        <f t="shared" si="49"/>
        <v>1.0001990000000001</v>
      </c>
      <c r="P199" t="str">
        <f>IF(OR($A199="",games!$H199=""),"",games!$H199)</f>
        <v>Yes</v>
      </c>
      <c r="Q199">
        <f t="shared" si="50"/>
        <v>1.0001990000000001</v>
      </c>
      <c r="T199">
        <f>IF(connections!$A199="","",IFERROR(INDEX(games!$B$2:$B$950,MATCH(connections!$A199,games!$A$2:$A$950,0)),""))</f>
        <v>2006</v>
      </c>
      <c r="U199">
        <f>IF(connections!$A199="","",IFERROR(INDEX(games!$B$2:$B$950,MATCH(connections!$B199,games!$A$2:$A$950,0)),""))</f>
        <v>2010</v>
      </c>
      <c r="V199">
        <f t="shared" si="51"/>
        <v>4</v>
      </c>
    </row>
    <row r="200" spans="1:22" x14ac:dyDescent="0.25">
      <c r="A200" t="str">
        <f>IF(games!$A200="","",games!$A200)</f>
        <v>Demonlore</v>
      </c>
      <c r="B200">
        <f>IF($A200="","",games!$B200)</f>
        <v>2022</v>
      </c>
      <c r="C200" t="str">
        <f>IF($A200="","",games!$C200)</f>
        <v>Strategy</v>
      </c>
      <c r="D200">
        <f>IF($A200="","",COUNTIF(connections!$A$2:$A$1473,$A200)+COUNTIF(connections!$B$2:$B$1473,$A200))</f>
        <v>1</v>
      </c>
      <c r="E200">
        <f t="shared" si="39"/>
        <v>2</v>
      </c>
      <c r="F200">
        <f t="shared" si="40"/>
        <v>30</v>
      </c>
      <c r="G200" t="e">
        <f t="shared" si="41"/>
        <v>#N/A</v>
      </c>
      <c r="H200" t="e">
        <f t="shared" si="42"/>
        <v>#N/A</v>
      </c>
      <c r="I200">
        <f t="shared" si="43"/>
        <v>2022</v>
      </c>
      <c r="J200">
        <f t="shared" si="44"/>
        <v>2.69</v>
      </c>
      <c r="K200" t="e">
        <f t="shared" si="45"/>
        <v>#N/A</v>
      </c>
      <c r="L200" t="e">
        <f t="shared" si="46"/>
        <v>#N/A</v>
      </c>
      <c r="M200" t="e">
        <f t="shared" si="47"/>
        <v>#N/A</v>
      </c>
      <c r="N200" t="e">
        <f t="shared" si="48"/>
        <v>#N/A</v>
      </c>
      <c r="O200">
        <f t="shared" si="49"/>
        <v>1.0002</v>
      </c>
      <c r="P200" t="str">
        <f>IF(OR($A200="",games!$H200=""),"",games!$H200)</f>
        <v>Yes</v>
      </c>
      <c r="Q200">
        <f t="shared" si="50"/>
        <v>1.0002</v>
      </c>
      <c r="T200">
        <f>IF(connections!$A200="","",IFERROR(INDEX(games!$B$2:$B$950,MATCH(connections!$A200,games!$A$2:$A$950,0)),""))</f>
        <v>1987</v>
      </c>
      <c r="U200">
        <f>IF(connections!$A200="","",IFERROR(INDEX(games!$B$2:$B$950,MATCH(connections!$B200,games!$A$2:$A$950,0)),""))</f>
        <v>2010</v>
      </c>
      <c r="V200">
        <f t="shared" si="51"/>
        <v>23</v>
      </c>
    </row>
    <row r="201" spans="1:22" x14ac:dyDescent="0.25">
      <c r="A201" t="str">
        <f>IF(games!$A201="","",games!$A201)</f>
        <v>Desktop Dungeons</v>
      </c>
      <c r="B201">
        <f>IF($A201="","",games!$B201)</f>
        <v>2010</v>
      </c>
      <c r="C201" t="str">
        <f>IF($A201="","",games!$C201)</f>
        <v>Traditional</v>
      </c>
      <c r="D201">
        <f>IF($A201="","",COUNTIF(connections!$A$2:$A$1473,$A201)+COUNTIF(connections!$B$2:$B$1473,$A201))</f>
        <v>5</v>
      </c>
      <c r="E201">
        <f t="shared" si="39"/>
        <v>4</v>
      </c>
      <c r="F201">
        <f t="shared" si="40"/>
        <v>31</v>
      </c>
      <c r="G201" t="e">
        <f t="shared" si="41"/>
        <v>#N/A</v>
      </c>
      <c r="H201" t="e">
        <f t="shared" si="42"/>
        <v>#N/A</v>
      </c>
      <c r="I201" t="e">
        <f t="shared" si="43"/>
        <v>#N/A</v>
      </c>
      <c r="J201" t="e">
        <f t="shared" si="44"/>
        <v>#N/A</v>
      </c>
      <c r="K201" t="e">
        <f t="shared" si="45"/>
        <v>#N/A</v>
      </c>
      <c r="L201" t="e">
        <f t="shared" si="46"/>
        <v>#N/A</v>
      </c>
      <c r="M201">
        <f t="shared" si="47"/>
        <v>2010</v>
      </c>
      <c r="N201">
        <f t="shared" si="48"/>
        <v>4.7130000000000001</v>
      </c>
      <c r="O201">
        <f t="shared" si="49"/>
        <v>5.0002009999999997</v>
      </c>
      <c r="P201" t="str">
        <f>IF(OR($A201="",games!$H201=""),"",games!$H201)</f>
        <v/>
      </c>
      <c r="Q201" t="str">
        <f t="shared" si="50"/>
        <v/>
      </c>
      <c r="T201">
        <f>IF(connections!$A201="","",IFERROR(INDEX(games!$B$2:$B$950,MATCH(connections!$A201,games!$A$2:$A$950,0)),""))</f>
        <v>2016</v>
      </c>
      <c r="U201">
        <f>IF(connections!$A201="","",IFERROR(INDEX(games!$B$2:$B$950,MATCH(connections!$B201,games!$A$2:$A$950,0)),""))</f>
        <v>2020</v>
      </c>
      <c r="V201">
        <f t="shared" si="51"/>
        <v>4</v>
      </c>
    </row>
    <row r="202" spans="1:22" x14ac:dyDescent="0.25">
      <c r="A202" t="str">
        <f>IF(games!$A202="","",games!$A202)</f>
        <v>Desktop Survivors 98</v>
      </c>
      <c r="B202">
        <f>IF($A202="","",games!$B202)</f>
        <v>2025</v>
      </c>
      <c r="C202" t="str">
        <f>IF($A202="","",games!$C202)</f>
        <v>Action</v>
      </c>
      <c r="D202">
        <f>IF($A202="","",COUNTIF(connections!$A$2:$A$1473,$A202)+COUNTIF(connections!$B$2:$B$1473,$A202))</f>
        <v>1</v>
      </c>
      <c r="E202">
        <f t="shared" si="39"/>
        <v>1</v>
      </c>
      <c r="F202">
        <f t="shared" si="40"/>
        <v>32</v>
      </c>
      <c r="G202">
        <f t="shared" si="41"/>
        <v>2025</v>
      </c>
      <c r="H202">
        <f t="shared" si="42"/>
        <v>1.736</v>
      </c>
      <c r="I202" t="e">
        <f t="shared" si="43"/>
        <v>#N/A</v>
      </c>
      <c r="J202" t="e">
        <f t="shared" si="44"/>
        <v>#N/A</v>
      </c>
      <c r="K202" t="e">
        <f t="shared" si="45"/>
        <v>#N/A</v>
      </c>
      <c r="L202" t="e">
        <f t="shared" si="46"/>
        <v>#N/A</v>
      </c>
      <c r="M202" t="e">
        <f t="shared" si="47"/>
        <v>#N/A</v>
      </c>
      <c r="N202" t="e">
        <f t="shared" si="48"/>
        <v>#N/A</v>
      </c>
      <c r="O202">
        <f t="shared" si="49"/>
        <v>1.000202</v>
      </c>
      <c r="P202" t="str">
        <f>IF(OR($A202="",games!$H202=""),"",games!$H202)</f>
        <v>Yes</v>
      </c>
      <c r="Q202">
        <f t="shared" si="50"/>
        <v>1.000202</v>
      </c>
      <c r="T202">
        <f>IF(connections!$A202="","",IFERROR(INDEX(games!$B$2:$B$950,MATCH(connections!$A202,games!$A$2:$A$950,0)),""))</f>
        <v>2011</v>
      </c>
      <c r="U202">
        <f>IF(connections!$A202="","",IFERROR(INDEX(games!$B$2:$B$950,MATCH(connections!$B202,games!$A$2:$A$950,0)),""))</f>
        <v>2020</v>
      </c>
      <c r="V202">
        <f t="shared" si="51"/>
        <v>9</v>
      </c>
    </row>
    <row r="203" spans="1:22" x14ac:dyDescent="0.25">
      <c r="A203" t="str">
        <f>IF(games!$A203="","",games!$A203)</f>
        <v>Despotism 3k</v>
      </c>
      <c r="B203">
        <f>IF($A203="","",games!$B203)</f>
        <v>2018</v>
      </c>
      <c r="C203" t="str">
        <f>IF($A203="","",games!$C203)</f>
        <v>Strategy</v>
      </c>
      <c r="D203">
        <f>IF($A203="","",COUNTIF(connections!$A$2:$A$1473,$A203)+COUNTIF(connections!$B$2:$B$1473,$A203))</f>
        <v>1</v>
      </c>
      <c r="E203">
        <f t="shared" si="39"/>
        <v>2</v>
      </c>
      <c r="F203">
        <f t="shared" si="40"/>
        <v>33</v>
      </c>
      <c r="G203" t="e">
        <f t="shared" si="41"/>
        <v>#N/A</v>
      </c>
      <c r="H203" t="e">
        <f t="shared" si="42"/>
        <v>#N/A</v>
      </c>
      <c r="I203">
        <f t="shared" si="43"/>
        <v>2018</v>
      </c>
      <c r="J203">
        <f t="shared" si="44"/>
        <v>2.7589999999999999</v>
      </c>
      <c r="K203" t="e">
        <f t="shared" si="45"/>
        <v>#N/A</v>
      </c>
      <c r="L203" t="e">
        <f t="shared" si="46"/>
        <v>#N/A</v>
      </c>
      <c r="M203" t="e">
        <f t="shared" si="47"/>
        <v>#N/A</v>
      </c>
      <c r="N203" t="e">
        <f t="shared" si="48"/>
        <v>#N/A</v>
      </c>
      <c r="O203">
        <f t="shared" si="49"/>
        <v>1.000203</v>
      </c>
      <c r="P203" t="str">
        <f>IF(OR($A203="",games!$H203=""),"",games!$H203)</f>
        <v/>
      </c>
      <c r="Q203" t="str">
        <f t="shared" si="50"/>
        <v/>
      </c>
      <c r="T203">
        <f>IF(connections!$A203="","",IFERROR(INDEX(games!$B$2:$B$950,MATCH(connections!$A203,games!$A$2:$A$950,0)),""))</f>
        <v>2024</v>
      </c>
      <c r="U203">
        <f>IF(connections!$A203="","",IFERROR(INDEX(games!$B$2:$B$950,MATCH(connections!$B203,games!$A$2:$A$950,0)),""))</f>
        <v>2025</v>
      </c>
      <c r="V203">
        <f t="shared" si="51"/>
        <v>1</v>
      </c>
    </row>
    <row r="204" spans="1:22" x14ac:dyDescent="0.25">
      <c r="A204" t="str">
        <f>IF(games!$A204="","",games!$A204)</f>
        <v>Despot's Game</v>
      </c>
      <c r="B204">
        <f>IF($A204="","",games!$B204)</f>
        <v>2021</v>
      </c>
      <c r="C204" t="str">
        <f>IF($A204="","",games!$C204)</f>
        <v>Action</v>
      </c>
      <c r="D204">
        <f>IF($A204="","",COUNTIF(connections!$A$2:$A$1473,$A204)+COUNTIF(connections!$B$2:$B$1473,$A204))</f>
        <v>4</v>
      </c>
      <c r="E204">
        <f t="shared" si="39"/>
        <v>1</v>
      </c>
      <c r="F204">
        <f t="shared" si="40"/>
        <v>0</v>
      </c>
      <c r="G204">
        <f t="shared" si="41"/>
        <v>2021</v>
      </c>
      <c r="H204">
        <f t="shared" si="42"/>
        <v>1</v>
      </c>
      <c r="I204" t="e">
        <f t="shared" si="43"/>
        <v>#N/A</v>
      </c>
      <c r="J204" t="e">
        <f t="shared" si="44"/>
        <v>#N/A</v>
      </c>
      <c r="K204" t="e">
        <f t="shared" si="45"/>
        <v>#N/A</v>
      </c>
      <c r="L204" t="e">
        <f t="shared" si="46"/>
        <v>#N/A</v>
      </c>
      <c r="M204" t="e">
        <f t="shared" si="47"/>
        <v>#N/A</v>
      </c>
      <c r="N204" t="e">
        <f t="shared" si="48"/>
        <v>#N/A</v>
      </c>
      <c r="O204">
        <f t="shared" si="49"/>
        <v>4.0002040000000001</v>
      </c>
      <c r="P204" t="str">
        <f>IF(OR($A204="",games!$H204=""),"",games!$H204)</f>
        <v>Yes</v>
      </c>
      <c r="Q204">
        <f t="shared" si="50"/>
        <v>4.0002040000000001</v>
      </c>
      <c r="T204">
        <f>IF(connections!$A204="","",IFERROR(INDEX(games!$B$2:$B$950,MATCH(connections!$A204,games!$A$2:$A$950,0)),""))</f>
        <v>2018</v>
      </c>
      <c r="U204">
        <f>IF(connections!$A204="","",IFERROR(INDEX(games!$B$2:$B$950,MATCH(connections!$B204,games!$A$2:$A$950,0)),""))</f>
        <v>2025</v>
      </c>
      <c r="V204">
        <f t="shared" si="51"/>
        <v>7</v>
      </c>
    </row>
    <row r="205" spans="1:22" x14ac:dyDescent="0.25">
      <c r="A205" t="str">
        <f>IF(games!$A205="","",games!$A205)</f>
        <v>Devil Slayer: Raksasi</v>
      </c>
      <c r="B205">
        <f>IF($A205="","",games!$B205)</f>
        <v>2019</v>
      </c>
      <c r="C205" t="str">
        <f>IF($A205="","",games!$C205)</f>
        <v>Action</v>
      </c>
      <c r="D205">
        <f>IF($A205="","",COUNTIF(connections!$A$2:$A$1473,$A205)+COUNTIF(connections!$B$2:$B$1473,$A205))</f>
        <v>2</v>
      </c>
      <c r="E205">
        <f t="shared" si="39"/>
        <v>1</v>
      </c>
      <c r="F205">
        <f t="shared" si="40"/>
        <v>1</v>
      </c>
      <c r="G205">
        <f t="shared" si="41"/>
        <v>2019</v>
      </c>
      <c r="H205">
        <f t="shared" si="42"/>
        <v>1.0229999999999999</v>
      </c>
      <c r="I205" t="e">
        <f t="shared" si="43"/>
        <v>#N/A</v>
      </c>
      <c r="J205" t="e">
        <f t="shared" si="44"/>
        <v>#N/A</v>
      </c>
      <c r="K205" t="e">
        <f t="shared" si="45"/>
        <v>#N/A</v>
      </c>
      <c r="L205" t="e">
        <f t="shared" si="46"/>
        <v>#N/A</v>
      </c>
      <c r="M205" t="e">
        <f t="shared" si="47"/>
        <v>#N/A</v>
      </c>
      <c r="N205" t="e">
        <f t="shared" si="48"/>
        <v>#N/A</v>
      </c>
      <c r="O205">
        <f t="shared" si="49"/>
        <v>2.0002049999999998</v>
      </c>
      <c r="P205" t="str">
        <f>IF(OR($A205="",games!$H205=""),"",games!$H205)</f>
        <v/>
      </c>
      <c r="Q205" t="str">
        <f t="shared" si="50"/>
        <v/>
      </c>
      <c r="T205">
        <f>IF(connections!$A205="","",IFERROR(INDEX(games!$B$2:$B$950,MATCH(connections!$A205,games!$A$2:$A$950,0)),""))</f>
        <v>2022</v>
      </c>
      <c r="U205">
        <f>IF(connections!$A205="","",IFERROR(INDEX(games!$B$2:$B$950,MATCH(connections!$B205,games!$A$2:$A$950,0)),""))</f>
        <v>2023</v>
      </c>
      <c r="V205">
        <f t="shared" si="51"/>
        <v>1</v>
      </c>
    </row>
    <row r="206" spans="1:22" x14ac:dyDescent="0.25">
      <c r="A206" t="str">
        <f>IF(games!$A206="","",games!$A206)</f>
        <v>Diablo</v>
      </c>
      <c r="B206">
        <f>IF($A206="","",games!$B206)</f>
        <v>1996</v>
      </c>
      <c r="C206" t="str">
        <f>IF($A206="","",games!$C206)</f>
        <v>Action</v>
      </c>
      <c r="D206">
        <f>IF($A206="","",COUNTIF(connections!$A$2:$A$1473,$A206)+COUNTIF(connections!$B$2:$B$1473,$A206))</f>
        <v>33</v>
      </c>
      <c r="E206">
        <f t="shared" si="39"/>
        <v>1</v>
      </c>
      <c r="F206">
        <f t="shared" si="40"/>
        <v>2</v>
      </c>
      <c r="G206">
        <f t="shared" si="41"/>
        <v>1996</v>
      </c>
      <c r="H206">
        <f t="shared" si="42"/>
        <v>1.046</v>
      </c>
      <c r="I206" t="e">
        <f t="shared" si="43"/>
        <v>#N/A</v>
      </c>
      <c r="J206" t="e">
        <f t="shared" si="44"/>
        <v>#N/A</v>
      </c>
      <c r="K206" t="e">
        <f t="shared" si="45"/>
        <v>#N/A</v>
      </c>
      <c r="L206" t="e">
        <f t="shared" si="46"/>
        <v>#N/A</v>
      </c>
      <c r="M206" t="e">
        <f t="shared" si="47"/>
        <v>#N/A</v>
      </c>
      <c r="N206" t="e">
        <f t="shared" si="48"/>
        <v>#N/A</v>
      </c>
      <c r="O206">
        <f t="shared" si="49"/>
        <v>33.000205999999999</v>
      </c>
      <c r="P206" t="str">
        <f>IF(OR($A206="",games!$H206=""),"",games!$H206)</f>
        <v>Yes</v>
      </c>
      <c r="Q206">
        <f t="shared" si="50"/>
        <v>33.000205999999999</v>
      </c>
      <c r="T206">
        <f>IF(connections!$A206="","",IFERROR(INDEX(games!$B$2:$B$950,MATCH(connections!$A206,games!$A$2:$A$950,0)),""))</f>
        <v>2021</v>
      </c>
      <c r="U206">
        <f>IF(connections!$A206="","",IFERROR(INDEX(games!$B$2:$B$950,MATCH(connections!$B206,games!$A$2:$A$950,0)),""))</f>
        <v>2023</v>
      </c>
      <c r="V206">
        <f t="shared" si="51"/>
        <v>2</v>
      </c>
    </row>
    <row r="207" spans="1:22" x14ac:dyDescent="0.25">
      <c r="A207" t="str">
        <f>IF(games!$A207="","",games!$A207)</f>
        <v>Dice &amp; Fold</v>
      </c>
      <c r="B207">
        <f>IF($A207="","",games!$B207)</f>
        <v>2024</v>
      </c>
      <c r="C207" t="str">
        <f>IF($A207="","",games!$C207)</f>
        <v>Deckbuilder</v>
      </c>
      <c r="D207">
        <f>IF($A207="","",COUNTIF(connections!$A$2:$A$1473,$A207)+COUNTIF(connections!$B$2:$B$1473,$A207))</f>
        <v>3</v>
      </c>
      <c r="E207">
        <f t="shared" si="39"/>
        <v>3</v>
      </c>
      <c r="F207">
        <f t="shared" si="40"/>
        <v>3</v>
      </c>
      <c r="G207" t="e">
        <f t="shared" si="41"/>
        <v>#N/A</v>
      </c>
      <c r="H207" t="e">
        <f t="shared" si="42"/>
        <v>#N/A</v>
      </c>
      <c r="I207" t="e">
        <f t="shared" si="43"/>
        <v>#N/A</v>
      </c>
      <c r="J207" t="e">
        <f t="shared" si="44"/>
        <v>#N/A</v>
      </c>
      <c r="K207">
        <f t="shared" si="45"/>
        <v>2024</v>
      </c>
      <c r="L207">
        <f t="shared" si="46"/>
        <v>3.069</v>
      </c>
      <c r="M207" t="e">
        <f t="shared" si="47"/>
        <v>#N/A</v>
      </c>
      <c r="N207" t="e">
        <f t="shared" si="48"/>
        <v>#N/A</v>
      </c>
      <c r="O207">
        <f t="shared" si="49"/>
        <v>3.0002070000000001</v>
      </c>
      <c r="P207" t="str">
        <f>IF(OR($A207="",games!$H207=""),"",games!$H207)</f>
        <v>Yes</v>
      </c>
      <c r="Q207">
        <f t="shared" si="50"/>
        <v>3.0002070000000001</v>
      </c>
      <c r="T207">
        <f>IF(connections!$A207="","",IFERROR(INDEX(games!$B$2:$B$950,MATCH(connections!$A207,games!$A$2:$A$950,0)),""))</f>
        <v>2017</v>
      </c>
      <c r="U207">
        <f>IF(connections!$A207="","",IFERROR(INDEX(games!$B$2:$B$950,MATCH(connections!$B207,games!$A$2:$A$950,0)),""))</f>
        <v>2025</v>
      </c>
      <c r="V207">
        <f t="shared" si="51"/>
        <v>8</v>
      </c>
    </row>
    <row r="208" spans="1:22" x14ac:dyDescent="0.25">
      <c r="A208" t="str">
        <f>IF(games!$A208="","",games!$A208)</f>
        <v>Dice A Million</v>
      </c>
      <c r="B208">
        <f>IF($A208="","",games!$B208)</f>
        <v>2026</v>
      </c>
      <c r="C208" t="str">
        <f>IF($A208="","",games!$C208)</f>
        <v>Deckbuilder</v>
      </c>
      <c r="D208">
        <f>IF($A208="","",COUNTIF(connections!$A$2:$A$1473,$A208)+COUNTIF(connections!$B$2:$B$1473,$A208))</f>
        <v>2</v>
      </c>
      <c r="E208">
        <f t="shared" si="39"/>
        <v>3</v>
      </c>
      <c r="F208">
        <f t="shared" si="40"/>
        <v>4</v>
      </c>
      <c r="G208" t="e">
        <f t="shared" si="41"/>
        <v>#N/A</v>
      </c>
      <c r="H208" t="e">
        <f t="shared" si="42"/>
        <v>#N/A</v>
      </c>
      <c r="I208" t="e">
        <f t="shared" si="43"/>
        <v>#N/A</v>
      </c>
      <c r="J208" t="e">
        <f t="shared" si="44"/>
        <v>#N/A</v>
      </c>
      <c r="K208">
        <f t="shared" si="45"/>
        <v>2026</v>
      </c>
      <c r="L208">
        <f t="shared" si="46"/>
        <v>3.0920000000000001</v>
      </c>
      <c r="M208" t="e">
        <f t="shared" si="47"/>
        <v>#N/A</v>
      </c>
      <c r="N208" t="e">
        <f t="shared" si="48"/>
        <v>#N/A</v>
      </c>
      <c r="O208">
        <f t="shared" si="49"/>
        <v>2.0002080000000002</v>
      </c>
      <c r="P208" t="str">
        <f>IF(OR($A208="",games!$H208=""),"",games!$H208)</f>
        <v/>
      </c>
      <c r="Q208" t="str">
        <f t="shared" si="50"/>
        <v/>
      </c>
      <c r="T208">
        <f>IF(connections!$A208="","",IFERROR(INDEX(games!$B$2:$B$950,MATCH(connections!$A208,games!$A$2:$A$950,0)),""))</f>
        <v>2015</v>
      </c>
      <c r="U208">
        <f>IF(connections!$A208="","",IFERROR(INDEX(games!$B$2:$B$950,MATCH(connections!$B208,games!$A$2:$A$950,0)),""))</f>
        <v>2022</v>
      </c>
      <c r="V208">
        <f t="shared" si="51"/>
        <v>7</v>
      </c>
    </row>
    <row r="209" spans="1:22" x14ac:dyDescent="0.25">
      <c r="A209" t="str">
        <f>IF(games!$A209="","",games!$A209)</f>
        <v>Dice Legends</v>
      </c>
      <c r="B209">
        <f>IF($A209="","",games!$B209)</f>
        <v>2025</v>
      </c>
      <c r="C209" t="str">
        <f>IF($A209="","",games!$C209)</f>
        <v>Deckbuilder</v>
      </c>
      <c r="D209">
        <f>IF($A209="","",COUNTIF(connections!$A$2:$A$1473,$A209)+COUNTIF(connections!$B$2:$B$1473,$A209))</f>
        <v>1</v>
      </c>
      <c r="E209">
        <f t="shared" si="39"/>
        <v>3</v>
      </c>
      <c r="F209">
        <f t="shared" si="40"/>
        <v>5</v>
      </c>
      <c r="G209" t="e">
        <f t="shared" si="41"/>
        <v>#N/A</v>
      </c>
      <c r="H209" t="e">
        <f t="shared" si="42"/>
        <v>#N/A</v>
      </c>
      <c r="I209" t="e">
        <f t="shared" si="43"/>
        <v>#N/A</v>
      </c>
      <c r="J209" t="e">
        <f t="shared" si="44"/>
        <v>#N/A</v>
      </c>
      <c r="K209">
        <f t="shared" si="45"/>
        <v>2025</v>
      </c>
      <c r="L209">
        <f t="shared" si="46"/>
        <v>3.1150000000000002</v>
      </c>
      <c r="M209" t="e">
        <f t="shared" si="47"/>
        <v>#N/A</v>
      </c>
      <c r="N209" t="e">
        <f t="shared" si="48"/>
        <v>#N/A</v>
      </c>
      <c r="O209">
        <f t="shared" si="49"/>
        <v>1.0002089999999999</v>
      </c>
      <c r="P209" t="str">
        <f>IF(OR($A209="",games!$H209=""),"",games!$H209)</f>
        <v/>
      </c>
      <c r="Q209" t="str">
        <f t="shared" si="50"/>
        <v/>
      </c>
      <c r="T209">
        <f>IF(connections!$A209="","",IFERROR(INDEX(games!$B$2:$B$950,MATCH(connections!$A209,games!$A$2:$A$950,0)),""))</f>
        <v>2022</v>
      </c>
      <c r="U209">
        <f>IF(connections!$A209="","",IFERROR(INDEX(games!$B$2:$B$950,MATCH(connections!$B209,games!$A$2:$A$950,0)),""))</f>
        <v>2022</v>
      </c>
      <c r="V209">
        <f t="shared" si="51"/>
        <v>0</v>
      </c>
    </row>
    <row r="210" spans="1:22" x14ac:dyDescent="0.25">
      <c r="A210" t="str">
        <f>IF(games!$A210="","",games!$A210)</f>
        <v>Dice With Death</v>
      </c>
      <c r="B210">
        <f>IF($A210="","",games!$B210)</f>
        <v>2025</v>
      </c>
      <c r="C210" t="str">
        <f>IF($A210="","",games!$C210)</f>
        <v>Strategy</v>
      </c>
      <c r="D210">
        <f>IF($A210="","",COUNTIF(connections!$A$2:$A$1473,$A210)+COUNTIF(connections!$B$2:$B$1473,$A210))</f>
        <v>0</v>
      </c>
      <c r="E210">
        <f t="shared" si="39"/>
        <v>2</v>
      </c>
      <c r="F210">
        <f t="shared" si="40"/>
        <v>6</v>
      </c>
      <c r="G210" t="e">
        <f t="shared" si="41"/>
        <v>#N/A</v>
      </c>
      <c r="H210" t="e">
        <f t="shared" si="42"/>
        <v>#N/A</v>
      </c>
      <c r="I210">
        <f t="shared" si="43"/>
        <v>2025</v>
      </c>
      <c r="J210">
        <f t="shared" si="44"/>
        <v>2.1379999999999999</v>
      </c>
      <c r="K210" t="e">
        <f t="shared" si="45"/>
        <v>#N/A</v>
      </c>
      <c r="L210" t="e">
        <f t="shared" si="46"/>
        <v>#N/A</v>
      </c>
      <c r="M210" t="e">
        <f t="shared" si="47"/>
        <v>#N/A</v>
      </c>
      <c r="N210" t="e">
        <f t="shared" si="48"/>
        <v>#N/A</v>
      </c>
      <c r="O210">
        <f t="shared" si="49"/>
        <v>2.1000000000000001E-4</v>
      </c>
      <c r="P210" t="str">
        <f>IF(OR($A210="",games!$H210=""),"",games!$H210)</f>
        <v>Yes</v>
      </c>
      <c r="Q210">
        <f t="shared" si="50"/>
        <v>2.1000000000000001E-4</v>
      </c>
      <c r="T210">
        <f>IF(connections!$A210="","",IFERROR(INDEX(games!$B$2:$B$950,MATCH(connections!$A210,games!$A$2:$A$950,0)),""))</f>
        <v>2017</v>
      </c>
      <c r="U210">
        <f>IF(connections!$A210="","",IFERROR(INDEX(games!$B$2:$B$950,MATCH(connections!$B210,games!$A$2:$A$950,0)),""))</f>
        <v>2022</v>
      </c>
      <c r="V210">
        <f t="shared" si="51"/>
        <v>5</v>
      </c>
    </row>
    <row r="211" spans="1:22" x14ac:dyDescent="0.25">
      <c r="A211" t="str">
        <f>IF(games!$A211="","",games!$A211)</f>
        <v>Dicealot</v>
      </c>
      <c r="B211">
        <f>IF($A211="","",games!$B211)</f>
        <v>2025</v>
      </c>
      <c r="C211" t="str">
        <f>IF($A211="","",games!$C211)</f>
        <v>Deckbuilder</v>
      </c>
      <c r="D211">
        <f>IF($A211="","",COUNTIF(connections!$A$2:$A$1473,$A211)+COUNTIF(connections!$B$2:$B$1473,$A211))</f>
        <v>5</v>
      </c>
      <c r="E211">
        <f t="shared" si="39"/>
        <v>3</v>
      </c>
      <c r="F211">
        <f t="shared" si="40"/>
        <v>7</v>
      </c>
      <c r="G211" t="e">
        <f t="shared" si="41"/>
        <v>#N/A</v>
      </c>
      <c r="H211" t="e">
        <f t="shared" si="42"/>
        <v>#N/A</v>
      </c>
      <c r="I211" t="e">
        <f t="shared" si="43"/>
        <v>#N/A</v>
      </c>
      <c r="J211" t="e">
        <f t="shared" si="44"/>
        <v>#N/A</v>
      </c>
      <c r="K211">
        <f t="shared" si="45"/>
        <v>2025</v>
      </c>
      <c r="L211">
        <f t="shared" si="46"/>
        <v>3.161</v>
      </c>
      <c r="M211" t="e">
        <f t="shared" si="47"/>
        <v>#N/A</v>
      </c>
      <c r="N211" t="e">
        <f t="shared" si="48"/>
        <v>#N/A</v>
      </c>
      <c r="O211">
        <f t="shared" si="49"/>
        <v>5.0002110000000002</v>
      </c>
      <c r="P211" t="str">
        <f>IF(OR($A211="",games!$H211=""),"",games!$H211)</f>
        <v/>
      </c>
      <c r="Q211" t="str">
        <f t="shared" si="50"/>
        <v/>
      </c>
      <c r="T211">
        <f>IF(connections!$A211="","",IFERROR(INDEX(games!$B$2:$B$950,MATCH(connections!$A211,games!$A$2:$A$950,0)),""))</f>
        <v>2021</v>
      </c>
      <c r="U211">
        <f>IF(connections!$A211="","",IFERROR(INDEX(games!$B$2:$B$950,MATCH(connections!$B211,games!$A$2:$A$950,0)),""))</f>
        <v>2022</v>
      </c>
      <c r="V211">
        <f t="shared" si="51"/>
        <v>1</v>
      </c>
    </row>
    <row r="212" spans="1:22" x14ac:dyDescent="0.25">
      <c r="A212" t="str">
        <f>IF(games!$A212="","",games!$A212)</f>
        <v>Dicefolk</v>
      </c>
      <c r="B212">
        <f>IF($A212="","",games!$B212)</f>
        <v>2024</v>
      </c>
      <c r="C212" t="str">
        <f>IF($A212="","",games!$C212)</f>
        <v>Deckbuilder</v>
      </c>
      <c r="D212">
        <f>IF($A212="","",COUNTIF(connections!$A$2:$A$1473,$A212)+COUNTIF(connections!$B$2:$B$1473,$A212))</f>
        <v>6</v>
      </c>
      <c r="E212">
        <f t="shared" si="39"/>
        <v>3</v>
      </c>
      <c r="F212">
        <f t="shared" si="40"/>
        <v>8</v>
      </c>
      <c r="G212" t="e">
        <f t="shared" si="41"/>
        <v>#N/A</v>
      </c>
      <c r="H212" t="e">
        <f t="shared" si="42"/>
        <v>#N/A</v>
      </c>
      <c r="I212" t="e">
        <f t="shared" si="43"/>
        <v>#N/A</v>
      </c>
      <c r="J212" t="e">
        <f t="shared" si="44"/>
        <v>#N/A</v>
      </c>
      <c r="K212">
        <f t="shared" si="45"/>
        <v>2024</v>
      </c>
      <c r="L212">
        <f t="shared" si="46"/>
        <v>3.1840000000000002</v>
      </c>
      <c r="M212" t="e">
        <f t="shared" si="47"/>
        <v>#N/A</v>
      </c>
      <c r="N212" t="e">
        <f t="shared" si="48"/>
        <v>#N/A</v>
      </c>
      <c r="O212">
        <f t="shared" si="49"/>
        <v>6.0002120000000003</v>
      </c>
      <c r="P212" t="str">
        <f>IF(OR($A212="",games!$H212=""),"",games!$H212)</f>
        <v>Yes</v>
      </c>
      <c r="Q212">
        <f t="shared" si="50"/>
        <v>6.0002120000000003</v>
      </c>
      <c r="T212">
        <f>IF(connections!$A212="","",IFERROR(INDEX(games!$B$2:$B$950,MATCH(connections!$A212,games!$A$2:$A$950,0)),""))</f>
        <v>2015</v>
      </c>
      <c r="U212">
        <f>IF(connections!$A212="","",IFERROR(INDEX(games!$B$2:$B$950,MATCH(connections!$B212,games!$A$2:$A$950,0)),""))</f>
        <v>2019</v>
      </c>
      <c r="V212">
        <f t="shared" si="51"/>
        <v>4</v>
      </c>
    </row>
    <row r="213" spans="1:22" x14ac:dyDescent="0.25">
      <c r="A213" t="str">
        <f>IF(games!$A213="","",games!$A213)</f>
        <v>Diceomancer</v>
      </c>
      <c r="B213">
        <f>IF($A213="","",games!$B213)</f>
        <v>2024</v>
      </c>
      <c r="C213" t="str">
        <f>IF($A213="","",games!$C213)</f>
        <v>Deckbuilder</v>
      </c>
      <c r="D213">
        <f>IF($A213="","",COUNTIF(connections!$A$2:$A$1473,$A213)+COUNTIF(connections!$B$2:$B$1473,$A213))</f>
        <v>1</v>
      </c>
      <c r="E213">
        <f t="shared" si="39"/>
        <v>3</v>
      </c>
      <c r="F213">
        <f t="shared" si="40"/>
        <v>9</v>
      </c>
      <c r="G213" t="e">
        <f t="shared" si="41"/>
        <v>#N/A</v>
      </c>
      <c r="H213" t="e">
        <f t="shared" si="42"/>
        <v>#N/A</v>
      </c>
      <c r="I213" t="e">
        <f t="shared" si="43"/>
        <v>#N/A</v>
      </c>
      <c r="J213" t="e">
        <f t="shared" si="44"/>
        <v>#N/A</v>
      </c>
      <c r="K213">
        <f t="shared" si="45"/>
        <v>2024</v>
      </c>
      <c r="L213">
        <f t="shared" si="46"/>
        <v>3.2069999999999999</v>
      </c>
      <c r="M213" t="e">
        <f t="shared" si="47"/>
        <v>#N/A</v>
      </c>
      <c r="N213" t="e">
        <f t="shared" si="48"/>
        <v>#N/A</v>
      </c>
      <c r="O213">
        <f t="shared" si="49"/>
        <v>1.000213</v>
      </c>
      <c r="P213" t="str">
        <f>IF(OR($A213="",games!$H213=""),"",games!$H213)</f>
        <v>Yes</v>
      </c>
      <c r="Q213">
        <f t="shared" si="50"/>
        <v>1.000213</v>
      </c>
      <c r="T213">
        <f>IF(connections!$A213="","",IFERROR(INDEX(games!$B$2:$B$950,MATCH(connections!$A213,games!$A$2:$A$950,0)),""))</f>
        <v>2013</v>
      </c>
      <c r="U213">
        <f>IF(connections!$A213="","",IFERROR(INDEX(games!$B$2:$B$950,MATCH(connections!$B213,games!$A$2:$A$950,0)),""))</f>
        <v>2019</v>
      </c>
      <c r="V213">
        <f t="shared" si="51"/>
        <v>6</v>
      </c>
    </row>
    <row r="214" spans="1:22" x14ac:dyDescent="0.25">
      <c r="A214" t="str">
        <f>IF(games!$A214="","",games!$A214)</f>
        <v>Dicevaders</v>
      </c>
      <c r="B214">
        <f>IF($A214="","",games!$B214)</f>
        <v>2026</v>
      </c>
      <c r="C214" t="str">
        <f>IF($A214="","",games!$C214)</f>
        <v>Deckbuilder</v>
      </c>
      <c r="D214">
        <f>IF($A214="","",COUNTIF(connections!$A$2:$A$1473,$A214)+COUNTIF(connections!$B$2:$B$1473,$A214))</f>
        <v>4</v>
      </c>
      <c r="E214">
        <f t="shared" si="39"/>
        <v>3</v>
      </c>
      <c r="F214">
        <f t="shared" si="40"/>
        <v>10</v>
      </c>
      <c r="G214" t="e">
        <f t="shared" si="41"/>
        <v>#N/A</v>
      </c>
      <c r="H214" t="e">
        <f t="shared" si="42"/>
        <v>#N/A</v>
      </c>
      <c r="I214" t="e">
        <f t="shared" si="43"/>
        <v>#N/A</v>
      </c>
      <c r="J214" t="e">
        <f t="shared" si="44"/>
        <v>#N/A</v>
      </c>
      <c r="K214">
        <f t="shared" si="45"/>
        <v>2026</v>
      </c>
      <c r="L214">
        <f t="shared" si="46"/>
        <v>3.23</v>
      </c>
      <c r="M214" t="e">
        <f t="shared" si="47"/>
        <v>#N/A</v>
      </c>
      <c r="N214" t="e">
        <f t="shared" si="48"/>
        <v>#N/A</v>
      </c>
      <c r="O214">
        <f t="shared" si="49"/>
        <v>4.0002139999999997</v>
      </c>
      <c r="P214" t="str">
        <f>IF(OR($A214="",games!$H214=""),"",games!$H214)</f>
        <v/>
      </c>
      <c r="Q214" t="str">
        <f t="shared" si="50"/>
        <v/>
      </c>
      <c r="T214">
        <f>IF(connections!$A214="","",IFERROR(INDEX(games!$B$2:$B$950,MATCH(connections!$A214,games!$A$2:$A$950,0)),""))</f>
        <v>2011</v>
      </c>
      <c r="U214">
        <f>IF(connections!$A214="","",IFERROR(INDEX(games!$B$2:$B$950,MATCH(connections!$B214,games!$A$2:$A$950,0)),""))</f>
        <v>2019</v>
      </c>
      <c r="V214">
        <f t="shared" si="51"/>
        <v>8</v>
      </c>
    </row>
    <row r="215" spans="1:22" x14ac:dyDescent="0.25">
      <c r="A215" t="str">
        <f>IF(games!$A215="","",games!$A215)</f>
        <v>Dicey Dungeons</v>
      </c>
      <c r="B215">
        <f>IF($A215="","",games!$B215)</f>
        <v>2019</v>
      </c>
      <c r="C215" t="str">
        <f>IF($A215="","",games!$C215)</f>
        <v>Deckbuilder</v>
      </c>
      <c r="D215">
        <f>IF($A215="","",COUNTIF(connections!$A$2:$A$1473,$A215)+COUNTIF(connections!$B$2:$B$1473,$A215))</f>
        <v>11</v>
      </c>
      <c r="E215">
        <f t="shared" si="39"/>
        <v>3</v>
      </c>
      <c r="F215">
        <f t="shared" si="40"/>
        <v>11</v>
      </c>
      <c r="G215" t="e">
        <f t="shared" si="41"/>
        <v>#N/A</v>
      </c>
      <c r="H215" t="e">
        <f t="shared" si="42"/>
        <v>#N/A</v>
      </c>
      <c r="I215" t="e">
        <f t="shared" si="43"/>
        <v>#N/A</v>
      </c>
      <c r="J215" t="e">
        <f t="shared" si="44"/>
        <v>#N/A</v>
      </c>
      <c r="K215">
        <f t="shared" si="45"/>
        <v>2019</v>
      </c>
      <c r="L215">
        <f t="shared" si="46"/>
        <v>3.2530000000000001</v>
      </c>
      <c r="M215" t="e">
        <f t="shared" si="47"/>
        <v>#N/A</v>
      </c>
      <c r="N215" t="e">
        <f t="shared" si="48"/>
        <v>#N/A</v>
      </c>
      <c r="O215">
        <f t="shared" si="49"/>
        <v>11.000215000000001</v>
      </c>
      <c r="P215" t="str">
        <f>IF(OR($A215="",games!$H215=""),"",games!$H215)</f>
        <v>Yes</v>
      </c>
      <c r="Q215">
        <f t="shared" si="50"/>
        <v>11.000215000000001</v>
      </c>
      <c r="T215">
        <f>IF(connections!$A215="","",IFERROR(INDEX(games!$B$2:$B$950,MATCH(connections!$A215,games!$A$2:$A$950,0)),""))</f>
        <v>1997</v>
      </c>
      <c r="U215">
        <f>IF(connections!$A215="","",IFERROR(INDEX(games!$B$2:$B$950,MATCH(connections!$B215,games!$A$2:$A$950,0)),""))</f>
        <v>1998</v>
      </c>
      <c r="V215">
        <f t="shared" si="51"/>
        <v>1</v>
      </c>
    </row>
    <row r="216" spans="1:22" x14ac:dyDescent="0.25">
      <c r="A216" t="str">
        <f>IF(games!$A216="","",games!$A216)</f>
        <v>Die For The Lich</v>
      </c>
      <c r="B216">
        <f>IF($A216="","",games!$B216)</f>
        <v>2025</v>
      </c>
      <c r="C216" t="str">
        <f>IF($A216="","",games!$C216)</f>
        <v>Deckbuilder</v>
      </c>
      <c r="D216">
        <f>IF($A216="","",COUNTIF(connections!$A$2:$A$1473,$A216)+COUNTIF(connections!$B$2:$B$1473,$A216))</f>
        <v>3</v>
      </c>
      <c r="E216">
        <f t="shared" si="39"/>
        <v>3</v>
      </c>
      <c r="F216">
        <f t="shared" si="40"/>
        <v>12</v>
      </c>
      <c r="G216" t="e">
        <f t="shared" si="41"/>
        <v>#N/A</v>
      </c>
      <c r="H216" t="e">
        <f t="shared" si="42"/>
        <v>#N/A</v>
      </c>
      <c r="I216" t="e">
        <f t="shared" si="43"/>
        <v>#N/A</v>
      </c>
      <c r="J216" t="e">
        <f t="shared" si="44"/>
        <v>#N/A</v>
      </c>
      <c r="K216">
        <f t="shared" si="45"/>
        <v>2025</v>
      </c>
      <c r="L216">
        <f t="shared" si="46"/>
        <v>3.2759999999999998</v>
      </c>
      <c r="M216" t="e">
        <f t="shared" si="47"/>
        <v>#N/A</v>
      </c>
      <c r="N216" t="e">
        <f t="shared" si="48"/>
        <v>#N/A</v>
      </c>
      <c r="O216">
        <f t="shared" si="49"/>
        <v>3.000216</v>
      </c>
      <c r="P216" t="str">
        <f>IF(OR($A216="",games!$H216=""),"",games!$H216)</f>
        <v/>
      </c>
      <c r="Q216" t="str">
        <f t="shared" si="50"/>
        <v/>
      </c>
      <c r="T216">
        <f>IF(connections!$A216="","",IFERROR(INDEX(games!$B$2:$B$950,MATCH(connections!$A216,games!$A$2:$A$950,0)),""))</f>
        <v>1993</v>
      </c>
      <c r="U216">
        <f>IF(connections!$A216="","",IFERROR(INDEX(games!$B$2:$B$950,MATCH(connections!$B216,games!$A$2:$A$950,0)),""))</f>
        <v>1997</v>
      </c>
      <c r="V216">
        <f t="shared" si="51"/>
        <v>4</v>
      </c>
    </row>
    <row r="217" spans="1:22" x14ac:dyDescent="0.25">
      <c r="A217" t="str">
        <f>IF(games!$A217="","",games!$A217)</f>
        <v>Die in the Dungeon</v>
      </c>
      <c r="B217">
        <f>IF($A217="","",games!$B217)</f>
        <v>2025</v>
      </c>
      <c r="C217" t="str">
        <f>IF($A217="","",games!$C217)</f>
        <v>Deckbuilder</v>
      </c>
      <c r="D217">
        <f>IF($A217="","",COUNTIF(connections!$A$2:$A$1473,$A217)+COUNTIF(connections!$B$2:$B$1473,$A217))</f>
        <v>1</v>
      </c>
      <c r="E217">
        <f t="shared" si="39"/>
        <v>3</v>
      </c>
      <c r="F217">
        <f t="shared" si="40"/>
        <v>13</v>
      </c>
      <c r="G217" t="e">
        <f t="shared" si="41"/>
        <v>#N/A</v>
      </c>
      <c r="H217" t="e">
        <f t="shared" si="42"/>
        <v>#N/A</v>
      </c>
      <c r="I217" t="e">
        <f t="shared" si="43"/>
        <v>#N/A</v>
      </c>
      <c r="J217" t="e">
        <f t="shared" si="44"/>
        <v>#N/A</v>
      </c>
      <c r="K217">
        <f t="shared" si="45"/>
        <v>2025</v>
      </c>
      <c r="L217">
        <f t="shared" si="46"/>
        <v>3.2989999999999999</v>
      </c>
      <c r="M217" t="e">
        <f t="shared" si="47"/>
        <v>#N/A</v>
      </c>
      <c r="N217" t="e">
        <f t="shared" si="48"/>
        <v>#N/A</v>
      </c>
      <c r="O217">
        <f t="shared" si="49"/>
        <v>1.0002169999999999</v>
      </c>
      <c r="P217" t="str">
        <f>IF(OR($A217="",games!$H217=""),"",games!$H217)</f>
        <v>Yes</v>
      </c>
      <c r="Q217">
        <f t="shared" si="50"/>
        <v>1.0002169999999999</v>
      </c>
      <c r="T217">
        <f>IF(connections!$A217="","",IFERROR(INDEX(games!$B$2:$B$950,MATCH(connections!$A217,games!$A$2:$A$950,0)),""))</f>
        <v>2007</v>
      </c>
      <c r="U217">
        <f>IF(connections!$A217="","",IFERROR(INDEX(games!$B$2:$B$950,MATCH(connections!$B217,games!$A$2:$A$950,0)),""))</f>
        <v>2019</v>
      </c>
      <c r="V217">
        <f t="shared" si="51"/>
        <v>12</v>
      </c>
    </row>
    <row r="218" spans="1:22" x14ac:dyDescent="0.25">
      <c r="A218" t="str">
        <f>IF(games!$A218="","",games!$A218)</f>
        <v>DIG: Deep In Galaxies</v>
      </c>
      <c r="B218">
        <f>IF($A218="","",games!$B218)</f>
        <v>2021</v>
      </c>
      <c r="C218" t="str">
        <f>IF($A218="","",games!$C218)</f>
        <v>Action</v>
      </c>
      <c r="D218">
        <f>IF($A218="","",COUNTIF(connections!$A$2:$A$1473,$A218)+COUNTIF(connections!$B$2:$B$1473,$A218))</f>
        <v>0</v>
      </c>
      <c r="E218">
        <f t="shared" si="39"/>
        <v>1</v>
      </c>
      <c r="F218">
        <f t="shared" si="40"/>
        <v>14</v>
      </c>
      <c r="G218">
        <f t="shared" si="41"/>
        <v>2021</v>
      </c>
      <c r="H218">
        <f t="shared" si="42"/>
        <v>1.3220000000000001</v>
      </c>
      <c r="I218" t="e">
        <f t="shared" si="43"/>
        <v>#N/A</v>
      </c>
      <c r="J218" t="e">
        <f t="shared" si="44"/>
        <v>#N/A</v>
      </c>
      <c r="K218" t="e">
        <f t="shared" si="45"/>
        <v>#N/A</v>
      </c>
      <c r="L218" t="e">
        <f t="shared" si="46"/>
        <v>#N/A</v>
      </c>
      <c r="M218" t="e">
        <f t="shared" si="47"/>
        <v>#N/A</v>
      </c>
      <c r="N218" t="e">
        <f t="shared" si="48"/>
        <v>#N/A</v>
      </c>
      <c r="O218">
        <f t="shared" si="49"/>
        <v>2.1800000000000001E-4</v>
      </c>
      <c r="P218" t="str">
        <f>IF(OR($A218="",games!$H218=""),"",games!$H218)</f>
        <v>Yes</v>
      </c>
      <c r="Q218">
        <f t="shared" si="50"/>
        <v>2.1800000000000001E-4</v>
      </c>
      <c r="T218">
        <f>IF(connections!$A218="","",IFERROR(INDEX(games!$B$2:$B$950,MATCH(connections!$A218,games!$A$2:$A$950,0)),""))</f>
        <v>2022</v>
      </c>
      <c r="U218">
        <f>IF(connections!$A218="","",IFERROR(INDEX(games!$B$2:$B$950,MATCH(connections!$B218,games!$A$2:$A$950,0)),""))</f>
        <v>2023</v>
      </c>
      <c r="V218">
        <f t="shared" si="51"/>
        <v>1</v>
      </c>
    </row>
    <row r="219" spans="1:22" x14ac:dyDescent="0.25">
      <c r="A219" t="str">
        <f>IF(games!$A219="","",games!$A219)</f>
        <v>Dimensionals</v>
      </c>
      <c r="B219">
        <f>IF($A219="","",games!$B219)</f>
        <v>2024</v>
      </c>
      <c r="C219" t="str">
        <f>IF($A219="","",games!$C219)</f>
        <v>Deckbuilder</v>
      </c>
      <c r="D219">
        <f>IF($A219="","",COUNTIF(connections!$A$2:$A$1473,$A219)+COUNTIF(connections!$B$2:$B$1473,$A219))</f>
        <v>1</v>
      </c>
      <c r="E219">
        <f t="shared" si="39"/>
        <v>3</v>
      </c>
      <c r="F219">
        <f t="shared" si="40"/>
        <v>15</v>
      </c>
      <c r="G219" t="e">
        <f t="shared" si="41"/>
        <v>#N/A</v>
      </c>
      <c r="H219" t="e">
        <f t="shared" si="42"/>
        <v>#N/A</v>
      </c>
      <c r="I219" t="e">
        <f t="shared" si="43"/>
        <v>#N/A</v>
      </c>
      <c r="J219" t="e">
        <f t="shared" si="44"/>
        <v>#N/A</v>
      </c>
      <c r="K219">
        <f t="shared" si="45"/>
        <v>2024</v>
      </c>
      <c r="L219">
        <f t="shared" si="46"/>
        <v>3.3449999999999998</v>
      </c>
      <c r="M219" t="e">
        <f t="shared" si="47"/>
        <v>#N/A</v>
      </c>
      <c r="N219" t="e">
        <f t="shared" si="48"/>
        <v>#N/A</v>
      </c>
      <c r="O219">
        <f t="shared" si="49"/>
        <v>1.000219</v>
      </c>
      <c r="P219" t="str">
        <f>IF(OR($A219="",games!$H219=""),"",games!$H219)</f>
        <v/>
      </c>
      <c r="Q219" t="str">
        <f t="shared" si="50"/>
        <v/>
      </c>
      <c r="T219">
        <f>IF(connections!$A219="","",IFERROR(INDEX(games!$B$2:$B$950,MATCH(connections!$A219,games!$A$2:$A$950,0)),""))</f>
        <v>2021</v>
      </c>
      <c r="U219">
        <f>IF(connections!$A219="","",IFERROR(INDEX(games!$B$2:$B$950,MATCH(connections!$B219,games!$A$2:$A$950,0)),""))</f>
        <v>2023</v>
      </c>
      <c r="V219">
        <f t="shared" si="51"/>
        <v>2</v>
      </c>
    </row>
    <row r="220" spans="1:22" x14ac:dyDescent="0.25">
      <c r="A220" t="str">
        <f>IF(games!$A220="","",games!$A220)</f>
        <v>Disfigure</v>
      </c>
      <c r="B220">
        <f>IF($A220="","",games!$B220)</f>
        <v>2023</v>
      </c>
      <c r="C220" t="str">
        <f>IF($A220="","",games!$C220)</f>
        <v>Action</v>
      </c>
      <c r="D220">
        <f>IF($A220="","",COUNTIF(connections!$A$2:$A$1473,$A220)+COUNTIF(connections!$B$2:$B$1473,$A220))</f>
        <v>2</v>
      </c>
      <c r="E220">
        <f t="shared" si="39"/>
        <v>1</v>
      </c>
      <c r="F220">
        <f t="shared" si="40"/>
        <v>16</v>
      </c>
      <c r="G220">
        <f t="shared" si="41"/>
        <v>2023</v>
      </c>
      <c r="H220">
        <f t="shared" si="42"/>
        <v>1.3679999999999999</v>
      </c>
      <c r="I220" t="e">
        <f t="shared" si="43"/>
        <v>#N/A</v>
      </c>
      <c r="J220" t="e">
        <f t="shared" si="44"/>
        <v>#N/A</v>
      </c>
      <c r="K220" t="e">
        <f t="shared" si="45"/>
        <v>#N/A</v>
      </c>
      <c r="L220" t="e">
        <f t="shared" si="46"/>
        <v>#N/A</v>
      </c>
      <c r="M220" t="e">
        <f t="shared" si="47"/>
        <v>#N/A</v>
      </c>
      <c r="N220" t="e">
        <f t="shared" si="48"/>
        <v>#N/A</v>
      </c>
      <c r="O220">
        <f t="shared" si="49"/>
        <v>2.0002200000000001</v>
      </c>
      <c r="P220" t="str">
        <f>IF(OR($A220="",games!$H220=""),"",games!$H220)</f>
        <v>Yes</v>
      </c>
      <c r="Q220">
        <f t="shared" si="50"/>
        <v>2.0002200000000001</v>
      </c>
      <c r="T220">
        <f>IF(connections!$A220="","",IFERROR(INDEX(games!$B$2:$B$950,MATCH(connections!$A220,games!$A$2:$A$950,0)),""))</f>
        <v>2023</v>
      </c>
      <c r="U220">
        <f>IF(connections!$A220="","",IFERROR(INDEX(games!$B$2:$B$950,MATCH(connections!$B220,games!$A$2:$A$950,0)),""))</f>
        <v>2025</v>
      </c>
      <c r="V220">
        <f t="shared" si="51"/>
        <v>2</v>
      </c>
    </row>
    <row r="221" spans="1:22" x14ac:dyDescent="0.25">
      <c r="A221" t="str">
        <f>IF(games!$A221="","",games!$A221)</f>
        <v>Dive or Die: Children of Rain</v>
      </c>
      <c r="B221">
        <f>IF($A221="","",games!$B221)</f>
        <v>2026</v>
      </c>
      <c r="C221" t="str">
        <f>IF($A221="","",games!$C221)</f>
        <v>Action</v>
      </c>
      <c r="D221">
        <f>IF($A221="","",COUNTIF(connections!$A$2:$A$1473,$A221)+COUNTIF(connections!$B$2:$B$1473,$A221))</f>
        <v>1</v>
      </c>
      <c r="E221">
        <f t="shared" si="39"/>
        <v>1</v>
      </c>
      <c r="F221">
        <f t="shared" si="40"/>
        <v>17</v>
      </c>
      <c r="G221">
        <f t="shared" si="41"/>
        <v>2026</v>
      </c>
      <c r="H221">
        <f t="shared" si="42"/>
        <v>1.391</v>
      </c>
      <c r="I221" t="e">
        <f t="shared" si="43"/>
        <v>#N/A</v>
      </c>
      <c r="J221" t="e">
        <f t="shared" si="44"/>
        <v>#N/A</v>
      </c>
      <c r="K221" t="e">
        <f t="shared" si="45"/>
        <v>#N/A</v>
      </c>
      <c r="L221" t="e">
        <f t="shared" si="46"/>
        <v>#N/A</v>
      </c>
      <c r="M221" t="e">
        <f t="shared" si="47"/>
        <v>#N/A</v>
      </c>
      <c r="N221" t="e">
        <f t="shared" si="48"/>
        <v>#N/A</v>
      </c>
      <c r="O221">
        <f t="shared" si="49"/>
        <v>1.000221</v>
      </c>
      <c r="P221" t="str">
        <f>IF(OR($A221="",games!$H221=""),"",games!$H221)</f>
        <v/>
      </c>
      <c r="Q221" t="str">
        <f t="shared" si="50"/>
        <v/>
      </c>
      <c r="T221">
        <f>IF(connections!$A221="","",IFERROR(INDEX(games!$B$2:$B$950,MATCH(connections!$A221,games!$A$2:$A$950,0)),""))</f>
        <v>2023</v>
      </c>
      <c r="U221">
        <f>IF(connections!$A221="","",IFERROR(INDEX(games!$B$2:$B$950,MATCH(connections!$B221,games!$A$2:$A$950,0)),""))</f>
        <v>2026</v>
      </c>
      <c r="V221">
        <f t="shared" si="51"/>
        <v>3</v>
      </c>
    </row>
    <row r="222" spans="1:22" x14ac:dyDescent="0.25">
      <c r="A222" t="str">
        <f>IF(games!$A222="","",games!$A222)</f>
        <v>Dog and Goblin</v>
      </c>
      <c r="B222">
        <f>IF($A222="","",games!$B222)</f>
        <v>2024</v>
      </c>
      <c r="C222" t="str">
        <f>IF($A222="","",games!$C222)</f>
        <v>Deckbuilder</v>
      </c>
      <c r="D222">
        <f>IF($A222="","",COUNTIF(connections!$A$2:$A$1473,$A222)+COUNTIF(connections!$B$2:$B$1473,$A222))</f>
        <v>1</v>
      </c>
      <c r="E222">
        <f t="shared" si="39"/>
        <v>3</v>
      </c>
      <c r="F222">
        <f t="shared" si="40"/>
        <v>18</v>
      </c>
      <c r="G222" t="e">
        <f t="shared" si="41"/>
        <v>#N/A</v>
      </c>
      <c r="H222" t="e">
        <f t="shared" si="42"/>
        <v>#N/A</v>
      </c>
      <c r="I222" t="e">
        <f t="shared" si="43"/>
        <v>#N/A</v>
      </c>
      <c r="J222" t="e">
        <f t="shared" si="44"/>
        <v>#N/A</v>
      </c>
      <c r="K222">
        <f t="shared" si="45"/>
        <v>2024</v>
      </c>
      <c r="L222">
        <f t="shared" si="46"/>
        <v>3.4140000000000001</v>
      </c>
      <c r="M222" t="e">
        <f t="shared" si="47"/>
        <v>#N/A</v>
      </c>
      <c r="N222" t="e">
        <f t="shared" si="48"/>
        <v>#N/A</v>
      </c>
      <c r="O222">
        <f t="shared" si="49"/>
        <v>1.0002219999999999</v>
      </c>
      <c r="P222" t="str">
        <f>IF(OR($A222="",games!$H222=""),"",games!$H222)</f>
        <v/>
      </c>
      <c r="Q222" t="str">
        <f t="shared" si="50"/>
        <v/>
      </c>
      <c r="T222">
        <f>IF(connections!$A222="","",IFERROR(INDEX(games!$B$2:$B$950,MATCH(connections!$A222,games!$A$2:$A$950,0)),""))</f>
        <v>2021</v>
      </c>
      <c r="U222">
        <f>IF(connections!$A222="","",IFERROR(INDEX(games!$B$2:$B$950,MATCH(connections!$B222,games!$A$2:$A$950,0)),""))</f>
        <v>2026</v>
      </c>
      <c r="V222">
        <f t="shared" si="51"/>
        <v>5</v>
      </c>
    </row>
    <row r="223" spans="1:22" x14ac:dyDescent="0.25">
      <c r="A223" t="str">
        <f>IF(games!$A223="","",games!$A223)</f>
        <v>Dog Witch</v>
      </c>
      <c r="B223">
        <f>IF($A223="","",games!$B223)</f>
        <v>2025</v>
      </c>
      <c r="C223" t="str">
        <f>IF($A223="","",games!$C223)</f>
        <v>Deckbuilder</v>
      </c>
      <c r="D223">
        <f>IF($A223="","",COUNTIF(connections!$A$2:$A$1473,$A223)+COUNTIF(connections!$B$2:$B$1473,$A223))</f>
        <v>2</v>
      </c>
      <c r="E223">
        <f t="shared" si="39"/>
        <v>3</v>
      </c>
      <c r="F223">
        <f t="shared" si="40"/>
        <v>19</v>
      </c>
      <c r="G223" t="e">
        <f t="shared" si="41"/>
        <v>#N/A</v>
      </c>
      <c r="H223" t="e">
        <f t="shared" si="42"/>
        <v>#N/A</v>
      </c>
      <c r="I223" t="e">
        <f t="shared" si="43"/>
        <v>#N/A</v>
      </c>
      <c r="J223" t="e">
        <f t="shared" si="44"/>
        <v>#N/A</v>
      </c>
      <c r="K223">
        <f t="shared" si="45"/>
        <v>2025</v>
      </c>
      <c r="L223">
        <f t="shared" si="46"/>
        <v>3.4369999999999998</v>
      </c>
      <c r="M223" t="e">
        <f t="shared" si="47"/>
        <v>#N/A</v>
      </c>
      <c r="N223" t="e">
        <f t="shared" si="48"/>
        <v>#N/A</v>
      </c>
      <c r="O223">
        <f t="shared" si="49"/>
        <v>2.0002230000000001</v>
      </c>
      <c r="P223" t="str">
        <f>IF(OR($A223="",games!$H223=""),"",games!$H223)</f>
        <v/>
      </c>
      <c r="Q223" t="str">
        <f t="shared" si="50"/>
        <v/>
      </c>
      <c r="T223">
        <f>IF(connections!$A223="","",IFERROR(INDEX(games!$B$2:$B$950,MATCH(connections!$A223,games!$A$2:$A$950,0)),""))</f>
        <v>2015</v>
      </c>
      <c r="U223">
        <f>IF(connections!$A223="","",IFERROR(INDEX(games!$B$2:$B$950,MATCH(connections!$B223,games!$A$2:$A$950,0)),""))</f>
        <v>2019</v>
      </c>
      <c r="V223">
        <f t="shared" si="51"/>
        <v>4</v>
      </c>
    </row>
    <row r="224" spans="1:22" x14ac:dyDescent="0.25">
      <c r="A224" t="str">
        <f>IF(games!$A224="","",games!$A224)</f>
        <v>Dogpile</v>
      </c>
      <c r="B224">
        <f>IF($A224="","",games!$B224)</f>
        <v>2025</v>
      </c>
      <c r="C224" t="str">
        <f>IF($A224="","",games!$C224)</f>
        <v>Deckbuilder</v>
      </c>
      <c r="D224">
        <f>IF($A224="","",COUNTIF(connections!$A$2:$A$1473,$A224)+COUNTIF(connections!$B$2:$B$1473,$A224))</f>
        <v>1</v>
      </c>
      <c r="E224">
        <f t="shared" si="39"/>
        <v>3</v>
      </c>
      <c r="F224">
        <f t="shared" si="40"/>
        <v>20</v>
      </c>
      <c r="G224" t="e">
        <f t="shared" si="41"/>
        <v>#N/A</v>
      </c>
      <c r="H224" t="e">
        <f t="shared" si="42"/>
        <v>#N/A</v>
      </c>
      <c r="I224" t="e">
        <f t="shared" si="43"/>
        <v>#N/A</v>
      </c>
      <c r="J224" t="e">
        <f t="shared" si="44"/>
        <v>#N/A</v>
      </c>
      <c r="K224">
        <f t="shared" si="45"/>
        <v>2025</v>
      </c>
      <c r="L224">
        <f t="shared" si="46"/>
        <v>3.46</v>
      </c>
      <c r="M224" t="e">
        <f t="shared" si="47"/>
        <v>#N/A</v>
      </c>
      <c r="N224" t="e">
        <f t="shared" si="48"/>
        <v>#N/A</v>
      </c>
      <c r="O224">
        <f t="shared" si="49"/>
        <v>1.000224</v>
      </c>
      <c r="P224" t="str">
        <f>IF(OR($A224="",games!$H224=""),"",games!$H224)</f>
        <v>Yes</v>
      </c>
      <c r="Q224">
        <f t="shared" si="50"/>
        <v>1.000224</v>
      </c>
      <c r="T224">
        <f>IF(connections!$A224="","",IFERROR(INDEX(games!$B$2:$B$950,MATCH(connections!$A224,games!$A$2:$A$950,0)),""))</f>
        <v>2017</v>
      </c>
      <c r="U224">
        <f>IF(connections!$A224="","",IFERROR(INDEX(games!$B$2:$B$950,MATCH(connections!$B224,games!$A$2:$A$950,0)),""))</f>
        <v>2019</v>
      </c>
      <c r="V224">
        <f t="shared" si="51"/>
        <v>2</v>
      </c>
    </row>
    <row r="225" spans="1:22" x14ac:dyDescent="0.25">
      <c r="A225" t="str">
        <f>IF(games!$A225="","",games!$A225)</f>
        <v>Dome Keeper</v>
      </c>
      <c r="B225">
        <f>IF($A225="","",games!$B225)</f>
        <v>2022</v>
      </c>
      <c r="C225" t="str">
        <f>IF($A225="","",games!$C225)</f>
        <v>Strategy</v>
      </c>
      <c r="D225">
        <f>IF($A225="","",COUNTIF(connections!$A$2:$A$1473,$A225)+COUNTIF(connections!$B$2:$B$1473,$A225))</f>
        <v>7</v>
      </c>
      <c r="E225">
        <f t="shared" si="39"/>
        <v>2</v>
      </c>
      <c r="F225">
        <f t="shared" si="40"/>
        <v>21</v>
      </c>
      <c r="G225" t="e">
        <f t="shared" si="41"/>
        <v>#N/A</v>
      </c>
      <c r="H225" t="e">
        <f t="shared" si="42"/>
        <v>#N/A</v>
      </c>
      <c r="I225">
        <f t="shared" si="43"/>
        <v>2022</v>
      </c>
      <c r="J225">
        <f t="shared" si="44"/>
        <v>2.4830000000000001</v>
      </c>
      <c r="K225" t="e">
        <f t="shared" si="45"/>
        <v>#N/A</v>
      </c>
      <c r="L225" t="e">
        <f t="shared" si="46"/>
        <v>#N/A</v>
      </c>
      <c r="M225" t="e">
        <f t="shared" si="47"/>
        <v>#N/A</v>
      </c>
      <c r="N225" t="e">
        <f t="shared" si="48"/>
        <v>#N/A</v>
      </c>
      <c r="O225">
        <f t="shared" si="49"/>
        <v>7.0002250000000004</v>
      </c>
      <c r="P225" t="str">
        <f>IF(OR($A225="",games!$H225=""),"",games!$H225)</f>
        <v>Yes</v>
      </c>
      <c r="Q225">
        <f t="shared" si="50"/>
        <v>7.0002250000000004</v>
      </c>
      <c r="T225">
        <f>IF(connections!$A225="","",IFERROR(INDEX(games!$B$2:$B$950,MATCH(connections!$A225,games!$A$2:$A$950,0)),""))</f>
        <v>2022</v>
      </c>
      <c r="U225">
        <f>IF(connections!$A225="","",IFERROR(INDEX(games!$B$2:$B$950,MATCH(connections!$B225,games!$A$2:$A$950,0)),""))</f>
        <v>2026</v>
      </c>
      <c r="V225">
        <f t="shared" si="51"/>
        <v>4</v>
      </c>
    </row>
    <row r="226" spans="1:22" x14ac:dyDescent="0.25">
      <c r="A226" t="str">
        <f>IF(games!$A226="","",games!$A226)</f>
        <v>Don't Let It Starve</v>
      </c>
      <c r="B226">
        <f>IF($A226="","",games!$B226)</f>
        <v>2026</v>
      </c>
      <c r="C226" t="str">
        <f>IF($A226="","",games!$C226)</f>
        <v>Strategy</v>
      </c>
      <c r="D226">
        <f>IF($A226="","",COUNTIF(connections!$A$2:$A$1473,$A226)+COUNTIF(connections!$B$2:$B$1473,$A226))</f>
        <v>1</v>
      </c>
      <c r="E226">
        <f t="shared" si="39"/>
        <v>2</v>
      </c>
      <c r="F226">
        <f t="shared" si="40"/>
        <v>22</v>
      </c>
      <c r="G226" t="e">
        <f t="shared" si="41"/>
        <v>#N/A</v>
      </c>
      <c r="H226" t="e">
        <f t="shared" si="42"/>
        <v>#N/A</v>
      </c>
      <c r="I226">
        <f t="shared" si="43"/>
        <v>2026</v>
      </c>
      <c r="J226">
        <f t="shared" si="44"/>
        <v>2.5060000000000002</v>
      </c>
      <c r="K226" t="e">
        <f t="shared" si="45"/>
        <v>#N/A</v>
      </c>
      <c r="L226" t="e">
        <f t="shared" si="46"/>
        <v>#N/A</v>
      </c>
      <c r="M226" t="e">
        <f t="shared" si="47"/>
        <v>#N/A</v>
      </c>
      <c r="N226" t="e">
        <f t="shared" si="48"/>
        <v>#N/A</v>
      </c>
      <c r="O226">
        <f t="shared" si="49"/>
        <v>1.0002260000000001</v>
      </c>
      <c r="P226" t="str">
        <f>IF(OR($A226="",games!$H226=""),"",games!$H226)</f>
        <v/>
      </c>
      <c r="Q226" t="str">
        <f t="shared" si="50"/>
        <v/>
      </c>
      <c r="T226">
        <f>IF(connections!$A226="","",IFERROR(INDEX(games!$B$2:$B$950,MATCH(connections!$A226,games!$A$2:$A$950,0)),""))</f>
        <v>2019</v>
      </c>
      <c r="U226">
        <f>IF(connections!$A226="","",IFERROR(INDEX(games!$B$2:$B$950,MATCH(connections!$B226,games!$A$2:$A$950,0)),""))</f>
        <v>2026</v>
      </c>
      <c r="V226">
        <f t="shared" si="51"/>
        <v>7</v>
      </c>
    </row>
    <row r="227" spans="1:22" x14ac:dyDescent="0.25">
      <c r="A227" t="str">
        <f>IF(games!$A227="","",games!$A227)</f>
        <v>Don't Lose Aggro</v>
      </c>
      <c r="B227">
        <f>IF($A227="","",games!$B227)</f>
        <v>2026</v>
      </c>
      <c r="C227" t="str">
        <f>IF($A227="","",games!$C227)</f>
        <v>Action</v>
      </c>
      <c r="D227">
        <f>IF($A227="","",COUNTIF(connections!$A$2:$A$1473,$A227)+COUNTIF(connections!$B$2:$B$1473,$A227))</f>
        <v>0</v>
      </c>
      <c r="E227">
        <f t="shared" si="39"/>
        <v>1</v>
      </c>
      <c r="F227">
        <f t="shared" si="40"/>
        <v>23</v>
      </c>
      <c r="G227">
        <f t="shared" si="41"/>
        <v>2026</v>
      </c>
      <c r="H227">
        <f t="shared" si="42"/>
        <v>1.5289999999999999</v>
      </c>
      <c r="I227" t="e">
        <f t="shared" si="43"/>
        <v>#N/A</v>
      </c>
      <c r="J227" t="e">
        <f t="shared" si="44"/>
        <v>#N/A</v>
      </c>
      <c r="K227" t="e">
        <f t="shared" si="45"/>
        <v>#N/A</v>
      </c>
      <c r="L227" t="e">
        <f t="shared" si="46"/>
        <v>#N/A</v>
      </c>
      <c r="M227" t="e">
        <f t="shared" si="47"/>
        <v>#N/A</v>
      </c>
      <c r="N227" t="e">
        <f t="shared" si="48"/>
        <v>#N/A</v>
      </c>
      <c r="O227">
        <f t="shared" si="49"/>
        <v>2.2699999999999999E-4</v>
      </c>
      <c r="P227" t="str">
        <f>IF(OR($A227="",games!$H227=""),"",games!$H227)</f>
        <v/>
      </c>
      <c r="Q227" t="str">
        <f t="shared" si="50"/>
        <v/>
      </c>
      <c r="T227">
        <f>IF(connections!$A227="","",IFERROR(INDEX(games!$B$2:$B$950,MATCH(connections!$A227,games!$A$2:$A$950,0)),""))</f>
        <v>2022</v>
      </c>
      <c r="U227">
        <f>IF(connections!$A227="","",IFERROR(INDEX(games!$B$2:$B$950,MATCH(connections!$B227,games!$A$2:$A$950,0)),""))</f>
        <v>2025</v>
      </c>
      <c r="V227">
        <f t="shared" si="51"/>
        <v>3</v>
      </c>
    </row>
    <row r="228" spans="1:22" x14ac:dyDescent="0.25">
      <c r="A228" t="str">
        <f>IF(games!$A228="","",games!$A228)</f>
        <v>Don't Starve</v>
      </c>
      <c r="B228">
        <f>IF($A228="","",games!$B228)</f>
        <v>2013</v>
      </c>
      <c r="C228" t="str">
        <f>IF($A228="","",games!$C228)</f>
        <v>Action</v>
      </c>
      <c r="D228">
        <f>IF($A228="","",COUNTIF(connections!$A$2:$A$1473,$A228)+COUNTIF(connections!$B$2:$B$1473,$A228))</f>
        <v>7</v>
      </c>
      <c r="E228">
        <f t="shared" si="39"/>
        <v>1</v>
      </c>
      <c r="F228">
        <f t="shared" si="40"/>
        <v>24</v>
      </c>
      <c r="G228">
        <f t="shared" si="41"/>
        <v>2013</v>
      </c>
      <c r="H228">
        <f t="shared" si="42"/>
        <v>1.552</v>
      </c>
      <c r="I228" t="e">
        <f t="shared" si="43"/>
        <v>#N/A</v>
      </c>
      <c r="J228" t="e">
        <f t="shared" si="44"/>
        <v>#N/A</v>
      </c>
      <c r="K228" t="e">
        <f t="shared" si="45"/>
        <v>#N/A</v>
      </c>
      <c r="L228" t="e">
        <f t="shared" si="46"/>
        <v>#N/A</v>
      </c>
      <c r="M228" t="e">
        <f t="shared" si="47"/>
        <v>#N/A</v>
      </c>
      <c r="N228" t="e">
        <f t="shared" si="48"/>
        <v>#N/A</v>
      </c>
      <c r="O228">
        <f t="shared" si="49"/>
        <v>7.0002279999999999</v>
      </c>
      <c r="P228" t="str">
        <f>IF(OR($A228="",games!$H228=""),"",games!$H228)</f>
        <v>Yes</v>
      </c>
      <c r="Q228">
        <f t="shared" si="50"/>
        <v>7.0002279999999999</v>
      </c>
      <c r="T228">
        <f>IF(connections!$A228="","",IFERROR(INDEX(games!$B$2:$B$950,MATCH(connections!$A228,games!$A$2:$A$950,0)),""))</f>
        <v>2019</v>
      </c>
      <c r="U228">
        <f>IF(connections!$A228="","",IFERROR(INDEX(games!$B$2:$B$950,MATCH(connections!$B228,games!$A$2:$A$950,0)),""))</f>
        <v>2025</v>
      </c>
      <c r="V228">
        <f t="shared" si="51"/>
        <v>6</v>
      </c>
    </row>
    <row r="229" spans="1:22" x14ac:dyDescent="0.25">
      <c r="A229" t="str">
        <f>IF(games!$A229="","",games!$A229)</f>
        <v>Don't Starve Together</v>
      </c>
      <c r="B229">
        <f>IF($A229="","",games!$B229)</f>
        <v>2014</v>
      </c>
      <c r="C229" t="str">
        <f>IF($A229="","",games!$C229)</f>
        <v>Action</v>
      </c>
      <c r="D229">
        <f>IF($A229="","",COUNTIF(connections!$A$2:$A$1473,$A229)+COUNTIF(connections!$B$2:$B$1473,$A229))</f>
        <v>2</v>
      </c>
      <c r="E229">
        <f t="shared" si="39"/>
        <v>1</v>
      </c>
      <c r="F229">
        <f t="shared" si="40"/>
        <v>25</v>
      </c>
      <c r="G229">
        <f t="shared" si="41"/>
        <v>2014</v>
      </c>
      <c r="H229">
        <f t="shared" si="42"/>
        <v>1.575</v>
      </c>
      <c r="I229" t="e">
        <f t="shared" si="43"/>
        <v>#N/A</v>
      </c>
      <c r="J229" t="e">
        <f t="shared" si="44"/>
        <v>#N/A</v>
      </c>
      <c r="K229" t="e">
        <f t="shared" si="45"/>
        <v>#N/A</v>
      </c>
      <c r="L229" t="e">
        <f t="shared" si="46"/>
        <v>#N/A</v>
      </c>
      <c r="M229" t="e">
        <f t="shared" si="47"/>
        <v>#N/A</v>
      </c>
      <c r="N229" t="e">
        <f t="shared" si="48"/>
        <v>#N/A</v>
      </c>
      <c r="O229">
        <f t="shared" si="49"/>
        <v>2.000229</v>
      </c>
      <c r="P229" t="str">
        <f>IF(OR($A229="",games!$H229=""),"",games!$H229)</f>
        <v>Yes</v>
      </c>
      <c r="Q229">
        <f t="shared" si="50"/>
        <v>2.000229</v>
      </c>
      <c r="T229">
        <f>IF(connections!$A229="","",IFERROR(INDEX(games!$B$2:$B$950,MATCH(connections!$A229,games!$A$2:$A$950,0)),""))</f>
        <v>2008</v>
      </c>
      <c r="U229">
        <f>IF(connections!$A229="","",IFERROR(INDEX(games!$B$2:$B$950,MATCH(connections!$B229,games!$A$2:$A$950,0)),""))</f>
        <v>2025</v>
      </c>
      <c r="V229">
        <f t="shared" si="51"/>
        <v>17</v>
      </c>
    </row>
    <row r="230" spans="1:22" x14ac:dyDescent="0.25">
      <c r="A230" t="str">
        <f>IF(games!$A230="","",games!$A230)</f>
        <v>DoomRL</v>
      </c>
      <c r="B230">
        <f>IF($A230="","",games!$B230)</f>
        <v>2002</v>
      </c>
      <c r="C230" t="str">
        <f>IF($A230="","",games!$C230)</f>
        <v>Traditional</v>
      </c>
      <c r="D230">
        <f>IF($A230="","",COUNTIF(connections!$A$2:$A$1473,$A230)+COUNTIF(connections!$B$2:$B$1473,$A230))</f>
        <v>8</v>
      </c>
      <c r="E230">
        <f t="shared" si="39"/>
        <v>4</v>
      </c>
      <c r="F230">
        <f t="shared" si="40"/>
        <v>26</v>
      </c>
      <c r="G230" t="e">
        <f t="shared" si="41"/>
        <v>#N/A</v>
      </c>
      <c r="H230" t="e">
        <f t="shared" si="42"/>
        <v>#N/A</v>
      </c>
      <c r="I230" t="e">
        <f t="shared" si="43"/>
        <v>#N/A</v>
      </c>
      <c r="J230" t="e">
        <f t="shared" si="44"/>
        <v>#N/A</v>
      </c>
      <c r="K230" t="e">
        <f t="shared" si="45"/>
        <v>#N/A</v>
      </c>
      <c r="L230" t="e">
        <f t="shared" si="46"/>
        <v>#N/A</v>
      </c>
      <c r="M230">
        <f t="shared" si="47"/>
        <v>2002</v>
      </c>
      <c r="N230">
        <f t="shared" si="48"/>
        <v>4.5979999999999999</v>
      </c>
      <c r="O230">
        <f t="shared" si="49"/>
        <v>8.0002300000000002</v>
      </c>
      <c r="P230" t="str">
        <f>IF(OR($A230="",games!$H230=""),"",games!$H230)</f>
        <v/>
      </c>
      <c r="Q230" t="str">
        <f t="shared" si="50"/>
        <v/>
      </c>
      <c r="T230">
        <f>IF(connections!$A230="","",IFERROR(INDEX(games!$B$2:$B$950,MATCH(connections!$A230,games!$A$2:$A$950,0)),""))</f>
        <v>2023</v>
      </c>
      <c r="U230">
        <f>IF(connections!$A230="","",IFERROR(INDEX(games!$B$2:$B$950,MATCH(connections!$B230,games!$A$2:$A$950,0)),""))</f>
        <v>2025</v>
      </c>
      <c r="V230">
        <f t="shared" si="51"/>
        <v>2</v>
      </c>
    </row>
    <row r="231" spans="1:22" x14ac:dyDescent="0.25">
      <c r="A231" t="str">
        <f>IF(games!$A231="","",games!$A231)</f>
        <v>Dota Auto Chess</v>
      </c>
      <c r="B231">
        <f>IF($A231="","",games!$B231)</f>
        <v>2019</v>
      </c>
      <c r="C231" t="str">
        <f>IF($A231="","",games!$C231)</f>
        <v>Strategy</v>
      </c>
      <c r="D231">
        <f>IF($A231="","",COUNTIF(connections!$A$2:$A$1473,$A231)+COUNTIF(connections!$B$2:$B$1473,$A231))</f>
        <v>7</v>
      </c>
      <c r="E231">
        <f t="shared" si="39"/>
        <v>2</v>
      </c>
      <c r="F231">
        <f t="shared" si="40"/>
        <v>27</v>
      </c>
      <c r="G231" t="e">
        <f t="shared" si="41"/>
        <v>#N/A</v>
      </c>
      <c r="H231" t="e">
        <f t="shared" si="42"/>
        <v>#N/A</v>
      </c>
      <c r="I231">
        <f t="shared" si="43"/>
        <v>2019</v>
      </c>
      <c r="J231">
        <f t="shared" si="44"/>
        <v>2.621</v>
      </c>
      <c r="K231" t="e">
        <f t="shared" si="45"/>
        <v>#N/A</v>
      </c>
      <c r="L231" t="e">
        <f t="shared" si="46"/>
        <v>#N/A</v>
      </c>
      <c r="M231" t="e">
        <f t="shared" si="47"/>
        <v>#N/A</v>
      </c>
      <c r="N231" t="e">
        <f t="shared" si="48"/>
        <v>#N/A</v>
      </c>
      <c r="O231">
        <f t="shared" si="49"/>
        <v>7.0002310000000003</v>
      </c>
      <c r="P231" t="str">
        <f>IF(OR($A231="",games!$H231=""),"",games!$H231)</f>
        <v/>
      </c>
      <c r="Q231" t="str">
        <f t="shared" si="50"/>
        <v/>
      </c>
      <c r="T231">
        <f>IF(connections!$A231="","",IFERROR(INDEX(games!$B$2:$B$950,MATCH(connections!$A231,games!$A$2:$A$950,0)),""))</f>
        <v>2023</v>
      </c>
      <c r="U231">
        <f>IF(connections!$A231="","",IFERROR(INDEX(games!$B$2:$B$950,MATCH(connections!$B231,games!$A$2:$A$950,0)),""))</f>
        <v>2025</v>
      </c>
      <c r="V231">
        <f t="shared" si="51"/>
        <v>2</v>
      </c>
    </row>
    <row r="232" spans="1:22" x14ac:dyDescent="0.25">
      <c r="A232" t="str">
        <f>IF(games!$A232="","",games!$A232)</f>
        <v>Double Dragon Gaiden: Rise Of The Dragons</v>
      </c>
      <c r="B232">
        <f>IF($A232="","",games!$B232)</f>
        <v>2023</v>
      </c>
      <c r="C232" t="str">
        <f>IF($A232="","",games!$C232)</f>
        <v>Action</v>
      </c>
      <c r="D232">
        <f>IF($A232="","",COUNTIF(connections!$A$2:$A$1473,$A232)+COUNTIF(connections!$B$2:$B$1473,$A232))</f>
        <v>0</v>
      </c>
      <c r="E232">
        <f t="shared" si="39"/>
        <v>1</v>
      </c>
      <c r="F232">
        <f t="shared" si="40"/>
        <v>28</v>
      </c>
      <c r="G232">
        <f t="shared" si="41"/>
        <v>2023</v>
      </c>
      <c r="H232">
        <f t="shared" si="42"/>
        <v>1.6440000000000001</v>
      </c>
      <c r="I232" t="e">
        <f t="shared" si="43"/>
        <v>#N/A</v>
      </c>
      <c r="J232" t="e">
        <f t="shared" si="44"/>
        <v>#N/A</v>
      </c>
      <c r="K232" t="e">
        <f t="shared" si="45"/>
        <v>#N/A</v>
      </c>
      <c r="L232" t="e">
        <f t="shared" si="46"/>
        <v>#N/A</v>
      </c>
      <c r="M232" t="e">
        <f t="shared" si="47"/>
        <v>#N/A</v>
      </c>
      <c r="N232" t="e">
        <f t="shared" si="48"/>
        <v>#N/A</v>
      </c>
      <c r="O232">
        <f t="shared" si="49"/>
        <v>2.32E-4</v>
      </c>
      <c r="P232" t="str">
        <f>IF(OR($A232="",games!$H232=""),"",games!$H232)</f>
        <v>Yes</v>
      </c>
      <c r="Q232">
        <f t="shared" si="50"/>
        <v>2.32E-4</v>
      </c>
      <c r="T232">
        <f>IF(connections!$A232="","",IFERROR(INDEX(games!$B$2:$B$950,MATCH(connections!$A232,games!$A$2:$A$950,0)),""))</f>
        <v>2022</v>
      </c>
      <c r="U232">
        <f>IF(connections!$A232="","",IFERROR(INDEX(games!$B$2:$B$950,MATCH(connections!$B232,games!$A$2:$A$950,0)),""))</f>
        <v>2024</v>
      </c>
      <c r="V232">
        <f t="shared" si="51"/>
        <v>2</v>
      </c>
    </row>
    <row r="233" spans="1:22" x14ac:dyDescent="0.25">
      <c r="A233" t="str">
        <f>IF(games!$A233="","",games!$A233)</f>
        <v>Downwell</v>
      </c>
      <c r="B233">
        <f>IF($A233="","",games!$B233)</f>
        <v>2015</v>
      </c>
      <c r="C233" t="str">
        <f>IF($A233="","",games!$C233)</f>
        <v>Action</v>
      </c>
      <c r="D233">
        <f>IF($A233="","",COUNTIF(connections!$A$2:$A$1473,$A233)+COUNTIF(connections!$B$2:$B$1473,$A233))</f>
        <v>10</v>
      </c>
      <c r="E233">
        <f t="shared" si="39"/>
        <v>1</v>
      </c>
      <c r="F233">
        <f t="shared" si="40"/>
        <v>29</v>
      </c>
      <c r="G233">
        <f t="shared" si="41"/>
        <v>2015</v>
      </c>
      <c r="H233">
        <f t="shared" si="42"/>
        <v>1.667</v>
      </c>
      <c r="I233" t="e">
        <f t="shared" si="43"/>
        <v>#N/A</v>
      </c>
      <c r="J233" t="e">
        <f t="shared" si="44"/>
        <v>#N/A</v>
      </c>
      <c r="K233" t="e">
        <f t="shared" si="45"/>
        <v>#N/A</v>
      </c>
      <c r="L233" t="e">
        <f t="shared" si="46"/>
        <v>#N/A</v>
      </c>
      <c r="M233" t="e">
        <f t="shared" si="47"/>
        <v>#N/A</v>
      </c>
      <c r="N233" t="e">
        <f t="shared" si="48"/>
        <v>#N/A</v>
      </c>
      <c r="O233">
        <f t="shared" si="49"/>
        <v>10.000233</v>
      </c>
      <c r="P233" t="str">
        <f>IF(OR($A233="",games!$H233=""),"",games!$H233)</f>
        <v>Yes</v>
      </c>
      <c r="Q233">
        <f t="shared" si="50"/>
        <v>10.000233</v>
      </c>
      <c r="T233">
        <f>IF(connections!$A233="","",IFERROR(INDEX(games!$B$2:$B$950,MATCH(connections!$A233,games!$A$2:$A$950,0)),""))</f>
        <v>2017</v>
      </c>
      <c r="U233">
        <f>IF(connections!$A233="","",IFERROR(INDEX(games!$B$2:$B$950,MATCH(connections!$B233,games!$A$2:$A$950,0)),""))</f>
        <v>2024</v>
      </c>
      <c r="V233">
        <f t="shared" si="51"/>
        <v>7</v>
      </c>
    </row>
    <row r="234" spans="1:22" x14ac:dyDescent="0.25">
      <c r="A234" t="str">
        <f>IF(games!$A234="","",games!$A234)</f>
        <v>Dragon Crystal</v>
      </c>
      <c r="B234">
        <f>IF($A234="","",games!$B234)</f>
        <v>1990</v>
      </c>
      <c r="C234" t="str">
        <f>IF($A234="","",games!$C234)</f>
        <v>Traditional</v>
      </c>
      <c r="D234">
        <f>IF($A234="","",COUNTIF(connections!$A$2:$A$1473,$A234)+COUNTIF(connections!$B$2:$B$1473,$A234))</f>
        <v>1</v>
      </c>
      <c r="E234">
        <f t="shared" si="39"/>
        <v>4</v>
      </c>
      <c r="F234">
        <f t="shared" si="40"/>
        <v>30</v>
      </c>
      <c r="G234" t="e">
        <f t="shared" si="41"/>
        <v>#N/A</v>
      </c>
      <c r="H234" t="e">
        <f t="shared" si="42"/>
        <v>#N/A</v>
      </c>
      <c r="I234" t="e">
        <f t="shared" si="43"/>
        <v>#N/A</v>
      </c>
      <c r="J234" t="e">
        <f t="shared" si="44"/>
        <v>#N/A</v>
      </c>
      <c r="K234" t="e">
        <f t="shared" si="45"/>
        <v>#N/A</v>
      </c>
      <c r="L234" t="e">
        <f t="shared" si="46"/>
        <v>#N/A</v>
      </c>
      <c r="M234">
        <f t="shared" si="47"/>
        <v>1990</v>
      </c>
      <c r="N234">
        <f t="shared" si="48"/>
        <v>4.6899999999999995</v>
      </c>
      <c r="O234">
        <f t="shared" si="49"/>
        <v>1.0002340000000001</v>
      </c>
      <c r="P234" t="str">
        <f>IF(OR($A234="",games!$H234=""),"",games!$H234)</f>
        <v>Yes</v>
      </c>
      <c r="Q234">
        <f t="shared" si="50"/>
        <v>1.0002340000000001</v>
      </c>
      <c r="T234">
        <f>IF(connections!$A234="","",IFERROR(INDEX(games!$B$2:$B$950,MATCH(connections!$A234,games!$A$2:$A$950,0)),""))</f>
        <v>2011</v>
      </c>
      <c r="U234">
        <f>IF(connections!$A234="","",IFERROR(INDEX(games!$B$2:$B$950,MATCH(connections!$B234,games!$A$2:$A$950,0)),""))</f>
        <v>2024</v>
      </c>
      <c r="V234">
        <f t="shared" si="51"/>
        <v>13</v>
      </c>
    </row>
    <row r="235" spans="1:22" x14ac:dyDescent="0.25">
      <c r="A235" t="str">
        <f>IF(games!$A235="","",games!$A235)</f>
        <v>Dragon Quest Heroes: Torneko‘s Mystery Dungeon Classic HD</v>
      </c>
      <c r="B235">
        <f>IF($A235="","",games!$B235)</f>
        <v>2026</v>
      </c>
      <c r="C235" t="str">
        <f>IF($A235="","",games!$C235)</f>
        <v>Traditional</v>
      </c>
      <c r="D235">
        <f>IF($A235="","",COUNTIF(connections!$A$2:$A$1473,$A235)+COUNTIF(connections!$B$2:$B$1473,$A235))</f>
        <v>1</v>
      </c>
      <c r="E235">
        <f t="shared" si="39"/>
        <v>4</v>
      </c>
      <c r="F235">
        <f t="shared" si="40"/>
        <v>31</v>
      </c>
      <c r="G235" t="e">
        <f t="shared" si="41"/>
        <v>#N/A</v>
      </c>
      <c r="H235" t="e">
        <f t="shared" si="42"/>
        <v>#N/A</v>
      </c>
      <c r="I235" t="e">
        <f t="shared" si="43"/>
        <v>#N/A</v>
      </c>
      <c r="J235" t="e">
        <f t="shared" si="44"/>
        <v>#N/A</v>
      </c>
      <c r="K235" t="e">
        <f t="shared" si="45"/>
        <v>#N/A</v>
      </c>
      <c r="L235" t="e">
        <f t="shared" si="46"/>
        <v>#N/A</v>
      </c>
      <c r="M235">
        <f t="shared" si="47"/>
        <v>2026</v>
      </c>
      <c r="N235">
        <f t="shared" si="48"/>
        <v>4.7130000000000001</v>
      </c>
      <c r="O235">
        <f t="shared" si="49"/>
        <v>1.000235</v>
      </c>
      <c r="P235" t="str">
        <f>IF(OR($A235="",games!$H235=""),"",games!$H235)</f>
        <v/>
      </c>
      <c r="Q235" t="str">
        <f t="shared" si="50"/>
        <v/>
      </c>
      <c r="T235">
        <f>IF(connections!$A235="","",IFERROR(INDEX(games!$B$2:$B$950,MATCH(connections!$A235,games!$A$2:$A$950,0)),""))</f>
        <v>2023</v>
      </c>
      <c r="U235">
        <f>IF(connections!$A235="","",IFERROR(INDEX(games!$B$2:$B$950,MATCH(connections!$B235,games!$A$2:$A$950,0)),""))</f>
        <v>2025</v>
      </c>
      <c r="V235">
        <f t="shared" si="51"/>
        <v>2</v>
      </c>
    </row>
    <row r="236" spans="1:22" x14ac:dyDescent="0.25">
      <c r="A236" t="str">
        <f>IF(games!$A236="","",games!$A236)</f>
        <v>Dragon Quest: Young Yangus and the Mystery Dungeon</v>
      </c>
      <c r="B236">
        <f>IF($A236="","",games!$B236)</f>
        <v>2006</v>
      </c>
      <c r="C236" t="str">
        <f>IF($A236="","",games!$C236)</f>
        <v>Traditional</v>
      </c>
      <c r="D236">
        <f>IF($A236="","",COUNTIF(connections!$A$2:$A$1473,$A236)+COUNTIF(connections!$B$2:$B$1473,$A236))</f>
        <v>1</v>
      </c>
      <c r="E236">
        <f t="shared" si="39"/>
        <v>4</v>
      </c>
      <c r="F236">
        <f t="shared" si="40"/>
        <v>32</v>
      </c>
      <c r="G236" t="e">
        <f t="shared" si="41"/>
        <v>#N/A</v>
      </c>
      <c r="H236" t="e">
        <f t="shared" si="42"/>
        <v>#N/A</v>
      </c>
      <c r="I236" t="e">
        <f t="shared" si="43"/>
        <v>#N/A</v>
      </c>
      <c r="J236" t="e">
        <f t="shared" si="44"/>
        <v>#N/A</v>
      </c>
      <c r="K236" t="e">
        <f t="shared" si="45"/>
        <v>#N/A</v>
      </c>
      <c r="L236" t="e">
        <f t="shared" si="46"/>
        <v>#N/A</v>
      </c>
      <c r="M236">
        <f t="shared" si="47"/>
        <v>2006</v>
      </c>
      <c r="N236">
        <f t="shared" si="48"/>
        <v>4.7359999999999998</v>
      </c>
      <c r="O236">
        <f t="shared" si="49"/>
        <v>1.0002359999999999</v>
      </c>
      <c r="P236" t="str">
        <f>IF(OR($A236="",games!$H236=""),"",games!$H236)</f>
        <v>Yes</v>
      </c>
      <c r="Q236">
        <f t="shared" si="50"/>
        <v>1.0002359999999999</v>
      </c>
      <c r="T236">
        <f>IF(connections!$A236="","",IFERROR(INDEX(games!$B$2:$B$950,MATCH(connections!$A236,games!$A$2:$A$950,0)),""))</f>
        <v>2019</v>
      </c>
      <c r="U236">
        <f>IF(connections!$A236="","",IFERROR(INDEX(games!$B$2:$B$950,MATCH(connections!$B236,games!$A$2:$A$950,0)),""))</f>
        <v>2023</v>
      </c>
      <c r="V236">
        <f t="shared" si="51"/>
        <v>4</v>
      </c>
    </row>
    <row r="237" spans="1:22" x14ac:dyDescent="0.25">
      <c r="A237" t="str">
        <f>IF(games!$A237="","",games!$A237)</f>
        <v>Dragonslayer</v>
      </c>
      <c r="B237">
        <f>IF($A237="","",games!$B237)</f>
        <v>2003</v>
      </c>
      <c r="C237" t="str">
        <f>IF($A237="","",games!$C237)</f>
        <v>Traditional</v>
      </c>
      <c r="D237">
        <f>IF($A237="","",COUNTIF(connections!$A$2:$A$1473,$A237)+COUNTIF(connections!$B$2:$B$1473,$A237))</f>
        <v>1</v>
      </c>
      <c r="E237">
        <f t="shared" si="39"/>
        <v>4</v>
      </c>
      <c r="F237">
        <f t="shared" si="40"/>
        <v>33</v>
      </c>
      <c r="G237" t="e">
        <f t="shared" si="41"/>
        <v>#N/A</v>
      </c>
      <c r="H237" t="e">
        <f t="shared" si="42"/>
        <v>#N/A</v>
      </c>
      <c r="I237" t="e">
        <f t="shared" si="43"/>
        <v>#N/A</v>
      </c>
      <c r="J237" t="e">
        <f t="shared" si="44"/>
        <v>#N/A</v>
      </c>
      <c r="K237" t="e">
        <f t="shared" si="45"/>
        <v>#N/A</v>
      </c>
      <c r="L237" t="e">
        <f t="shared" si="46"/>
        <v>#N/A</v>
      </c>
      <c r="M237">
        <f t="shared" si="47"/>
        <v>2003</v>
      </c>
      <c r="N237">
        <f t="shared" si="48"/>
        <v>4.7590000000000003</v>
      </c>
      <c r="O237">
        <f t="shared" si="49"/>
        <v>1.000237</v>
      </c>
      <c r="P237" t="str">
        <f>IF(OR($A237="",games!$H237=""),"",games!$H237)</f>
        <v/>
      </c>
      <c r="Q237" t="str">
        <f t="shared" si="50"/>
        <v/>
      </c>
      <c r="T237">
        <f>IF(connections!$A237="","",IFERROR(INDEX(games!$B$2:$B$950,MATCH(connections!$A237,games!$A$2:$A$950,0)),""))</f>
        <v>2021</v>
      </c>
      <c r="U237">
        <f>IF(connections!$A237="","",IFERROR(INDEX(games!$B$2:$B$950,MATCH(connections!$B237,games!$A$2:$A$950,0)),""))</f>
        <v>2023</v>
      </c>
      <c r="V237">
        <f t="shared" si="51"/>
        <v>2</v>
      </c>
    </row>
    <row r="238" spans="1:22" x14ac:dyDescent="0.25">
      <c r="A238" t="str">
        <f>IF(games!$A238="","",games!$A238)</f>
        <v>Drapline</v>
      </c>
      <c r="B238">
        <f>IF($A238="","",games!$B238)</f>
        <v>2025</v>
      </c>
      <c r="C238" t="str">
        <f>IF($A238="","",games!$C238)</f>
        <v>Strategy</v>
      </c>
      <c r="D238">
        <f>IF($A238="","",COUNTIF(connections!$A$2:$A$1473,$A238)+COUNTIF(connections!$B$2:$B$1473,$A238))</f>
        <v>1</v>
      </c>
      <c r="E238">
        <f t="shared" si="39"/>
        <v>2</v>
      </c>
      <c r="F238">
        <f t="shared" si="40"/>
        <v>0</v>
      </c>
      <c r="G238" t="e">
        <f t="shared" si="41"/>
        <v>#N/A</v>
      </c>
      <c r="H238" t="e">
        <f t="shared" si="42"/>
        <v>#N/A</v>
      </c>
      <c r="I238">
        <f t="shared" si="43"/>
        <v>2025</v>
      </c>
      <c r="J238">
        <f t="shared" si="44"/>
        <v>2</v>
      </c>
      <c r="K238" t="e">
        <f t="shared" si="45"/>
        <v>#N/A</v>
      </c>
      <c r="L238" t="e">
        <f t="shared" si="46"/>
        <v>#N/A</v>
      </c>
      <c r="M238" t="e">
        <f t="shared" si="47"/>
        <v>#N/A</v>
      </c>
      <c r="N238" t="e">
        <f t="shared" si="48"/>
        <v>#N/A</v>
      </c>
      <c r="O238">
        <f t="shared" si="49"/>
        <v>1.000238</v>
      </c>
      <c r="P238" t="str">
        <f>IF(OR($A238="",games!$H238=""),"",games!$H238)</f>
        <v>Yes</v>
      </c>
      <c r="Q238">
        <f t="shared" si="50"/>
        <v>1.000238</v>
      </c>
      <c r="T238">
        <f>IF(connections!$A238="","",IFERROR(INDEX(games!$B$2:$B$950,MATCH(connections!$A238,games!$A$2:$A$950,0)),""))</f>
        <v>2018</v>
      </c>
      <c r="U238">
        <f>IF(connections!$A238="","",IFERROR(INDEX(games!$B$2:$B$950,MATCH(connections!$B238,games!$A$2:$A$950,0)),""))</f>
        <v>2023</v>
      </c>
      <c r="V238">
        <f t="shared" si="51"/>
        <v>5</v>
      </c>
    </row>
    <row r="239" spans="1:22" x14ac:dyDescent="0.25">
      <c r="A239" t="str">
        <f>IF(games!$A239="","",games!$A239)</f>
        <v>Dream Quest</v>
      </c>
      <c r="B239">
        <f>IF($A239="","",games!$B239)</f>
        <v>2014</v>
      </c>
      <c r="C239" t="str">
        <f>IF($A239="","",games!$C239)</f>
        <v>Deckbuilder</v>
      </c>
      <c r="D239">
        <f>IF($A239="","",COUNTIF(connections!$A$2:$A$1473,$A239)+COUNTIF(connections!$B$2:$B$1473,$A239))</f>
        <v>4</v>
      </c>
      <c r="E239">
        <f t="shared" si="39"/>
        <v>3</v>
      </c>
      <c r="F239">
        <f t="shared" si="40"/>
        <v>1</v>
      </c>
      <c r="G239" t="e">
        <f t="shared" si="41"/>
        <v>#N/A</v>
      </c>
      <c r="H239" t="e">
        <f t="shared" si="42"/>
        <v>#N/A</v>
      </c>
      <c r="I239" t="e">
        <f t="shared" si="43"/>
        <v>#N/A</v>
      </c>
      <c r="J239" t="e">
        <f t="shared" si="44"/>
        <v>#N/A</v>
      </c>
      <c r="K239">
        <f t="shared" si="45"/>
        <v>2014</v>
      </c>
      <c r="L239">
        <f t="shared" si="46"/>
        <v>3.0230000000000001</v>
      </c>
      <c r="M239" t="e">
        <f t="shared" si="47"/>
        <v>#N/A</v>
      </c>
      <c r="N239" t="e">
        <f t="shared" si="48"/>
        <v>#N/A</v>
      </c>
      <c r="O239">
        <f t="shared" si="49"/>
        <v>4.0002389999999997</v>
      </c>
      <c r="P239" t="str">
        <f>IF(OR($A239="",games!$H239=""),"",games!$H239)</f>
        <v/>
      </c>
      <c r="Q239" t="str">
        <f t="shared" si="50"/>
        <v/>
      </c>
      <c r="T239">
        <f>IF(connections!$A239="","",IFERROR(INDEX(games!$B$2:$B$950,MATCH(connections!$A239,games!$A$2:$A$950,0)),""))</f>
        <v>2017</v>
      </c>
      <c r="U239">
        <f>IF(connections!$A239="","",IFERROR(INDEX(games!$B$2:$B$950,MATCH(connections!$B239,games!$A$2:$A$950,0)),""))</f>
        <v>2023</v>
      </c>
      <c r="V239">
        <f t="shared" si="51"/>
        <v>6</v>
      </c>
    </row>
    <row r="240" spans="1:22" x14ac:dyDescent="0.25">
      <c r="A240" t="str">
        <f>IF(games!$A240="","",games!$A240)</f>
        <v>Dreamscaper</v>
      </c>
      <c r="B240">
        <f>IF($A240="","",games!$B240)</f>
        <v>2020</v>
      </c>
      <c r="C240" t="str">
        <f>IF($A240="","",games!$C240)</f>
        <v>Action</v>
      </c>
      <c r="D240">
        <f>IF($A240="","",COUNTIF(connections!$A$2:$A$1473,$A240)+COUNTIF(connections!$B$2:$B$1473,$A240))</f>
        <v>3</v>
      </c>
      <c r="E240">
        <f t="shared" si="39"/>
        <v>1</v>
      </c>
      <c r="F240">
        <f t="shared" si="40"/>
        <v>2</v>
      </c>
      <c r="G240">
        <f t="shared" si="41"/>
        <v>2020</v>
      </c>
      <c r="H240">
        <f t="shared" si="42"/>
        <v>1.046</v>
      </c>
      <c r="I240" t="e">
        <f t="shared" si="43"/>
        <v>#N/A</v>
      </c>
      <c r="J240" t="e">
        <f t="shared" si="44"/>
        <v>#N/A</v>
      </c>
      <c r="K240" t="e">
        <f t="shared" si="45"/>
        <v>#N/A</v>
      </c>
      <c r="L240" t="e">
        <f t="shared" si="46"/>
        <v>#N/A</v>
      </c>
      <c r="M240" t="e">
        <f t="shared" si="47"/>
        <v>#N/A</v>
      </c>
      <c r="N240" t="e">
        <f t="shared" si="48"/>
        <v>#N/A</v>
      </c>
      <c r="O240">
        <f t="shared" si="49"/>
        <v>3.0002399999999998</v>
      </c>
      <c r="P240" t="str">
        <f>IF(OR($A240="",games!$H240=""),"",games!$H240)</f>
        <v>Yes</v>
      </c>
      <c r="Q240">
        <f t="shared" si="50"/>
        <v>3.0002399999999998</v>
      </c>
      <c r="T240">
        <f>IF(connections!$A240="","",IFERROR(INDEX(games!$B$2:$B$950,MATCH(connections!$A240,games!$A$2:$A$950,0)),""))</f>
        <v>2006</v>
      </c>
      <c r="U240">
        <f>IF(connections!$A240="","",IFERROR(INDEX(games!$B$2:$B$950,MATCH(connections!$B240,games!$A$2:$A$950,0)),""))</f>
        <v>2017</v>
      </c>
      <c r="V240">
        <f t="shared" si="51"/>
        <v>11</v>
      </c>
    </row>
    <row r="241" spans="1:22" x14ac:dyDescent="0.25">
      <c r="A241" t="str">
        <f>IF(games!$A241="","",games!$A241)</f>
        <v>Drill Core</v>
      </c>
      <c r="B241">
        <f>IF($A241="","",games!$B241)</f>
        <v>2024</v>
      </c>
      <c r="C241" t="str">
        <f>IF($A241="","",games!$C241)</f>
        <v>Strategy</v>
      </c>
      <c r="D241">
        <f>IF($A241="","",COUNTIF(connections!$A$2:$A$1473,$A241)+COUNTIF(connections!$B$2:$B$1473,$A241))</f>
        <v>1</v>
      </c>
      <c r="E241">
        <f t="shared" si="39"/>
        <v>2</v>
      </c>
      <c r="F241">
        <f t="shared" si="40"/>
        <v>3</v>
      </c>
      <c r="G241" t="e">
        <f t="shared" si="41"/>
        <v>#N/A</v>
      </c>
      <c r="H241" t="e">
        <f t="shared" si="42"/>
        <v>#N/A</v>
      </c>
      <c r="I241">
        <f t="shared" si="43"/>
        <v>2024</v>
      </c>
      <c r="J241">
        <f t="shared" si="44"/>
        <v>2.069</v>
      </c>
      <c r="K241" t="e">
        <f t="shared" si="45"/>
        <v>#N/A</v>
      </c>
      <c r="L241" t="e">
        <f t="shared" si="46"/>
        <v>#N/A</v>
      </c>
      <c r="M241" t="e">
        <f t="shared" si="47"/>
        <v>#N/A</v>
      </c>
      <c r="N241" t="e">
        <f t="shared" si="48"/>
        <v>#N/A</v>
      </c>
      <c r="O241">
        <f t="shared" si="49"/>
        <v>1.0002409999999999</v>
      </c>
      <c r="P241" t="str">
        <f>IF(OR($A241="",games!$H241=""),"",games!$H241)</f>
        <v/>
      </c>
      <c r="Q241" t="str">
        <f t="shared" si="50"/>
        <v/>
      </c>
      <c r="T241">
        <f>IF(connections!$A241="","",IFERROR(INDEX(games!$B$2:$B$950,MATCH(connections!$A241,games!$A$2:$A$950,0)),""))</f>
        <v>2008</v>
      </c>
      <c r="U241">
        <f>IF(connections!$A241="","",IFERROR(INDEX(games!$B$2:$B$950,MATCH(connections!$B241,games!$A$2:$A$950,0)),""))</f>
        <v>2013</v>
      </c>
      <c r="V241">
        <f t="shared" si="51"/>
        <v>5</v>
      </c>
    </row>
    <row r="242" spans="1:22" x14ac:dyDescent="0.25">
      <c r="A242" t="str">
        <f>IF(games!$A242="","",games!$A242)</f>
        <v>Driving Rogue</v>
      </c>
      <c r="B242">
        <f>IF($A242="","",games!$B242)</f>
        <v>2026</v>
      </c>
      <c r="C242" t="str">
        <f>IF($A242="","",games!$C242)</f>
        <v>Action</v>
      </c>
      <c r="D242">
        <f>IF($A242="","",COUNTIF(connections!$A$2:$A$1473,$A242)+COUNTIF(connections!$B$2:$B$1473,$A242))</f>
        <v>2</v>
      </c>
      <c r="E242">
        <f t="shared" si="39"/>
        <v>1</v>
      </c>
      <c r="F242">
        <f t="shared" si="40"/>
        <v>4</v>
      </c>
      <c r="G242">
        <f t="shared" si="41"/>
        <v>2026</v>
      </c>
      <c r="H242">
        <f t="shared" si="42"/>
        <v>1.0920000000000001</v>
      </c>
      <c r="I242" t="e">
        <f t="shared" si="43"/>
        <v>#N/A</v>
      </c>
      <c r="J242" t="e">
        <f t="shared" si="44"/>
        <v>#N/A</v>
      </c>
      <c r="K242" t="e">
        <f t="shared" si="45"/>
        <v>#N/A</v>
      </c>
      <c r="L242" t="e">
        <f t="shared" si="46"/>
        <v>#N/A</v>
      </c>
      <c r="M242" t="e">
        <f t="shared" si="47"/>
        <v>#N/A</v>
      </c>
      <c r="N242" t="e">
        <f t="shared" si="48"/>
        <v>#N/A</v>
      </c>
      <c r="O242">
        <f t="shared" si="49"/>
        <v>2.0002420000000001</v>
      </c>
      <c r="P242" t="str">
        <f>IF(OR($A242="",games!$H242=""),"",games!$H242)</f>
        <v/>
      </c>
      <c r="Q242" t="str">
        <f t="shared" si="50"/>
        <v/>
      </c>
      <c r="T242">
        <f>IF(connections!$A242="","",IFERROR(INDEX(games!$B$2:$B$950,MATCH(connections!$A242,games!$A$2:$A$950,0)),""))</f>
        <v>2015</v>
      </c>
      <c r="U242">
        <f>IF(connections!$A242="","",IFERROR(INDEX(games!$B$2:$B$950,MATCH(connections!$B242,games!$A$2:$A$950,0)),""))</f>
        <v>2020</v>
      </c>
      <c r="V242">
        <f t="shared" si="51"/>
        <v>5</v>
      </c>
    </row>
    <row r="243" spans="1:22" x14ac:dyDescent="0.25">
      <c r="A243" t="str">
        <f>IF(games!$A243="","",games!$A243)</f>
        <v>Drop Duchy</v>
      </c>
      <c r="B243">
        <f>IF($A243="","",games!$B243)</f>
        <v>2025</v>
      </c>
      <c r="C243" t="str">
        <f>IF($A243="","",games!$C243)</f>
        <v>Strategy</v>
      </c>
      <c r="D243">
        <f>IF($A243="","",COUNTIF(connections!$A$2:$A$1473,$A243)+COUNTIF(connections!$B$2:$B$1473,$A243))</f>
        <v>1</v>
      </c>
      <c r="E243">
        <f t="shared" si="39"/>
        <v>2</v>
      </c>
      <c r="F243">
        <f t="shared" si="40"/>
        <v>5</v>
      </c>
      <c r="G243" t="e">
        <f t="shared" si="41"/>
        <v>#N/A</v>
      </c>
      <c r="H243" t="e">
        <f t="shared" si="42"/>
        <v>#N/A</v>
      </c>
      <c r="I243">
        <f t="shared" si="43"/>
        <v>2025</v>
      </c>
      <c r="J243">
        <f t="shared" si="44"/>
        <v>2.1150000000000002</v>
      </c>
      <c r="K243" t="e">
        <f t="shared" si="45"/>
        <v>#N/A</v>
      </c>
      <c r="L243" t="e">
        <f t="shared" si="46"/>
        <v>#N/A</v>
      </c>
      <c r="M243" t="e">
        <f t="shared" si="47"/>
        <v>#N/A</v>
      </c>
      <c r="N243" t="e">
        <f t="shared" si="48"/>
        <v>#N/A</v>
      </c>
      <c r="O243">
        <f t="shared" si="49"/>
        <v>1.000243</v>
      </c>
      <c r="P243" t="str">
        <f>IF(OR($A243="",games!$H243=""),"",games!$H243)</f>
        <v>Yes</v>
      </c>
      <c r="Q243">
        <f t="shared" si="50"/>
        <v>1.000243</v>
      </c>
      <c r="T243">
        <f>IF(connections!$A243="","",IFERROR(INDEX(games!$B$2:$B$950,MATCH(connections!$A243,games!$A$2:$A$950,0)),""))</f>
        <v>2023</v>
      </c>
      <c r="U243">
        <f>IF(connections!$A243="","",IFERROR(INDEX(games!$B$2:$B$950,MATCH(connections!$B243,games!$A$2:$A$950,0)),""))</f>
        <v>2026</v>
      </c>
      <c r="V243">
        <f t="shared" si="51"/>
        <v>3</v>
      </c>
    </row>
    <row r="244" spans="1:22" x14ac:dyDescent="0.25">
      <c r="A244" t="str">
        <f>IF(games!$A244="","",games!$A244)</f>
        <v>Drop Pockets</v>
      </c>
      <c r="B244">
        <f>IF($A244="","",games!$B244)</f>
        <v>2025</v>
      </c>
      <c r="C244" t="str">
        <f>IF($A244="","",games!$C244)</f>
        <v>Strategy</v>
      </c>
      <c r="D244">
        <f>IF($A244="","",COUNTIF(connections!$A$2:$A$1473,$A244)+COUNTIF(connections!$B$2:$B$1473,$A244))</f>
        <v>1</v>
      </c>
      <c r="E244">
        <f t="shared" si="39"/>
        <v>2</v>
      </c>
      <c r="F244">
        <f t="shared" si="40"/>
        <v>6</v>
      </c>
      <c r="G244" t="e">
        <f t="shared" si="41"/>
        <v>#N/A</v>
      </c>
      <c r="H244" t="e">
        <f t="shared" si="42"/>
        <v>#N/A</v>
      </c>
      <c r="I244">
        <f t="shared" si="43"/>
        <v>2025</v>
      </c>
      <c r="J244">
        <f t="shared" si="44"/>
        <v>2.1379999999999999</v>
      </c>
      <c r="K244" t="e">
        <f t="shared" si="45"/>
        <v>#N/A</v>
      </c>
      <c r="L244" t="e">
        <f t="shared" si="46"/>
        <v>#N/A</v>
      </c>
      <c r="M244" t="e">
        <f t="shared" si="47"/>
        <v>#N/A</v>
      </c>
      <c r="N244" t="e">
        <f t="shared" si="48"/>
        <v>#N/A</v>
      </c>
      <c r="O244">
        <f t="shared" si="49"/>
        <v>1.0002439999999999</v>
      </c>
      <c r="P244" t="str">
        <f>IF(OR($A244="",games!$H244=""),"",games!$H244)</f>
        <v/>
      </c>
      <c r="Q244" t="str">
        <f t="shared" si="50"/>
        <v/>
      </c>
      <c r="T244">
        <f>IF(connections!$A244="","",IFERROR(INDEX(games!$B$2:$B$950,MATCH(connections!$A244,games!$A$2:$A$950,0)),""))</f>
        <v>2021</v>
      </c>
      <c r="U244">
        <f>IF(connections!$A244="","",IFERROR(INDEX(games!$B$2:$B$950,MATCH(connections!$B244,games!$A$2:$A$950,0)),""))</f>
        <v>2026</v>
      </c>
      <c r="V244">
        <f t="shared" si="51"/>
        <v>5</v>
      </c>
    </row>
    <row r="245" spans="1:22" x14ac:dyDescent="0.25">
      <c r="A245" t="str">
        <f>IF(games!$A245="","",games!$A245)</f>
        <v>Dungeon Clawler</v>
      </c>
      <c r="B245">
        <f>IF($A245="","",games!$B245)</f>
        <v>2024</v>
      </c>
      <c r="C245" t="str">
        <f>IF($A245="","",games!$C245)</f>
        <v>Deckbuilder</v>
      </c>
      <c r="D245">
        <f>IF($A245="","",COUNTIF(connections!$A$2:$A$1473,$A245)+COUNTIF(connections!$B$2:$B$1473,$A245))</f>
        <v>4</v>
      </c>
      <c r="E245">
        <f t="shared" si="39"/>
        <v>3</v>
      </c>
      <c r="F245">
        <f t="shared" si="40"/>
        <v>7</v>
      </c>
      <c r="G245" t="e">
        <f t="shared" si="41"/>
        <v>#N/A</v>
      </c>
      <c r="H245" t="e">
        <f t="shared" si="42"/>
        <v>#N/A</v>
      </c>
      <c r="I245" t="e">
        <f t="shared" si="43"/>
        <v>#N/A</v>
      </c>
      <c r="J245" t="e">
        <f t="shared" si="44"/>
        <v>#N/A</v>
      </c>
      <c r="K245">
        <f t="shared" si="45"/>
        <v>2024</v>
      </c>
      <c r="L245">
        <f t="shared" si="46"/>
        <v>3.161</v>
      </c>
      <c r="M245" t="e">
        <f t="shared" si="47"/>
        <v>#N/A</v>
      </c>
      <c r="N245" t="e">
        <f t="shared" si="48"/>
        <v>#N/A</v>
      </c>
      <c r="O245">
        <f t="shared" si="49"/>
        <v>4.0002449999999996</v>
      </c>
      <c r="P245" t="str">
        <f>IF(OR($A245="",games!$H245=""),"",games!$H245)</f>
        <v>Yes</v>
      </c>
      <c r="Q245">
        <f t="shared" si="50"/>
        <v>4.0002449999999996</v>
      </c>
      <c r="T245">
        <f>IF(connections!$A245="","",IFERROR(INDEX(games!$B$2:$B$950,MATCH(connections!$A245,games!$A$2:$A$950,0)),""))</f>
        <v>2017</v>
      </c>
      <c r="U245">
        <f>IF(connections!$A245="","",IFERROR(INDEX(games!$B$2:$B$950,MATCH(connections!$B245,games!$A$2:$A$950,0)),""))</f>
        <v>2025</v>
      </c>
      <c r="V245">
        <f t="shared" si="51"/>
        <v>8</v>
      </c>
    </row>
    <row r="246" spans="1:22" x14ac:dyDescent="0.25">
      <c r="A246" t="str">
        <f>IF(games!$A246="","",games!$A246)</f>
        <v>Dungeon Crawl Stone Soup</v>
      </c>
      <c r="B246">
        <f>IF($A246="","",games!$B246)</f>
        <v>2006</v>
      </c>
      <c r="C246" t="str">
        <f>IF($A246="","",games!$C246)</f>
        <v>Traditional</v>
      </c>
      <c r="D246">
        <f>IF($A246="","",COUNTIF(connections!$A$2:$A$1473,$A246)+COUNTIF(connections!$B$2:$B$1473,$A246))</f>
        <v>11</v>
      </c>
      <c r="E246">
        <f t="shared" si="39"/>
        <v>4</v>
      </c>
      <c r="F246">
        <f t="shared" si="40"/>
        <v>8</v>
      </c>
      <c r="G246" t="e">
        <f t="shared" si="41"/>
        <v>#N/A</v>
      </c>
      <c r="H246" t="e">
        <f t="shared" si="42"/>
        <v>#N/A</v>
      </c>
      <c r="I246" t="e">
        <f t="shared" si="43"/>
        <v>#N/A</v>
      </c>
      <c r="J246" t="e">
        <f t="shared" si="44"/>
        <v>#N/A</v>
      </c>
      <c r="K246" t="e">
        <f t="shared" si="45"/>
        <v>#N/A</v>
      </c>
      <c r="L246" t="e">
        <f t="shared" si="46"/>
        <v>#N/A</v>
      </c>
      <c r="M246">
        <f t="shared" si="47"/>
        <v>2006</v>
      </c>
      <c r="N246">
        <f t="shared" si="48"/>
        <v>4.1840000000000002</v>
      </c>
      <c r="O246">
        <f t="shared" si="49"/>
        <v>11.000246000000001</v>
      </c>
      <c r="P246" t="str">
        <f>IF(OR($A246="",games!$H246=""),"",games!$H246)</f>
        <v>Yes</v>
      </c>
      <c r="Q246">
        <f t="shared" si="50"/>
        <v>11.000246000000001</v>
      </c>
      <c r="T246">
        <f>IF(connections!$A246="","",IFERROR(INDEX(games!$B$2:$B$950,MATCH(connections!$A246,games!$A$2:$A$950,0)),""))</f>
        <v>2011</v>
      </c>
      <c r="U246">
        <f>IF(connections!$A246="","",IFERROR(INDEX(games!$B$2:$B$950,MATCH(connections!$B246,games!$A$2:$A$950,0)),""))</f>
        <v>2022</v>
      </c>
      <c r="V246">
        <f t="shared" si="51"/>
        <v>11</v>
      </c>
    </row>
    <row r="247" spans="1:22" x14ac:dyDescent="0.25">
      <c r="A247" t="str">
        <f>IF(games!$A247="","",games!$A247)</f>
        <v>Dungeon Deathball</v>
      </c>
      <c r="B247">
        <f>IF($A247="","",games!$B247)</f>
        <v>2021</v>
      </c>
      <c r="C247" t="str">
        <f>IF($A247="","",games!$C247)</f>
        <v>Strategy</v>
      </c>
      <c r="D247">
        <f>IF($A247="","",COUNTIF(connections!$A$2:$A$1473,$A247)+COUNTIF(connections!$B$2:$B$1473,$A247))</f>
        <v>0</v>
      </c>
      <c r="E247">
        <f t="shared" si="39"/>
        <v>2</v>
      </c>
      <c r="F247">
        <f t="shared" si="40"/>
        <v>9</v>
      </c>
      <c r="G247" t="e">
        <f t="shared" si="41"/>
        <v>#N/A</v>
      </c>
      <c r="H247" t="e">
        <f t="shared" si="42"/>
        <v>#N/A</v>
      </c>
      <c r="I247">
        <f t="shared" si="43"/>
        <v>2021</v>
      </c>
      <c r="J247">
        <f t="shared" si="44"/>
        <v>2.2069999999999999</v>
      </c>
      <c r="K247" t="e">
        <f t="shared" si="45"/>
        <v>#N/A</v>
      </c>
      <c r="L247" t="e">
        <f t="shared" si="46"/>
        <v>#N/A</v>
      </c>
      <c r="M247" t="e">
        <f t="shared" si="47"/>
        <v>#N/A</v>
      </c>
      <c r="N247" t="e">
        <f t="shared" si="48"/>
        <v>#N/A</v>
      </c>
      <c r="O247">
        <f t="shared" si="49"/>
        <v>2.4699999999999999E-4</v>
      </c>
      <c r="P247" t="str">
        <f>IF(OR($A247="",games!$H247=""),"",games!$H247)</f>
        <v>Yes</v>
      </c>
      <c r="Q247">
        <f t="shared" si="50"/>
        <v>2.4699999999999999E-4</v>
      </c>
      <c r="T247">
        <f>IF(connections!$A247="","",IFERROR(INDEX(games!$B$2:$B$950,MATCH(connections!$A247,games!$A$2:$A$950,0)),""))</f>
        <v>2012</v>
      </c>
      <c r="U247">
        <f>IF(connections!$A247="","",IFERROR(INDEX(games!$B$2:$B$950,MATCH(connections!$B247,games!$A$2:$A$950,0)),""))</f>
        <v>2015</v>
      </c>
      <c r="V247">
        <f t="shared" si="51"/>
        <v>3</v>
      </c>
    </row>
    <row r="248" spans="1:22" x14ac:dyDescent="0.25">
      <c r="A248" t="str">
        <f>IF(games!$A248="","",games!$A248)</f>
        <v>Dungeon Drafters</v>
      </c>
      <c r="B248">
        <f>IF($A248="","",games!$B248)</f>
        <v>2023</v>
      </c>
      <c r="C248" t="str">
        <f>IF($A248="","",games!$C248)</f>
        <v>Traditional</v>
      </c>
      <c r="D248">
        <f>IF($A248="","",COUNTIF(connections!$A$2:$A$1473,$A248)+COUNTIF(connections!$B$2:$B$1473,$A248))</f>
        <v>4</v>
      </c>
      <c r="E248">
        <f t="shared" si="39"/>
        <v>4</v>
      </c>
      <c r="F248">
        <f t="shared" si="40"/>
        <v>10</v>
      </c>
      <c r="G248" t="e">
        <f t="shared" si="41"/>
        <v>#N/A</v>
      </c>
      <c r="H248" t="e">
        <f t="shared" si="42"/>
        <v>#N/A</v>
      </c>
      <c r="I248" t="e">
        <f t="shared" si="43"/>
        <v>#N/A</v>
      </c>
      <c r="J248" t="e">
        <f t="shared" si="44"/>
        <v>#N/A</v>
      </c>
      <c r="K248" t="e">
        <f t="shared" si="45"/>
        <v>#N/A</v>
      </c>
      <c r="L248" t="e">
        <f t="shared" si="46"/>
        <v>#N/A</v>
      </c>
      <c r="M248">
        <f t="shared" si="47"/>
        <v>2023</v>
      </c>
      <c r="N248">
        <f t="shared" si="48"/>
        <v>4.2300000000000004</v>
      </c>
      <c r="O248">
        <f t="shared" si="49"/>
        <v>4.000248</v>
      </c>
      <c r="P248" t="str">
        <f>IF(OR($A248="",games!$H248=""),"",games!$H248)</f>
        <v>Yes</v>
      </c>
      <c r="Q248">
        <f t="shared" si="50"/>
        <v>4.000248</v>
      </c>
      <c r="T248">
        <f>IF(connections!$A248="","",IFERROR(INDEX(games!$B$2:$B$950,MATCH(connections!$A248,games!$A$2:$A$950,0)),""))</f>
        <v>2017</v>
      </c>
      <c r="U248">
        <f>IF(connections!$A248="","",IFERROR(INDEX(games!$B$2:$B$950,MATCH(connections!$B248,games!$A$2:$A$950,0)),""))</f>
        <v>2020</v>
      </c>
      <c r="V248">
        <f t="shared" si="51"/>
        <v>3</v>
      </c>
    </row>
    <row r="249" spans="1:22" x14ac:dyDescent="0.25">
      <c r="A249" t="str">
        <f>IF(games!$A249="","",games!$A249)</f>
        <v>Dungeon Hack</v>
      </c>
      <c r="B249">
        <f>IF($A249="","",games!$B249)</f>
        <v>1993</v>
      </c>
      <c r="C249" t="str">
        <f>IF($A249="","",games!$C249)</f>
        <v>Action</v>
      </c>
      <c r="D249">
        <f>IF($A249="","",COUNTIF(connections!$A$2:$A$1473,$A249)+COUNTIF(connections!$B$2:$B$1473,$A249))</f>
        <v>0</v>
      </c>
      <c r="E249">
        <f t="shared" si="39"/>
        <v>1</v>
      </c>
      <c r="F249">
        <f t="shared" si="40"/>
        <v>11</v>
      </c>
      <c r="G249">
        <f t="shared" si="41"/>
        <v>1993</v>
      </c>
      <c r="H249">
        <f t="shared" si="42"/>
        <v>1.2530000000000001</v>
      </c>
      <c r="I249" t="e">
        <f t="shared" si="43"/>
        <v>#N/A</v>
      </c>
      <c r="J249" t="e">
        <f t="shared" si="44"/>
        <v>#N/A</v>
      </c>
      <c r="K249" t="e">
        <f t="shared" si="45"/>
        <v>#N/A</v>
      </c>
      <c r="L249" t="e">
        <f t="shared" si="46"/>
        <v>#N/A</v>
      </c>
      <c r="M249" t="e">
        <f t="shared" si="47"/>
        <v>#N/A</v>
      </c>
      <c r="N249" t="e">
        <f t="shared" si="48"/>
        <v>#N/A</v>
      </c>
      <c r="O249">
        <f t="shared" si="49"/>
        <v>2.4899999999999998E-4</v>
      </c>
      <c r="P249" t="str">
        <f>IF(OR($A249="",games!$H249=""),"",games!$H249)</f>
        <v/>
      </c>
      <c r="Q249" t="str">
        <f t="shared" si="50"/>
        <v/>
      </c>
      <c r="T249">
        <f>IF(connections!$A249="","",IFERROR(INDEX(games!$B$2:$B$950,MATCH(connections!$A249,games!$A$2:$A$950,0)),""))</f>
        <v>2015</v>
      </c>
      <c r="U249">
        <f>IF(connections!$A249="","",IFERROR(INDEX(games!$B$2:$B$950,MATCH(connections!$B249,games!$A$2:$A$950,0)),""))</f>
        <v>2023</v>
      </c>
      <c r="V249">
        <f t="shared" si="51"/>
        <v>8</v>
      </c>
    </row>
    <row r="250" spans="1:22" x14ac:dyDescent="0.25">
      <c r="A250" t="str">
        <f>IF(games!$A250="","",games!$A250)</f>
        <v>Dungeon of Windaria</v>
      </c>
      <c r="B250">
        <f>IF($A250="","",games!$B250)</f>
        <v>2008</v>
      </c>
      <c r="C250" t="str">
        <f>IF($A250="","",games!$C250)</f>
        <v>Traditional</v>
      </c>
      <c r="D250">
        <f>IF($A250="","",COUNTIF(connections!$A$2:$A$1473,$A250)+COUNTIF(connections!$B$2:$B$1473,$A250))</f>
        <v>1</v>
      </c>
      <c r="E250">
        <f t="shared" si="39"/>
        <v>4</v>
      </c>
      <c r="F250">
        <f t="shared" si="40"/>
        <v>12</v>
      </c>
      <c r="G250" t="e">
        <f t="shared" si="41"/>
        <v>#N/A</v>
      </c>
      <c r="H250" t="e">
        <f t="shared" si="42"/>
        <v>#N/A</v>
      </c>
      <c r="I250" t="e">
        <f t="shared" si="43"/>
        <v>#N/A</v>
      </c>
      <c r="J250" t="e">
        <f t="shared" si="44"/>
        <v>#N/A</v>
      </c>
      <c r="K250" t="e">
        <f t="shared" si="45"/>
        <v>#N/A</v>
      </c>
      <c r="L250" t="e">
        <f t="shared" si="46"/>
        <v>#N/A</v>
      </c>
      <c r="M250">
        <f t="shared" si="47"/>
        <v>2008</v>
      </c>
      <c r="N250">
        <f t="shared" si="48"/>
        <v>4.2759999999999998</v>
      </c>
      <c r="O250">
        <f t="shared" si="49"/>
        <v>1.0002500000000001</v>
      </c>
      <c r="P250" t="str">
        <f>IF(OR($A250="",games!$H250=""),"",games!$H250)</f>
        <v>Yes</v>
      </c>
      <c r="Q250">
        <f t="shared" si="50"/>
        <v>1.0002500000000001</v>
      </c>
      <c r="T250">
        <f>IF(connections!$A250="","",IFERROR(INDEX(games!$B$2:$B$950,MATCH(connections!$A250,games!$A$2:$A$950,0)),""))</f>
        <v>2020</v>
      </c>
      <c r="U250">
        <f>IF(connections!$A250="","",IFERROR(INDEX(games!$B$2:$B$950,MATCH(connections!$B250,games!$A$2:$A$950,0)),""))</f>
        <v>2023</v>
      </c>
      <c r="V250">
        <f t="shared" si="51"/>
        <v>3</v>
      </c>
    </row>
    <row r="251" spans="1:22" x14ac:dyDescent="0.25">
      <c r="A251" t="str">
        <f>IF(games!$A251="","",games!$A251)</f>
        <v>Dungeon Rushers</v>
      </c>
      <c r="B251">
        <f>IF($A251="","",games!$B251)</f>
        <v>2016</v>
      </c>
      <c r="C251" t="str">
        <f>IF($A251="","",games!$C251)</f>
        <v>Strategy</v>
      </c>
      <c r="D251">
        <f>IF($A251="","",COUNTIF(connections!$A$2:$A$1473,$A251)+COUNTIF(connections!$B$2:$B$1473,$A251))</f>
        <v>1</v>
      </c>
      <c r="E251">
        <f t="shared" si="39"/>
        <v>2</v>
      </c>
      <c r="F251">
        <f t="shared" si="40"/>
        <v>13</v>
      </c>
      <c r="G251" t="e">
        <f t="shared" si="41"/>
        <v>#N/A</v>
      </c>
      <c r="H251" t="e">
        <f t="shared" si="42"/>
        <v>#N/A</v>
      </c>
      <c r="I251">
        <f t="shared" si="43"/>
        <v>2016</v>
      </c>
      <c r="J251">
        <f t="shared" si="44"/>
        <v>2.2989999999999999</v>
      </c>
      <c r="K251" t="e">
        <f t="shared" si="45"/>
        <v>#N/A</v>
      </c>
      <c r="L251" t="e">
        <f t="shared" si="46"/>
        <v>#N/A</v>
      </c>
      <c r="M251" t="e">
        <f t="shared" si="47"/>
        <v>#N/A</v>
      </c>
      <c r="N251" t="e">
        <f t="shared" si="48"/>
        <v>#N/A</v>
      </c>
      <c r="O251">
        <f t="shared" si="49"/>
        <v>1.000251</v>
      </c>
      <c r="P251" t="str">
        <f>IF(OR($A251="",games!$H251=""),"",games!$H251)</f>
        <v>Yes</v>
      </c>
      <c r="Q251">
        <f t="shared" si="50"/>
        <v>1.000251</v>
      </c>
      <c r="T251">
        <f>IF(connections!$A251="","",IFERROR(INDEX(games!$B$2:$B$950,MATCH(connections!$A251,games!$A$2:$A$950,0)),""))</f>
        <v>2019</v>
      </c>
      <c r="U251">
        <f>IF(connections!$A251="","",IFERROR(INDEX(games!$B$2:$B$950,MATCH(connections!$B251,games!$A$2:$A$950,0)),""))</f>
        <v>2023</v>
      </c>
      <c r="V251">
        <f t="shared" si="51"/>
        <v>4</v>
      </c>
    </row>
    <row r="252" spans="1:22" x14ac:dyDescent="0.25">
      <c r="A252" t="str">
        <f>IF(games!$A252="","",games!$A252)</f>
        <v>Dungeonmans</v>
      </c>
      <c r="B252">
        <f>IF($A252="","",games!$B252)</f>
        <v>2010</v>
      </c>
      <c r="C252" t="str">
        <f>IF($A252="","",games!$C252)</f>
        <v>Traditional</v>
      </c>
      <c r="D252">
        <f>IF($A252="","",COUNTIF(connections!$A$2:$A$1473,$A252)+COUNTIF(connections!$B$2:$B$1473,$A252))</f>
        <v>10</v>
      </c>
      <c r="E252">
        <f t="shared" si="39"/>
        <v>4</v>
      </c>
      <c r="F252">
        <f t="shared" si="40"/>
        <v>14</v>
      </c>
      <c r="G252" t="e">
        <f t="shared" si="41"/>
        <v>#N/A</v>
      </c>
      <c r="H252" t="e">
        <f t="shared" si="42"/>
        <v>#N/A</v>
      </c>
      <c r="I252" t="e">
        <f t="shared" si="43"/>
        <v>#N/A</v>
      </c>
      <c r="J252" t="e">
        <f t="shared" si="44"/>
        <v>#N/A</v>
      </c>
      <c r="K252" t="e">
        <f t="shared" si="45"/>
        <v>#N/A</v>
      </c>
      <c r="L252" t="e">
        <f t="shared" si="46"/>
        <v>#N/A</v>
      </c>
      <c r="M252">
        <f t="shared" si="47"/>
        <v>2010</v>
      </c>
      <c r="N252">
        <f t="shared" si="48"/>
        <v>4.3220000000000001</v>
      </c>
      <c r="O252">
        <f t="shared" si="49"/>
        <v>10.000252</v>
      </c>
      <c r="P252" t="str">
        <f>IF(OR($A252="",games!$H252=""),"",games!$H252)</f>
        <v>Yes</v>
      </c>
      <c r="Q252">
        <f t="shared" si="50"/>
        <v>10.000252</v>
      </c>
      <c r="T252">
        <f>IF(connections!$A252="","",IFERROR(INDEX(games!$B$2:$B$950,MATCH(connections!$A252,games!$A$2:$A$950,0)),""))</f>
        <v>2019</v>
      </c>
      <c r="U252">
        <f>IF(connections!$A252="","",IFERROR(INDEX(games!$B$2:$B$950,MATCH(connections!$B252,games!$A$2:$A$950,0)),""))</f>
        <v>2023</v>
      </c>
      <c r="V252">
        <f t="shared" si="51"/>
        <v>4</v>
      </c>
    </row>
    <row r="253" spans="1:22" x14ac:dyDescent="0.25">
      <c r="A253" t="str">
        <f>IF(games!$A253="","",games!$A253)</f>
        <v>Dungeons &amp; Degenerate Gamblers</v>
      </c>
      <c r="B253">
        <f>IF($A253="","",games!$B253)</f>
        <v>2024</v>
      </c>
      <c r="C253" t="str">
        <f>IF($A253="","",games!$C253)</f>
        <v>Deckbuilder</v>
      </c>
      <c r="D253">
        <f>IF($A253="","",COUNTIF(connections!$A$2:$A$1473,$A253)+COUNTIF(connections!$B$2:$B$1473,$A253))</f>
        <v>1</v>
      </c>
      <c r="E253">
        <f t="shared" si="39"/>
        <v>3</v>
      </c>
      <c r="F253">
        <f t="shared" si="40"/>
        <v>15</v>
      </c>
      <c r="G253" t="e">
        <f t="shared" si="41"/>
        <v>#N/A</v>
      </c>
      <c r="H253" t="e">
        <f t="shared" si="42"/>
        <v>#N/A</v>
      </c>
      <c r="I253" t="e">
        <f t="shared" si="43"/>
        <v>#N/A</v>
      </c>
      <c r="J253" t="e">
        <f t="shared" si="44"/>
        <v>#N/A</v>
      </c>
      <c r="K253">
        <f t="shared" si="45"/>
        <v>2024</v>
      </c>
      <c r="L253">
        <f t="shared" si="46"/>
        <v>3.3449999999999998</v>
      </c>
      <c r="M253" t="e">
        <f t="shared" si="47"/>
        <v>#N/A</v>
      </c>
      <c r="N253" t="e">
        <f t="shared" si="48"/>
        <v>#N/A</v>
      </c>
      <c r="O253">
        <f t="shared" si="49"/>
        <v>1.0002530000000001</v>
      </c>
      <c r="P253" t="str">
        <f>IF(OR($A253="",games!$H253=""),"",games!$H253)</f>
        <v>Yes</v>
      </c>
      <c r="Q253">
        <f t="shared" si="50"/>
        <v>1.0002530000000001</v>
      </c>
      <c r="T253">
        <f>IF(connections!$A253="","",IFERROR(INDEX(games!$B$2:$B$950,MATCH(connections!$A253,games!$A$2:$A$950,0)),""))</f>
        <v>2020</v>
      </c>
      <c r="U253">
        <f>IF(connections!$A253="","",IFERROR(INDEX(games!$B$2:$B$950,MATCH(connections!$B253,games!$A$2:$A$950,0)),""))</f>
        <v>2023</v>
      </c>
      <c r="V253">
        <f t="shared" si="51"/>
        <v>3</v>
      </c>
    </row>
    <row r="254" spans="1:22" x14ac:dyDescent="0.25">
      <c r="A254" t="str">
        <f>IF(games!$A254="","",games!$A254)</f>
        <v>Dungeons of Blood and Dream</v>
      </c>
      <c r="B254">
        <f>IF($A254="","",games!$B254)</f>
        <v>2024</v>
      </c>
      <c r="C254" t="str">
        <f>IF($A254="","",games!$C254)</f>
        <v>Action</v>
      </c>
      <c r="D254">
        <f>IF($A254="","",COUNTIF(connections!$A$2:$A$1473,$A254)+COUNTIF(connections!$B$2:$B$1473,$A254))</f>
        <v>1</v>
      </c>
      <c r="E254">
        <f t="shared" si="39"/>
        <v>1</v>
      </c>
      <c r="F254">
        <f t="shared" si="40"/>
        <v>16</v>
      </c>
      <c r="G254">
        <f t="shared" si="41"/>
        <v>2024</v>
      </c>
      <c r="H254">
        <f t="shared" si="42"/>
        <v>1.3679999999999999</v>
      </c>
      <c r="I254" t="e">
        <f t="shared" si="43"/>
        <v>#N/A</v>
      </c>
      <c r="J254" t="e">
        <f t="shared" si="44"/>
        <v>#N/A</v>
      </c>
      <c r="K254" t="e">
        <f t="shared" si="45"/>
        <v>#N/A</v>
      </c>
      <c r="L254" t="e">
        <f t="shared" si="46"/>
        <v>#N/A</v>
      </c>
      <c r="M254" t="e">
        <f t="shared" si="47"/>
        <v>#N/A</v>
      </c>
      <c r="N254" t="e">
        <f t="shared" si="48"/>
        <v>#N/A</v>
      </c>
      <c r="O254">
        <f t="shared" si="49"/>
        <v>1.000254</v>
      </c>
      <c r="P254" t="str">
        <f>IF(OR($A254="",games!$H254=""),"",games!$H254)</f>
        <v>Yes</v>
      </c>
      <c r="Q254">
        <f t="shared" si="50"/>
        <v>1.000254</v>
      </c>
      <c r="T254">
        <f>IF(connections!$A254="","",IFERROR(INDEX(games!$B$2:$B$950,MATCH(connections!$A254,games!$A$2:$A$950,0)),""))</f>
        <v>2017</v>
      </c>
      <c r="U254">
        <f>IF(connections!$A254="","",IFERROR(INDEX(games!$B$2:$B$950,MATCH(connections!$B254,games!$A$2:$A$950,0)),""))</f>
        <v>2023</v>
      </c>
      <c r="V254">
        <f t="shared" si="51"/>
        <v>6</v>
      </c>
    </row>
    <row r="255" spans="1:22" x14ac:dyDescent="0.25">
      <c r="A255" t="str">
        <f>IF(games!$A255="","",games!$A255)</f>
        <v>Dungeons of Dredmor</v>
      </c>
      <c r="B255">
        <f>IF($A255="","",games!$B255)</f>
        <v>2011</v>
      </c>
      <c r="C255" t="str">
        <f>IF($A255="","",games!$C255)</f>
        <v>Traditional</v>
      </c>
      <c r="D255">
        <f>IF($A255="","",COUNTIF(connections!$A$2:$A$1473,$A255)+COUNTIF(connections!$B$2:$B$1473,$A255))</f>
        <v>5</v>
      </c>
      <c r="E255">
        <f t="shared" si="39"/>
        <v>4</v>
      </c>
      <c r="F255">
        <f t="shared" si="40"/>
        <v>17</v>
      </c>
      <c r="G255" t="e">
        <f t="shared" si="41"/>
        <v>#N/A</v>
      </c>
      <c r="H255" t="e">
        <f t="shared" si="42"/>
        <v>#N/A</v>
      </c>
      <c r="I255" t="e">
        <f t="shared" si="43"/>
        <v>#N/A</v>
      </c>
      <c r="J255" t="e">
        <f t="shared" si="44"/>
        <v>#N/A</v>
      </c>
      <c r="K255" t="e">
        <f t="shared" si="45"/>
        <v>#N/A</v>
      </c>
      <c r="L255" t="e">
        <f t="shared" si="46"/>
        <v>#N/A</v>
      </c>
      <c r="M255">
        <f t="shared" si="47"/>
        <v>2011</v>
      </c>
      <c r="N255">
        <f t="shared" si="48"/>
        <v>4.391</v>
      </c>
      <c r="O255">
        <f t="shared" si="49"/>
        <v>5.0002550000000001</v>
      </c>
      <c r="P255" t="str">
        <f>IF(OR($A255="",games!$H255=""),"",games!$H255)</f>
        <v>Yes</v>
      </c>
      <c r="Q255">
        <f t="shared" si="50"/>
        <v>5.0002550000000001</v>
      </c>
      <c r="T255">
        <f>IF(connections!$A255="","",IFERROR(INDEX(games!$B$2:$B$950,MATCH(connections!$A255,games!$A$2:$A$950,0)),""))</f>
        <v>2008</v>
      </c>
      <c r="U255">
        <f>IF(connections!$A255="","",IFERROR(INDEX(games!$B$2:$B$950,MATCH(connections!$B255,games!$A$2:$A$950,0)),""))</f>
        <v>2023</v>
      </c>
      <c r="V255">
        <f t="shared" si="51"/>
        <v>15</v>
      </c>
    </row>
    <row r="256" spans="1:22" x14ac:dyDescent="0.25">
      <c r="A256" t="str">
        <f>IF(games!$A256="","",games!$A256)</f>
        <v>Dungreed</v>
      </c>
      <c r="B256">
        <f>IF($A256="","",games!$B256)</f>
        <v>2018</v>
      </c>
      <c r="C256" t="str">
        <f>IF($A256="","",games!$C256)</f>
        <v>Action</v>
      </c>
      <c r="D256">
        <f>IF($A256="","",COUNTIF(connections!$A$2:$A$1473,$A256)+COUNTIF(connections!$B$2:$B$1473,$A256))</f>
        <v>2</v>
      </c>
      <c r="E256">
        <f t="shared" si="39"/>
        <v>1</v>
      </c>
      <c r="F256">
        <f t="shared" si="40"/>
        <v>18</v>
      </c>
      <c r="G256">
        <f t="shared" si="41"/>
        <v>2018</v>
      </c>
      <c r="H256">
        <f t="shared" si="42"/>
        <v>1.4139999999999999</v>
      </c>
      <c r="I256" t="e">
        <f t="shared" si="43"/>
        <v>#N/A</v>
      </c>
      <c r="J256" t="e">
        <f t="shared" si="44"/>
        <v>#N/A</v>
      </c>
      <c r="K256" t="e">
        <f t="shared" si="45"/>
        <v>#N/A</v>
      </c>
      <c r="L256" t="e">
        <f t="shared" si="46"/>
        <v>#N/A</v>
      </c>
      <c r="M256" t="e">
        <f t="shared" si="47"/>
        <v>#N/A</v>
      </c>
      <c r="N256" t="e">
        <f t="shared" si="48"/>
        <v>#N/A</v>
      </c>
      <c r="O256">
        <f t="shared" si="49"/>
        <v>2.0002559999999998</v>
      </c>
      <c r="P256" t="str">
        <f>IF(OR($A256="",games!$H256=""),"",games!$H256)</f>
        <v>Yes</v>
      </c>
      <c r="Q256">
        <f t="shared" si="50"/>
        <v>2.0002559999999998</v>
      </c>
      <c r="T256">
        <f>IF(connections!$A256="","",IFERROR(INDEX(games!$B$2:$B$950,MATCH(connections!$A256,games!$A$2:$A$950,0)),""))</f>
        <v>2011</v>
      </c>
      <c r="U256">
        <f>IF(connections!$A256="","",IFERROR(INDEX(games!$B$2:$B$950,MATCH(connections!$B256,games!$A$2:$A$950,0)),""))</f>
        <v>2023</v>
      </c>
      <c r="V256">
        <f t="shared" si="51"/>
        <v>12</v>
      </c>
    </row>
    <row r="257" spans="1:22" x14ac:dyDescent="0.25">
      <c r="A257" t="str">
        <f>IF(games!$A257="","",games!$A257)</f>
        <v>Dunjungle</v>
      </c>
      <c r="B257">
        <f>IF($A257="","",games!$B257)</f>
        <v>2025</v>
      </c>
      <c r="C257" t="str">
        <f>IF($A257="","",games!$C257)</f>
        <v>Action</v>
      </c>
      <c r="D257">
        <f>IF($A257="","",COUNTIF(connections!$A$2:$A$1473,$A257)+COUNTIF(connections!$B$2:$B$1473,$A257))</f>
        <v>4</v>
      </c>
      <c r="E257">
        <f t="shared" si="39"/>
        <v>1</v>
      </c>
      <c r="F257">
        <f t="shared" si="40"/>
        <v>19</v>
      </c>
      <c r="G257">
        <f t="shared" si="41"/>
        <v>2025</v>
      </c>
      <c r="H257">
        <f t="shared" si="42"/>
        <v>1.4370000000000001</v>
      </c>
      <c r="I257" t="e">
        <f t="shared" si="43"/>
        <v>#N/A</v>
      </c>
      <c r="J257" t="e">
        <f t="shared" si="44"/>
        <v>#N/A</v>
      </c>
      <c r="K257" t="e">
        <f t="shared" si="45"/>
        <v>#N/A</v>
      </c>
      <c r="L257" t="e">
        <f t="shared" si="46"/>
        <v>#N/A</v>
      </c>
      <c r="M257" t="e">
        <f t="shared" si="47"/>
        <v>#N/A</v>
      </c>
      <c r="N257" t="e">
        <f t="shared" si="48"/>
        <v>#N/A</v>
      </c>
      <c r="O257">
        <f t="shared" si="49"/>
        <v>4.0002570000000004</v>
      </c>
      <c r="P257" t="str">
        <f>IF(OR($A257="",games!$H257=""),"",games!$H257)</f>
        <v/>
      </c>
      <c r="Q257" t="str">
        <f t="shared" si="50"/>
        <v/>
      </c>
      <c r="T257">
        <f>IF(connections!$A257="","",IFERROR(INDEX(games!$B$2:$B$950,MATCH(connections!$A257,games!$A$2:$A$950,0)),""))</f>
        <v>1994</v>
      </c>
      <c r="U257">
        <f>IF(connections!$A257="","",IFERROR(INDEX(games!$B$2:$B$950,MATCH(connections!$B257,games!$A$2:$A$950,0)),""))</f>
        <v>2025</v>
      </c>
      <c r="V257">
        <f t="shared" si="51"/>
        <v>31</v>
      </c>
    </row>
    <row r="258" spans="1:22" x14ac:dyDescent="0.25">
      <c r="A258" t="str">
        <f>IF(games!$A258="","",games!$A258)</f>
        <v>Dwarf Fortress</v>
      </c>
      <c r="B258">
        <f>IF($A258="","",games!$B258)</f>
        <v>2006</v>
      </c>
      <c r="C258" t="str">
        <f>IF($A258="","",games!$C258)</f>
        <v>Strategy</v>
      </c>
      <c r="D258">
        <f>IF($A258="","",COUNTIF(connections!$A$2:$A$1473,$A258)+COUNTIF(connections!$B$2:$B$1473,$A258))</f>
        <v>11</v>
      </c>
      <c r="E258">
        <f t="shared" ref="E258:E321" si="52">IF($A258="","",IFERROR(MATCH($C258,$R$2:$R$5,0),0))</f>
        <v>2</v>
      </c>
      <c r="F258">
        <f t="shared" ref="F258:F321" si="53">IF($A258="","",MOD(ROW(),34))</f>
        <v>20</v>
      </c>
      <c r="G258" t="e">
        <f t="shared" ref="G258:G321" si="54">IF($A258="",NA(),IF($C258="Action",$B258,NA()))</f>
        <v>#N/A</v>
      </c>
      <c r="H258" t="e">
        <f t="shared" ref="H258:H321" si="55">IF($A258="",NA(),IF($C258="Action",1+$F258*0.023,NA()))</f>
        <v>#N/A</v>
      </c>
      <c r="I258">
        <f t="shared" ref="I258:I321" si="56">IF($A258="",NA(),IF($C258="Strategy",$B258,NA()))</f>
        <v>2006</v>
      </c>
      <c r="J258">
        <f t="shared" ref="J258:J321" si="57">IF($A258="",NA(),IF($C258="Strategy",2+$F258*0.023,NA()))</f>
        <v>2.46</v>
      </c>
      <c r="K258" t="e">
        <f t="shared" ref="K258:K321" si="58">IF($A258="",NA(),IF($C258="Deckbuilder",$B258,NA()))</f>
        <v>#N/A</v>
      </c>
      <c r="L258" t="e">
        <f t="shared" ref="L258:L321" si="59">IF($A258="",NA(),IF($C258="Deckbuilder",3+$F258*0.023,NA()))</f>
        <v>#N/A</v>
      </c>
      <c r="M258" t="e">
        <f t="shared" ref="M258:M321" si="60">IF($A258="",NA(),IF($C258="Traditional",$B258,NA()))</f>
        <v>#N/A</v>
      </c>
      <c r="N258" t="e">
        <f t="shared" ref="N258:N321" si="61">IF($A258="",NA(),IF($C258="Traditional",4+$F258*0.023,NA()))</f>
        <v>#N/A</v>
      </c>
      <c r="O258">
        <f t="shared" ref="O258:O321" si="62">IF($A258="","",$D258+ROW()/1000000)</f>
        <v>11.000258000000001</v>
      </c>
      <c r="P258" t="str">
        <f>IF(OR($A258="",games!$H258=""),"",games!$H258)</f>
        <v>Yes</v>
      </c>
      <c r="Q258">
        <f t="shared" ref="Q258:Q321" si="63">IF(OR($A258="",$P258&lt;&gt;"Yes"),"",$D258+ROW()/1000000)</f>
        <v>11.000258000000001</v>
      </c>
      <c r="T258">
        <f>IF(connections!$A258="","",IFERROR(INDEX(games!$B$2:$B$950,MATCH(connections!$A258,games!$A$2:$A$950,0)),""))</f>
        <v>1990</v>
      </c>
      <c r="U258">
        <f>IF(connections!$A258="","",IFERROR(INDEX(games!$B$2:$B$950,MATCH(connections!$B258,games!$A$2:$A$950,0)),""))</f>
        <v>2025</v>
      </c>
      <c r="V258">
        <f t="shared" ref="V258:V321" si="64">IF(OR($T258="",$U258=""),"",$U258-$T258)</f>
        <v>35</v>
      </c>
    </row>
    <row r="259" spans="1:22" x14ac:dyDescent="0.25">
      <c r="A259" t="str">
        <f>IF(games!$A259="","",games!$A259)</f>
        <v>Dwarves: Glory, Death and Loot</v>
      </c>
      <c r="B259">
        <f>IF($A259="","",games!$B259)</f>
        <v>2023</v>
      </c>
      <c r="C259" t="str">
        <f>IF($A259="","",games!$C259)</f>
        <v>Strategy</v>
      </c>
      <c r="D259">
        <f>IF($A259="","",COUNTIF(connections!$A$2:$A$1473,$A259)+COUNTIF(connections!$B$2:$B$1473,$A259))</f>
        <v>1</v>
      </c>
      <c r="E259">
        <f t="shared" si="52"/>
        <v>2</v>
      </c>
      <c r="F259">
        <f t="shared" si="53"/>
        <v>21</v>
      </c>
      <c r="G259" t="e">
        <f t="shared" si="54"/>
        <v>#N/A</v>
      </c>
      <c r="H259" t="e">
        <f t="shared" si="55"/>
        <v>#N/A</v>
      </c>
      <c r="I259">
        <f t="shared" si="56"/>
        <v>2023</v>
      </c>
      <c r="J259">
        <f t="shared" si="57"/>
        <v>2.4830000000000001</v>
      </c>
      <c r="K259" t="e">
        <f t="shared" si="58"/>
        <v>#N/A</v>
      </c>
      <c r="L259" t="e">
        <f t="shared" si="59"/>
        <v>#N/A</v>
      </c>
      <c r="M259" t="e">
        <f t="shared" si="60"/>
        <v>#N/A</v>
      </c>
      <c r="N259" t="e">
        <f t="shared" si="61"/>
        <v>#N/A</v>
      </c>
      <c r="O259">
        <f t="shared" si="62"/>
        <v>1.000259</v>
      </c>
      <c r="P259" t="str">
        <f>IF(OR($A259="",games!$H259=""),"",games!$H259)</f>
        <v/>
      </c>
      <c r="Q259" t="str">
        <f t="shared" si="63"/>
        <v/>
      </c>
      <c r="T259">
        <f>IF(connections!$A259="","",IFERROR(INDEX(games!$B$2:$B$950,MATCH(connections!$A259,games!$A$2:$A$950,0)),""))</f>
        <v>2021</v>
      </c>
      <c r="U259">
        <f>IF(connections!$A259="","",IFERROR(INDEX(games!$B$2:$B$950,MATCH(connections!$B259,games!$A$2:$A$950,0)),""))</f>
        <v>2023</v>
      </c>
      <c r="V259">
        <f t="shared" si="64"/>
        <v>2</v>
      </c>
    </row>
    <row r="260" spans="1:22" x14ac:dyDescent="0.25">
      <c r="A260" t="str">
        <f>IF(games!$A260="","",games!$A260)</f>
        <v>Elden Ring Nightreign</v>
      </c>
      <c r="B260">
        <f>IF($A260="","",games!$B260)</f>
        <v>2025</v>
      </c>
      <c r="C260" t="str">
        <f>IF($A260="","",games!$C260)</f>
        <v>Action</v>
      </c>
      <c r="D260">
        <f>IF($A260="","",COUNTIF(connections!$A$2:$A$1473,$A260)+COUNTIF(connections!$B$2:$B$1473,$A260))</f>
        <v>1</v>
      </c>
      <c r="E260">
        <f t="shared" si="52"/>
        <v>1</v>
      </c>
      <c r="F260">
        <f t="shared" si="53"/>
        <v>22</v>
      </c>
      <c r="G260">
        <f t="shared" si="54"/>
        <v>2025</v>
      </c>
      <c r="H260">
        <f t="shared" si="55"/>
        <v>1.506</v>
      </c>
      <c r="I260" t="e">
        <f t="shared" si="56"/>
        <v>#N/A</v>
      </c>
      <c r="J260" t="e">
        <f t="shared" si="57"/>
        <v>#N/A</v>
      </c>
      <c r="K260" t="e">
        <f t="shared" si="58"/>
        <v>#N/A</v>
      </c>
      <c r="L260" t="e">
        <f t="shared" si="59"/>
        <v>#N/A</v>
      </c>
      <c r="M260" t="e">
        <f t="shared" si="60"/>
        <v>#N/A</v>
      </c>
      <c r="N260" t="e">
        <f t="shared" si="61"/>
        <v>#N/A</v>
      </c>
      <c r="O260">
        <f t="shared" si="62"/>
        <v>1.0002599999999999</v>
      </c>
      <c r="P260" t="str">
        <f>IF(OR($A260="",games!$H260=""),"",games!$H260)</f>
        <v>Yes</v>
      </c>
      <c r="Q260">
        <f t="shared" si="63"/>
        <v>1.0002599999999999</v>
      </c>
      <c r="T260">
        <f>IF(connections!$A260="","",IFERROR(INDEX(games!$B$2:$B$950,MATCH(connections!$A260,games!$A$2:$A$950,0)),""))</f>
        <v>1996</v>
      </c>
      <c r="U260">
        <f>IF(connections!$A260="","",IFERROR(INDEX(games!$B$2:$B$950,MATCH(connections!$B260,games!$A$2:$A$950,0)),""))</f>
        <v>2017</v>
      </c>
      <c r="V260">
        <f t="shared" si="64"/>
        <v>21</v>
      </c>
    </row>
    <row r="261" spans="1:22" x14ac:dyDescent="0.25">
      <c r="A261" t="str">
        <f>IF(games!$A261="","",games!$A261)</f>
        <v>Eldritch</v>
      </c>
      <c r="B261">
        <f>IF($A261="","",games!$B261)</f>
        <v>2013</v>
      </c>
      <c r="C261" t="str">
        <f>IF($A261="","",games!$C261)</f>
        <v>Action</v>
      </c>
      <c r="D261">
        <f>IF($A261="","",COUNTIF(connections!$A$2:$A$1473,$A261)+COUNTIF(connections!$B$2:$B$1473,$A261))</f>
        <v>1</v>
      </c>
      <c r="E261">
        <f t="shared" si="52"/>
        <v>1</v>
      </c>
      <c r="F261">
        <f t="shared" si="53"/>
        <v>23</v>
      </c>
      <c r="G261">
        <f t="shared" si="54"/>
        <v>2013</v>
      </c>
      <c r="H261">
        <f t="shared" si="55"/>
        <v>1.5289999999999999</v>
      </c>
      <c r="I261" t="e">
        <f t="shared" si="56"/>
        <v>#N/A</v>
      </c>
      <c r="J261" t="e">
        <f t="shared" si="57"/>
        <v>#N/A</v>
      </c>
      <c r="K261" t="e">
        <f t="shared" si="58"/>
        <v>#N/A</v>
      </c>
      <c r="L261" t="e">
        <f t="shared" si="59"/>
        <v>#N/A</v>
      </c>
      <c r="M261" t="e">
        <f t="shared" si="60"/>
        <v>#N/A</v>
      </c>
      <c r="N261" t="e">
        <f t="shared" si="61"/>
        <v>#N/A</v>
      </c>
      <c r="O261">
        <f t="shared" si="62"/>
        <v>1.0002610000000001</v>
      </c>
      <c r="P261" t="str">
        <f>IF(OR($A261="",games!$H261=""),"",games!$H261)</f>
        <v>Yes</v>
      </c>
      <c r="Q261">
        <f t="shared" si="63"/>
        <v>1.0002610000000001</v>
      </c>
      <c r="T261">
        <f>IF(connections!$A261="","",IFERROR(INDEX(games!$B$2:$B$950,MATCH(connections!$A261,games!$A$2:$A$950,0)),""))</f>
        <v>2011</v>
      </c>
      <c r="U261">
        <f>IF(connections!$A261="","",IFERROR(INDEX(games!$B$2:$B$950,MATCH(connections!$B261,games!$A$2:$A$950,0)),""))</f>
        <v>2017</v>
      </c>
      <c r="V261">
        <f t="shared" si="64"/>
        <v>6</v>
      </c>
    </row>
    <row r="262" spans="1:22" x14ac:dyDescent="0.25">
      <c r="A262" t="str">
        <f>IF(games!$A262="","",games!$A262)</f>
        <v>Elemental Survivors</v>
      </c>
      <c r="B262">
        <f>IF($A262="","",games!$B262)</f>
        <v>2023</v>
      </c>
      <c r="C262" t="str">
        <f>IF($A262="","",games!$C262)</f>
        <v>Action</v>
      </c>
      <c r="D262">
        <f>IF($A262="","",COUNTIF(connections!$A$2:$A$1473,$A262)+COUNTIF(connections!$B$2:$B$1473,$A262))</f>
        <v>1</v>
      </c>
      <c r="E262">
        <f t="shared" si="52"/>
        <v>1</v>
      </c>
      <c r="F262">
        <f t="shared" si="53"/>
        <v>24</v>
      </c>
      <c r="G262">
        <f t="shared" si="54"/>
        <v>2023</v>
      </c>
      <c r="H262">
        <f t="shared" si="55"/>
        <v>1.552</v>
      </c>
      <c r="I262" t="e">
        <f t="shared" si="56"/>
        <v>#N/A</v>
      </c>
      <c r="J262" t="e">
        <f t="shared" si="57"/>
        <v>#N/A</v>
      </c>
      <c r="K262" t="e">
        <f t="shared" si="58"/>
        <v>#N/A</v>
      </c>
      <c r="L262" t="e">
        <f t="shared" si="59"/>
        <v>#N/A</v>
      </c>
      <c r="M262" t="e">
        <f t="shared" si="60"/>
        <v>#N/A</v>
      </c>
      <c r="N262" t="e">
        <f t="shared" si="61"/>
        <v>#N/A</v>
      </c>
      <c r="O262">
        <f t="shared" si="62"/>
        <v>1.000262</v>
      </c>
      <c r="P262" t="str">
        <f>IF(OR($A262="",games!$H262=""),"",games!$H262)</f>
        <v>Yes</v>
      </c>
      <c r="Q262">
        <f t="shared" si="63"/>
        <v>1.000262</v>
      </c>
      <c r="T262">
        <f>IF(connections!$A262="","",IFERROR(INDEX(games!$B$2:$B$950,MATCH(connections!$A262,games!$A$2:$A$950,0)),""))</f>
        <v>2021</v>
      </c>
      <c r="U262">
        <f>IF(connections!$A262="","",IFERROR(INDEX(games!$B$2:$B$950,MATCH(connections!$B262,games!$A$2:$A$950,0)),""))</f>
        <v>2023</v>
      </c>
      <c r="V262">
        <f t="shared" si="64"/>
        <v>2</v>
      </c>
    </row>
    <row r="263" spans="1:22" x14ac:dyDescent="0.25">
      <c r="A263" t="str">
        <f>IF(games!$A263="","",games!$A263)</f>
        <v>Elewar: Fused Survivors</v>
      </c>
      <c r="B263">
        <f>IF($A263="","",games!$B263)</f>
        <v>2023</v>
      </c>
      <c r="C263" t="str">
        <f>IF($A263="","",games!$C263)</f>
        <v>Action</v>
      </c>
      <c r="D263">
        <f>IF($A263="","",COUNTIF(connections!$A$2:$A$1473,$A263)+COUNTIF(connections!$B$2:$B$1473,$A263))</f>
        <v>1</v>
      </c>
      <c r="E263">
        <f t="shared" si="52"/>
        <v>1</v>
      </c>
      <c r="F263">
        <f t="shared" si="53"/>
        <v>25</v>
      </c>
      <c r="G263">
        <f t="shared" si="54"/>
        <v>2023</v>
      </c>
      <c r="H263">
        <f t="shared" si="55"/>
        <v>1.575</v>
      </c>
      <c r="I263" t="e">
        <f t="shared" si="56"/>
        <v>#N/A</v>
      </c>
      <c r="J263" t="e">
        <f t="shared" si="57"/>
        <v>#N/A</v>
      </c>
      <c r="K263" t="e">
        <f t="shared" si="58"/>
        <v>#N/A</v>
      </c>
      <c r="L263" t="e">
        <f t="shared" si="59"/>
        <v>#N/A</v>
      </c>
      <c r="M263" t="e">
        <f t="shared" si="60"/>
        <v>#N/A</v>
      </c>
      <c r="N263" t="e">
        <f t="shared" si="61"/>
        <v>#N/A</v>
      </c>
      <c r="O263">
        <f t="shared" si="62"/>
        <v>1.0002629999999999</v>
      </c>
      <c r="P263" t="str">
        <f>IF(OR($A263="",games!$H263=""),"",games!$H263)</f>
        <v>Yes</v>
      </c>
      <c r="Q263">
        <f t="shared" si="63"/>
        <v>1.0002629999999999</v>
      </c>
      <c r="T263">
        <f>IF(connections!$A263="","",IFERROR(INDEX(games!$B$2:$B$950,MATCH(connections!$A263,games!$A$2:$A$950,0)),""))</f>
        <v>2023</v>
      </c>
      <c r="U263">
        <f>IF(connections!$A263="","",IFERROR(INDEX(games!$B$2:$B$950,MATCH(connections!$B263,games!$A$2:$A$950,0)),""))</f>
        <v>2026</v>
      </c>
      <c r="V263">
        <f t="shared" si="64"/>
        <v>3</v>
      </c>
    </row>
    <row r="264" spans="1:22" x14ac:dyDescent="0.25">
      <c r="A264" t="str">
        <f>IF(games!$A264="","",games!$A264)</f>
        <v>Elin</v>
      </c>
      <c r="B264">
        <f>IF($A264="","",games!$B264)</f>
        <v>2024</v>
      </c>
      <c r="C264" t="str">
        <f>IF($A264="","",games!$C264)</f>
        <v>Traditional</v>
      </c>
      <c r="D264">
        <f>IF($A264="","",COUNTIF(connections!$A$2:$A$1473,$A264)+COUNTIF(connections!$B$2:$B$1473,$A264))</f>
        <v>1</v>
      </c>
      <c r="E264">
        <f t="shared" si="52"/>
        <v>4</v>
      </c>
      <c r="F264">
        <f t="shared" si="53"/>
        <v>26</v>
      </c>
      <c r="G264" t="e">
        <f t="shared" si="54"/>
        <v>#N/A</v>
      </c>
      <c r="H264" t="e">
        <f t="shared" si="55"/>
        <v>#N/A</v>
      </c>
      <c r="I264" t="e">
        <f t="shared" si="56"/>
        <v>#N/A</v>
      </c>
      <c r="J264" t="e">
        <f t="shared" si="57"/>
        <v>#N/A</v>
      </c>
      <c r="K264" t="e">
        <f t="shared" si="58"/>
        <v>#N/A</v>
      </c>
      <c r="L264" t="e">
        <f t="shared" si="59"/>
        <v>#N/A</v>
      </c>
      <c r="M264">
        <f t="shared" si="60"/>
        <v>2024</v>
      </c>
      <c r="N264">
        <f t="shared" si="61"/>
        <v>4.5979999999999999</v>
      </c>
      <c r="O264">
        <f t="shared" si="62"/>
        <v>1.000264</v>
      </c>
      <c r="P264" t="str">
        <f>IF(OR($A264="",games!$H264=""),"",games!$H264)</f>
        <v/>
      </c>
      <c r="Q264" t="str">
        <f t="shared" si="63"/>
        <v/>
      </c>
      <c r="T264">
        <f>IF(connections!$A264="","",IFERROR(INDEX(games!$B$2:$B$950,MATCH(connections!$A264,games!$A$2:$A$950,0)),""))</f>
        <v>2018</v>
      </c>
      <c r="U264">
        <f>IF(connections!$A264="","",IFERROR(INDEX(games!$B$2:$B$950,MATCH(connections!$B264,games!$A$2:$A$950,0)),""))</f>
        <v>2026</v>
      </c>
      <c r="V264">
        <f t="shared" si="64"/>
        <v>8</v>
      </c>
    </row>
    <row r="265" spans="1:22" x14ac:dyDescent="0.25">
      <c r="A265" t="str">
        <f>IF(games!$A265="","",games!$A265)</f>
        <v>Elona</v>
      </c>
      <c r="B265">
        <f>IF($A265="","",games!$B265)</f>
        <v>2008</v>
      </c>
      <c r="C265" t="str">
        <f>IF($A265="","",games!$C265)</f>
        <v>Traditional</v>
      </c>
      <c r="D265">
        <f>IF($A265="","",COUNTIF(connections!$A$2:$A$1473,$A265)+COUNTIF(connections!$B$2:$B$1473,$A265))</f>
        <v>5</v>
      </c>
      <c r="E265">
        <f t="shared" si="52"/>
        <v>4</v>
      </c>
      <c r="F265">
        <f t="shared" si="53"/>
        <v>27</v>
      </c>
      <c r="G265" t="e">
        <f t="shared" si="54"/>
        <v>#N/A</v>
      </c>
      <c r="H265" t="e">
        <f t="shared" si="55"/>
        <v>#N/A</v>
      </c>
      <c r="I265" t="e">
        <f t="shared" si="56"/>
        <v>#N/A</v>
      </c>
      <c r="J265" t="e">
        <f t="shared" si="57"/>
        <v>#N/A</v>
      </c>
      <c r="K265" t="e">
        <f t="shared" si="58"/>
        <v>#N/A</v>
      </c>
      <c r="L265" t="e">
        <f t="shared" si="59"/>
        <v>#N/A</v>
      </c>
      <c r="M265">
        <f t="shared" si="60"/>
        <v>2008</v>
      </c>
      <c r="N265">
        <f t="shared" si="61"/>
        <v>4.6210000000000004</v>
      </c>
      <c r="O265">
        <f t="shared" si="62"/>
        <v>5.0002649999999997</v>
      </c>
      <c r="P265" t="str">
        <f>IF(OR($A265="",games!$H265=""),"",games!$H265)</f>
        <v/>
      </c>
      <c r="Q265" t="str">
        <f t="shared" si="63"/>
        <v/>
      </c>
      <c r="T265">
        <f>IF(connections!$A265="","",IFERROR(INDEX(games!$B$2:$B$950,MATCH(connections!$A265,games!$A$2:$A$950,0)),""))</f>
        <v>2017</v>
      </c>
      <c r="U265">
        <f>IF(connections!$A265="","",IFERROR(INDEX(games!$B$2:$B$950,MATCH(connections!$B265,games!$A$2:$A$950,0)),""))</f>
        <v>2026</v>
      </c>
      <c r="V265">
        <f t="shared" si="64"/>
        <v>9</v>
      </c>
    </row>
    <row r="266" spans="1:22" x14ac:dyDescent="0.25">
      <c r="A266" t="str">
        <f>IF(games!$A266="","",games!$A266)</f>
        <v>Ember Knights</v>
      </c>
      <c r="B266">
        <f>IF($A266="","",games!$B266)</f>
        <v>2022</v>
      </c>
      <c r="C266" t="str">
        <f>IF($A266="","",games!$C266)</f>
        <v>Action</v>
      </c>
      <c r="D266">
        <f>IF($A266="","",COUNTIF(connections!$A$2:$A$1473,$A266)+COUNTIF(connections!$B$2:$B$1473,$A266))</f>
        <v>5</v>
      </c>
      <c r="E266">
        <f t="shared" si="52"/>
        <v>1</v>
      </c>
      <c r="F266">
        <f t="shared" si="53"/>
        <v>28</v>
      </c>
      <c r="G266">
        <f t="shared" si="54"/>
        <v>2022</v>
      </c>
      <c r="H266">
        <f t="shared" si="55"/>
        <v>1.6440000000000001</v>
      </c>
      <c r="I266" t="e">
        <f t="shared" si="56"/>
        <v>#N/A</v>
      </c>
      <c r="J266" t="e">
        <f t="shared" si="57"/>
        <v>#N/A</v>
      </c>
      <c r="K266" t="e">
        <f t="shared" si="58"/>
        <v>#N/A</v>
      </c>
      <c r="L266" t="e">
        <f t="shared" si="59"/>
        <v>#N/A</v>
      </c>
      <c r="M266" t="e">
        <f t="shared" si="60"/>
        <v>#N/A</v>
      </c>
      <c r="N266" t="e">
        <f t="shared" si="61"/>
        <v>#N/A</v>
      </c>
      <c r="O266">
        <f t="shared" si="62"/>
        <v>5.0002659999999999</v>
      </c>
      <c r="P266" t="str">
        <f>IF(OR($A266="",games!$H266=""),"",games!$H266)</f>
        <v>Yes</v>
      </c>
      <c r="Q266">
        <f t="shared" si="63"/>
        <v>5.0002659999999999</v>
      </c>
      <c r="T266">
        <f>IF(connections!$A266="","",IFERROR(INDEX(games!$B$2:$B$950,MATCH(connections!$A266,games!$A$2:$A$950,0)),""))</f>
        <v>2018</v>
      </c>
      <c r="U266">
        <f>IF(connections!$A266="","",IFERROR(INDEX(games!$B$2:$B$950,MATCH(connections!$B266,games!$A$2:$A$950,0)),""))</f>
        <v>2023</v>
      </c>
      <c r="V266">
        <f t="shared" si="64"/>
        <v>5</v>
      </c>
    </row>
    <row r="267" spans="1:22" x14ac:dyDescent="0.25">
      <c r="A267" t="str">
        <f>IF(games!$A267="","",games!$A267)</f>
        <v>Emberward</v>
      </c>
      <c r="B267">
        <f>IF($A267="","",games!$B267)</f>
        <v>2024</v>
      </c>
      <c r="C267" t="str">
        <f>IF($A267="","",games!$C267)</f>
        <v>Strategy</v>
      </c>
      <c r="D267">
        <f>IF($A267="","",COUNTIF(connections!$A$2:$A$1473,$A267)+COUNTIF(connections!$B$2:$B$1473,$A267))</f>
        <v>1</v>
      </c>
      <c r="E267">
        <f t="shared" si="52"/>
        <v>2</v>
      </c>
      <c r="F267">
        <f t="shared" si="53"/>
        <v>29</v>
      </c>
      <c r="G267" t="e">
        <f t="shared" si="54"/>
        <v>#N/A</v>
      </c>
      <c r="H267" t="e">
        <f t="shared" si="55"/>
        <v>#N/A</v>
      </c>
      <c r="I267">
        <f t="shared" si="56"/>
        <v>2024</v>
      </c>
      <c r="J267">
        <f t="shared" si="57"/>
        <v>2.6669999999999998</v>
      </c>
      <c r="K267" t="e">
        <f t="shared" si="58"/>
        <v>#N/A</v>
      </c>
      <c r="L267" t="e">
        <f t="shared" si="59"/>
        <v>#N/A</v>
      </c>
      <c r="M267" t="e">
        <f t="shared" si="60"/>
        <v>#N/A</v>
      </c>
      <c r="N267" t="e">
        <f t="shared" si="61"/>
        <v>#N/A</v>
      </c>
      <c r="O267">
        <f t="shared" si="62"/>
        <v>1.000267</v>
      </c>
      <c r="P267" t="str">
        <f>IF(OR($A267="",games!$H267=""),"",games!$H267)</f>
        <v>Yes</v>
      </c>
      <c r="Q267">
        <f t="shared" si="63"/>
        <v>1.000267</v>
      </c>
      <c r="T267">
        <f>IF(connections!$A267="","",IFERROR(INDEX(games!$B$2:$B$950,MATCH(connections!$A267,games!$A$2:$A$950,0)),""))</f>
        <v>2020</v>
      </c>
      <c r="U267">
        <f>IF(connections!$A267="","",IFERROR(INDEX(games!$B$2:$B$950,MATCH(connections!$B267,games!$A$2:$A$950,0)),""))</f>
        <v>2023</v>
      </c>
      <c r="V267">
        <f t="shared" si="64"/>
        <v>3</v>
      </c>
    </row>
    <row r="268" spans="1:22" x14ac:dyDescent="0.25">
      <c r="A268" t="str">
        <f>IF(games!$A268="","",games!$A268)</f>
        <v>Endgame of Devil</v>
      </c>
      <c r="B268">
        <f>IF($A268="","",games!$B268)</f>
        <v>2023</v>
      </c>
      <c r="C268" t="str">
        <f>IF($A268="","",games!$C268)</f>
        <v>Deckbuilder</v>
      </c>
      <c r="D268">
        <f>IF($A268="","",COUNTIF(connections!$A$2:$A$1473,$A268)+COUNTIF(connections!$B$2:$B$1473,$A268))</f>
        <v>2</v>
      </c>
      <c r="E268">
        <f t="shared" si="52"/>
        <v>3</v>
      </c>
      <c r="F268">
        <f t="shared" si="53"/>
        <v>30</v>
      </c>
      <c r="G268" t="e">
        <f t="shared" si="54"/>
        <v>#N/A</v>
      </c>
      <c r="H268" t="e">
        <f t="shared" si="55"/>
        <v>#N/A</v>
      </c>
      <c r="I268" t="e">
        <f t="shared" si="56"/>
        <v>#N/A</v>
      </c>
      <c r="J268" t="e">
        <f t="shared" si="57"/>
        <v>#N/A</v>
      </c>
      <c r="K268">
        <f t="shared" si="58"/>
        <v>2023</v>
      </c>
      <c r="L268">
        <f t="shared" si="59"/>
        <v>3.69</v>
      </c>
      <c r="M268" t="e">
        <f t="shared" si="60"/>
        <v>#N/A</v>
      </c>
      <c r="N268" t="e">
        <f t="shared" si="61"/>
        <v>#N/A</v>
      </c>
      <c r="O268">
        <f t="shared" si="62"/>
        <v>2.0002680000000002</v>
      </c>
      <c r="P268" t="str">
        <f>IF(OR($A268="",games!$H268=""),"",games!$H268)</f>
        <v>Yes</v>
      </c>
      <c r="Q268">
        <f t="shared" si="63"/>
        <v>2.0002680000000002</v>
      </c>
      <c r="T268">
        <f>IF(connections!$A268="","",IFERROR(INDEX(games!$B$2:$B$950,MATCH(connections!$A268,games!$A$2:$A$950,0)),""))</f>
        <v>2017</v>
      </c>
      <c r="U268">
        <f>IF(connections!$A268="","",IFERROR(INDEX(games!$B$2:$B$950,MATCH(connections!$B268,games!$A$2:$A$950,0)),""))</f>
        <v>2023</v>
      </c>
      <c r="V268">
        <f t="shared" si="64"/>
        <v>6</v>
      </c>
    </row>
    <row r="269" spans="1:22" x14ac:dyDescent="0.25">
      <c r="A269" t="str">
        <f>IF(games!$A269="","",games!$A269)</f>
        <v>Endless Alice</v>
      </c>
      <c r="B269">
        <f>IF($A269="","",games!$B269)</f>
        <v>2025</v>
      </c>
      <c r="C269" t="str">
        <f>IF($A269="","",games!$C269)</f>
        <v>Action</v>
      </c>
      <c r="D269">
        <f>IF($A269="","",COUNTIF(connections!$A$2:$A$1473,$A269)+COUNTIF(connections!$B$2:$B$1473,$A269))</f>
        <v>1</v>
      </c>
      <c r="E269">
        <f t="shared" si="52"/>
        <v>1</v>
      </c>
      <c r="F269">
        <f t="shared" si="53"/>
        <v>31</v>
      </c>
      <c r="G269">
        <f t="shared" si="54"/>
        <v>2025</v>
      </c>
      <c r="H269">
        <f t="shared" si="55"/>
        <v>1.7130000000000001</v>
      </c>
      <c r="I269" t="e">
        <f t="shared" si="56"/>
        <v>#N/A</v>
      </c>
      <c r="J269" t="e">
        <f t="shared" si="57"/>
        <v>#N/A</v>
      </c>
      <c r="K269" t="e">
        <f t="shared" si="58"/>
        <v>#N/A</v>
      </c>
      <c r="L269" t="e">
        <f t="shared" si="59"/>
        <v>#N/A</v>
      </c>
      <c r="M269" t="e">
        <f t="shared" si="60"/>
        <v>#N/A</v>
      </c>
      <c r="N269" t="e">
        <f t="shared" si="61"/>
        <v>#N/A</v>
      </c>
      <c r="O269">
        <f t="shared" si="62"/>
        <v>1.0002690000000001</v>
      </c>
      <c r="P269" t="str">
        <f>IF(OR($A269="",games!$H269=""),"",games!$H269)</f>
        <v>Yes</v>
      </c>
      <c r="Q269">
        <f t="shared" si="63"/>
        <v>1.0002690000000001</v>
      </c>
      <c r="T269">
        <f>IF(connections!$A269="","",IFERROR(INDEX(games!$B$2:$B$950,MATCH(connections!$A269,games!$A$2:$A$950,0)),""))</f>
        <v>1995</v>
      </c>
      <c r="U269">
        <f>IF(connections!$A269="","",IFERROR(INDEX(games!$B$2:$B$950,MATCH(connections!$B269,games!$A$2:$A$950,0)),""))</f>
        <v>2020</v>
      </c>
      <c r="V269">
        <f t="shared" si="64"/>
        <v>25</v>
      </c>
    </row>
    <row r="270" spans="1:22" x14ac:dyDescent="0.25">
      <c r="A270" t="str">
        <f>IF(games!$A270="","",games!$A270)</f>
        <v>Enter the Gungeon</v>
      </c>
      <c r="B270">
        <f>IF($A270="","",games!$B270)</f>
        <v>2016</v>
      </c>
      <c r="C270" t="str">
        <f>IF($A270="","",games!$C270)</f>
        <v>Action</v>
      </c>
      <c r="D270">
        <f>IF($A270="","",COUNTIF(connections!$A$2:$A$1473,$A270)+COUNTIF(connections!$B$2:$B$1473,$A270))</f>
        <v>34</v>
      </c>
      <c r="E270">
        <f t="shared" si="52"/>
        <v>1</v>
      </c>
      <c r="F270">
        <f t="shared" si="53"/>
        <v>32</v>
      </c>
      <c r="G270">
        <f t="shared" si="54"/>
        <v>2016</v>
      </c>
      <c r="H270">
        <f t="shared" si="55"/>
        <v>1.736</v>
      </c>
      <c r="I270" t="e">
        <f t="shared" si="56"/>
        <v>#N/A</v>
      </c>
      <c r="J270" t="e">
        <f t="shared" si="57"/>
        <v>#N/A</v>
      </c>
      <c r="K270" t="e">
        <f t="shared" si="58"/>
        <v>#N/A</v>
      </c>
      <c r="L270" t="e">
        <f t="shared" si="59"/>
        <v>#N/A</v>
      </c>
      <c r="M270" t="e">
        <f t="shared" si="60"/>
        <v>#N/A</v>
      </c>
      <c r="N270" t="e">
        <f t="shared" si="61"/>
        <v>#N/A</v>
      </c>
      <c r="O270">
        <f t="shared" si="62"/>
        <v>34.00027</v>
      </c>
      <c r="P270" t="str">
        <f>IF(OR($A270="",games!$H270=""),"",games!$H270)</f>
        <v>Yes</v>
      </c>
      <c r="Q270">
        <f t="shared" si="63"/>
        <v>34.00027</v>
      </c>
      <c r="T270">
        <f>IF(connections!$A270="","",IFERROR(INDEX(games!$B$2:$B$950,MATCH(connections!$A270,games!$A$2:$A$950,0)),""))</f>
        <v>2017</v>
      </c>
      <c r="U270">
        <f>IF(connections!$A270="","",IFERROR(INDEX(games!$B$2:$B$950,MATCH(connections!$B270,games!$A$2:$A$950,0)),""))</f>
        <v>2025</v>
      </c>
      <c r="V270">
        <f t="shared" si="64"/>
        <v>8</v>
      </c>
    </row>
    <row r="271" spans="1:22" x14ac:dyDescent="0.25">
      <c r="A271" t="str">
        <f>IF(games!$A271="","",games!$A271)</f>
        <v>Escape The Mad Empire</v>
      </c>
      <c r="B271">
        <f>IF($A271="","",games!$B271)</f>
        <v>2025</v>
      </c>
      <c r="C271" t="str">
        <f>IF($A271="","",games!$C271)</f>
        <v>Strategy</v>
      </c>
      <c r="D271">
        <f>IF($A271="","",COUNTIF(connections!$A$2:$A$1473,$A271)+COUNTIF(connections!$B$2:$B$1473,$A271))</f>
        <v>6</v>
      </c>
      <c r="E271">
        <f t="shared" si="52"/>
        <v>2</v>
      </c>
      <c r="F271">
        <f t="shared" si="53"/>
        <v>33</v>
      </c>
      <c r="G271" t="e">
        <f t="shared" si="54"/>
        <v>#N/A</v>
      </c>
      <c r="H271" t="e">
        <f t="shared" si="55"/>
        <v>#N/A</v>
      </c>
      <c r="I271">
        <f t="shared" si="56"/>
        <v>2025</v>
      </c>
      <c r="J271">
        <f t="shared" si="57"/>
        <v>2.7589999999999999</v>
      </c>
      <c r="K271" t="e">
        <f t="shared" si="58"/>
        <v>#N/A</v>
      </c>
      <c r="L271" t="e">
        <f t="shared" si="59"/>
        <v>#N/A</v>
      </c>
      <c r="M271" t="e">
        <f t="shared" si="60"/>
        <v>#N/A</v>
      </c>
      <c r="N271" t="e">
        <f t="shared" si="61"/>
        <v>#N/A</v>
      </c>
      <c r="O271">
        <f t="shared" si="62"/>
        <v>6.0002709999999997</v>
      </c>
      <c r="P271" t="str">
        <f>IF(OR($A271="",games!$H271=""),"",games!$H271)</f>
        <v/>
      </c>
      <c r="Q271" t="str">
        <f t="shared" si="63"/>
        <v/>
      </c>
      <c r="T271">
        <f>IF(connections!$A271="","",IFERROR(INDEX(games!$B$2:$B$950,MATCH(connections!$A271,games!$A$2:$A$950,0)),""))</f>
        <v>2012</v>
      </c>
      <c r="U271">
        <f>IF(connections!$A271="","",IFERROR(INDEX(games!$B$2:$B$950,MATCH(connections!$B271,games!$A$2:$A$950,0)),""))</f>
        <v>2019</v>
      </c>
      <c r="V271">
        <f t="shared" si="64"/>
        <v>7</v>
      </c>
    </row>
    <row r="272" spans="1:22" x14ac:dyDescent="0.25">
      <c r="A272" t="str">
        <f>IF(games!$A272="","",games!$A272)</f>
        <v>Eternal Quest</v>
      </c>
      <c r="B272">
        <f>IF($A272="","",games!$B272)</f>
        <v>2004</v>
      </c>
      <c r="C272" t="str">
        <f>IF($A272="","",games!$C272)</f>
        <v>Traditional</v>
      </c>
      <c r="D272">
        <f>IF($A272="","",COUNTIF(connections!$A$2:$A$1473,$A272)+COUNTIF(connections!$B$2:$B$1473,$A272))</f>
        <v>1</v>
      </c>
      <c r="E272">
        <f t="shared" si="52"/>
        <v>4</v>
      </c>
      <c r="F272">
        <f t="shared" si="53"/>
        <v>0</v>
      </c>
      <c r="G272" t="e">
        <f t="shared" si="54"/>
        <v>#N/A</v>
      </c>
      <c r="H272" t="e">
        <f t="shared" si="55"/>
        <v>#N/A</v>
      </c>
      <c r="I272" t="e">
        <f t="shared" si="56"/>
        <v>#N/A</v>
      </c>
      <c r="J272" t="e">
        <f t="shared" si="57"/>
        <v>#N/A</v>
      </c>
      <c r="K272" t="e">
        <f t="shared" si="58"/>
        <v>#N/A</v>
      </c>
      <c r="L272" t="e">
        <f t="shared" si="59"/>
        <v>#N/A</v>
      </c>
      <c r="M272">
        <f t="shared" si="60"/>
        <v>2004</v>
      </c>
      <c r="N272">
        <f t="shared" si="61"/>
        <v>4</v>
      </c>
      <c r="O272">
        <f t="shared" si="62"/>
        <v>1.000272</v>
      </c>
      <c r="P272" t="str">
        <f>IF(OR($A272="",games!$H272=""),"",games!$H272)</f>
        <v>Yes</v>
      </c>
      <c r="Q272">
        <f t="shared" si="63"/>
        <v>1.000272</v>
      </c>
      <c r="T272">
        <f>IF(connections!$A272="","",IFERROR(INDEX(games!$B$2:$B$950,MATCH(connections!$A272,games!$A$2:$A$950,0)),""))</f>
        <v>1980</v>
      </c>
      <c r="U272">
        <f>IF(connections!$A272="","",IFERROR(INDEX(games!$B$2:$B$950,MATCH(connections!$B272,games!$A$2:$A$950,0)),""))</f>
        <v>2015</v>
      </c>
      <c r="V272">
        <f t="shared" si="64"/>
        <v>35</v>
      </c>
    </row>
    <row r="273" spans="1:22" x14ac:dyDescent="0.25">
      <c r="A273" t="str">
        <f>IF(games!$A273="","",games!$A273)</f>
        <v>Etrian Mystery Dungeon</v>
      </c>
      <c r="B273">
        <f>IF($A273="","",games!$B273)</f>
        <v>2015</v>
      </c>
      <c r="C273" t="str">
        <f>IF($A273="","",games!$C273)</f>
        <v>Traditional</v>
      </c>
      <c r="D273">
        <f>IF($A273="","",COUNTIF(connections!$A$2:$A$1473,$A273)+COUNTIF(connections!$B$2:$B$1473,$A273))</f>
        <v>2</v>
      </c>
      <c r="E273">
        <f t="shared" si="52"/>
        <v>4</v>
      </c>
      <c r="F273">
        <f t="shared" si="53"/>
        <v>1</v>
      </c>
      <c r="G273" t="e">
        <f t="shared" si="54"/>
        <v>#N/A</v>
      </c>
      <c r="H273" t="e">
        <f t="shared" si="55"/>
        <v>#N/A</v>
      </c>
      <c r="I273" t="e">
        <f t="shared" si="56"/>
        <v>#N/A</v>
      </c>
      <c r="J273" t="e">
        <f t="shared" si="57"/>
        <v>#N/A</v>
      </c>
      <c r="K273" t="e">
        <f t="shared" si="58"/>
        <v>#N/A</v>
      </c>
      <c r="L273" t="e">
        <f t="shared" si="59"/>
        <v>#N/A</v>
      </c>
      <c r="M273">
        <f t="shared" si="60"/>
        <v>2015</v>
      </c>
      <c r="N273">
        <f t="shared" si="61"/>
        <v>4.0229999999999997</v>
      </c>
      <c r="O273">
        <f t="shared" si="62"/>
        <v>2.000273</v>
      </c>
      <c r="P273" t="str">
        <f>IF(OR($A273="",games!$H273=""),"",games!$H273)</f>
        <v/>
      </c>
      <c r="Q273" t="str">
        <f t="shared" si="63"/>
        <v/>
      </c>
      <c r="T273">
        <f>IF(connections!$A273="","",IFERROR(INDEX(games!$B$2:$B$950,MATCH(connections!$A273,games!$A$2:$A$950,0)),""))</f>
        <v>2013</v>
      </c>
      <c r="U273">
        <f>IF(connections!$A273="","",IFERROR(INDEX(games!$B$2:$B$950,MATCH(connections!$B273,games!$A$2:$A$950,0)),""))</f>
        <v>2015</v>
      </c>
      <c r="V273">
        <f t="shared" si="64"/>
        <v>2</v>
      </c>
    </row>
    <row r="274" spans="1:22" x14ac:dyDescent="0.25">
      <c r="A274" t="str">
        <f>IF(games!$A274="","",games!$A274)</f>
        <v>Etrian Mystery Dungeon 2</v>
      </c>
      <c r="B274">
        <f>IF($A274="","",games!$B274)</f>
        <v>2017</v>
      </c>
      <c r="C274" t="str">
        <f>IF($A274="","",games!$C274)</f>
        <v>Traditional</v>
      </c>
      <c r="D274">
        <f>IF($A274="","",COUNTIF(connections!$A$2:$A$1473,$A274)+COUNTIF(connections!$B$2:$B$1473,$A274))</f>
        <v>1</v>
      </c>
      <c r="E274">
        <f t="shared" si="52"/>
        <v>4</v>
      </c>
      <c r="F274">
        <f t="shared" si="53"/>
        <v>2</v>
      </c>
      <c r="G274" t="e">
        <f t="shared" si="54"/>
        <v>#N/A</v>
      </c>
      <c r="H274" t="e">
        <f t="shared" si="55"/>
        <v>#N/A</v>
      </c>
      <c r="I274" t="e">
        <f t="shared" si="56"/>
        <v>#N/A</v>
      </c>
      <c r="J274" t="e">
        <f t="shared" si="57"/>
        <v>#N/A</v>
      </c>
      <c r="K274" t="e">
        <f t="shared" si="58"/>
        <v>#N/A</v>
      </c>
      <c r="L274" t="e">
        <f t="shared" si="59"/>
        <v>#N/A</v>
      </c>
      <c r="M274">
        <f t="shared" si="60"/>
        <v>2017</v>
      </c>
      <c r="N274">
        <f t="shared" si="61"/>
        <v>4.0460000000000003</v>
      </c>
      <c r="O274">
        <f t="shared" si="62"/>
        <v>1.0002740000000001</v>
      </c>
      <c r="P274" t="str">
        <f>IF(OR($A274="",games!$H274=""),"",games!$H274)</f>
        <v/>
      </c>
      <c r="Q274" t="str">
        <f t="shared" si="63"/>
        <v/>
      </c>
      <c r="T274">
        <f>IF(connections!$A274="","",IFERROR(INDEX(games!$B$2:$B$950,MATCH(connections!$A274,games!$A$2:$A$950,0)),""))</f>
        <v>2008</v>
      </c>
      <c r="U274">
        <f>IF(connections!$A274="","",IFERROR(INDEX(games!$B$2:$B$950,MATCH(connections!$B274,games!$A$2:$A$950,0)),""))</f>
        <v>2015</v>
      </c>
      <c r="V274">
        <f t="shared" si="64"/>
        <v>7</v>
      </c>
    </row>
    <row r="275" spans="1:22" x14ac:dyDescent="0.25">
      <c r="A275" t="str">
        <f>IF(games!$A275="","",games!$A275)</f>
        <v>Everything is Crab</v>
      </c>
      <c r="B275">
        <f>IF($A275="","",games!$B275)</f>
        <v>2026</v>
      </c>
      <c r="C275" t="str">
        <f>IF($A275="","",games!$C275)</f>
        <v>Action</v>
      </c>
      <c r="D275">
        <f>IF($A275="","",COUNTIF(connections!$A$2:$A$1473,$A275)+COUNTIF(connections!$B$2:$B$1473,$A275))</f>
        <v>3</v>
      </c>
      <c r="E275">
        <f t="shared" si="52"/>
        <v>1</v>
      </c>
      <c r="F275">
        <f t="shared" si="53"/>
        <v>3</v>
      </c>
      <c r="G275">
        <f t="shared" si="54"/>
        <v>2026</v>
      </c>
      <c r="H275">
        <f t="shared" si="55"/>
        <v>1.069</v>
      </c>
      <c r="I275" t="e">
        <f t="shared" si="56"/>
        <v>#N/A</v>
      </c>
      <c r="J275" t="e">
        <f t="shared" si="57"/>
        <v>#N/A</v>
      </c>
      <c r="K275" t="e">
        <f t="shared" si="58"/>
        <v>#N/A</v>
      </c>
      <c r="L275" t="e">
        <f t="shared" si="59"/>
        <v>#N/A</v>
      </c>
      <c r="M275" t="e">
        <f t="shared" si="60"/>
        <v>#N/A</v>
      </c>
      <c r="N275" t="e">
        <f t="shared" si="61"/>
        <v>#N/A</v>
      </c>
      <c r="O275">
        <f t="shared" si="62"/>
        <v>3.0002749999999998</v>
      </c>
      <c r="P275" t="str">
        <f>IF(OR($A275="",games!$H275=""),"",games!$H275)</f>
        <v>Yes</v>
      </c>
      <c r="Q275">
        <f t="shared" si="63"/>
        <v>3.0002749999999998</v>
      </c>
      <c r="T275">
        <f>IF(connections!$A275="","",IFERROR(INDEX(games!$B$2:$B$950,MATCH(connections!$A275,games!$A$2:$A$950,0)),""))</f>
        <v>2011</v>
      </c>
      <c r="U275">
        <f>IF(connections!$A275="","",IFERROR(INDEX(games!$B$2:$B$950,MATCH(connections!$B275,games!$A$2:$A$950,0)),""))</f>
        <v>2015</v>
      </c>
      <c r="V275">
        <f t="shared" si="64"/>
        <v>4</v>
      </c>
    </row>
    <row r="276" spans="1:22" x14ac:dyDescent="0.25">
      <c r="A276" t="str">
        <f>IF(games!$A276="","",games!$A276)</f>
        <v>Evolings</v>
      </c>
      <c r="B276">
        <f>IF($A276="","",games!$B276)</f>
        <v>2023</v>
      </c>
      <c r="C276" t="str">
        <f>IF($A276="","",games!$C276)</f>
        <v>Action</v>
      </c>
      <c r="D276">
        <f>IF($A276="","",COUNTIF(connections!$A$2:$A$1473,$A276)+COUNTIF(connections!$B$2:$B$1473,$A276))</f>
        <v>0</v>
      </c>
      <c r="E276">
        <f t="shared" si="52"/>
        <v>1</v>
      </c>
      <c r="F276">
        <f t="shared" si="53"/>
        <v>4</v>
      </c>
      <c r="G276">
        <f t="shared" si="54"/>
        <v>2023</v>
      </c>
      <c r="H276">
        <f t="shared" si="55"/>
        <v>1.0920000000000001</v>
      </c>
      <c r="I276" t="e">
        <f t="shared" si="56"/>
        <v>#N/A</v>
      </c>
      <c r="J276" t="e">
        <f t="shared" si="57"/>
        <v>#N/A</v>
      </c>
      <c r="K276" t="e">
        <f t="shared" si="58"/>
        <v>#N/A</v>
      </c>
      <c r="L276" t="e">
        <f t="shared" si="59"/>
        <v>#N/A</v>
      </c>
      <c r="M276" t="e">
        <f t="shared" si="60"/>
        <v>#N/A</v>
      </c>
      <c r="N276" t="e">
        <f t="shared" si="61"/>
        <v>#N/A</v>
      </c>
      <c r="O276">
        <f t="shared" si="62"/>
        <v>2.7599999999999999E-4</v>
      </c>
      <c r="P276" t="str">
        <f>IF(OR($A276="",games!$H276=""),"",games!$H276)</f>
        <v>Yes</v>
      </c>
      <c r="Q276">
        <f t="shared" si="63"/>
        <v>2.7599999999999999E-4</v>
      </c>
      <c r="T276">
        <f>IF(connections!$A276="","",IFERROR(INDEX(games!$B$2:$B$950,MATCH(connections!$A276,games!$A$2:$A$950,0)),""))</f>
        <v>1994</v>
      </c>
      <c r="U276">
        <f>IF(connections!$A276="","",IFERROR(INDEX(games!$B$2:$B$950,MATCH(connections!$B276,games!$A$2:$A$950,0)),""))</f>
        <v>1998</v>
      </c>
      <c r="V276">
        <f t="shared" si="64"/>
        <v>4</v>
      </c>
    </row>
    <row r="277" spans="1:22" x14ac:dyDescent="0.25">
      <c r="A277" t="str">
        <f>IF(games!$A277="","",games!$A277)</f>
        <v>Exit the Gungeon</v>
      </c>
      <c r="B277">
        <f>IF($A277="","",games!$B277)</f>
        <v>2020</v>
      </c>
      <c r="C277" t="str">
        <f>IF($A277="","",games!$C277)</f>
        <v>Action</v>
      </c>
      <c r="D277">
        <f>IF($A277="","",COUNTIF(connections!$A$2:$A$1473,$A277)+COUNTIF(connections!$B$2:$B$1473,$A277))</f>
        <v>2</v>
      </c>
      <c r="E277">
        <f t="shared" si="52"/>
        <v>1</v>
      </c>
      <c r="F277">
        <f t="shared" si="53"/>
        <v>5</v>
      </c>
      <c r="G277">
        <f t="shared" si="54"/>
        <v>2020</v>
      </c>
      <c r="H277">
        <f t="shared" si="55"/>
        <v>1.115</v>
      </c>
      <c r="I277" t="e">
        <f t="shared" si="56"/>
        <v>#N/A</v>
      </c>
      <c r="J277" t="e">
        <f t="shared" si="57"/>
        <v>#N/A</v>
      </c>
      <c r="K277" t="e">
        <f t="shared" si="58"/>
        <v>#N/A</v>
      </c>
      <c r="L277" t="e">
        <f t="shared" si="59"/>
        <v>#N/A</v>
      </c>
      <c r="M277" t="e">
        <f t="shared" si="60"/>
        <v>#N/A</v>
      </c>
      <c r="N277" t="e">
        <f t="shared" si="61"/>
        <v>#N/A</v>
      </c>
      <c r="O277">
        <f t="shared" si="62"/>
        <v>2.0002770000000001</v>
      </c>
      <c r="P277" t="str">
        <f>IF(OR($A277="",games!$H277=""),"",games!$H277)</f>
        <v>Yes</v>
      </c>
      <c r="Q277">
        <f t="shared" si="63"/>
        <v>2.0002770000000001</v>
      </c>
      <c r="T277">
        <f>IF(connections!$A277="","",IFERROR(INDEX(games!$B$2:$B$950,MATCH(connections!$A277,games!$A$2:$A$950,0)),""))</f>
        <v>2023</v>
      </c>
      <c r="U277">
        <f>IF(connections!$A277="","",IFERROR(INDEX(games!$B$2:$B$950,MATCH(connections!$B277,games!$A$2:$A$950,0)),""))</f>
        <v>2026</v>
      </c>
      <c r="V277">
        <f t="shared" si="64"/>
        <v>3</v>
      </c>
    </row>
    <row r="278" spans="1:22" x14ac:dyDescent="0.25">
      <c r="A278" t="str">
        <f>IF(games!$A278="","",games!$A278)</f>
        <v>Facehand</v>
      </c>
      <c r="B278">
        <f>IF($A278="","",games!$B278)</f>
        <v>2024</v>
      </c>
      <c r="C278" t="str">
        <f>IF($A278="","",games!$C278)</f>
        <v>Deckbuilder</v>
      </c>
      <c r="D278">
        <f>IF($A278="","",COUNTIF(connections!$A$2:$A$1473,$A278)+COUNTIF(connections!$B$2:$B$1473,$A278))</f>
        <v>1</v>
      </c>
      <c r="E278">
        <f t="shared" si="52"/>
        <v>3</v>
      </c>
      <c r="F278">
        <f t="shared" si="53"/>
        <v>6</v>
      </c>
      <c r="G278" t="e">
        <f t="shared" si="54"/>
        <v>#N/A</v>
      </c>
      <c r="H278" t="e">
        <f t="shared" si="55"/>
        <v>#N/A</v>
      </c>
      <c r="I278" t="e">
        <f t="shared" si="56"/>
        <v>#N/A</v>
      </c>
      <c r="J278" t="e">
        <f t="shared" si="57"/>
        <v>#N/A</v>
      </c>
      <c r="K278">
        <f t="shared" si="58"/>
        <v>2024</v>
      </c>
      <c r="L278">
        <f t="shared" si="59"/>
        <v>3.1379999999999999</v>
      </c>
      <c r="M278" t="e">
        <f t="shared" si="60"/>
        <v>#N/A</v>
      </c>
      <c r="N278" t="e">
        <f t="shared" si="61"/>
        <v>#N/A</v>
      </c>
      <c r="O278">
        <f t="shared" si="62"/>
        <v>1.000278</v>
      </c>
      <c r="P278" t="str">
        <f>IF(OR($A278="",games!$H278=""),"",games!$H278)</f>
        <v>Yes</v>
      </c>
      <c r="Q278">
        <f t="shared" si="63"/>
        <v>1.000278</v>
      </c>
      <c r="T278">
        <f>IF(connections!$A278="","",IFERROR(INDEX(games!$B$2:$B$950,MATCH(connections!$A278,games!$A$2:$A$950,0)),""))</f>
        <v>2022</v>
      </c>
      <c r="U278">
        <f>IF(connections!$A278="","",IFERROR(INDEX(games!$B$2:$B$950,MATCH(connections!$B278,games!$A$2:$A$950,0)),""))</f>
        <v>2026</v>
      </c>
      <c r="V278">
        <f t="shared" si="64"/>
        <v>4</v>
      </c>
    </row>
    <row r="279" spans="1:22" x14ac:dyDescent="0.25">
      <c r="A279" t="str">
        <f>IF(games!$A279="","",games!$A279)</f>
        <v>Fairy Tail: Dungeons</v>
      </c>
      <c r="B279">
        <f>IF($A279="","",games!$B279)</f>
        <v>2024</v>
      </c>
      <c r="C279" t="str">
        <f>IF($A279="","",games!$C279)</f>
        <v>Deckbuilder</v>
      </c>
      <c r="D279">
        <f>IF($A279="","",COUNTIF(connections!$A$2:$A$1473,$A279)+COUNTIF(connections!$B$2:$B$1473,$A279))</f>
        <v>0</v>
      </c>
      <c r="E279">
        <f t="shared" si="52"/>
        <v>3</v>
      </c>
      <c r="F279">
        <f t="shared" si="53"/>
        <v>7</v>
      </c>
      <c r="G279" t="e">
        <f t="shared" si="54"/>
        <v>#N/A</v>
      </c>
      <c r="H279" t="e">
        <f t="shared" si="55"/>
        <v>#N/A</v>
      </c>
      <c r="I279" t="e">
        <f t="shared" si="56"/>
        <v>#N/A</v>
      </c>
      <c r="J279" t="e">
        <f t="shared" si="57"/>
        <v>#N/A</v>
      </c>
      <c r="K279">
        <f t="shared" si="58"/>
        <v>2024</v>
      </c>
      <c r="L279">
        <f t="shared" si="59"/>
        <v>3.161</v>
      </c>
      <c r="M279" t="e">
        <f t="shared" si="60"/>
        <v>#N/A</v>
      </c>
      <c r="N279" t="e">
        <f t="shared" si="61"/>
        <v>#N/A</v>
      </c>
      <c r="O279">
        <f t="shared" si="62"/>
        <v>2.7900000000000001E-4</v>
      </c>
      <c r="P279" t="str">
        <f>IF(OR($A279="",games!$H279=""),"",games!$H279)</f>
        <v>Yes</v>
      </c>
      <c r="Q279">
        <f t="shared" si="63"/>
        <v>2.7900000000000001E-4</v>
      </c>
      <c r="T279">
        <f>IF(connections!$A279="","",IFERROR(INDEX(games!$B$2:$B$950,MATCH(connections!$A279,games!$A$2:$A$950,0)),""))</f>
        <v>2018</v>
      </c>
      <c r="U279">
        <f>IF(connections!$A279="","",IFERROR(INDEX(games!$B$2:$B$950,MATCH(connections!$B279,games!$A$2:$A$950,0)),""))</f>
        <v>2022</v>
      </c>
      <c r="V279">
        <f t="shared" si="64"/>
        <v>4</v>
      </c>
    </row>
    <row r="280" spans="1:22" x14ac:dyDescent="0.25">
      <c r="A280" t="str">
        <f>IF(games!$A280="","",games!$A280)</f>
        <v>Fatal Labyrinth</v>
      </c>
      <c r="B280">
        <f>IF($A280="","",games!$B280)</f>
        <v>1990</v>
      </c>
      <c r="C280" t="str">
        <f>IF($A280="","",games!$C280)</f>
        <v>Traditional</v>
      </c>
      <c r="D280">
        <f>IF($A280="","",COUNTIF(connections!$A$2:$A$1473,$A280)+COUNTIF(connections!$B$2:$B$1473,$A280))</f>
        <v>2</v>
      </c>
      <c r="E280">
        <f t="shared" si="52"/>
        <v>4</v>
      </c>
      <c r="F280">
        <f t="shared" si="53"/>
        <v>8</v>
      </c>
      <c r="G280" t="e">
        <f t="shared" si="54"/>
        <v>#N/A</v>
      </c>
      <c r="H280" t="e">
        <f t="shared" si="55"/>
        <v>#N/A</v>
      </c>
      <c r="I280" t="e">
        <f t="shared" si="56"/>
        <v>#N/A</v>
      </c>
      <c r="J280" t="e">
        <f t="shared" si="57"/>
        <v>#N/A</v>
      </c>
      <c r="K280" t="e">
        <f t="shared" si="58"/>
        <v>#N/A</v>
      </c>
      <c r="L280" t="e">
        <f t="shared" si="59"/>
        <v>#N/A</v>
      </c>
      <c r="M280">
        <f t="shared" si="60"/>
        <v>1990</v>
      </c>
      <c r="N280">
        <f t="shared" si="61"/>
        <v>4.1840000000000002</v>
      </c>
      <c r="O280">
        <f t="shared" si="62"/>
        <v>2.0002800000000001</v>
      </c>
      <c r="P280" t="str">
        <f>IF(OR($A280="",games!$H280=""),"",games!$H280)</f>
        <v>Yes</v>
      </c>
      <c r="Q280">
        <f t="shared" si="63"/>
        <v>2.0002800000000001</v>
      </c>
      <c r="T280">
        <f>IF(connections!$A280="","",IFERROR(INDEX(games!$B$2:$B$950,MATCH(connections!$A280,games!$A$2:$A$950,0)),""))</f>
        <v>2013</v>
      </c>
      <c r="U280">
        <f>IF(connections!$A280="","",IFERROR(INDEX(games!$B$2:$B$950,MATCH(connections!$B280,games!$A$2:$A$950,0)),""))</f>
        <v>2022</v>
      </c>
      <c r="V280">
        <f t="shared" si="64"/>
        <v>9</v>
      </c>
    </row>
    <row r="281" spans="1:22" x14ac:dyDescent="0.25">
      <c r="A281" t="str">
        <f>IF(games!$A281="","",games!$A281)</f>
        <v>Fear &amp; Hunger</v>
      </c>
      <c r="B281">
        <f>IF($A281="","",games!$B281)</f>
        <v>2018</v>
      </c>
      <c r="C281" t="str">
        <f>IF($A281="","",games!$C281)</f>
        <v>Strategy</v>
      </c>
      <c r="D281">
        <f>IF($A281="","",COUNTIF(connections!$A$2:$A$1473,$A281)+COUNTIF(connections!$B$2:$B$1473,$A281))</f>
        <v>1</v>
      </c>
      <c r="E281">
        <f t="shared" si="52"/>
        <v>2</v>
      </c>
      <c r="F281">
        <f t="shared" si="53"/>
        <v>9</v>
      </c>
      <c r="G281" t="e">
        <f t="shared" si="54"/>
        <v>#N/A</v>
      </c>
      <c r="H281" t="e">
        <f t="shared" si="55"/>
        <v>#N/A</v>
      </c>
      <c r="I281">
        <f t="shared" si="56"/>
        <v>2018</v>
      </c>
      <c r="J281">
        <f t="shared" si="57"/>
        <v>2.2069999999999999</v>
      </c>
      <c r="K281" t="e">
        <f t="shared" si="58"/>
        <v>#N/A</v>
      </c>
      <c r="L281" t="e">
        <f t="shared" si="59"/>
        <v>#N/A</v>
      </c>
      <c r="M281" t="e">
        <f t="shared" si="60"/>
        <v>#N/A</v>
      </c>
      <c r="N281" t="e">
        <f t="shared" si="61"/>
        <v>#N/A</v>
      </c>
      <c r="O281">
        <f t="shared" si="62"/>
        <v>1.000281</v>
      </c>
      <c r="P281" t="str">
        <f>IF(OR($A281="",games!$H281=""),"",games!$H281)</f>
        <v/>
      </c>
      <c r="Q281" t="str">
        <f t="shared" si="63"/>
        <v/>
      </c>
      <c r="T281">
        <f>IF(connections!$A281="","",IFERROR(INDEX(games!$B$2:$B$950,MATCH(connections!$A281,games!$A$2:$A$950,0)),""))</f>
        <v>2016</v>
      </c>
      <c r="U281">
        <f>IF(connections!$A281="","",IFERROR(INDEX(games!$B$2:$B$950,MATCH(connections!$B281,games!$A$2:$A$950,0)),""))</f>
        <v>2022</v>
      </c>
      <c r="V281">
        <f t="shared" si="64"/>
        <v>6</v>
      </c>
    </row>
    <row r="282" spans="1:22" x14ac:dyDescent="0.25">
      <c r="A282" t="str">
        <f>IF(games!$A282="","",games!$A282)</f>
        <v>Feed the Deep</v>
      </c>
      <c r="B282">
        <f>IF($A282="","",games!$B282)</f>
        <v>2024</v>
      </c>
      <c r="C282" t="str">
        <f>IF($A282="","",games!$C282)</f>
        <v>Strategy</v>
      </c>
      <c r="D282">
        <f>IF($A282="","",COUNTIF(connections!$A$2:$A$1473,$A282)+COUNTIF(connections!$B$2:$B$1473,$A282))</f>
        <v>2</v>
      </c>
      <c r="E282">
        <f t="shared" si="52"/>
        <v>2</v>
      </c>
      <c r="F282">
        <f t="shared" si="53"/>
        <v>10</v>
      </c>
      <c r="G282" t="e">
        <f t="shared" si="54"/>
        <v>#N/A</v>
      </c>
      <c r="H282" t="e">
        <f t="shared" si="55"/>
        <v>#N/A</v>
      </c>
      <c r="I282">
        <f t="shared" si="56"/>
        <v>2024</v>
      </c>
      <c r="J282">
        <f t="shared" si="57"/>
        <v>2.23</v>
      </c>
      <c r="K282" t="e">
        <f t="shared" si="58"/>
        <v>#N/A</v>
      </c>
      <c r="L282" t="e">
        <f t="shared" si="59"/>
        <v>#N/A</v>
      </c>
      <c r="M282" t="e">
        <f t="shared" si="60"/>
        <v>#N/A</v>
      </c>
      <c r="N282" t="e">
        <f t="shared" si="61"/>
        <v>#N/A</v>
      </c>
      <c r="O282">
        <f t="shared" si="62"/>
        <v>2.0002819999999999</v>
      </c>
      <c r="P282" t="str">
        <f>IF(OR($A282="",games!$H282=""),"",games!$H282)</f>
        <v>Yes</v>
      </c>
      <c r="Q282">
        <f t="shared" si="63"/>
        <v>2.0002819999999999</v>
      </c>
      <c r="T282">
        <f>IF(connections!$A282="","",IFERROR(INDEX(games!$B$2:$B$950,MATCH(connections!$A282,games!$A$2:$A$950,0)),""))</f>
        <v>2019</v>
      </c>
      <c r="U282">
        <f>IF(connections!$A282="","",IFERROR(INDEX(games!$B$2:$B$950,MATCH(connections!$B282,games!$A$2:$A$950,0)),""))</f>
        <v>2022</v>
      </c>
      <c r="V282">
        <f t="shared" si="64"/>
        <v>3</v>
      </c>
    </row>
    <row r="283" spans="1:22" x14ac:dyDescent="0.25">
      <c r="A283" t="str">
        <f>IF(games!$A283="","",games!$A283)</f>
        <v>Fights in Tight Spaces</v>
      </c>
      <c r="B283">
        <f>IF($A283="","",games!$B283)</f>
        <v>2021</v>
      </c>
      <c r="C283" t="str">
        <f>IF($A283="","",games!$C283)</f>
        <v>Deckbuilder</v>
      </c>
      <c r="D283">
        <f>IF($A283="","",COUNTIF(connections!$A$2:$A$1473,$A283)+COUNTIF(connections!$B$2:$B$1473,$A283))</f>
        <v>5</v>
      </c>
      <c r="E283">
        <f t="shared" si="52"/>
        <v>3</v>
      </c>
      <c r="F283">
        <f t="shared" si="53"/>
        <v>11</v>
      </c>
      <c r="G283" t="e">
        <f t="shared" si="54"/>
        <v>#N/A</v>
      </c>
      <c r="H283" t="e">
        <f t="shared" si="55"/>
        <v>#N/A</v>
      </c>
      <c r="I283" t="e">
        <f t="shared" si="56"/>
        <v>#N/A</v>
      </c>
      <c r="J283" t="e">
        <f t="shared" si="57"/>
        <v>#N/A</v>
      </c>
      <c r="K283">
        <f t="shared" si="58"/>
        <v>2021</v>
      </c>
      <c r="L283">
        <f t="shared" si="59"/>
        <v>3.2530000000000001</v>
      </c>
      <c r="M283" t="e">
        <f t="shared" si="60"/>
        <v>#N/A</v>
      </c>
      <c r="N283" t="e">
        <f t="shared" si="61"/>
        <v>#N/A</v>
      </c>
      <c r="O283">
        <f t="shared" si="62"/>
        <v>5.0002829999999996</v>
      </c>
      <c r="P283" t="str">
        <f>IF(OR($A283="",games!$H283=""),"",games!$H283)</f>
        <v>Yes</v>
      </c>
      <c r="Q283">
        <f t="shared" si="63"/>
        <v>5.0002829999999996</v>
      </c>
      <c r="T283">
        <f>IF(connections!$A283="","",IFERROR(INDEX(games!$B$2:$B$950,MATCH(connections!$A283,games!$A$2:$A$950,0)),""))</f>
        <v>2011</v>
      </c>
      <c r="U283">
        <f>IF(connections!$A283="","",IFERROR(INDEX(games!$B$2:$B$950,MATCH(connections!$B283,games!$A$2:$A$950,0)),""))</f>
        <v>2022</v>
      </c>
      <c r="V283">
        <f t="shared" si="64"/>
        <v>11</v>
      </c>
    </row>
    <row r="284" spans="1:22" x14ac:dyDescent="0.25">
      <c r="A284" t="str">
        <f>IF(games!$A284="","",games!$A284)</f>
        <v>Final Fantasy Fables: Chocobo's Dungeon</v>
      </c>
      <c r="B284">
        <f>IF($A284="","",games!$B284)</f>
        <v>2007</v>
      </c>
      <c r="C284" t="str">
        <f>IF($A284="","",games!$C284)</f>
        <v>Traditional</v>
      </c>
      <c r="D284">
        <f>IF($A284="","",COUNTIF(connections!$A$2:$A$1473,$A284)+COUNTIF(connections!$B$2:$B$1473,$A284))</f>
        <v>2</v>
      </c>
      <c r="E284">
        <f t="shared" si="52"/>
        <v>4</v>
      </c>
      <c r="F284">
        <f t="shared" si="53"/>
        <v>12</v>
      </c>
      <c r="G284" t="e">
        <f t="shared" si="54"/>
        <v>#N/A</v>
      </c>
      <c r="H284" t="e">
        <f t="shared" si="55"/>
        <v>#N/A</v>
      </c>
      <c r="I284" t="e">
        <f t="shared" si="56"/>
        <v>#N/A</v>
      </c>
      <c r="J284" t="e">
        <f t="shared" si="57"/>
        <v>#N/A</v>
      </c>
      <c r="K284" t="e">
        <f t="shared" si="58"/>
        <v>#N/A</v>
      </c>
      <c r="L284" t="e">
        <f t="shared" si="59"/>
        <v>#N/A</v>
      </c>
      <c r="M284">
        <f t="shared" si="60"/>
        <v>2007</v>
      </c>
      <c r="N284">
        <f t="shared" si="61"/>
        <v>4.2759999999999998</v>
      </c>
      <c r="O284">
        <f t="shared" si="62"/>
        <v>2.0002840000000002</v>
      </c>
      <c r="P284" t="str">
        <f>IF(OR($A284="",games!$H284=""),"",games!$H284)</f>
        <v>Yes</v>
      </c>
      <c r="Q284">
        <f t="shared" si="63"/>
        <v>2.0002840000000002</v>
      </c>
      <c r="T284">
        <f>IF(connections!$A284="","",IFERROR(INDEX(games!$B$2:$B$950,MATCH(connections!$A284,games!$A$2:$A$950,0)),""))</f>
        <v>2012</v>
      </c>
      <c r="U284">
        <f>IF(connections!$A284="","",IFERROR(INDEX(games!$B$2:$B$950,MATCH(connections!$B284,games!$A$2:$A$950,0)),""))</f>
        <v>2018</v>
      </c>
      <c r="V284">
        <f t="shared" si="64"/>
        <v>6</v>
      </c>
    </row>
    <row r="285" spans="1:22" x14ac:dyDescent="0.25">
      <c r="A285" t="str">
        <f>IF(games!$A285="","",games!$A285)</f>
        <v>Fish Fear Me</v>
      </c>
      <c r="B285">
        <f>IF($A285="","",games!$B285)</f>
        <v>2024</v>
      </c>
      <c r="C285" t="str">
        <f>IF($A285="","",games!$C285)</f>
        <v>Action</v>
      </c>
      <c r="D285">
        <f>IF($A285="","",COUNTIF(connections!$A$2:$A$1473,$A285)+COUNTIF(connections!$B$2:$B$1473,$A285))</f>
        <v>1</v>
      </c>
      <c r="E285">
        <f t="shared" si="52"/>
        <v>1</v>
      </c>
      <c r="F285">
        <f t="shared" si="53"/>
        <v>13</v>
      </c>
      <c r="G285">
        <f t="shared" si="54"/>
        <v>2024</v>
      </c>
      <c r="H285">
        <f t="shared" si="55"/>
        <v>1.2989999999999999</v>
      </c>
      <c r="I285" t="e">
        <f t="shared" si="56"/>
        <v>#N/A</v>
      </c>
      <c r="J285" t="e">
        <f t="shared" si="57"/>
        <v>#N/A</v>
      </c>
      <c r="K285" t="e">
        <f t="shared" si="58"/>
        <v>#N/A</v>
      </c>
      <c r="L285" t="e">
        <f t="shared" si="59"/>
        <v>#N/A</v>
      </c>
      <c r="M285" t="e">
        <f t="shared" si="60"/>
        <v>#N/A</v>
      </c>
      <c r="N285" t="e">
        <f t="shared" si="61"/>
        <v>#N/A</v>
      </c>
      <c r="O285">
        <f t="shared" si="62"/>
        <v>1.0002850000000001</v>
      </c>
      <c r="P285" t="str">
        <f>IF(OR($A285="",games!$H285=""),"",games!$H285)</f>
        <v>Yes</v>
      </c>
      <c r="Q285">
        <f t="shared" si="63"/>
        <v>1.0002850000000001</v>
      </c>
      <c r="T285">
        <f>IF(connections!$A285="","",IFERROR(INDEX(games!$B$2:$B$950,MATCH(connections!$A285,games!$A$2:$A$950,0)),""))</f>
        <v>2015</v>
      </c>
      <c r="U285">
        <f>IF(connections!$A285="","",IFERROR(INDEX(games!$B$2:$B$950,MATCH(connections!$B285,games!$A$2:$A$950,0)),""))</f>
        <v>2018</v>
      </c>
      <c r="V285">
        <f t="shared" si="64"/>
        <v>3</v>
      </c>
    </row>
    <row r="286" spans="1:22" x14ac:dyDescent="0.25">
      <c r="A286" t="str">
        <f>IF(games!$A286="","",games!$A286)</f>
        <v>FLERP</v>
      </c>
      <c r="B286">
        <f>IF($A286="","",games!$B286)</f>
        <v>2022</v>
      </c>
      <c r="C286" t="str">
        <f>IF($A286="","",games!$C286)</f>
        <v>Action</v>
      </c>
      <c r="D286">
        <f>IF($A286="","",COUNTIF(connections!$A$2:$A$1473,$A286)+COUNTIF(connections!$B$2:$B$1473,$A286))</f>
        <v>2</v>
      </c>
      <c r="E286">
        <f t="shared" si="52"/>
        <v>1</v>
      </c>
      <c r="F286">
        <f t="shared" si="53"/>
        <v>14</v>
      </c>
      <c r="G286">
        <f t="shared" si="54"/>
        <v>2022</v>
      </c>
      <c r="H286">
        <f t="shared" si="55"/>
        <v>1.3220000000000001</v>
      </c>
      <c r="I286" t="e">
        <f t="shared" si="56"/>
        <v>#N/A</v>
      </c>
      <c r="J286" t="e">
        <f t="shared" si="57"/>
        <v>#N/A</v>
      </c>
      <c r="K286" t="e">
        <f t="shared" si="58"/>
        <v>#N/A</v>
      </c>
      <c r="L286" t="e">
        <f t="shared" si="59"/>
        <v>#N/A</v>
      </c>
      <c r="M286" t="e">
        <f t="shared" si="60"/>
        <v>#N/A</v>
      </c>
      <c r="N286" t="e">
        <f t="shared" si="61"/>
        <v>#N/A</v>
      </c>
      <c r="O286">
        <f t="shared" si="62"/>
        <v>2.000286</v>
      </c>
      <c r="P286" t="str">
        <f>IF(OR($A286="",games!$H286=""),"",games!$H286)</f>
        <v/>
      </c>
      <c r="Q286" t="str">
        <f t="shared" si="63"/>
        <v/>
      </c>
      <c r="T286">
        <f>IF(connections!$A286="","",IFERROR(INDEX(games!$B$2:$B$950,MATCH(connections!$A286,games!$A$2:$A$950,0)),""))</f>
        <v>2021</v>
      </c>
      <c r="U286">
        <f>IF(connections!$A286="","",IFERROR(INDEX(games!$B$2:$B$950,MATCH(connections!$B286,games!$A$2:$A$950,0)),""))</f>
        <v>2024</v>
      </c>
      <c r="V286">
        <f t="shared" si="64"/>
        <v>3</v>
      </c>
    </row>
    <row r="287" spans="1:22" x14ac:dyDescent="0.25">
      <c r="A287" t="str">
        <f>IF(games!$A287="","",games!$A287)</f>
        <v>Flick Shot Rogues</v>
      </c>
      <c r="B287">
        <f>IF($A287="","",games!$B287)</f>
        <v>2025</v>
      </c>
      <c r="C287" t="str">
        <f>IF($A287="","",games!$C287)</f>
        <v>Strategy</v>
      </c>
      <c r="D287">
        <f>IF($A287="","",COUNTIF(connections!$A$2:$A$1473,$A287)+COUNTIF(connections!$B$2:$B$1473,$A287))</f>
        <v>0</v>
      </c>
      <c r="E287">
        <f t="shared" si="52"/>
        <v>2</v>
      </c>
      <c r="F287">
        <f t="shared" si="53"/>
        <v>15</v>
      </c>
      <c r="G287" t="e">
        <f t="shared" si="54"/>
        <v>#N/A</v>
      </c>
      <c r="H287" t="e">
        <f t="shared" si="55"/>
        <v>#N/A</v>
      </c>
      <c r="I287">
        <f t="shared" si="56"/>
        <v>2025</v>
      </c>
      <c r="J287">
        <f t="shared" si="57"/>
        <v>2.3449999999999998</v>
      </c>
      <c r="K287" t="e">
        <f t="shared" si="58"/>
        <v>#N/A</v>
      </c>
      <c r="L287" t="e">
        <f t="shared" si="59"/>
        <v>#N/A</v>
      </c>
      <c r="M287" t="e">
        <f t="shared" si="60"/>
        <v>#N/A</v>
      </c>
      <c r="N287" t="e">
        <f t="shared" si="61"/>
        <v>#N/A</v>
      </c>
      <c r="O287">
        <f t="shared" si="62"/>
        <v>2.8699999999999998E-4</v>
      </c>
      <c r="P287" t="str">
        <f>IF(OR($A287="",games!$H287=""),"",games!$H287)</f>
        <v>Yes</v>
      </c>
      <c r="Q287">
        <f t="shared" si="63"/>
        <v>2.8699999999999998E-4</v>
      </c>
      <c r="T287">
        <f>IF(connections!$A287="","",IFERROR(INDEX(games!$B$2:$B$950,MATCH(connections!$A287,games!$A$2:$A$950,0)),""))</f>
        <v>2016</v>
      </c>
      <c r="U287">
        <f>IF(connections!$A287="","",IFERROR(INDEX(games!$B$2:$B$950,MATCH(connections!$B287,games!$A$2:$A$950,0)),""))</f>
        <v>2020</v>
      </c>
      <c r="V287">
        <f t="shared" si="64"/>
        <v>4</v>
      </c>
    </row>
    <row r="288" spans="1:22" x14ac:dyDescent="0.25">
      <c r="A288" t="str">
        <f>IF(games!$A288="","",games!$A288)</f>
        <v>Flinthook</v>
      </c>
      <c r="B288">
        <f>IF($A288="","",games!$B288)</f>
        <v>2017</v>
      </c>
      <c r="C288" t="str">
        <f>IF($A288="","",games!$C288)</f>
        <v>Action</v>
      </c>
      <c r="D288">
        <f>IF($A288="","",COUNTIF(connections!$A$2:$A$1473,$A288)+COUNTIF(connections!$B$2:$B$1473,$A288))</f>
        <v>2</v>
      </c>
      <c r="E288">
        <f t="shared" si="52"/>
        <v>1</v>
      </c>
      <c r="F288">
        <f t="shared" si="53"/>
        <v>16</v>
      </c>
      <c r="G288">
        <f t="shared" si="54"/>
        <v>2017</v>
      </c>
      <c r="H288">
        <f t="shared" si="55"/>
        <v>1.3679999999999999</v>
      </c>
      <c r="I288" t="e">
        <f t="shared" si="56"/>
        <v>#N/A</v>
      </c>
      <c r="J288" t="e">
        <f t="shared" si="57"/>
        <v>#N/A</v>
      </c>
      <c r="K288" t="e">
        <f t="shared" si="58"/>
        <v>#N/A</v>
      </c>
      <c r="L288" t="e">
        <f t="shared" si="59"/>
        <v>#N/A</v>
      </c>
      <c r="M288" t="e">
        <f t="shared" si="60"/>
        <v>#N/A</v>
      </c>
      <c r="N288" t="e">
        <f t="shared" si="61"/>
        <v>#N/A</v>
      </c>
      <c r="O288">
        <f t="shared" si="62"/>
        <v>2.0002879999999998</v>
      </c>
      <c r="P288" t="str">
        <f>IF(OR($A288="",games!$H288=""),"",games!$H288)</f>
        <v>Yes</v>
      </c>
      <c r="Q288">
        <f t="shared" si="63"/>
        <v>2.0002879999999998</v>
      </c>
      <c r="T288">
        <f>IF(connections!$A288="","",IFERROR(INDEX(games!$B$2:$B$950,MATCH(connections!$A288,games!$A$2:$A$950,0)),""))</f>
        <v>2019</v>
      </c>
      <c r="U288">
        <f>IF(connections!$A288="","",IFERROR(INDEX(games!$B$2:$B$950,MATCH(connections!$B288,games!$A$2:$A$950,0)),""))</f>
        <v>2026</v>
      </c>
      <c r="V288">
        <f t="shared" si="64"/>
        <v>7</v>
      </c>
    </row>
    <row r="289" spans="1:22" x14ac:dyDescent="0.25">
      <c r="A289" t="str">
        <f>IF(games!$A289="","",games!$A289)</f>
        <v>Fogpiercer</v>
      </c>
      <c r="B289">
        <f>IF($A289="","",games!$B289)</f>
        <v>2026</v>
      </c>
      <c r="C289" t="str">
        <f>IF($A289="","",games!$C289)</f>
        <v>Deckbuilder</v>
      </c>
      <c r="D289">
        <f>IF($A289="","",COUNTIF(connections!$A$2:$A$1473,$A289)+COUNTIF(connections!$B$2:$B$1473,$A289))</f>
        <v>4</v>
      </c>
      <c r="E289">
        <f t="shared" si="52"/>
        <v>3</v>
      </c>
      <c r="F289">
        <f t="shared" si="53"/>
        <v>17</v>
      </c>
      <c r="G289" t="e">
        <f t="shared" si="54"/>
        <v>#N/A</v>
      </c>
      <c r="H289" t="e">
        <f t="shared" si="55"/>
        <v>#N/A</v>
      </c>
      <c r="I289" t="e">
        <f t="shared" si="56"/>
        <v>#N/A</v>
      </c>
      <c r="J289" t="e">
        <f t="shared" si="57"/>
        <v>#N/A</v>
      </c>
      <c r="K289">
        <f t="shared" si="58"/>
        <v>2026</v>
      </c>
      <c r="L289">
        <f t="shared" si="59"/>
        <v>3.391</v>
      </c>
      <c r="M289" t="e">
        <f t="shared" si="60"/>
        <v>#N/A</v>
      </c>
      <c r="N289" t="e">
        <f t="shared" si="61"/>
        <v>#N/A</v>
      </c>
      <c r="O289">
        <f t="shared" si="62"/>
        <v>4.0002890000000004</v>
      </c>
      <c r="P289" t="str">
        <f>IF(OR($A289="",games!$H289=""),"",games!$H289)</f>
        <v/>
      </c>
      <c r="Q289" t="str">
        <f t="shared" si="63"/>
        <v/>
      </c>
      <c r="T289">
        <f>IF(connections!$A289="","",IFERROR(INDEX(games!$B$2:$B$950,MATCH(connections!$A289,games!$A$2:$A$950,0)),""))</f>
        <v>2021</v>
      </c>
      <c r="U289">
        <f>IF(connections!$A289="","",IFERROR(INDEX(games!$B$2:$B$950,MATCH(connections!$B289,games!$A$2:$A$950,0)),""))</f>
        <v>2026</v>
      </c>
      <c r="V289">
        <f t="shared" si="64"/>
        <v>5</v>
      </c>
    </row>
    <row r="290" spans="1:22" x14ac:dyDescent="0.25">
      <c r="A290" t="str">
        <f>IF(games!$A290="","",games!$A290)</f>
        <v>Footgun: Underground</v>
      </c>
      <c r="B290">
        <f>IF($A290="","",games!$B290)</f>
        <v>2024</v>
      </c>
      <c r="C290" t="str">
        <f>IF($A290="","",games!$C290)</f>
        <v>Action</v>
      </c>
      <c r="D290">
        <f>IF($A290="","",COUNTIF(connections!$A$2:$A$1473,$A290)+COUNTIF(connections!$B$2:$B$1473,$A290))</f>
        <v>3</v>
      </c>
      <c r="E290">
        <f t="shared" si="52"/>
        <v>1</v>
      </c>
      <c r="F290">
        <f t="shared" si="53"/>
        <v>18</v>
      </c>
      <c r="G290">
        <f t="shared" si="54"/>
        <v>2024</v>
      </c>
      <c r="H290">
        <f t="shared" si="55"/>
        <v>1.4139999999999999</v>
      </c>
      <c r="I290" t="e">
        <f t="shared" si="56"/>
        <v>#N/A</v>
      </c>
      <c r="J290" t="e">
        <f t="shared" si="57"/>
        <v>#N/A</v>
      </c>
      <c r="K290" t="e">
        <f t="shared" si="58"/>
        <v>#N/A</v>
      </c>
      <c r="L290" t="e">
        <f t="shared" si="59"/>
        <v>#N/A</v>
      </c>
      <c r="M290" t="e">
        <f t="shared" si="60"/>
        <v>#N/A</v>
      </c>
      <c r="N290" t="e">
        <f t="shared" si="61"/>
        <v>#N/A</v>
      </c>
      <c r="O290">
        <f t="shared" si="62"/>
        <v>3.0002900000000001</v>
      </c>
      <c r="P290" t="str">
        <f>IF(OR($A290="",games!$H290=""),"",games!$H290)</f>
        <v>Yes</v>
      </c>
      <c r="Q290">
        <f t="shared" si="63"/>
        <v>3.0002900000000001</v>
      </c>
      <c r="T290">
        <f>IF(connections!$A290="","",IFERROR(INDEX(games!$B$2:$B$950,MATCH(connections!$A290,games!$A$2:$A$950,0)),""))</f>
        <v>2015</v>
      </c>
      <c r="U290">
        <f>IF(connections!$A290="","",IFERROR(INDEX(games!$B$2:$B$950,MATCH(connections!$B290,games!$A$2:$A$950,0)),""))</f>
        <v>2020</v>
      </c>
      <c r="V290">
        <f t="shared" si="64"/>
        <v>5</v>
      </c>
    </row>
    <row r="291" spans="1:22" x14ac:dyDescent="0.25">
      <c r="A291" t="str">
        <f>IF(games!$A291="","",games!$A291)</f>
        <v>For the King</v>
      </c>
      <c r="B291">
        <f>IF($A291="","",games!$B291)</f>
        <v>2018</v>
      </c>
      <c r="C291" t="str">
        <f>IF($A291="","",games!$C291)</f>
        <v>Strategy</v>
      </c>
      <c r="D291">
        <f>IF($A291="","",COUNTIF(connections!$A$2:$A$1473,$A291)+COUNTIF(connections!$B$2:$B$1473,$A291))</f>
        <v>3</v>
      </c>
      <c r="E291">
        <f t="shared" si="52"/>
        <v>2</v>
      </c>
      <c r="F291">
        <f t="shared" si="53"/>
        <v>19</v>
      </c>
      <c r="G291" t="e">
        <f t="shared" si="54"/>
        <v>#N/A</v>
      </c>
      <c r="H291" t="e">
        <f t="shared" si="55"/>
        <v>#N/A</v>
      </c>
      <c r="I291">
        <f t="shared" si="56"/>
        <v>2018</v>
      </c>
      <c r="J291">
        <f t="shared" si="57"/>
        <v>2.4369999999999998</v>
      </c>
      <c r="K291" t="e">
        <f t="shared" si="58"/>
        <v>#N/A</v>
      </c>
      <c r="L291" t="e">
        <f t="shared" si="59"/>
        <v>#N/A</v>
      </c>
      <c r="M291" t="e">
        <f t="shared" si="60"/>
        <v>#N/A</v>
      </c>
      <c r="N291" t="e">
        <f t="shared" si="61"/>
        <v>#N/A</v>
      </c>
      <c r="O291">
        <f t="shared" si="62"/>
        <v>3.0002909999999998</v>
      </c>
      <c r="P291" t="str">
        <f>IF(OR($A291="",games!$H291=""),"",games!$H291)</f>
        <v>Yes</v>
      </c>
      <c r="Q291">
        <f t="shared" si="63"/>
        <v>3.0002909999999998</v>
      </c>
      <c r="T291">
        <f>IF(connections!$A291="","",IFERROR(INDEX(games!$B$2:$B$950,MATCH(connections!$A291,games!$A$2:$A$950,0)),""))</f>
        <v>1996</v>
      </c>
      <c r="U291">
        <f>IF(connections!$A291="","",IFERROR(INDEX(games!$B$2:$B$950,MATCH(connections!$B291,games!$A$2:$A$950,0)),""))</f>
        <v>2020</v>
      </c>
      <c r="V291">
        <f t="shared" si="64"/>
        <v>24</v>
      </c>
    </row>
    <row r="292" spans="1:22" x14ac:dyDescent="0.25">
      <c r="A292" t="str">
        <f>IF(games!$A292="","",games!$A292)</f>
        <v>For the King 2</v>
      </c>
      <c r="B292">
        <f>IF($A292="","",games!$B292)</f>
        <v>2023</v>
      </c>
      <c r="C292" t="str">
        <f>IF($A292="","",games!$C292)</f>
        <v>Strategy</v>
      </c>
      <c r="D292">
        <f>IF($A292="","",COUNTIF(connections!$A$2:$A$1473,$A292)+COUNTIF(connections!$B$2:$B$1473,$A292))</f>
        <v>1</v>
      </c>
      <c r="E292">
        <f t="shared" si="52"/>
        <v>2</v>
      </c>
      <c r="F292">
        <f t="shared" si="53"/>
        <v>20</v>
      </c>
      <c r="G292" t="e">
        <f t="shared" si="54"/>
        <v>#N/A</v>
      </c>
      <c r="H292" t="e">
        <f t="shared" si="55"/>
        <v>#N/A</v>
      </c>
      <c r="I292">
        <f t="shared" si="56"/>
        <v>2023</v>
      </c>
      <c r="J292">
        <f t="shared" si="57"/>
        <v>2.46</v>
      </c>
      <c r="K292" t="e">
        <f t="shared" si="58"/>
        <v>#N/A</v>
      </c>
      <c r="L292" t="e">
        <f t="shared" si="59"/>
        <v>#N/A</v>
      </c>
      <c r="M292" t="e">
        <f t="shared" si="60"/>
        <v>#N/A</v>
      </c>
      <c r="N292" t="e">
        <f t="shared" si="61"/>
        <v>#N/A</v>
      </c>
      <c r="O292">
        <f t="shared" si="62"/>
        <v>1.000292</v>
      </c>
      <c r="P292" t="str">
        <f>IF(OR($A292="",games!$H292=""),"",games!$H292)</f>
        <v>Yes</v>
      </c>
      <c r="Q292">
        <f t="shared" si="63"/>
        <v>1.000292</v>
      </c>
      <c r="T292">
        <f>IF(connections!$A292="","",IFERROR(INDEX(games!$B$2:$B$950,MATCH(connections!$A292,games!$A$2:$A$950,0)),""))</f>
        <v>2019</v>
      </c>
      <c r="U292">
        <f>IF(connections!$A292="","",IFERROR(INDEX(games!$B$2:$B$950,MATCH(connections!$B292,games!$A$2:$A$950,0)),""))</f>
        <v>2020</v>
      </c>
      <c r="V292">
        <f t="shared" si="64"/>
        <v>1</v>
      </c>
    </row>
    <row r="293" spans="1:22" x14ac:dyDescent="0.25">
      <c r="A293" t="str">
        <f>IF(games!$A293="","",games!$A293)</f>
        <v>For The Warp</v>
      </c>
      <c r="B293">
        <f>IF($A293="","",games!$B293)</f>
        <v>2020</v>
      </c>
      <c r="C293" t="str">
        <f>IF($A293="","",games!$C293)</f>
        <v>Deckbuilder</v>
      </c>
      <c r="D293">
        <f>IF($A293="","",COUNTIF(connections!$A$2:$A$1473,$A293)+COUNTIF(connections!$B$2:$B$1473,$A293))</f>
        <v>3</v>
      </c>
      <c r="E293">
        <f t="shared" si="52"/>
        <v>3</v>
      </c>
      <c r="F293">
        <f t="shared" si="53"/>
        <v>21</v>
      </c>
      <c r="G293" t="e">
        <f t="shared" si="54"/>
        <v>#N/A</v>
      </c>
      <c r="H293" t="e">
        <f t="shared" si="55"/>
        <v>#N/A</v>
      </c>
      <c r="I293" t="e">
        <f t="shared" si="56"/>
        <v>#N/A</v>
      </c>
      <c r="J293" t="e">
        <f t="shared" si="57"/>
        <v>#N/A</v>
      </c>
      <c r="K293">
        <f t="shared" si="58"/>
        <v>2020</v>
      </c>
      <c r="L293">
        <f t="shared" si="59"/>
        <v>3.4830000000000001</v>
      </c>
      <c r="M293" t="e">
        <f t="shared" si="60"/>
        <v>#N/A</v>
      </c>
      <c r="N293" t="e">
        <f t="shared" si="61"/>
        <v>#N/A</v>
      </c>
      <c r="O293">
        <f t="shared" si="62"/>
        <v>3.0002930000000001</v>
      </c>
      <c r="P293" t="str">
        <f>IF(OR($A293="",games!$H293=""),"",games!$H293)</f>
        <v>Yes</v>
      </c>
      <c r="Q293">
        <f t="shared" si="63"/>
        <v>3.0002930000000001</v>
      </c>
      <c r="T293">
        <f>IF(connections!$A293="","",IFERROR(INDEX(games!$B$2:$B$950,MATCH(connections!$A293,games!$A$2:$A$950,0)),""))</f>
        <v>2023</v>
      </c>
      <c r="U293">
        <f>IF(connections!$A293="","",IFERROR(INDEX(games!$B$2:$B$950,MATCH(connections!$B293,games!$A$2:$A$950,0)),""))</f>
        <v>2026</v>
      </c>
      <c r="V293">
        <f t="shared" si="64"/>
        <v>3</v>
      </c>
    </row>
    <row r="294" spans="1:22" x14ac:dyDescent="0.25">
      <c r="A294" t="str">
        <f>IF(games!$A294="","",games!$A294)</f>
        <v>Forestrike</v>
      </c>
      <c r="B294">
        <f>IF($A294="","",games!$B294)</f>
        <v>2025</v>
      </c>
      <c r="C294" t="str">
        <f>IF($A294="","",games!$C294)</f>
        <v>Action</v>
      </c>
      <c r="D294">
        <f>IF($A294="","",COUNTIF(connections!$A$2:$A$1473,$A294)+COUNTIF(connections!$B$2:$B$1473,$A294))</f>
        <v>0</v>
      </c>
      <c r="E294">
        <f t="shared" si="52"/>
        <v>1</v>
      </c>
      <c r="F294">
        <f t="shared" si="53"/>
        <v>22</v>
      </c>
      <c r="G294">
        <f t="shared" si="54"/>
        <v>2025</v>
      </c>
      <c r="H294">
        <f t="shared" si="55"/>
        <v>1.506</v>
      </c>
      <c r="I294" t="e">
        <f t="shared" si="56"/>
        <v>#N/A</v>
      </c>
      <c r="J294" t="e">
        <f t="shared" si="57"/>
        <v>#N/A</v>
      </c>
      <c r="K294" t="e">
        <f t="shared" si="58"/>
        <v>#N/A</v>
      </c>
      <c r="L294" t="e">
        <f t="shared" si="59"/>
        <v>#N/A</v>
      </c>
      <c r="M294" t="e">
        <f t="shared" si="60"/>
        <v>#N/A</v>
      </c>
      <c r="N294" t="e">
        <f t="shared" si="61"/>
        <v>#N/A</v>
      </c>
      <c r="O294">
        <f t="shared" si="62"/>
        <v>2.9399999999999999E-4</v>
      </c>
      <c r="P294" t="str">
        <f>IF(OR($A294="",games!$H294=""),"",games!$H294)</f>
        <v/>
      </c>
      <c r="Q294" t="str">
        <f t="shared" si="63"/>
        <v/>
      </c>
      <c r="T294">
        <f>IF(connections!$A294="","",IFERROR(INDEX(games!$B$2:$B$950,MATCH(connections!$A294,games!$A$2:$A$950,0)),""))</f>
        <v>2021</v>
      </c>
      <c r="U294">
        <f>IF(connections!$A294="","",IFERROR(INDEX(games!$B$2:$B$950,MATCH(connections!$B294,games!$A$2:$A$950,0)),""))</f>
        <v>2026</v>
      </c>
      <c r="V294">
        <f t="shared" si="64"/>
        <v>5</v>
      </c>
    </row>
    <row r="295" spans="1:22" x14ac:dyDescent="0.25">
      <c r="A295" t="str">
        <f>IF(games!$A295="","",games!$A295)</f>
        <v>Forward: Escape the Fold</v>
      </c>
      <c r="B295">
        <f>IF($A295="","",games!$B295)</f>
        <v>2022</v>
      </c>
      <c r="C295" t="str">
        <f>IF($A295="","",games!$C295)</f>
        <v>Strategy</v>
      </c>
      <c r="D295">
        <f>IF($A295="","",COUNTIF(connections!$A$2:$A$1473,$A295)+COUNTIF(connections!$B$2:$B$1473,$A295))</f>
        <v>4</v>
      </c>
      <c r="E295">
        <f t="shared" si="52"/>
        <v>2</v>
      </c>
      <c r="F295">
        <f t="shared" si="53"/>
        <v>23</v>
      </c>
      <c r="G295" t="e">
        <f t="shared" si="54"/>
        <v>#N/A</v>
      </c>
      <c r="H295" t="e">
        <f t="shared" si="55"/>
        <v>#N/A</v>
      </c>
      <c r="I295">
        <f t="shared" si="56"/>
        <v>2022</v>
      </c>
      <c r="J295">
        <f t="shared" si="57"/>
        <v>2.5289999999999999</v>
      </c>
      <c r="K295" t="e">
        <f t="shared" si="58"/>
        <v>#N/A</v>
      </c>
      <c r="L295" t="e">
        <f t="shared" si="59"/>
        <v>#N/A</v>
      </c>
      <c r="M295" t="e">
        <f t="shared" si="60"/>
        <v>#N/A</v>
      </c>
      <c r="N295" t="e">
        <f t="shared" si="61"/>
        <v>#N/A</v>
      </c>
      <c r="O295">
        <f t="shared" si="62"/>
        <v>4.0002950000000004</v>
      </c>
      <c r="P295" t="str">
        <f>IF(OR($A295="",games!$H295=""),"",games!$H295)</f>
        <v>Yes</v>
      </c>
      <c r="Q295">
        <f t="shared" si="63"/>
        <v>4.0002950000000004</v>
      </c>
      <c r="T295">
        <f>IF(connections!$A295="","",IFERROR(INDEX(games!$B$2:$B$950,MATCH(connections!$A295,games!$A$2:$A$950,0)),""))</f>
        <v>2024</v>
      </c>
      <c r="U295">
        <f>IF(connections!$A295="","",IFERROR(INDEX(games!$B$2:$B$950,MATCH(connections!$B295,games!$A$2:$A$950,0)),""))</f>
        <v>2026</v>
      </c>
      <c r="V295">
        <f t="shared" si="64"/>
        <v>2</v>
      </c>
    </row>
    <row r="296" spans="1:22" x14ac:dyDescent="0.25">
      <c r="A296" t="str">
        <f>IF(games!$A296="","",games!$A296)</f>
        <v>Freaky Awesome</v>
      </c>
      <c r="B296">
        <f>IF($A296="","",games!$B296)</f>
        <v>2017</v>
      </c>
      <c r="C296" t="str">
        <f>IF($A296="","",games!$C296)</f>
        <v>Action</v>
      </c>
      <c r="D296">
        <f>IF($A296="","",COUNTIF(connections!$A$2:$A$1473,$A296)+COUNTIF(connections!$B$2:$B$1473,$A296))</f>
        <v>1</v>
      </c>
      <c r="E296">
        <f t="shared" si="52"/>
        <v>1</v>
      </c>
      <c r="F296">
        <f t="shared" si="53"/>
        <v>24</v>
      </c>
      <c r="G296">
        <f t="shared" si="54"/>
        <v>2017</v>
      </c>
      <c r="H296">
        <f t="shared" si="55"/>
        <v>1.552</v>
      </c>
      <c r="I296" t="e">
        <f t="shared" si="56"/>
        <v>#N/A</v>
      </c>
      <c r="J296" t="e">
        <f t="shared" si="57"/>
        <v>#N/A</v>
      </c>
      <c r="K296" t="e">
        <f t="shared" si="58"/>
        <v>#N/A</v>
      </c>
      <c r="L296" t="e">
        <f t="shared" si="59"/>
        <v>#N/A</v>
      </c>
      <c r="M296" t="e">
        <f t="shared" si="60"/>
        <v>#N/A</v>
      </c>
      <c r="N296" t="e">
        <f t="shared" si="61"/>
        <v>#N/A</v>
      </c>
      <c r="O296">
        <f t="shared" si="62"/>
        <v>1.0002960000000001</v>
      </c>
      <c r="P296" t="str">
        <f>IF(OR($A296="",games!$H296=""),"",games!$H296)</f>
        <v>Yes</v>
      </c>
      <c r="Q296">
        <f t="shared" si="63"/>
        <v>1.0002960000000001</v>
      </c>
      <c r="T296">
        <f>IF(connections!$A296="","",IFERROR(INDEX(games!$B$2:$B$950,MATCH(connections!$A296,games!$A$2:$A$950,0)),""))</f>
        <v>2017</v>
      </c>
      <c r="U296">
        <f>IF(connections!$A296="","",IFERROR(INDEX(games!$B$2:$B$950,MATCH(connections!$B296,games!$A$2:$A$950,0)),""))</f>
        <v>2026</v>
      </c>
      <c r="V296">
        <f t="shared" si="64"/>
        <v>9</v>
      </c>
    </row>
    <row r="297" spans="1:22" x14ac:dyDescent="0.25">
      <c r="A297" t="str">
        <f>IF(games!$A297="","",games!$A297)</f>
        <v>From The Top</v>
      </c>
      <c r="B297">
        <f>IF($A297="","",games!$B297)</f>
        <v>2025</v>
      </c>
      <c r="C297" t="str">
        <f>IF($A297="","",games!$C297)</f>
        <v>Action</v>
      </c>
      <c r="D297">
        <f>IF($A297="","",COUNTIF(connections!$A$2:$A$1473,$A297)+COUNTIF(connections!$B$2:$B$1473,$A297))</f>
        <v>1</v>
      </c>
      <c r="E297">
        <f t="shared" si="52"/>
        <v>1</v>
      </c>
      <c r="F297">
        <f t="shared" si="53"/>
        <v>25</v>
      </c>
      <c r="G297">
        <f t="shared" si="54"/>
        <v>2025</v>
      </c>
      <c r="H297">
        <f t="shared" si="55"/>
        <v>1.575</v>
      </c>
      <c r="I297" t="e">
        <f t="shared" si="56"/>
        <v>#N/A</v>
      </c>
      <c r="J297" t="e">
        <f t="shared" si="57"/>
        <v>#N/A</v>
      </c>
      <c r="K297" t="e">
        <f t="shared" si="58"/>
        <v>#N/A</v>
      </c>
      <c r="L297" t="e">
        <f t="shared" si="59"/>
        <v>#N/A</v>
      </c>
      <c r="M297" t="e">
        <f t="shared" si="60"/>
        <v>#N/A</v>
      </c>
      <c r="N297" t="e">
        <f t="shared" si="61"/>
        <v>#N/A</v>
      </c>
      <c r="O297">
        <f t="shared" si="62"/>
        <v>1.000297</v>
      </c>
      <c r="P297" t="str">
        <f>IF(OR($A297="",games!$H297=""),"",games!$H297)</f>
        <v>Yes</v>
      </c>
      <c r="Q297">
        <f t="shared" si="63"/>
        <v>1.000297</v>
      </c>
      <c r="T297">
        <f>IF(connections!$A297="","",IFERROR(INDEX(games!$B$2:$B$950,MATCH(connections!$A297,games!$A$2:$A$950,0)),""))</f>
        <v>2021</v>
      </c>
      <c r="U297">
        <f>IF(connections!$A297="","",IFERROR(INDEX(games!$B$2:$B$950,MATCH(connections!$B297,games!$A$2:$A$950,0)),""))</f>
        <v>2026</v>
      </c>
      <c r="V297">
        <f t="shared" si="64"/>
        <v>5</v>
      </c>
    </row>
    <row r="298" spans="1:22" x14ac:dyDescent="0.25">
      <c r="A298" t="str">
        <f>IF(games!$A298="","",games!$A298)</f>
        <v>Frozen Depths</v>
      </c>
      <c r="B298">
        <f>IF($A298="","",games!$B298)</f>
        <v>2006</v>
      </c>
      <c r="C298" t="str">
        <f>IF($A298="","",games!$C298)</f>
        <v>Traditional</v>
      </c>
      <c r="D298">
        <f>IF($A298="","",COUNTIF(connections!$A$2:$A$1473,$A298)+COUNTIF(connections!$B$2:$B$1473,$A298))</f>
        <v>4</v>
      </c>
      <c r="E298">
        <f t="shared" si="52"/>
        <v>4</v>
      </c>
      <c r="F298">
        <f t="shared" si="53"/>
        <v>26</v>
      </c>
      <c r="G298" t="e">
        <f t="shared" si="54"/>
        <v>#N/A</v>
      </c>
      <c r="H298" t="e">
        <f t="shared" si="55"/>
        <v>#N/A</v>
      </c>
      <c r="I298" t="e">
        <f t="shared" si="56"/>
        <v>#N/A</v>
      </c>
      <c r="J298" t="e">
        <f t="shared" si="57"/>
        <v>#N/A</v>
      </c>
      <c r="K298" t="e">
        <f t="shared" si="58"/>
        <v>#N/A</v>
      </c>
      <c r="L298" t="e">
        <f t="shared" si="59"/>
        <v>#N/A</v>
      </c>
      <c r="M298">
        <f t="shared" si="60"/>
        <v>2006</v>
      </c>
      <c r="N298">
        <f t="shared" si="61"/>
        <v>4.5979999999999999</v>
      </c>
      <c r="O298">
        <f t="shared" si="62"/>
        <v>4.0002979999999999</v>
      </c>
      <c r="P298" t="str">
        <f>IF(OR($A298="",games!$H298=""),"",games!$H298)</f>
        <v>Yes</v>
      </c>
      <c r="Q298">
        <f t="shared" si="63"/>
        <v>4.0002979999999999</v>
      </c>
      <c r="T298">
        <f>IF(connections!$A298="","",IFERROR(INDEX(games!$B$2:$B$950,MATCH(connections!$A298,games!$A$2:$A$950,0)),""))</f>
        <v>2015</v>
      </c>
      <c r="U298">
        <f>IF(connections!$A298="","",IFERROR(INDEX(games!$B$2:$B$950,MATCH(connections!$B298,games!$A$2:$A$950,0)),""))</f>
        <v>2019</v>
      </c>
      <c r="V298">
        <f t="shared" si="64"/>
        <v>4</v>
      </c>
    </row>
    <row r="299" spans="1:22" x14ac:dyDescent="0.25">
      <c r="A299" t="str">
        <f>IF(games!$A299="","",games!$A299)</f>
        <v>FTL</v>
      </c>
      <c r="B299">
        <f>IF($A299="","",games!$B299)</f>
        <v>2012</v>
      </c>
      <c r="C299" t="str">
        <f>IF($A299="","",games!$C299)</f>
        <v>Strategy</v>
      </c>
      <c r="D299">
        <f>IF($A299="","",COUNTIF(connections!$A$2:$A$1473,$A299)+COUNTIF(connections!$B$2:$B$1473,$A299))</f>
        <v>44</v>
      </c>
      <c r="E299">
        <f t="shared" si="52"/>
        <v>2</v>
      </c>
      <c r="F299">
        <f t="shared" si="53"/>
        <v>27</v>
      </c>
      <c r="G299" t="e">
        <f t="shared" si="54"/>
        <v>#N/A</v>
      </c>
      <c r="H299" t="e">
        <f t="shared" si="55"/>
        <v>#N/A</v>
      </c>
      <c r="I299">
        <f t="shared" si="56"/>
        <v>2012</v>
      </c>
      <c r="J299">
        <f t="shared" si="57"/>
        <v>2.621</v>
      </c>
      <c r="K299" t="e">
        <f t="shared" si="58"/>
        <v>#N/A</v>
      </c>
      <c r="L299" t="e">
        <f t="shared" si="59"/>
        <v>#N/A</v>
      </c>
      <c r="M299" t="e">
        <f t="shared" si="60"/>
        <v>#N/A</v>
      </c>
      <c r="N299" t="e">
        <f t="shared" si="61"/>
        <v>#N/A</v>
      </c>
      <c r="O299">
        <f t="shared" si="62"/>
        <v>44.000298999999998</v>
      </c>
      <c r="P299" t="str">
        <f>IF(OR($A299="",games!$H299=""),"",games!$H299)</f>
        <v>Yes</v>
      </c>
      <c r="Q299">
        <f t="shared" si="63"/>
        <v>44.000298999999998</v>
      </c>
      <c r="T299">
        <f>IF(connections!$A299="","",IFERROR(INDEX(games!$B$2:$B$950,MATCH(connections!$A299,games!$A$2:$A$950,0)),""))</f>
        <v>1996</v>
      </c>
      <c r="U299">
        <f>IF(connections!$A299="","",IFERROR(INDEX(games!$B$2:$B$950,MATCH(connections!$B299,games!$A$2:$A$950,0)),""))</f>
        <v>2026</v>
      </c>
      <c r="V299">
        <f t="shared" si="64"/>
        <v>30</v>
      </c>
    </row>
    <row r="300" spans="1:22" x14ac:dyDescent="0.25">
      <c r="A300" t="str">
        <f>IF(games!$A300="","",games!$A300)</f>
        <v>Full Mojo Rampage</v>
      </c>
      <c r="B300">
        <f>IF($A300="","",games!$B300)</f>
        <v>2013</v>
      </c>
      <c r="C300" t="str">
        <f>IF($A300="","",games!$C300)</f>
        <v>Action</v>
      </c>
      <c r="D300">
        <f>IF($A300="","",COUNTIF(connections!$A$2:$A$1473,$A300)+COUNTIF(connections!$B$2:$B$1473,$A300))</f>
        <v>1</v>
      </c>
      <c r="E300">
        <f t="shared" si="52"/>
        <v>1</v>
      </c>
      <c r="F300">
        <f t="shared" si="53"/>
        <v>28</v>
      </c>
      <c r="G300">
        <f t="shared" si="54"/>
        <v>2013</v>
      </c>
      <c r="H300">
        <f t="shared" si="55"/>
        <v>1.6440000000000001</v>
      </c>
      <c r="I300" t="e">
        <f t="shared" si="56"/>
        <v>#N/A</v>
      </c>
      <c r="J300" t="e">
        <f t="shared" si="57"/>
        <v>#N/A</v>
      </c>
      <c r="K300" t="e">
        <f t="shared" si="58"/>
        <v>#N/A</v>
      </c>
      <c r="L300" t="e">
        <f t="shared" si="59"/>
        <v>#N/A</v>
      </c>
      <c r="M300" t="e">
        <f t="shared" si="60"/>
        <v>#N/A</v>
      </c>
      <c r="N300" t="e">
        <f t="shared" si="61"/>
        <v>#N/A</v>
      </c>
      <c r="O300">
        <f t="shared" si="62"/>
        <v>1.0003</v>
      </c>
      <c r="P300" t="str">
        <f>IF(OR($A300="",games!$H300=""),"",games!$H300)</f>
        <v/>
      </c>
      <c r="Q300" t="str">
        <f t="shared" si="63"/>
        <v/>
      </c>
      <c r="T300">
        <f>IF(connections!$A300="","",IFERROR(INDEX(games!$B$2:$B$950,MATCH(connections!$A300,games!$A$2:$A$950,0)),""))</f>
        <v>2023</v>
      </c>
      <c r="U300">
        <f>IF(connections!$A300="","",IFERROR(INDEX(games!$B$2:$B$950,MATCH(connections!$B300,games!$A$2:$A$950,0)),""))</f>
        <v>2026</v>
      </c>
      <c r="V300">
        <f t="shared" si="64"/>
        <v>3</v>
      </c>
    </row>
    <row r="301" spans="1:22" x14ac:dyDescent="0.25">
      <c r="A301" t="str">
        <f>IF(games!$A301="","",games!$A301)</f>
        <v>Fury Unleashed</v>
      </c>
      <c r="B301">
        <f>IF($A301="","",games!$B301)</f>
        <v>2020</v>
      </c>
      <c r="C301" t="str">
        <f>IF($A301="","",games!$C301)</f>
        <v>Action</v>
      </c>
      <c r="D301">
        <f>IF($A301="","",COUNTIF(connections!$A$2:$A$1473,$A301)+COUNTIF(connections!$B$2:$B$1473,$A301))</f>
        <v>2</v>
      </c>
      <c r="E301">
        <f t="shared" si="52"/>
        <v>1</v>
      </c>
      <c r="F301">
        <f t="shared" si="53"/>
        <v>29</v>
      </c>
      <c r="G301">
        <f t="shared" si="54"/>
        <v>2020</v>
      </c>
      <c r="H301">
        <f t="shared" si="55"/>
        <v>1.667</v>
      </c>
      <c r="I301" t="e">
        <f t="shared" si="56"/>
        <v>#N/A</v>
      </c>
      <c r="J301" t="e">
        <f t="shared" si="57"/>
        <v>#N/A</v>
      </c>
      <c r="K301" t="e">
        <f t="shared" si="58"/>
        <v>#N/A</v>
      </c>
      <c r="L301" t="e">
        <f t="shared" si="59"/>
        <v>#N/A</v>
      </c>
      <c r="M301" t="e">
        <f t="shared" si="60"/>
        <v>#N/A</v>
      </c>
      <c r="N301" t="e">
        <f t="shared" si="61"/>
        <v>#N/A</v>
      </c>
      <c r="O301">
        <f t="shared" si="62"/>
        <v>2.0003009999999999</v>
      </c>
      <c r="P301" t="str">
        <f>IF(OR($A301="",games!$H301=""),"",games!$H301)</f>
        <v>Yes</v>
      </c>
      <c r="Q301">
        <f t="shared" si="63"/>
        <v>2.0003009999999999</v>
      </c>
      <c r="T301">
        <f>IF(connections!$A301="","",IFERROR(INDEX(games!$B$2:$B$950,MATCH(connections!$A301,games!$A$2:$A$950,0)),""))</f>
        <v>2020</v>
      </c>
      <c r="U301">
        <f>IF(connections!$A301="","",IFERROR(INDEX(games!$B$2:$B$950,MATCH(connections!$B301,games!$A$2:$A$950,0)),""))</f>
        <v>2026</v>
      </c>
      <c r="V301">
        <f t="shared" si="64"/>
        <v>6</v>
      </c>
    </row>
    <row r="302" spans="1:22" x14ac:dyDescent="0.25">
      <c r="A302" t="str">
        <f>IF(games!$A302="","",games!$A302)</f>
        <v>Fushigi no Gensoukyou</v>
      </c>
      <c r="B302">
        <f>IF($A302="","",games!$B302)</f>
        <v>2010</v>
      </c>
      <c r="C302" t="str">
        <f>IF($A302="","",games!$C302)</f>
        <v>Traditional</v>
      </c>
      <c r="D302">
        <f>IF($A302="","",COUNTIF(connections!$A$2:$A$1473,$A302)+COUNTIF(connections!$B$2:$B$1473,$A302))</f>
        <v>5</v>
      </c>
      <c r="E302">
        <f t="shared" si="52"/>
        <v>4</v>
      </c>
      <c r="F302">
        <f t="shared" si="53"/>
        <v>30</v>
      </c>
      <c r="G302" t="e">
        <f t="shared" si="54"/>
        <v>#N/A</v>
      </c>
      <c r="H302" t="e">
        <f t="shared" si="55"/>
        <v>#N/A</v>
      </c>
      <c r="I302" t="e">
        <f t="shared" si="56"/>
        <v>#N/A</v>
      </c>
      <c r="J302" t="e">
        <f t="shared" si="57"/>
        <v>#N/A</v>
      </c>
      <c r="K302" t="e">
        <f t="shared" si="58"/>
        <v>#N/A</v>
      </c>
      <c r="L302" t="e">
        <f t="shared" si="59"/>
        <v>#N/A</v>
      </c>
      <c r="M302">
        <f t="shared" si="60"/>
        <v>2010</v>
      </c>
      <c r="N302">
        <f t="shared" si="61"/>
        <v>4.6899999999999995</v>
      </c>
      <c r="O302">
        <f t="shared" si="62"/>
        <v>5.0003019999999996</v>
      </c>
      <c r="P302" t="str">
        <f>IF(OR($A302="",games!$H302=""),"",games!$H302)</f>
        <v/>
      </c>
      <c r="Q302" t="str">
        <f t="shared" si="63"/>
        <v/>
      </c>
      <c r="T302">
        <f>IF(connections!$A302="","",IFERROR(INDEX(games!$B$2:$B$950,MATCH(connections!$A302,games!$A$2:$A$950,0)),""))</f>
        <v>2021</v>
      </c>
      <c r="U302">
        <f>IF(connections!$A302="","",IFERROR(INDEX(games!$B$2:$B$950,MATCH(connections!$B302,games!$A$2:$A$950,0)),""))</f>
        <v>2026</v>
      </c>
      <c r="V302">
        <f t="shared" si="64"/>
        <v>5</v>
      </c>
    </row>
    <row r="303" spans="1:22" x14ac:dyDescent="0.25">
      <c r="A303" t="str">
        <f>IF(games!$A303="","",games!$A303)</f>
        <v>Fushigi no Gensoukyou 3</v>
      </c>
      <c r="B303">
        <f>IF($A303="","",games!$B303)</f>
        <v>2014</v>
      </c>
      <c r="C303" t="str">
        <f>IF($A303="","",games!$C303)</f>
        <v>Traditional</v>
      </c>
      <c r="D303">
        <f>IF($A303="","",COUNTIF(connections!$A$2:$A$1473,$A303)+COUNTIF(connections!$B$2:$B$1473,$A303))</f>
        <v>3</v>
      </c>
      <c r="E303">
        <f t="shared" si="52"/>
        <v>4</v>
      </c>
      <c r="F303">
        <f t="shared" si="53"/>
        <v>31</v>
      </c>
      <c r="G303" t="e">
        <f t="shared" si="54"/>
        <v>#N/A</v>
      </c>
      <c r="H303" t="e">
        <f t="shared" si="55"/>
        <v>#N/A</v>
      </c>
      <c r="I303" t="e">
        <f t="shared" si="56"/>
        <v>#N/A</v>
      </c>
      <c r="J303" t="e">
        <f t="shared" si="57"/>
        <v>#N/A</v>
      </c>
      <c r="K303" t="e">
        <f t="shared" si="58"/>
        <v>#N/A</v>
      </c>
      <c r="L303" t="e">
        <f t="shared" si="59"/>
        <v>#N/A</v>
      </c>
      <c r="M303">
        <f t="shared" si="60"/>
        <v>2014</v>
      </c>
      <c r="N303">
        <f t="shared" si="61"/>
        <v>4.7130000000000001</v>
      </c>
      <c r="O303">
        <f t="shared" si="62"/>
        <v>3.0003030000000002</v>
      </c>
      <c r="P303" t="str">
        <f>IF(OR($A303="",games!$H303=""),"",games!$H303)</f>
        <v/>
      </c>
      <c r="Q303" t="str">
        <f t="shared" si="63"/>
        <v/>
      </c>
      <c r="T303">
        <f>IF(connections!$A303="","",IFERROR(INDEX(games!$B$2:$B$950,MATCH(connections!$A303,games!$A$2:$A$950,0)),""))</f>
        <v>2020</v>
      </c>
      <c r="U303">
        <f>IF(connections!$A303="","",IFERROR(INDEX(games!$B$2:$B$950,MATCH(connections!$B303,games!$A$2:$A$950,0)),""))</f>
        <v>2025</v>
      </c>
      <c r="V303">
        <f t="shared" si="64"/>
        <v>5</v>
      </c>
    </row>
    <row r="304" spans="1:22" x14ac:dyDescent="0.25">
      <c r="A304" t="str">
        <f>IF(games!$A304="","",games!$A304)</f>
        <v>Galactic Glitch</v>
      </c>
      <c r="B304">
        <f>IF($A304="","",games!$B304)</f>
        <v>2024</v>
      </c>
      <c r="C304" t="str">
        <f>IF($A304="","",games!$C304)</f>
        <v>Action</v>
      </c>
      <c r="D304">
        <f>IF($A304="","",COUNTIF(connections!$A$2:$A$1473,$A304)+COUNTIF(connections!$B$2:$B$1473,$A304))</f>
        <v>3</v>
      </c>
      <c r="E304">
        <f t="shared" si="52"/>
        <v>1</v>
      </c>
      <c r="F304">
        <f t="shared" si="53"/>
        <v>32</v>
      </c>
      <c r="G304">
        <f t="shared" si="54"/>
        <v>2024</v>
      </c>
      <c r="H304">
        <f t="shared" si="55"/>
        <v>1.736</v>
      </c>
      <c r="I304" t="e">
        <f t="shared" si="56"/>
        <v>#N/A</v>
      </c>
      <c r="J304" t="e">
        <f t="shared" si="57"/>
        <v>#N/A</v>
      </c>
      <c r="K304" t="e">
        <f t="shared" si="58"/>
        <v>#N/A</v>
      </c>
      <c r="L304" t="e">
        <f t="shared" si="59"/>
        <v>#N/A</v>
      </c>
      <c r="M304" t="e">
        <f t="shared" si="60"/>
        <v>#N/A</v>
      </c>
      <c r="N304" t="e">
        <f t="shared" si="61"/>
        <v>#N/A</v>
      </c>
      <c r="O304">
        <f t="shared" si="62"/>
        <v>3.0003039999999999</v>
      </c>
      <c r="P304" t="str">
        <f>IF(OR($A304="",games!$H304=""),"",games!$H304)</f>
        <v>Yes</v>
      </c>
      <c r="Q304">
        <f t="shared" si="63"/>
        <v>3.0003039999999999</v>
      </c>
      <c r="T304">
        <f>IF(connections!$A304="","",IFERROR(INDEX(games!$B$2:$B$950,MATCH(connections!$A304,games!$A$2:$A$950,0)),""))</f>
        <v>2019</v>
      </c>
      <c r="U304">
        <f>IF(connections!$A304="","",IFERROR(INDEX(games!$B$2:$B$950,MATCH(connections!$B304,games!$A$2:$A$950,0)),""))</f>
        <v>2025</v>
      </c>
      <c r="V304">
        <f t="shared" si="64"/>
        <v>6</v>
      </c>
    </row>
    <row r="305" spans="1:22" x14ac:dyDescent="0.25">
      <c r="A305" t="str">
        <f>IF(games!$A305="","",games!$A305)</f>
        <v>Gambonanza</v>
      </c>
      <c r="B305">
        <f>IF($A305="","",games!$B305)</f>
        <v>2026</v>
      </c>
      <c r="C305" t="str">
        <f>IF($A305="","",games!$C305)</f>
        <v>Deckbuilder</v>
      </c>
      <c r="D305">
        <f>IF($A305="","",COUNTIF(connections!$A$2:$A$1473,$A305)+COUNTIF(connections!$B$2:$B$1473,$A305))</f>
        <v>1</v>
      </c>
      <c r="E305">
        <f t="shared" si="52"/>
        <v>3</v>
      </c>
      <c r="F305">
        <f t="shared" si="53"/>
        <v>33</v>
      </c>
      <c r="G305" t="e">
        <f t="shared" si="54"/>
        <v>#N/A</v>
      </c>
      <c r="H305" t="e">
        <f t="shared" si="55"/>
        <v>#N/A</v>
      </c>
      <c r="I305" t="e">
        <f t="shared" si="56"/>
        <v>#N/A</v>
      </c>
      <c r="J305" t="e">
        <f t="shared" si="57"/>
        <v>#N/A</v>
      </c>
      <c r="K305">
        <f t="shared" si="58"/>
        <v>2026</v>
      </c>
      <c r="L305">
        <f t="shared" si="59"/>
        <v>3.7589999999999999</v>
      </c>
      <c r="M305" t="e">
        <f t="shared" si="60"/>
        <v>#N/A</v>
      </c>
      <c r="N305" t="e">
        <f t="shared" si="61"/>
        <v>#N/A</v>
      </c>
      <c r="O305">
        <f t="shared" si="62"/>
        <v>1.000305</v>
      </c>
      <c r="P305" t="str">
        <f>IF(OR($A305="",games!$H305=""),"",games!$H305)</f>
        <v/>
      </c>
      <c r="Q305" t="str">
        <f t="shared" si="63"/>
        <v/>
      </c>
      <c r="T305">
        <f>IF(connections!$A305="","",IFERROR(INDEX(games!$B$2:$B$950,MATCH(connections!$A305,games!$A$2:$A$950,0)),""))</f>
        <v>2015</v>
      </c>
      <c r="U305">
        <f>IF(connections!$A305="","",IFERROR(INDEX(games!$B$2:$B$950,MATCH(connections!$B305,games!$A$2:$A$950,0)),""))</f>
        <v>2023</v>
      </c>
      <c r="V305">
        <f t="shared" si="64"/>
        <v>8</v>
      </c>
    </row>
    <row r="306" spans="1:22" x14ac:dyDescent="0.25">
      <c r="A306" t="str">
        <f>IF(games!$A306="","",games!$A306)</f>
        <v>Garden of Witches</v>
      </c>
      <c r="B306">
        <f>IF($A306="","",games!$B306)</f>
        <v>2025</v>
      </c>
      <c r="C306" t="str">
        <f>IF($A306="","",games!$C306)</f>
        <v>Action</v>
      </c>
      <c r="D306">
        <f>IF($A306="","",COUNTIF(connections!$A$2:$A$1473,$A306)+COUNTIF(connections!$B$2:$B$1473,$A306))</f>
        <v>2</v>
      </c>
      <c r="E306">
        <f t="shared" si="52"/>
        <v>1</v>
      </c>
      <c r="F306">
        <f t="shared" si="53"/>
        <v>0</v>
      </c>
      <c r="G306">
        <f t="shared" si="54"/>
        <v>2025</v>
      </c>
      <c r="H306">
        <f t="shared" si="55"/>
        <v>1</v>
      </c>
      <c r="I306" t="e">
        <f t="shared" si="56"/>
        <v>#N/A</v>
      </c>
      <c r="J306" t="e">
        <f t="shared" si="57"/>
        <v>#N/A</v>
      </c>
      <c r="K306" t="e">
        <f t="shared" si="58"/>
        <v>#N/A</v>
      </c>
      <c r="L306" t="e">
        <f t="shared" si="59"/>
        <v>#N/A</v>
      </c>
      <c r="M306" t="e">
        <f t="shared" si="60"/>
        <v>#N/A</v>
      </c>
      <c r="N306" t="e">
        <f t="shared" si="61"/>
        <v>#N/A</v>
      </c>
      <c r="O306">
        <f t="shared" si="62"/>
        <v>2.0003060000000001</v>
      </c>
      <c r="P306" t="str">
        <f>IF(OR($A306="",games!$H306=""),"",games!$H306)</f>
        <v/>
      </c>
      <c r="Q306" t="str">
        <f t="shared" si="63"/>
        <v/>
      </c>
      <c r="T306">
        <f>IF(connections!$A306="","",IFERROR(INDEX(games!$B$2:$B$950,MATCH(connections!$A306,games!$A$2:$A$950,0)),""))</f>
        <v>1993</v>
      </c>
      <c r="U306">
        <f>IF(connections!$A306="","",IFERROR(INDEX(games!$B$2:$B$950,MATCH(connections!$B306,games!$A$2:$A$950,0)),""))</f>
        <v>2022</v>
      </c>
      <c r="V306">
        <f t="shared" si="64"/>
        <v>29</v>
      </c>
    </row>
    <row r="307" spans="1:22" x14ac:dyDescent="0.25">
      <c r="A307" t="str">
        <f>IF(games!$A307="","",games!$A307)</f>
        <v>Gatekeeper</v>
      </c>
      <c r="B307">
        <f>IF($A307="","",games!$B307)</f>
        <v>2024</v>
      </c>
      <c r="C307" t="str">
        <f>IF($A307="","",games!$C307)</f>
        <v>Action</v>
      </c>
      <c r="D307">
        <f>IF($A307="","",COUNTIF(connections!$A$2:$A$1473,$A307)+COUNTIF(connections!$B$2:$B$1473,$A307))</f>
        <v>1</v>
      </c>
      <c r="E307">
        <f t="shared" si="52"/>
        <v>1</v>
      </c>
      <c r="F307">
        <f t="shared" si="53"/>
        <v>1</v>
      </c>
      <c r="G307">
        <f t="shared" si="54"/>
        <v>2024</v>
      </c>
      <c r="H307">
        <f t="shared" si="55"/>
        <v>1.0229999999999999</v>
      </c>
      <c r="I307" t="e">
        <f t="shared" si="56"/>
        <v>#N/A</v>
      </c>
      <c r="J307" t="e">
        <f t="shared" si="57"/>
        <v>#N/A</v>
      </c>
      <c r="K307" t="e">
        <f t="shared" si="58"/>
        <v>#N/A</v>
      </c>
      <c r="L307" t="e">
        <f t="shared" si="59"/>
        <v>#N/A</v>
      </c>
      <c r="M307" t="e">
        <f t="shared" si="60"/>
        <v>#N/A</v>
      </c>
      <c r="N307" t="e">
        <f t="shared" si="61"/>
        <v>#N/A</v>
      </c>
      <c r="O307">
        <f t="shared" si="62"/>
        <v>1.0003070000000001</v>
      </c>
      <c r="P307" t="str">
        <f>IF(OR($A307="",games!$H307=""),"",games!$H307)</f>
        <v>Yes</v>
      </c>
      <c r="Q307">
        <f t="shared" si="63"/>
        <v>1.0003070000000001</v>
      </c>
      <c r="T307">
        <f>IF(connections!$A307="","",IFERROR(INDEX(games!$B$2:$B$950,MATCH(connections!$A307,games!$A$2:$A$950,0)),""))</f>
        <v>2013</v>
      </c>
      <c r="U307">
        <f>IF(connections!$A307="","",IFERROR(INDEX(games!$B$2:$B$950,MATCH(connections!$B307,games!$A$2:$A$950,0)),""))</f>
        <v>2018</v>
      </c>
      <c r="V307">
        <f t="shared" si="64"/>
        <v>5</v>
      </c>
    </row>
    <row r="308" spans="1:22" x14ac:dyDescent="0.25">
      <c r="A308" t="str">
        <f>IF(games!$A308="","",games!$A308)</f>
        <v>GearHead</v>
      </c>
      <c r="B308">
        <f>IF($A308="","",games!$B308)</f>
        <v>2002</v>
      </c>
      <c r="C308" t="str">
        <f>IF($A308="","",games!$C308)</f>
        <v>Traditional</v>
      </c>
      <c r="D308">
        <f>IF($A308="","",COUNTIF(connections!$A$2:$A$1473,$A308)+COUNTIF(connections!$B$2:$B$1473,$A308))</f>
        <v>3</v>
      </c>
      <c r="E308">
        <f t="shared" si="52"/>
        <v>4</v>
      </c>
      <c r="F308">
        <f t="shared" si="53"/>
        <v>2</v>
      </c>
      <c r="G308" t="e">
        <f t="shared" si="54"/>
        <v>#N/A</v>
      </c>
      <c r="H308" t="e">
        <f t="shared" si="55"/>
        <v>#N/A</v>
      </c>
      <c r="I308" t="e">
        <f t="shared" si="56"/>
        <v>#N/A</v>
      </c>
      <c r="J308" t="e">
        <f t="shared" si="57"/>
        <v>#N/A</v>
      </c>
      <c r="K308" t="e">
        <f t="shared" si="58"/>
        <v>#N/A</v>
      </c>
      <c r="L308" t="e">
        <f t="shared" si="59"/>
        <v>#N/A</v>
      </c>
      <c r="M308">
        <f t="shared" si="60"/>
        <v>2002</v>
      </c>
      <c r="N308">
        <f t="shared" si="61"/>
        <v>4.0460000000000003</v>
      </c>
      <c r="O308">
        <f t="shared" si="62"/>
        <v>3.000308</v>
      </c>
      <c r="P308" t="str">
        <f>IF(OR($A308="",games!$H308=""),"",games!$H308)</f>
        <v>Yes</v>
      </c>
      <c r="Q308">
        <f t="shared" si="63"/>
        <v>3.000308</v>
      </c>
      <c r="T308">
        <f>IF(connections!$A308="","",IFERROR(INDEX(games!$B$2:$B$950,MATCH(connections!$A308,games!$A$2:$A$950,0)),""))</f>
        <v>2013</v>
      </c>
      <c r="U308">
        <f>IF(connections!$A308="","",IFERROR(INDEX(games!$B$2:$B$950,MATCH(connections!$B308,games!$A$2:$A$950,0)),""))</f>
        <v>2018</v>
      </c>
      <c r="V308">
        <f t="shared" si="64"/>
        <v>5</v>
      </c>
    </row>
    <row r="309" spans="1:22" x14ac:dyDescent="0.25">
      <c r="A309" t="str">
        <f>IF(games!$A309="","",games!$A309)</f>
        <v>GearHead 2</v>
      </c>
      <c r="B309">
        <f>IF($A309="","",games!$B309)</f>
        <v>2007</v>
      </c>
      <c r="C309" t="str">
        <f>IF($A309="","",games!$C309)</f>
        <v>Traditional</v>
      </c>
      <c r="D309">
        <f>IF($A309="","",COUNTIF(connections!$A$2:$A$1473,$A309)+COUNTIF(connections!$B$2:$B$1473,$A309))</f>
        <v>2</v>
      </c>
      <c r="E309">
        <f t="shared" si="52"/>
        <v>4</v>
      </c>
      <c r="F309">
        <f t="shared" si="53"/>
        <v>3</v>
      </c>
      <c r="G309" t="e">
        <f t="shared" si="54"/>
        <v>#N/A</v>
      </c>
      <c r="H309" t="e">
        <f t="shared" si="55"/>
        <v>#N/A</v>
      </c>
      <c r="I309" t="e">
        <f t="shared" si="56"/>
        <v>#N/A</v>
      </c>
      <c r="J309" t="e">
        <f t="shared" si="57"/>
        <v>#N/A</v>
      </c>
      <c r="K309" t="e">
        <f t="shared" si="58"/>
        <v>#N/A</v>
      </c>
      <c r="L309" t="e">
        <f t="shared" si="59"/>
        <v>#N/A</v>
      </c>
      <c r="M309">
        <f t="shared" si="60"/>
        <v>2007</v>
      </c>
      <c r="N309">
        <f t="shared" si="61"/>
        <v>4.069</v>
      </c>
      <c r="O309">
        <f t="shared" si="62"/>
        <v>2.0003090000000001</v>
      </c>
      <c r="P309" t="str">
        <f>IF(OR($A309="",games!$H309=""),"",games!$H309)</f>
        <v>Yes</v>
      </c>
      <c r="Q309">
        <f t="shared" si="63"/>
        <v>2.0003090000000001</v>
      </c>
      <c r="T309">
        <f>IF(connections!$A309="","",IFERROR(INDEX(games!$B$2:$B$950,MATCH(connections!$A309,games!$A$2:$A$950,0)),""))</f>
        <v>2011</v>
      </c>
      <c r="U309">
        <f>IF(connections!$A309="","",IFERROR(INDEX(games!$B$2:$B$950,MATCH(connections!$B309,games!$A$2:$A$950,0)),""))</f>
        <v>2018</v>
      </c>
      <c r="V309">
        <f t="shared" si="64"/>
        <v>7</v>
      </c>
    </row>
    <row r="310" spans="1:22" x14ac:dyDescent="0.25">
      <c r="A310" t="str">
        <f>IF(games!$A310="","",games!$A310)</f>
        <v>GearHead Caramel</v>
      </c>
      <c r="B310">
        <f>IF($A310="","",games!$B310)</f>
        <v>2022</v>
      </c>
      <c r="C310" t="str">
        <f>IF($A310="","",games!$C310)</f>
        <v>Traditional</v>
      </c>
      <c r="D310">
        <f>IF($A310="","",COUNTIF(connections!$A$2:$A$1473,$A310)+COUNTIF(connections!$B$2:$B$1473,$A310))</f>
        <v>3</v>
      </c>
      <c r="E310">
        <f t="shared" si="52"/>
        <v>4</v>
      </c>
      <c r="F310">
        <f t="shared" si="53"/>
        <v>4</v>
      </c>
      <c r="G310" t="e">
        <f t="shared" si="54"/>
        <v>#N/A</v>
      </c>
      <c r="H310" t="e">
        <f t="shared" si="55"/>
        <v>#N/A</v>
      </c>
      <c r="I310" t="e">
        <f t="shared" si="56"/>
        <v>#N/A</v>
      </c>
      <c r="J310" t="e">
        <f t="shared" si="57"/>
        <v>#N/A</v>
      </c>
      <c r="K310" t="e">
        <f t="shared" si="58"/>
        <v>#N/A</v>
      </c>
      <c r="L310" t="e">
        <f t="shared" si="59"/>
        <v>#N/A</v>
      </c>
      <c r="M310">
        <f t="shared" si="60"/>
        <v>2022</v>
      </c>
      <c r="N310">
        <f t="shared" si="61"/>
        <v>4.0919999999999996</v>
      </c>
      <c r="O310">
        <f t="shared" si="62"/>
        <v>3.0003099999999998</v>
      </c>
      <c r="P310" t="str">
        <f>IF(OR($A310="",games!$H310=""),"",games!$H310)</f>
        <v/>
      </c>
      <c r="Q310" t="str">
        <f t="shared" si="63"/>
        <v/>
      </c>
      <c r="T310">
        <f>IF(connections!$A310="","",IFERROR(INDEX(games!$B$2:$B$950,MATCH(connections!$A310,games!$A$2:$A$950,0)),""))</f>
        <v>2015</v>
      </c>
      <c r="U310">
        <f>IF(connections!$A310="","",IFERROR(INDEX(games!$B$2:$B$950,MATCH(connections!$B310,games!$A$2:$A$950,0)),""))</f>
        <v>2020</v>
      </c>
      <c r="V310">
        <f t="shared" si="64"/>
        <v>5</v>
      </c>
    </row>
    <row r="311" spans="1:22" x14ac:dyDescent="0.25">
      <c r="A311" t="str">
        <f>IF(games!$A311="","",games!$A311)</f>
        <v>Genome Guardian</v>
      </c>
      <c r="B311">
        <f>IF($A311="","",games!$B311)</f>
        <v>2024</v>
      </c>
      <c r="C311" t="str">
        <f>IF($A311="","",games!$C311)</f>
        <v>Action</v>
      </c>
      <c r="D311">
        <f>IF($A311="","",COUNTIF(connections!$A$2:$A$1473,$A311)+COUNTIF(connections!$B$2:$B$1473,$A311))</f>
        <v>3</v>
      </c>
      <c r="E311">
        <f t="shared" si="52"/>
        <v>1</v>
      </c>
      <c r="F311">
        <f t="shared" si="53"/>
        <v>5</v>
      </c>
      <c r="G311">
        <f t="shared" si="54"/>
        <v>2024</v>
      </c>
      <c r="H311">
        <f t="shared" si="55"/>
        <v>1.115</v>
      </c>
      <c r="I311" t="e">
        <f t="shared" si="56"/>
        <v>#N/A</v>
      </c>
      <c r="J311" t="e">
        <f t="shared" si="57"/>
        <v>#N/A</v>
      </c>
      <c r="K311" t="e">
        <f t="shared" si="58"/>
        <v>#N/A</v>
      </c>
      <c r="L311" t="e">
        <f t="shared" si="59"/>
        <v>#N/A</v>
      </c>
      <c r="M311" t="e">
        <f t="shared" si="60"/>
        <v>#N/A</v>
      </c>
      <c r="N311" t="e">
        <f t="shared" si="61"/>
        <v>#N/A</v>
      </c>
      <c r="O311">
        <f t="shared" si="62"/>
        <v>3.000311</v>
      </c>
      <c r="P311" t="str">
        <f>IF(OR($A311="",games!$H311=""),"",games!$H311)</f>
        <v>Yes</v>
      </c>
      <c r="Q311">
        <f t="shared" si="63"/>
        <v>3.000311</v>
      </c>
      <c r="T311">
        <f>IF(connections!$A311="","",IFERROR(INDEX(games!$B$2:$B$950,MATCH(connections!$A311,games!$A$2:$A$950,0)),""))</f>
        <v>2011</v>
      </c>
      <c r="U311">
        <f>IF(connections!$A311="","",IFERROR(INDEX(games!$B$2:$B$950,MATCH(connections!$B311,games!$A$2:$A$950,0)),""))</f>
        <v>2020</v>
      </c>
      <c r="V311">
        <f t="shared" si="64"/>
        <v>9</v>
      </c>
    </row>
    <row r="312" spans="1:22" x14ac:dyDescent="0.25">
      <c r="A312" t="str">
        <f>IF(games!$A312="","",games!$A312)</f>
        <v>Genome Guardian 2</v>
      </c>
      <c r="B312">
        <f>IF($A312="","",games!$B312)</f>
        <v>2026</v>
      </c>
      <c r="C312" t="str">
        <f>IF($A312="","",games!$C312)</f>
        <v>Action</v>
      </c>
      <c r="D312">
        <f>IF($A312="","",COUNTIF(connections!$A$2:$A$1473,$A312)+COUNTIF(connections!$B$2:$B$1473,$A312))</f>
        <v>1</v>
      </c>
      <c r="E312">
        <f t="shared" si="52"/>
        <v>1</v>
      </c>
      <c r="F312">
        <f t="shared" si="53"/>
        <v>6</v>
      </c>
      <c r="G312">
        <f t="shared" si="54"/>
        <v>2026</v>
      </c>
      <c r="H312">
        <f t="shared" si="55"/>
        <v>1.1379999999999999</v>
      </c>
      <c r="I312" t="e">
        <f t="shared" si="56"/>
        <v>#N/A</v>
      </c>
      <c r="J312" t="e">
        <f t="shared" si="57"/>
        <v>#N/A</v>
      </c>
      <c r="K312" t="e">
        <f t="shared" si="58"/>
        <v>#N/A</v>
      </c>
      <c r="L312" t="e">
        <f t="shared" si="59"/>
        <v>#N/A</v>
      </c>
      <c r="M312" t="e">
        <f t="shared" si="60"/>
        <v>#N/A</v>
      </c>
      <c r="N312" t="e">
        <f t="shared" si="61"/>
        <v>#N/A</v>
      </c>
      <c r="O312">
        <f t="shared" si="62"/>
        <v>1.0003120000000001</v>
      </c>
      <c r="P312" t="str">
        <f>IF(OR($A312="",games!$H312=""),"",games!$H312)</f>
        <v/>
      </c>
      <c r="Q312" t="str">
        <f t="shared" si="63"/>
        <v/>
      </c>
      <c r="T312">
        <f>IF(connections!$A312="","",IFERROR(INDEX(games!$B$2:$B$950,MATCH(connections!$A312,games!$A$2:$A$950,0)),""))</f>
        <v>2023</v>
      </c>
      <c r="U312">
        <f>IF(connections!$A312="","",IFERROR(INDEX(games!$B$2:$B$950,MATCH(connections!$B312,games!$A$2:$A$950,0)),""))</f>
        <v>2025</v>
      </c>
      <c r="V312">
        <f t="shared" si="64"/>
        <v>2</v>
      </c>
    </row>
    <row r="313" spans="1:22" x14ac:dyDescent="0.25">
      <c r="A313" t="str">
        <f>IF(games!$A313="","",games!$A313)</f>
        <v>Geometry Arena</v>
      </c>
      <c r="B313">
        <f>IF($A313="","",games!$B313)</f>
        <v>2020</v>
      </c>
      <c r="C313" t="str">
        <f>IF($A313="","",games!$C313)</f>
        <v>Action</v>
      </c>
      <c r="D313">
        <f>IF($A313="","",COUNTIF(connections!$A$2:$A$1473,$A313)+COUNTIF(connections!$B$2:$B$1473,$A313))</f>
        <v>1</v>
      </c>
      <c r="E313">
        <f t="shared" si="52"/>
        <v>1</v>
      </c>
      <c r="F313">
        <f t="shared" si="53"/>
        <v>7</v>
      </c>
      <c r="G313">
        <f t="shared" si="54"/>
        <v>2020</v>
      </c>
      <c r="H313">
        <f t="shared" si="55"/>
        <v>1.161</v>
      </c>
      <c r="I313" t="e">
        <f t="shared" si="56"/>
        <v>#N/A</v>
      </c>
      <c r="J313" t="e">
        <f t="shared" si="57"/>
        <v>#N/A</v>
      </c>
      <c r="K313" t="e">
        <f t="shared" si="58"/>
        <v>#N/A</v>
      </c>
      <c r="L313" t="e">
        <f t="shared" si="59"/>
        <v>#N/A</v>
      </c>
      <c r="M313" t="e">
        <f t="shared" si="60"/>
        <v>#N/A</v>
      </c>
      <c r="N313" t="e">
        <f t="shared" si="61"/>
        <v>#N/A</v>
      </c>
      <c r="O313">
        <f t="shared" si="62"/>
        <v>1.000313</v>
      </c>
      <c r="P313" t="str">
        <f>IF(OR($A313="",games!$H313=""),"",games!$H313)</f>
        <v>Yes</v>
      </c>
      <c r="Q313">
        <f t="shared" si="63"/>
        <v>1.000313</v>
      </c>
      <c r="T313">
        <f>IF(connections!$A313="","",IFERROR(INDEX(games!$B$2:$B$950,MATCH(connections!$A313,games!$A$2:$A$950,0)),""))</f>
        <v>2018</v>
      </c>
      <c r="U313">
        <f>IF(connections!$A313="","",IFERROR(INDEX(games!$B$2:$B$950,MATCH(connections!$B313,games!$A$2:$A$950,0)),""))</f>
        <v>2026</v>
      </c>
      <c r="V313">
        <f t="shared" si="64"/>
        <v>8</v>
      </c>
    </row>
    <row r="314" spans="1:22" x14ac:dyDescent="0.25">
      <c r="A314" t="str">
        <f>IF(games!$A314="","",games!$A314)</f>
        <v>Geometry Arena 2</v>
      </c>
      <c r="B314">
        <f>IF($A314="","",games!$B314)</f>
        <v>2023</v>
      </c>
      <c r="C314" t="str">
        <f>IF($A314="","",games!$C314)</f>
        <v>Action</v>
      </c>
      <c r="D314">
        <f>IF($A314="","",COUNTIF(connections!$A$2:$A$1473,$A314)+COUNTIF(connections!$B$2:$B$1473,$A314))</f>
        <v>1</v>
      </c>
      <c r="E314">
        <f t="shared" si="52"/>
        <v>1</v>
      </c>
      <c r="F314">
        <f t="shared" si="53"/>
        <v>8</v>
      </c>
      <c r="G314">
        <f t="shared" si="54"/>
        <v>2023</v>
      </c>
      <c r="H314">
        <f t="shared" si="55"/>
        <v>1.1839999999999999</v>
      </c>
      <c r="I314" t="e">
        <f t="shared" si="56"/>
        <v>#N/A</v>
      </c>
      <c r="J314" t="e">
        <f t="shared" si="57"/>
        <v>#N/A</v>
      </c>
      <c r="K314" t="e">
        <f t="shared" si="58"/>
        <v>#N/A</v>
      </c>
      <c r="L314" t="e">
        <f t="shared" si="59"/>
        <v>#N/A</v>
      </c>
      <c r="M314" t="e">
        <f t="shared" si="60"/>
        <v>#N/A</v>
      </c>
      <c r="N314" t="e">
        <f t="shared" si="61"/>
        <v>#N/A</v>
      </c>
      <c r="O314">
        <f t="shared" si="62"/>
        <v>1.0003139999999999</v>
      </c>
      <c r="P314" t="str">
        <f>IF(OR($A314="",games!$H314=""),"",games!$H314)</f>
        <v>Yes</v>
      </c>
      <c r="Q314">
        <f t="shared" si="63"/>
        <v>1.0003139999999999</v>
      </c>
      <c r="T314">
        <f>IF(connections!$A314="","",IFERROR(INDEX(games!$B$2:$B$950,MATCH(connections!$A314,games!$A$2:$A$950,0)),""))</f>
        <v>2020</v>
      </c>
      <c r="U314">
        <f>IF(connections!$A314="","",IFERROR(INDEX(games!$B$2:$B$950,MATCH(connections!$B314,games!$A$2:$A$950,0)),""))</f>
        <v>2025</v>
      </c>
      <c r="V314">
        <f t="shared" si="64"/>
        <v>5</v>
      </c>
    </row>
    <row r="315" spans="1:22" x14ac:dyDescent="0.25">
      <c r="A315" t="str">
        <f>IF(games!$A315="","",games!$A315)</f>
        <v>Glyphica: Typing Survival</v>
      </c>
      <c r="B315">
        <f>IF($A315="","",games!$B315)</f>
        <v>2024</v>
      </c>
      <c r="C315" t="str">
        <f>IF($A315="","",games!$C315)</f>
        <v>Action</v>
      </c>
      <c r="D315">
        <f>IF($A315="","",COUNTIF(connections!$A$2:$A$1473,$A315)+COUNTIF(connections!$B$2:$B$1473,$A315))</f>
        <v>2</v>
      </c>
      <c r="E315">
        <f t="shared" si="52"/>
        <v>1</v>
      </c>
      <c r="F315">
        <f t="shared" si="53"/>
        <v>9</v>
      </c>
      <c r="G315">
        <f t="shared" si="54"/>
        <v>2024</v>
      </c>
      <c r="H315">
        <f t="shared" si="55"/>
        <v>1.2070000000000001</v>
      </c>
      <c r="I315" t="e">
        <f t="shared" si="56"/>
        <v>#N/A</v>
      </c>
      <c r="J315" t="e">
        <f t="shared" si="57"/>
        <v>#N/A</v>
      </c>
      <c r="K315" t="e">
        <f t="shared" si="58"/>
        <v>#N/A</v>
      </c>
      <c r="L315" t="e">
        <f t="shared" si="59"/>
        <v>#N/A</v>
      </c>
      <c r="M315" t="e">
        <f t="shared" si="60"/>
        <v>#N/A</v>
      </c>
      <c r="N315" t="e">
        <f t="shared" si="61"/>
        <v>#N/A</v>
      </c>
      <c r="O315">
        <f t="shared" si="62"/>
        <v>2.0003150000000001</v>
      </c>
      <c r="P315" t="str">
        <f>IF(OR($A315="",games!$H315=""),"",games!$H315)</f>
        <v/>
      </c>
      <c r="Q315" t="str">
        <f t="shared" si="63"/>
        <v/>
      </c>
      <c r="T315">
        <f>IF(connections!$A315="","",IFERROR(INDEX(games!$B$2:$B$950,MATCH(connections!$A315,games!$A$2:$A$950,0)),""))</f>
        <v>1996</v>
      </c>
      <c r="U315">
        <f>IF(connections!$A315="","",IFERROR(INDEX(games!$B$2:$B$950,MATCH(connections!$B315,games!$A$2:$A$950,0)),""))</f>
        <v>2023</v>
      </c>
      <c r="V315">
        <f t="shared" si="64"/>
        <v>27</v>
      </c>
    </row>
    <row r="316" spans="1:22" x14ac:dyDescent="0.25">
      <c r="A316" t="str">
        <f>IF(games!$A316="","",games!$A316)</f>
        <v>GnollHack</v>
      </c>
      <c r="B316">
        <f>IF($A316="","",games!$B316)</f>
        <v>2020</v>
      </c>
      <c r="C316" t="str">
        <f>IF($A316="","",games!$C316)</f>
        <v>Traditional</v>
      </c>
      <c r="D316">
        <f>IF($A316="","",COUNTIF(connections!$A$2:$A$1473,$A316)+COUNTIF(connections!$B$2:$B$1473,$A316))</f>
        <v>1</v>
      </c>
      <c r="E316">
        <f t="shared" si="52"/>
        <v>4</v>
      </c>
      <c r="F316">
        <f t="shared" si="53"/>
        <v>10</v>
      </c>
      <c r="G316" t="e">
        <f t="shared" si="54"/>
        <v>#N/A</v>
      </c>
      <c r="H316" t="e">
        <f t="shared" si="55"/>
        <v>#N/A</v>
      </c>
      <c r="I316" t="e">
        <f t="shared" si="56"/>
        <v>#N/A</v>
      </c>
      <c r="J316" t="e">
        <f t="shared" si="57"/>
        <v>#N/A</v>
      </c>
      <c r="K316" t="e">
        <f t="shared" si="58"/>
        <v>#N/A</v>
      </c>
      <c r="L316" t="e">
        <f t="shared" si="59"/>
        <v>#N/A</v>
      </c>
      <c r="M316">
        <f t="shared" si="60"/>
        <v>2020</v>
      </c>
      <c r="N316">
        <f t="shared" si="61"/>
        <v>4.2300000000000004</v>
      </c>
      <c r="O316">
        <f t="shared" si="62"/>
        <v>1.000316</v>
      </c>
      <c r="P316" t="str">
        <f>IF(OR($A316="",games!$H316=""),"",games!$H316)</f>
        <v>Yes</v>
      </c>
      <c r="Q316">
        <f t="shared" si="63"/>
        <v>1.000316</v>
      </c>
      <c r="T316">
        <f>IF(connections!$A316="","",IFERROR(INDEX(games!$B$2:$B$950,MATCH(connections!$A316,games!$A$2:$A$950,0)),""))</f>
        <v>2019</v>
      </c>
      <c r="U316">
        <f>IF(connections!$A316="","",IFERROR(INDEX(games!$B$2:$B$950,MATCH(connections!$B316,games!$A$2:$A$950,0)),""))</f>
        <v>2023</v>
      </c>
      <c r="V316">
        <f t="shared" si="64"/>
        <v>4</v>
      </c>
    </row>
    <row r="317" spans="1:22" x14ac:dyDescent="0.25">
      <c r="A317" t="str">
        <f>IF(games!$A317="","",games!$A317)</f>
        <v>Gnomes</v>
      </c>
      <c r="B317">
        <f>IF($A317="","",games!$B317)</f>
        <v>2025</v>
      </c>
      <c r="C317" t="str">
        <f>IF($A317="","",games!$C317)</f>
        <v>Strategy</v>
      </c>
      <c r="D317">
        <f>IF($A317="","",COUNTIF(connections!$A$2:$A$1473,$A317)+COUNTIF(connections!$B$2:$B$1473,$A317))</f>
        <v>3</v>
      </c>
      <c r="E317">
        <f t="shared" si="52"/>
        <v>2</v>
      </c>
      <c r="F317">
        <f t="shared" si="53"/>
        <v>11</v>
      </c>
      <c r="G317" t="e">
        <f t="shared" si="54"/>
        <v>#N/A</v>
      </c>
      <c r="H317" t="e">
        <f t="shared" si="55"/>
        <v>#N/A</v>
      </c>
      <c r="I317">
        <f t="shared" si="56"/>
        <v>2025</v>
      </c>
      <c r="J317">
        <f t="shared" si="57"/>
        <v>2.2530000000000001</v>
      </c>
      <c r="K317" t="e">
        <f t="shared" si="58"/>
        <v>#N/A</v>
      </c>
      <c r="L317" t="e">
        <f t="shared" si="59"/>
        <v>#N/A</v>
      </c>
      <c r="M317" t="e">
        <f t="shared" si="60"/>
        <v>#N/A</v>
      </c>
      <c r="N317" t="e">
        <f t="shared" si="61"/>
        <v>#N/A</v>
      </c>
      <c r="O317">
        <f t="shared" si="62"/>
        <v>3.0003169999999999</v>
      </c>
      <c r="P317" t="str">
        <f>IF(OR($A317="",games!$H317=""),"",games!$H317)</f>
        <v>Yes</v>
      </c>
      <c r="Q317">
        <f t="shared" si="63"/>
        <v>3.0003169999999999</v>
      </c>
      <c r="T317">
        <f>IF(connections!$A317="","",IFERROR(INDEX(games!$B$2:$B$950,MATCH(connections!$A317,games!$A$2:$A$950,0)),""))</f>
        <v>2021</v>
      </c>
      <c r="U317">
        <f>IF(connections!$A317="","",IFERROR(INDEX(games!$B$2:$B$950,MATCH(connections!$B317,games!$A$2:$A$950,0)),""))</f>
        <v>2023</v>
      </c>
      <c r="V317">
        <f t="shared" si="64"/>
        <v>2</v>
      </c>
    </row>
    <row r="318" spans="1:22" x14ac:dyDescent="0.25">
      <c r="A318" t="str">
        <f>IF(games!$A318="","",games!$A318)</f>
        <v>Go Mecha Ball</v>
      </c>
      <c r="B318">
        <f>IF($A318="","",games!$B318)</f>
        <v>2024</v>
      </c>
      <c r="C318" t="str">
        <f>IF($A318="","",games!$C318)</f>
        <v>Action</v>
      </c>
      <c r="D318">
        <f>IF($A318="","",COUNTIF(connections!$A$2:$A$1473,$A318)+COUNTIF(connections!$B$2:$B$1473,$A318))</f>
        <v>0</v>
      </c>
      <c r="E318">
        <f t="shared" si="52"/>
        <v>1</v>
      </c>
      <c r="F318">
        <f t="shared" si="53"/>
        <v>12</v>
      </c>
      <c r="G318">
        <f t="shared" si="54"/>
        <v>2024</v>
      </c>
      <c r="H318">
        <f t="shared" si="55"/>
        <v>1.276</v>
      </c>
      <c r="I318" t="e">
        <f t="shared" si="56"/>
        <v>#N/A</v>
      </c>
      <c r="J318" t="e">
        <f t="shared" si="57"/>
        <v>#N/A</v>
      </c>
      <c r="K318" t="e">
        <f t="shared" si="58"/>
        <v>#N/A</v>
      </c>
      <c r="L318" t="e">
        <f t="shared" si="59"/>
        <v>#N/A</v>
      </c>
      <c r="M318" t="e">
        <f t="shared" si="60"/>
        <v>#N/A</v>
      </c>
      <c r="N318" t="e">
        <f t="shared" si="61"/>
        <v>#N/A</v>
      </c>
      <c r="O318">
        <f t="shared" si="62"/>
        <v>3.1799999999999998E-4</v>
      </c>
      <c r="P318" t="str">
        <f>IF(OR($A318="",games!$H318=""),"",games!$H318)</f>
        <v>Yes</v>
      </c>
      <c r="Q318">
        <f t="shared" si="63"/>
        <v>3.1799999999999998E-4</v>
      </c>
      <c r="T318">
        <f>IF(connections!$A318="","",IFERROR(INDEX(games!$B$2:$B$950,MATCH(connections!$A318,games!$A$2:$A$950,0)),""))</f>
        <v>2015</v>
      </c>
      <c r="U318">
        <f>IF(connections!$A318="","",IFERROR(INDEX(games!$B$2:$B$950,MATCH(connections!$B318,games!$A$2:$A$950,0)),""))</f>
        <v>2016</v>
      </c>
      <c r="V318">
        <f t="shared" si="64"/>
        <v>1</v>
      </c>
    </row>
    <row r="319" spans="1:22" x14ac:dyDescent="0.25">
      <c r="A319" t="str">
        <f>IF(games!$A319="","",games!$A319)</f>
        <v>Goblin Sushi</v>
      </c>
      <c r="B319">
        <f>IF($A319="","",games!$B319)</f>
        <v>2026</v>
      </c>
      <c r="C319" t="str">
        <f>IF($A319="","",games!$C319)</f>
        <v>Deckbuilder</v>
      </c>
      <c r="D319">
        <f>IF($A319="","",COUNTIF(connections!$A$2:$A$1473,$A319)+COUNTIF(connections!$B$2:$B$1473,$A319))</f>
        <v>0</v>
      </c>
      <c r="E319">
        <f t="shared" si="52"/>
        <v>3</v>
      </c>
      <c r="F319">
        <f t="shared" si="53"/>
        <v>13</v>
      </c>
      <c r="G319" t="e">
        <f t="shared" si="54"/>
        <v>#N/A</v>
      </c>
      <c r="H319" t="e">
        <f t="shared" si="55"/>
        <v>#N/A</v>
      </c>
      <c r="I319" t="e">
        <f t="shared" si="56"/>
        <v>#N/A</v>
      </c>
      <c r="J319" t="e">
        <f t="shared" si="57"/>
        <v>#N/A</v>
      </c>
      <c r="K319">
        <f t="shared" si="58"/>
        <v>2026</v>
      </c>
      <c r="L319">
        <f t="shared" si="59"/>
        <v>3.2989999999999999</v>
      </c>
      <c r="M319" t="e">
        <f t="shared" si="60"/>
        <v>#N/A</v>
      </c>
      <c r="N319" t="e">
        <f t="shared" si="61"/>
        <v>#N/A</v>
      </c>
      <c r="O319">
        <f t="shared" si="62"/>
        <v>3.19E-4</v>
      </c>
      <c r="P319" t="str">
        <f>IF(OR($A319="",games!$H319=""),"",games!$H319)</f>
        <v/>
      </c>
      <c r="Q319" t="str">
        <f t="shared" si="63"/>
        <v/>
      </c>
      <c r="T319">
        <f>IF(connections!$A319="","",IFERROR(INDEX(games!$B$2:$B$950,MATCH(connections!$A319,games!$A$2:$A$950,0)),""))</f>
        <v>2018</v>
      </c>
      <c r="U319">
        <f>IF(connections!$A319="","",IFERROR(INDEX(games!$B$2:$B$950,MATCH(connections!$B319,games!$A$2:$A$950,0)),""))</f>
        <v>2023</v>
      </c>
      <c r="V319">
        <f t="shared" si="64"/>
        <v>5</v>
      </c>
    </row>
    <row r="320" spans="1:22" x14ac:dyDescent="0.25">
      <c r="A320" t="str">
        <f>IF(games!$A320="","",games!$A320)</f>
        <v>God of Weapons</v>
      </c>
      <c r="B320">
        <f>IF($A320="","",games!$B320)</f>
        <v>2023</v>
      </c>
      <c r="C320" t="str">
        <f>IF($A320="","",games!$C320)</f>
        <v>Action</v>
      </c>
      <c r="D320">
        <f>IF($A320="","",COUNTIF(connections!$A$2:$A$1473,$A320)+COUNTIF(connections!$B$2:$B$1473,$A320))</f>
        <v>3</v>
      </c>
      <c r="E320">
        <f t="shared" si="52"/>
        <v>1</v>
      </c>
      <c r="F320">
        <f t="shared" si="53"/>
        <v>14</v>
      </c>
      <c r="G320">
        <f t="shared" si="54"/>
        <v>2023</v>
      </c>
      <c r="H320">
        <f t="shared" si="55"/>
        <v>1.3220000000000001</v>
      </c>
      <c r="I320" t="e">
        <f t="shared" si="56"/>
        <v>#N/A</v>
      </c>
      <c r="J320" t="e">
        <f t="shared" si="57"/>
        <v>#N/A</v>
      </c>
      <c r="K320" t="e">
        <f t="shared" si="58"/>
        <v>#N/A</v>
      </c>
      <c r="L320" t="e">
        <f t="shared" si="59"/>
        <v>#N/A</v>
      </c>
      <c r="M320" t="e">
        <f t="shared" si="60"/>
        <v>#N/A</v>
      </c>
      <c r="N320" t="e">
        <f t="shared" si="61"/>
        <v>#N/A</v>
      </c>
      <c r="O320">
        <f t="shared" si="62"/>
        <v>3.0003199999999999</v>
      </c>
      <c r="P320" t="str">
        <f>IF(OR($A320="",games!$H320=""),"",games!$H320)</f>
        <v>Yes</v>
      </c>
      <c r="Q320">
        <f t="shared" si="63"/>
        <v>3.0003199999999999</v>
      </c>
      <c r="T320">
        <f>IF(connections!$A320="","",IFERROR(INDEX(games!$B$2:$B$950,MATCH(connections!$A320,games!$A$2:$A$950,0)),""))</f>
        <v>2012</v>
      </c>
      <c r="U320">
        <f>IF(connections!$A320="","",IFERROR(INDEX(games!$B$2:$B$950,MATCH(connections!$B320,games!$A$2:$A$950,0)),""))</f>
        <v>2023</v>
      </c>
      <c r="V320">
        <f t="shared" si="64"/>
        <v>11</v>
      </c>
    </row>
    <row r="321" spans="1:22" x14ac:dyDescent="0.25">
      <c r="A321" t="str">
        <f>IF(games!$A321="","",games!$A321)</f>
        <v>Godbreakers</v>
      </c>
      <c r="B321">
        <f>IF($A321="","",games!$B321)</f>
        <v>2025</v>
      </c>
      <c r="C321" t="str">
        <f>IF($A321="","",games!$C321)</f>
        <v>Action</v>
      </c>
      <c r="D321">
        <f>IF($A321="","",COUNTIF(connections!$A$2:$A$1473,$A321)+COUNTIF(connections!$B$2:$B$1473,$A321))</f>
        <v>0</v>
      </c>
      <c r="E321">
        <f t="shared" si="52"/>
        <v>1</v>
      </c>
      <c r="F321">
        <f t="shared" si="53"/>
        <v>15</v>
      </c>
      <c r="G321">
        <f t="shared" si="54"/>
        <v>2025</v>
      </c>
      <c r="H321">
        <f t="shared" si="55"/>
        <v>1.345</v>
      </c>
      <c r="I321" t="e">
        <f t="shared" si="56"/>
        <v>#N/A</v>
      </c>
      <c r="J321" t="e">
        <f t="shared" si="57"/>
        <v>#N/A</v>
      </c>
      <c r="K321" t="e">
        <f t="shared" si="58"/>
        <v>#N/A</v>
      </c>
      <c r="L321" t="e">
        <f t="shared" si="59"/>
        <v>#N/A</v>
      </c>
      <c r="M321" t="e">
        <f t="shared" si="60"/>
        <v>#N/A</v>
      </c>
      <c r="N321" t="e">
        <f t="shared" si="61"/>
        <v>#N/A</v>
      </c>
      <c r="O321">
        <f t="shared" si="62"/>
        <v>3.21E-4</v>
      </c>
      <c r="P321" t="str">
        <f>IF(OR($A321="",games!$H321=""),"",games!$H321)</f>
        <v>Yes</v>
      </c>
      <c r="Q321">
        <f t="shared" si="63"/>
        <v>3.21E-4</v>
      </c>
      <c r="T321">
        <f>IF(connections!$A321="","",IFERROR(INDEX(games!$B$2:$B$950,MATCH(connections!$A321,games!$A$2:$A$950,0)),""))</f>
        <v>2018</v>
      </c>
      <c r="U321">
        <f>IF(connections!$A321="","",IFERROR(INDEX(games!$B$2:$B$950,MATCH(connections!$B321,games!$A$2:$A$950,0)),""))</f>
        <v>2023</v>
      </c>
      <c r="V321">
        <f t="shared" si="64"/>
        <v>5</v>
      </c>
    </row>
    <row r="322" spans="1:22" x14ac:dyDescent="0.25">
      <c r="A322" t="str">
        <f>IF(games!$A322="","",games!$A322)</f>
        <v>Going Under</v>
      </c>
      <c r="B322">
        <f>IF($A322="","",games!$B322)</f>
        <v>2020</v>
      </c>
      <c r="C322" t="str">
        <f>IF($A322="","",games!$C322)</f>
        <v>Action</v>
      </c>
      <c r="D322">
        <f>IF($A322="","",COUNTIF(connections!$A$2:$A$1473,$A322)+COUNTIF(connections!$B$2:$B$1473,$A322))</f>
        <v>4</v>
      </c>
      <c r="E322">
        <f t="shared" ref="E322:E385" si="65">IF($A322="","",IFERROR(MATCH($C322,$R$2:$R$5,0),0))</f>
        <v>1</v>
      </c>
      <c r="F322">
        <f t="shared" ref="F322:F385" si="66">IF($A322="","",MOD(ROW(),34))</f>
        <v>16</v>
      </c>
      <c r="G322">
        <f t="shared" ref="G322:G385" si="67">IF($A322="",NA(),IF($C322="Action",$B322,NA()))</f>
        <v>2020</v>
      </c>
      <c r="H322">
        <f t="shared" ref="H322:H385" si="68">IF($A322="",NA(),IF($C322="Action",1+$F322*0.023,NA()))</f>
        <v>1.3679999999999999</v>
      </c>
      <c r="I322" t="e">
        <f t="shared" ref="I322:I385" si="69">IF($A322="",NA(),IF($C322="Strategy",$B322,NA()))</f>
        <v>#N/A</v>
      </c>
      <c r="J322" t="e">
        <f t="shared" ref="J322:J385" si="70">IF($A322="",NA(),IF($C322="Strategy",2+$F322*0.023,NA()))</f>
        <v>#N/A</v>
      </c>
      <c r="K322" t="e">
        <f t="shared" ref="K322:K385" si="71">IF($A322="",NA(),IF($C322="Deckbuilder",$B322,NA()))</f>
        <v>#N/A</v>
      </c>
      <c r="L322" t="e">
        <f t="shared" ref="L322:L385" si="72">IF($A322="",NA(),IF($C322="Deckbuilder",3+$F322*0.023,NA()))</f>
        <v>#N/A</v>
      </c>
      <c r="M322" t="e">
        <f t="shared" ref="M322:M385" si="73">IF($A322="",NA(),IF($C322="Traditional",$B322,NA()))</f>
        <v>#N/A</v>
      </c>
      <c r="N322" t="e">
        <f t="shared" ref="N322:N385" si="74">IF($A322="",NA(),IF($C322="Traditional",4+$F322*0.023,NA()))</f>
        <v>#N/A</v>
      </c>
      <c r="O322">
        <f t="shared" ref="O322:O385" si="75">IF($A322="","",$D322+ROW()/1000000)</f>
        <v>4.0003219999999997</v>
      </c>
      <c r="P322" t="str">
        <f>IF(OR($A322="",games!$H322=""),"",games!$H322)</f>
        <v>Yes</v>
      </c>
      <c r="Q322">
        <f t="shared" ref="Q322:Q385" si="76">IF(OR($A322="",$P322&lt;&gt;"Yes"),"",$D322+ROW()/1000000)</f>
        <v>4.0003219999999997</v>
      </c>
      <c r="T322">
        <f>IF(connections!$A322="","",IFERROR(INDEX(games!$B$2:$B$950,MATCH(connections!$A322,games!$A$2:$A$950,0)),""))</f>
        <v>2012</v>
      </c>
      <c r="U322">
        <f>IF(connections!$A322="","",IFERROR(INDEX(games!$B$2:$B$950,MATCH(connections!$B322,games!$A$2:$A$950,0)),""))</f>
        <v>2014</v>
      </c>
      <c r="V322">
        <f t="shared" ref="V322:V385" si="77">IF(OR($T322="",$U322=""),"",$U322-$T322)</f>
        <v>2</v>
      </c>
    </row>
    <row r="323" spans="1:22" x14ac:dyDescent="0.25">
      <c r="A323" t="str">
        <f>IF(games!$A323="","",games!$A323)</f>
        <v>Golden Krone Hotel</v>
      </c>
      <c r="B323">
        <f>IF($A323="","",games!$B323)</f>
        <v>2014</v>
      </c>
      <c r="C323" t="str">
        <f>IF($A323="","",games!$C323)</f>
        <v>Traditional</v>
      </c>
      <c r="D323">
        <f>IF($A323="","",COUNTIF(connections!$A$2:$A$1473,$A323)+COUNTIF(connections!$B$2:$B$1473,$A323))</f>
        <v>1</v>
      </c>
      <c r="E323">
        <f t="shared" si="65"/>
        <v>4</v>
      </c>
      <c r="F323">
        <f t="shared" si="66"/>
        <v>17</v>
      </c>
      <c r="G323" t="e">
        <f t="shared" si="67"/>
        <v>#N/A</v>
      </c>
      <c r="H323" t="e">
        <f t="shared" si="68"/>
        <v>#N/A</v>
      </c>
      <c r="I323" t="e">
        <f t="shared" si="69"/>
        <v>#N/A</v>
      </c>
      <c r="J323" t="e">
        <f t="shared" si="70"/>
        <v>#N/A</v>
      </c>
      <c r="K323" t="e">
        <f t="shared" si="71"/>
        <v>#N/A</v>
      </c>
      <c r="L323" t="e">
        <f t="shared" si="72"/>
        <v>#N/A</v>
      </c>
      <c r="M323">
        <f t="shared" si="73"/>
        <v>2014</v>
      </c>
      <c r="N323">
        <f t="shared" si="74"/>
        <v>4.391</v>
      </c>
      <c r="O323">
        <f t="shared" si="75"/>
        <v>1.0003230000000001</v>
      </c>
      <c r="P323" t="str">
        <f>IF(OR($A323="",games!$H323=""),"",games!$H323)</f>
        <v>Yes</v>
      </c>
      <c r="Q323">
        <f t="shared" si="76"/>
        <v>1.0003230000000001</v>
      </c>
      <c r="T323">
        <f>IF(connections!$A323="","",IFERROR(INDEX(games!$B$2:$B$950,MATCH(connections!$A323,games!$A$2:$A$950,0)),""))</f>
        <v>2015</v>
      </c>
      <c r="U323">
        <f>IF(connections!$A323="","",IFERROR(INDEX(games!$B$2:$B$950,MATCH(connections!$B323,games!$A$2:$A$950,0)),""))</f>
        <v>2019</v>
      </c>
      <c r="V323">
        <f t="shared" si="77"/>
        <v>4</v>
      </c>
    </row>
    <row r="324" spans="1:22" x14ac:dyDescent="0.25">
      <c r="A324" t="str">
        <f>IF(games!$A324="","",games!$A324)</f>
        <v>Golden Light</v>
      </c>
      <c r="B324">
        <f>IF($A324="","",games!$B324)</f>
        <v>2020</v>
      </c>
      <c r="C324" t="str">
        <f>IF($A324="","",games!$C324)</f>
        <v>Action</v>
      </c>
      <c r="D324">
        <f>IF($A324="","",COUNTIF(connections!$A$2:$A$1473,$A324)+COUNTIF(connections!$B$2:$B$1473,$A324))</f>
        <v>2</v>
      </c>
      <c r="E324">
        <f t="shared" si="65"/>
        <v>1</v>
      </c>
      <c r="F324">
        <f t="shared" si="66"/>
        <v>18</v>
      </c>
      <c r="G324">
        <f t="shared" si="67"/>
        <v>2020</v>
      </c>
      <c r="H324">
        <f t="shared" si="68"/>
        <v>1.4139999999999999</v>
      </c>
      <c r="I324" t="e">
        <f t="shared" si="69"/>
        <v>#N/A</v>
      </c>
      <c r="J324" t="e">
        <f t="shared" si="70"/>
        <v>#N/A</v>
      </c>
      <c r="K324" t="e">
        <f t="shared" si="71"/>
        <v>#N/A</v>
      </c>
      <c r="L324" t="e">
        <f t="shared" si="72"/>
        <v>#N/A</v>
      </c>
      <c r="M324" t="e">
        <f t="shared" si="73"/>
        <v>#N/A</v>
      </c>
      <c r="N324" t="e">
        <f t="shared" si="74"/>
        <v>#N/A</v>
      </c>
      <c r="O324">
        <f t="shared" si="75"/>
        <v>2.000324</v>
      </c>
      <c r="P324" t="str">
        <f>IF(OR($A324="",games!$H324=""),"",games!$H324)</f>
        <v>Yes</v>
      </c>
      <c r="Q324">
        <f t="shared" si="76"/>
        <v>2.000324</v>
      </c>
      <c r="T324">
        <f>IF(connections!$A324="","",IFERROR(INDEX(games!$B$2:$B$950,MATCH(connections!$A324,games!$A$2:$A$950,0)),""))</f>
        <v>2015</v>
      </c>
      <c r="U324">
        <f>IF(connections!$A324="","",IFERROR(INDEX(games!$B$2:$B$950,MATCH(connections!$B324,games!$A$2:$A$950,0)),""))</f>
        <v>2019</v>
      </c>
      <c r="V324">
        <f t="shared" si="77"/>
        <v>4</v>
      </c>
    </row>
    <row r="325" spans="1:22" x14ac:dyDescent="0.25">
      <c r="A325" t="str">
        <f>IF(games!$A325="","",games!$A325)</f>
        <v>Golfie</v>
      </c>
      <c r="B325">
        <f>IF($A325="","",games!$B325)</f>
        <v>2022</v>
      </c>
      <c r="C325" t="str">
        <f>IF($A325="","",games!$C325)</f>
        <v>Action</v>
      </c>
      <c r="D325">
        <f>IF($A325="","",COUNTIF(connections!$A$2:$A$1473,$A325)+COUNTIF(connections!$B$2:$B$1473,$A325))</f>
        <v>1</v>
      </c>
      <c r="E325">
        <f t="shared" si="65"/>
        <v>1</v>
      </c>
      <c r="F325">
        <f t="shared" si="66"/>
        <v>19</v>
      </c>
      <c r="G325">
        <f t="shared" si="67"/>
        <v>2022</v>
      </c>
      <c r="H325">
        <f t="shared" si="68"/>
        <v>1.4370000000000001</v>
      </c>
      <c r="I325" t="e">
        <f t="shared" si="69"/>
        <v>#N/A</v>
      </c>
      <c r="J325" t="e">
        <f t="shared" si="70"/>
        <v>#N/A</v>
      </c>
      <c r="K325" t="e">
        <f t="shared" si="71"/>
        <v>#N/A</v>
      </c>
      <c r="L325" t="e">
        <f t="shared" si="72"/>
        <v>#N/A</v>
      </c>
      <c r="M325" t="e">
        <f t="shared" si="73"/>
        <v>#N/A</v>
      </c>
      <c r="N325" t="e">
        <f t="shared" si="74"/>
        <v>#N/A</v>
      </c>
      <c r="O325">
        <f t="shared" si="75"/>
        <v>1.0003249999999999</v>
      </c>
      <c r="P325" t="str">
        <f>IF(OR($A325="",games!$H325=""),"",games!$H325)</f>
        <v>Yes</v>
      </c>
      <c r="Q325">
        <f t="shared" si="76"/>
        <v>1.0003249999999999</v>
      </c>
      <c r="T325">
        <f>IF(connections!$A325="","",IFERROR(INDEX(games!$B$2:$B$950,MATCH(connections!$A325,games!$A$2:$A$950,0)),""))</f>
        <v>2017</v>
      </c>
      <c r="U325">
        <f>IF(connections!$A325="","",IFERROR(INDEX(games!$B$2:$B$950,MATCH(connections!$B325,games!$A$2:$A$950,0)),""))</f>
        <v>2019</v>
      </c>
      <c r="V325">
        <f t="shared" si="77"/>
        <v>2</v>
      </c>
    </row>
    <row r="326" spans="1:22" x14ac:dyDescent="0.25">
      <c r="A326" t="str">
        <f>IF(games!$A326="","",games!$A326)</f>
        <v>GoNNER</v>
      </c>
      <c r="B326">
        <f>IF($A326="","",games!$B326)</f>
        <v>2016</v>
      </c>
      <c r="C326" t="str">
        <f>IF($A326="","",games!$C326)</f>
        <v>Action</v>
      </c>
      <c r="D326">
        <f>IF($A326="","",COUNTIF(connections!$A$2:$A$1473,$A326)+COUNTIF(connections!$B$2:$B$1473,$A326))</f>
        <v>5</v>
      </c>
      <c r="E326">
        <f t="shared" si="65"/>
        <v>1</v>
      </c>
      <c r="F326">
        <f t="shared" si="66"/>
        <v>20</v>
      </c>
      <c r="G326">
        <f t="shared" si="67"/>
        <v>2016</v>
      </c>
      <c r="H326">
        <f t="shared" si="68"/>
        <v>1.46</v>
      </c>
      <c r="I326" t="e">
        <f t="shared" si="69"/>
        <v>#N/A</v>
      </c>
      <c r="J326" t="e">
        <f t="shared" si="70"/>
        <v>#N/A</v>
      </c>
      <c r="K326" t="e">
        <f t="shared" si="71"/>
        <v>#N/A</v>
      </c>
      <c r="L326" t="e">
        <f t="shared" si="72"/>
        <v>#N/A</v>
      </c>
      <c r="M326" t="e">
        <f t="shared" si="73"/>
        <v>#N/A</v>
      </c>
      <c r="N326" t="e">
        <f t="shared" si="74"/>
        <v>#N/A</v>
      </c>
      <c r="O326">
        <f t="shared" si="75"/>
        <v>5.0003260000000003</v>
      </c>
      <c r="P326" t="str">
        <f>IF(OR($A326="",games!$H326=""),"",games!$H326)</f>
        <v>Yes</v>
      </c>
      <c r="Q326">
        <f t="shared" si="76"/>
        <v>5.0003260000000003</v>
      </c>
      <c r="T326">
        <f>IF(connections!$A326="","",IFERROR(INDEX(games!$B$2:$B$950,MATCH(connections!$A326,games!$A$2:$A$950,0)),""))</f>
        <v>2017</v>
      </c>
      <c r="U326">
        <f>IF(connections!$A326="","",IFERROR(INDEX(games!$B$2:$B$950,MATCH(connections!$B326,games!$A$2:$A$950,0)),""))</f>
        <v>2019</v>
      </c>
      <c r="V326">
        <f t="shared" si="77"/>
        <v>2</v>
      </c>
    </row>
    <row r="327" spans="1:22" x14ac:dyDescent="0.25">
      <c r="A327" t="str">
        <f>IF(games!$A327="","",games!$A327)</f>
        <v>GONNER2</v>
      </c>
      <c r="B327">
        <f>IF($A327="","",games!$B327)</f>
        <v>2020</v>
      </c>
      <c r="C327" t="str">
        <f>IF($A327="","",games!$C327)</f>
        <v>Action</v>
      </c>
      <c r="D327">
        <f>IF($A327="","",COUNTIF(connections!$A$2:$A$1473,$A327)+COUNTIF(connections!$B$2:$B$1473,$A327))</f>
        <v>1</v>
      </c>
      <c r="E327">
        <f t="shared" si="65"/>
        <v>1</v>
      </c>
      <c r="F327">
        <f t="shared" si="66"/>
        <v>21</v>
      </c>
      <c r="G327">
        <f t="shared" si="67"/>
        <v>2020</v>
      </c>
      <c r="H327">
        <f t="shared" si="68"/>
        <v>1.4830000000000001</v>
      </c>
      <c r="I327" t="e">
        <f t="shared" si="69"/>
        <v>#N/A</v>
      </c>
      <c r="J327" t="e">
        <f t="shared" si="70"/>
        <v>#N/A</v>
      </c>
      <c r="K327" t="e">
        <f t="shared" si="71"/>
        <v>#N/A</v>
      </c>
      <c r="L327" t="e">
        <f t="shared" si="72"/>
        <v>#N/A</v>
      </c>
      <c r="M327" t="e">
        <f t="shared" si="73"/>
        <v>#N/A</v>
      </c>
      <c r="N327" t="e">
        <f t="shared" si="74"/>
        <v>#N/A</v>
      </c>
      <c r="O327">
        <f t="shared" si="75"/>
        <v>1.000327</v>
      </c>
      <c r="P327" t="str">
        <f>IF(OR($A327="",games!$H327=""),"",games!$H327)</f>
        <v>Yes</v>
      </c>
      <c r="Q327">
        <f t="shared" si="76"/>
        <v>1.000327</v>
      </c>
      <c r="T327">
        <f>IF(connections!$A327="","",IFERROR(INDEX(games!$B$2:$B$950,MATCH(connections!$A327,games!$A$2:$A$950,0)),""))</f>
        <v>2017</v>
      </c>
      <c r="U327">
        <f>IF(connections!$A327="","",IFERROR(INDEX(games!$B$2:$B$950,MATCH(connections!$B327,games!$A$2:$A$950,0)),""))</f>
        <v>2025</v>
      </c>
      <c r="V327">
        <f t="shared" si="77"/>
        <v>8</v>
      </c>
    </row>
    <row r="328" spans="1:22" x14ac:dyDescent="0.25">
      <c r="A328" t="str">
        <f>IF(games!$A328="","",games!$A328)</f>
        <v>Goobies</v>
      </c>
      <c r="B328">
        <f>IF($A328="","",games!$B328)</f>
        <v>2023</v>
      </c>
      <c r="C328" t="str">
        <f>IF($A328="","",games!$C328)</f>
        <v>Action</v>
      </c>
      <c r="D328">
        <f>IF($A328="","",COUNTIF(connections!$A$2:$A$1473,$A328)+COUNTIF(connections!$B$2:$B$1473,$A328))</f>
        <v>1</v>
      </c>
      <c r="E328">
        <f t="shared" si="65"/>
        <v>1</v>
      </c>
      <c r="F328">
        <f t="shared" si="66"/>
        <v>22</v>
      </c>
      <c r="G328">
        <f t="shared" si="67"/>
        <v>2023</v>
      </c>
      <c r="H328">
        <f t="shared" si="68"/>
        <v>1.506</v>
      </c>
      <c r="I328" t="e">
        <f t="shared" si="69"/>
        <v>#N/A</v>
      </c>
      <c r="J328" t="e">
        <f t="shared" si="70"/>
        <v>#N/A</v>
      </c>
      <c r="K328" t="e">
        <f t="shared" si="71"/>
        <v>#N/A</v>
      </c>
      <c r="L328" t="e">
        <f t="shared" si="72"/>
        <v>#N/A</v>
      </c>
      <c r="M328" t="e">
        <f t="shared" si="73"/>
        <v>#N/A</v>
      </c>
      <c r="N328" t="e">
        <f t="shared" si="74"/>
        <v>#N/A</v>
      </c>
      <c r="O328">
        <f t="shared" si="75"/>
        <v>1.0003280000000001</v>
      </c>
      <c r="P328" t="str">
        <f>IF(OR($A328="",games!$H328=""),"",games!$H328)</f>
        <v/>
      </c>
      <c r="Q328" t="str">
        <f t="shared" si="76"/>
        <v/>
      </c>
      <c r="T328">
        <f>IF(connections!$A328="","",IFERROR(INDEX(games!$B$2:$B$950,MATCH(connections!$A328,games!$A$2:$A$950,0)),""))</f>
        <v>2017</v>
      </c>
      <c r="U328">
        <f>IF(connections!$A328="","",IFERROR(INDEX(games!$B$2:$B$950,MATCH(connections!$B328,games!$A$2:$A$950,0)),""))</f>
        <v>2025</v>
      </c>
      <c r="V328">
        <f t="shared" si="77"/>
        <v>8</v>
      </c>
    </row>
    <row r="329" spans="1:22" x14ac:dyDescent="0.25">
      <c r="A329" t="str">
        <f>IF(games!$A329="","",games!$A329)</f>
        <v>Gordian Quest</v>
      </c>
      <c r="B329">
        <f>IF($A329="","",games!$B329)</f>
        <v>2020</v>
      </c>
      <c r="C329" t="str">
        <f>IF($A329="","",games!$C329)</f>
        <v>Deckbuilder</v>
      </c>
      <c r="D329">
        <f>IF($A329="","",COUNTIF(connections!$A$2:$A$1473,$A329)+COUNTIF(connections!$B$2:$B$1473,$A329))</f>
        <v>3</v>
      </c>
      <c r="E329">
        <f t="shared" si="65"/>
        <v>3</v>
      </c>
      <c r="F329">
        <f t="shared" si="66"/>
        <v>23</v>
      </c>
      <c r="G329" t="e">
        <f t="shared" si="67"/>
        <v>#N/A</v>
      </c>
      <c r="H329" t="e">
        <f t="shared" si="68"/>
        <v>#N/A</v>
      </c>
      <c r="I329" t="e">
        <f t="shared" si="69"/>
        <v>#N/A</v>
      </c>
      <c r="J329" t="e">
        <f t="shared" si="70"/>
        <v>#N/A</v>
      </c>
      <c r="K329">
        <f t="shared" si="71"/>
        <v>2020</v>
      </c>
      <c r="L329">
        <f t="shared" si="72"/>
        <v>3.5289999999999999</v>
      </c>
      <c r="M329" t="e">
        <f t="shared" si="73"/>
        <v>#N/A</v>
      </c>
      <c r="N329" t="e">
        <f t="shared" si="74"/>
        <v>#N/A</v>
      </c>
      <c r="O329">
        <f t="shared" si="75"/>
        <v>3.0003289999999998</v>
      </c>
      <c r="P329" t="str">
        <f>IF(OR($A329="",games!$H329=""),"",games!$H329)</f>
        <v>Yes</v>
      </c>
      <c r="Q329">
        <f t="shared" si="76"/>
        <v>3.0003289999999998</v>
      </c>
      <c r="T329">
        <f>IF(connections!$A329="","",IFERROR(INDEX(games!$B$2:$B$950,MATCH(connections!$A329,games!$A$2:$A$950,0)),""))</f>
        <v>2023</v>
      </c>
      <c r="U329">
        <f>IF(connections!$A329="","",IFERROR(INDEX(games!$B$2:$B$950,MATCH(connections!$B329,games!$A$2:$A$950,0)),""))</f>
        <v>2025</v>
      </c>
      <c r="V329">
        <f t="shared" si="77"/>
        <v>2</v>
      </c>
    </row>
    <row r="330" spans="1:22" x14ac:dyDescent="0.25">
      <c r="A330" t="str">
        <f>IF(games!$A330="","",games!$A330)</f>
        <v>Granvir</v>
      </c>
      <c r="B330">
        <f>IF($A330="","",games!$B330)</f>
        <v>2025</v>
      </c>
      <c r="C330" t="str">
        <f>IF($A330="","",games!$C330)</f>
        <v>Action</v>
      </c>
      <c r="D330">
        <f>IF($A330="","",COUNTIF(connections!$A$2:$A$1473,$A330)+COUNTIF(connections!$B$2:$B$1473,$A330))</f>
        <v>0</v>
      </c>
      <c r="E330">
        <f t="shared" si="65"/>
        <v>1</v>
      </c>
      <c r="F330">
        <f t="shared" si="66"/>
        <v>24</v>
      </c>
      <c r="G330">
        <f t="shared" si="67"/>
        <v>2025</v>
      </c>
      <c r="H330">
        <f t="shared" si="68"/>
        <v>1.552</v>
      </c>
      <c r="I330" t="e">
        <f t="shared" si="69"/>
        <v>#N/A</v>
      </c>
      <c r="J330" t="e">
        <f t="shared" si="70"/>
        <v>#N/A</v>
      </c>
      <c r="K330" t="e">
        <f t="shared" si="71"/>
        <v>#N/A</v>
      </c>
      <c r="L330" t="e">
        <f t="shared" si="72"/>
        <v>#N/A</v>
      </c>
      <c r="M330" t="e">
        <f t="shared" si="73"/>
        <v>#N/A</v>
      </c>
      <c r="N330" t="e">
        <f t="shared" si="74"/>
        <v>#N/A</v>
      </c>
      <c r="O330">
        <f t="shared" si="75"/>
        <v>3.3E-4</v>
      </c>
      <c r="P330" t="str">
        <f>IF(OR($A330="",games!$H330=""),"",games!$H330)</f>
        <v/>
      </c>
      <c r="Q330" t="str">
        <f t="shared" si="76"/>
        <v/>
      </c>
      <c r="T330">
        <f>IF(connections!$A330="","",IFERROR(INDEX(games!$B$2:$B$950,MATCH(connections!$A330,games!$A$2:$A$950,0)),""))</f>
        <v>1987</v>
      </c>
      <c r="U330">
        <f>IF(connections!$A330="","",IFERROR(INDEX(games!$B$2:$B$950,MATCH(connections!$B330,games!$A$2:$A$950,0)),""))</f>
        <v>2014</v>
      </c>
      <c r="V330">
        <f t="shared" si="77"/>
        <v>27</v>
      </c>
    </row>
    <row r="331" spans="1:22" x14ac:dyDescent="0.25">
      <c r="A331" t="str">
        <f>IF(games!$A331="","",games!$A331)</f>
        <v>Greedland</v>
      </c>
      <c r="B331">
        <f>IF($A331="","",games!$B331)</f>
        <v>2023</v>
      </c>
      <c r="C331" t="str">
        <f>IF($A331="","",games!$C331)</f>
        <v>Action</v>
      </c>
      <c r="D331">
        <f>IF($A331="","",COUNTIF(connections!$A$2:$A$1473,$A331)+COUNTIF(connections!$B$2:$B$1473,$A331))</f>
        <v>1</v>
      </c>
      <c r="E331">
        <f t="shared" si="65"/>
        <v>1</v>
      </c>
      <c r="F331">
        <f t="shared" si="66"/>
        <v>25</v>
      </c>
      <c r="G331">
        <f t="shared" si="67"/>
        <v>2023</v>
      </c>
      <c r="H331">
        <f t="shared" si="68"/>
        <v>1.575</v>
      </c>
      <c r="I331" t="e">
        <f t="shared" si="69"/>
        <v>#N/A</v>
      </c>
      <c r="J331" t="e">
        <f t="shared" si="70"/>
        <v>#N/A</v>
      </c>
      <c r="K331" t="e">
        <f t="shared" si="71"/>
        <v>#N/A</v>
      </c>
      <c r="L331" t="e">
        <f t="shared" si="72"/>
        <v>#N/A</v>
      </c>
      <c r="M331" t="e">
        <f t="shared" si="73"/>
        <v>#N/A</v>
      </c>
      <c r="N331" t="e">
        <f t="shared" si="74"/>
        <v>#N/A</v>
      </c>
      <c r="O331">
        <f t="shared" si="75"/>
        <v>1.0003310000000001</v>
      </c>
      <c r="P331" t="str">
        <f>IF(OR($A331="",games!$H331=""),"",games!$H331)</f>
        <v>Yes</v>
      </c>
      <c r="Q331">
        <f t="shared" si="76"/>
        <v>1.0003310000000001</v>
      </c>
      <c r="T331">
        <f>IF(connections!$A331="","",IFERROR(INDEX(games!$B$2:$B$950,MATCH(connections!$A331,games!$A$2:$A$950,0)),""))</f>
        <v>2020</v>
      </c>
      <c r="U331">
        <f>IF(connections!$A331="","",IFERROR(INDEX(games!$B$2:$B$950,MATCH(connections!$B331,games!$A$2:$A$950,0)),""))</f>
        <v>2026</v>
      </c>
      <c r="V331">
        <f t="shared" si="77"/>
        <v>6</v>
      </c>
    </row>
    <row r="332" spans="1:22" x14ac:dyDescent="0.25">
      <c r="A332" t="str">
        <f>IF(games!$A332="","",games!$A332)</f>
        <v>Griftlands</v>
      </c>
      <c r="B332">
        <f>IF($A332="","",games!$B332)</f>
        <v>2020</v>
      </c>
      <c r="C332" t="str">
        <f>IF($A332="","",games!$C332)</f>
        <v>Deckbuilder</v>
      </c>
      <c r="D332">
        <f>IF($A332="","",COUNTIF(connections!$A$2:$A$1473,$A332)+COUNTIF(connections!$B$2:$B$1473,$A332))</f>
        <v>3</v>
      </c>
      <c r="E332">
        <f t="shared" si="65"/>
        <v>3</v>
      </c>
      <c r="F332">
        <f t="shared" si="66"/>
        <v>26</v>
      </c>
      <c r="G332" t="e">
        <f t="shared" si="67"/>
        <v>#N/A</v>
      </c>
      <c r="H332" t="e">
        <f t="shared" si="68"/>
        <v>#N/A</v>
      </c>
      <c r="I332" t="e">
        <f t="shared" si="69"/>
        <v>#N/A</v>
      </c>
      <c r="J332" t="e">
        <f t="shared" si="70"/>
        <v>#N/A</v>
      </c>
      <c r="K332">
        <f t="shared" si="71"/>
        <v>2020</v>
      </c>
      <c r="L332">
        <f t="shared" si="72"/>
        <v>3.5979999999999999</v>
      </c>
      <c r="M332" t="e">
        <f t="shared" si="73"/>
        <v>#N/A</v>
      </c>
      <c r="N332" t="e">
        <f t="shared" si="74"/>
        <v>#N/A</v>
      </c>
      <c r="O332">
        <f t="shared" si="75"/>
        <v>3.0003320000000002</v>
      </c>
      <c r="P332" t="str">
        <f>IF(OR($A332="",games!$H332=""),"",games!$H332)</f>
        <v>Yes</v>
      </c>
      <c r="Q332">
        <f t="shared" si="76"/>
        <v>3.0003320000000002</v>
      </c>
      <c r="T332">
        <f>IF(connections!$A332="","",IFERROR(INDEX(games!$B$2:$B$950,MATCH(connections!$A332,games!$A$2:$A$950,0)),""))</f>
        <v>2020</v>
      </c>
      <c r="U332">
        <f>IF(connections!$A332="","",IFERROR(INDEX(games!$B$2:$B$950,MATCH(connections!$B332,games!$A$2:$A$950,0)),""))</f>
        <v>2026</v>
      </c>
      <c r="V332">
        <f t="shared" si="77"/>
        <v>6</v>
      </c>
    </row>
    <row r="333" spans="1:22" x14ac:dyDescent="0.25">
      <c r="A333" t="str">
        <f>IF(games!$A333="","",games!$A333)</f>
        <v>Guidus</v>
      </c>
      <c r="B333">
        <f>IF($A333="","",games!$B333)</f>
        <v>2021</v>
      </c>
      <c r="C333" t="str">
        <f>IF($A333="","",games!$C333)</f>
        <v>Action</v>
      </c>
      <c r="D333">
        <f>IF($A333="","",COUNTIF(connections!$A$2:$A$1473,$A333)+COUNTIF(connections!$B$2:$B$1473,$A333))</f>
        <v>2</v>
      </c>
      <c r="E333">
        <f t="shared" si="65"/>
        <v>1</v>
      </c>
      <c r="F333">
        <f t="shared" si="66"/>
        <v>27</v>
      </c>
      <c r="G333">
        <f t="shared" si="67"/>
        <v>2021</v>
      </c>
      <c r="H333">
        <f t="shared" si="68"/>
        <v>1.621</v>
      </c>
      <c r="I333" t="e">
        <f t="shared" si="69"/>
        <v>#N/A</v>
      </c>
      <c r="J333" t="e">
        <f t="shared" si="70"/>
        <v>#N/A</v>
      </c>
      <c r="K333" t="e">
        <f t="shared" si="71"/>
        <v>#N/A</v>
      </c>
      <c r="L333" t="e">
        <f t="shared" si="72"/>
        <v>#N/A</v>
      </c>
      <c r="M333" t="e">
        <f t="shared" si="73"/>
        <v>#N/A</v>
      </c>
      <c r="N333" t="e">
        <f t="shared" si="74"/>
        <v>#N/A</v>
      </c>
      <c r="O333">
        <f t="shared" si="75"/>
        <v>2.0003329999999999</v>
      </c>
      <c r="P333" t="str">
        <f>IF(OR($A333="",games!$H333=""),"",games!$H333)</f>
        <v>Yes</v>
      </c>
      <c r="Q333">
        <f t="shared" si="76"/>
        <v>2.0003329999999999</v>
      </c>
      <c r="T333">
        <f>IF(connections!$A333="","",IFERROR(INDEX(games!$B$2:$B$950,MATCH(connections!$A333,games!$A$2:$A$950,0)),""))</f>
        <v>2020</v>
      </c>
      <c r="U333">
        <f>IF(connections!$A333="","",IFERROR(INDEX(games!$B$2:$B$950,MATCH(connections!$B333,games!$A$2:$A$950,0)),""))</f>
        <v>2026</v>
      </c>
      <c r="V333">
        <f t="shared" si="77"/>
        <v>6</v>
      </c>
    </row>
    <row r="334" spans="1:22" x14ac:dyDescent="0.25">
      <c r="A334" t="str">
        <f>IF(games!$A334="","",games!$A334)</f>
        <v>Guidus Zero</v>
      </c>
      <c r="B334">
        <f>IF($A334="","",games!$B334)</f>
        <v>2024</v>
      </c>
      <c r="C334" t="str">
        <f>IF($A334="","",games!$C334)</f>
        <v>Action</v>
      </c>
      <c r="D334">
        <f>IF($A334="","",COUNTIF(connections!$A$2:$A$1473,$A334)+COUNTIF(connections!$B$2:$B$1473,$A334))</f>
        <v>1</v>
      </c>
      <c r="E334">
        <f t="shared" si="65"/>
        <v>1</v>
      </c>
      <c r="F334">
        <f t="shared" si="66"/>
        <v>28</v>
      </c>
      <c r="G334">
        <f t="shared" si="67"/>
        <v>2024</v>
      </c>
      <c r="H334">
        <f t="shared" si="68"/>
        <v>1.6440000000000001</v>
      </c>
      <c r="I334" t="e">
        <f t="shared" si="69"/>
        <v>#N/A</v>
      </c>
      <c r="J334" t="e">
        <f t="shared" si="70"/>
        <v>#N/A</v>
      </c>
      <c r="K334" t="e">
        <f t="shared" si="71"/>
        <v>#N/A</v>
      </c>
      <c r="L334" t="e">
        <f t="shared" si="72"/>
        <v>#N/A</v>
      </c>
      <c r="M334" t="e">
        <f t="shared" si="73"/>
        <v>#N/A</v>
      </c>
      <c r="N334" t="e">
        <f t="shared" si="74"/>
        <v>#N/A</v>
      </c>
      <c r="O334">
        <f t="shared" si="75"/>
        <v>1.0003340000000001</v>
      </c>
      <c r="P334" t="str">
        <f>IF(OR($A334="",games!$H334=""),"",games!$H334)</f>
        <v/>
      </c>
      <c r="Q334" t="str">
        <f t="shared" si="76"/>
        <v/>
      </c>
      <c r="T334">
        <f>IF(connections!$A334="","",IFERROR(INDEX(games!$B$2:$B$950,MATCH(connections!$A334,games!$A$2:$A$950,0)),""))</f>
        <v>2023</v>
      </c>
      <c r="U334">
        <f>IF(connections!$A334="","",IFERROR(INDEX(games!$B$2:$B$950,MATCH(connections!$B334,games!$A$2:$A$950,0)),""))</f>
        <v>2026</v>
      </c>
      <c r="V334">
        <f t="shared" si="77"/>
        <v>3</v>
      </c>
    </row>
    <row r="335" spans="1:22" x14ac:dyDescent="0.25">
      <c r="A335" t="str">
        <f>IF(games!$A335="","",games!$A335)</f>
        <v>Guild of Dungeoneering</v>
      </c>
      <c r="B335">
        <f>IF($A335="","",games!$B335)</f>
        <v>2015</v>
      </c>
      <c r="C335" t="str">
        <f>IF($A335="","",games!$C335)</f>
        <v>Deckbuilder</v>
      </c>
      <c r="D335">
        <f>IF($A335="","",COUNTIF(connections!$A$2:$A$1473,$A335)+COUNTIF(connections!$B$2:$B$1473,$A335))</f>
        <v>3</v>
      </c>
      <c r="E335">
        <f t="shared" si="65"/>
        <v>3</v>
      </c>
      <c r="F335">
        <f t="shared" si="66"/>
        <v>29</v>
      </c>
      <c r="G335" t="e">
        <f t="shared" si="67"/>
        <v>#N/A</v>
      </c>
      <c r="H335" t="e">
        <f t="shared" si="68"/>
        <v>#N/A</v>
      </c>
      <c r="I335" t="e">
        <f t="shared" si="69"/>
        <v>#N/A</v>
      </c>
      <c r="J335" t="e">
        <f t="shared" si="70"/>
        <v>#N/A</v>
      </c>
      <c r="K335">
        <f t="shared" si="71"/>
        <v>2015</v>
      </c>
      <c r="L335">
        <f t="shared" si="72"/>
        <v>3.6669999999999998</v>
      </c>
      <c r="M335" t="e">
        <f t="shared" si="73"/>
        <v>#N/A</v>
      </c>
      <c r="N335" t="e">
        <f t="shared" si="74"/>
        <v>#N/A</v>
      </c>
      <c r="O335">
        <f t="shared" si="75"/>
        <v>3.0003350000000002</v>
      </c>
      <c r="P335" t="str">
        <f>IF(OR($A335="",games!$H335=""),"",games!$H335)</f>
        <v/>
      </c>
      <c r="Q335" t="str">
        <f t="shared" si="76"/>
        <v/>
      </c>
      <c r="T335">
        <f>IF(connections!$A335="","",IFERROR(INDEX(games!$B$2:$B$950,MATCH(connections!$A335,games!$A$2:$A$950,0)),""))</f>
        <v>2021</v>
      </c>
      <c r="U335">
        <f>IF(connections!$A335="","",IFERROR(INDEX(games!$B$2:$B$950,MATCH(connections!$B335,games!$A$2:$A$950,0)),""))</f>
        <v>2024</v>
      </c>
      <c r="V335">
        <f t="shared" si="77"/>
        <v>3</v>
      </c>
    </row>
    <row r="336" spans="1:22" x14ac:dyDescent="0.25">
      <c r="A336" t="str">
        <f>IF(games!$A336="","",games!$A336)</f>
        <v>Gumballs &amp; Dungeons</v>
      </c>
      <c r="B336">
        <f>IF($A336="","",games!$B336)</f>
        <v>2017</v>
      </c>
      <c r="C336" t="str">
        <f>IF($A336="","",games!$C336)</f>
        <v>Strategy</v>
      </c>
      <c r="D336">
        <f>IF($A336="","",COUNTIF(connections!$A$2:$A$1473,$A336)+COUNTIF(connections!$B$2:$B$1473,$A336))</f>
        <v>0</v>
      </c>
      <c r="E336">
        <f t="shared" si="65"/>
        <v>2</v>
      </c>
      <c r="F336">
        <f t="shared" si="66"/>
        <v>30</v>
      </c>
      <c r="G336" t="e">
        <f t="shared" si="67"/>
        <v>#N/A</v>
      </c>
      <c r="H336" t="e">
        <f t="shared" si="68"/>
        <v>#N/A</v>
      </c>
      <c r="I336">
        <f t="shared" si="69"/>
        <v>2017</v>
      </c>
      <c r="J336">
        <f t="shared" si="70"/>
        <v>2.69</v>
      </c>
      <c r="K336" t="e">
        <f t="shared" si="71"/>
        <v>#N/A</v>
      </c>
      <c r="L336" t="e">
        <f t="shared" si="72"/>
        <v>#N/A</v>
      </c>
      <c r="M336" t="e">
        <f t="shared" si="73"/>
        <v>#N/A</v>
      </c>
      <c r="N336" t="e">
        <f t="shared" si="74"/>
        <v>#N/A</v>
      </c>
      <c r="O336">
        <f t="shared" si="75"/>
        <v>3.3599999999999998E-4</v>
      </c>
      <c r="P336" t="str">
        <f>IF(OR($A336="",games!$H336=""),"",games!$H336)</f>
        <v>Yes</v>
      </c>
      <c r="Q336">
        <f t="shared" si="76"/>
        <v>3.3599999999999998E-4</v>
      </c>
      <c r="T336">
        <f>IF(connections!$A336="","",IFERROR(INDEX(games!$B$2:$B$950,MATCH(connections!$A336,games!$A$2:$A$950,0)),""))</f>
        <v>2015</v>
      </c>
      <c r="U336">
        <f>IF(connections!$A336="","",IFERROR(INDEX(games!$B$2:$B$950,MATCH(connections!$B336,games!$A$2:$A$950,0)),""))</f>
        <v>2018</v>
      </c>
      <c r="V336">
        <f t="shared" si="77"/>
        <v>3</v>
      </c>
    </row>
    <row r="337" spans="1:22" x14ac:dyDescent="0.25">
      <c r="A337" t="str">
        <f>IF(games!$A337="","",games!$A337)</f>
        <v>Gunfire Reborn</v>
      </c>
      <c r="B337">
        <f>IF($A337="","",games!$B337)</f>
        <v>2020</v>
      </c>
      <c r="C337" t="str">
        <f>IF($A337="","",games!$C337)</f>
        <v>Action</v>
      </c>
      <c r="D337">
        <f>IF($A337="","",COUNTIF(connections!$A$2:$A$1473,$A337)+COUNTIF(connections!$B$2:$B$1473,$A337))</f>
        <v>8</v>
      </c>
      <c r="E337">
        <f t="shared" si="65"/>
        <v>1</v>
      </c>
      <c r="F337">
        <f t="shared" si="66"/>
        <v>31</v>
      </c>
      <c r="G337">
        <f t="shared" si="67"/>
        <v>2020</v>
      </c>
      <c r="H337">
        <f t="shared" si="68"/>
        <v>1.7130000000000001</v>
      </c>
      <c r="I337" t="e">
        <f t="shared" si="69"/>
        <v>#N/A</v>
      </c>
      <c r="J337" t="e">
        <f t="shared" si="70"/>
        <v>#N/A</v>
      </c>
      <c r="K337" t="e">
        <f t="shared" si="71"/>
        <v>#N/A</v>
      </c>
      <c r="L337" t="e">
        <f t="shared" si="72"/>
        <v>#N/A</v>
      </c>
      <c r="M337" t="e">
        <f t="shared" si="73"/>
        <v>#N/A</v>
      </c>
      <c r="N337" t="e">
        <f t="shared" si="74"/>
        <v>#N/A</v>
      </c>
      <c r="O337">
        <f t="shared" si="75"/>
        <v>8.000337</v>
      </c>
      <c r="P337" t="str">
        <f>IF(OR($A337="",games!$H337=""),"",games!$H337)</f>
        <v>Yes</v>
      </c>
      <c r="Q337">
        <f t="shared" si="76"/>
        <v>8.000337</v>
      </c>
      <c r="T337">
        <f>IF(connections!$A337="","",IFERROR(INDEX(games!$B$2:$B$950,MATCH(connections!$A337,games!$A$2:$A$950,0)),""))</f>
        <v>2012</v>
      </c>
      <c r="U337">
        <f>IF(connections!$A337="","",IFERROR(INDEX(games!$B$2:$B$950,MATCH(connections!$B337,games!$A$2:$A$950,0)),""))</f>
        <v>2018</v>
      </c>
      <c r="V337">
        <f t="shared" si="77"/>
        <v>6</v>
      </c>
    </row>
    <row r="338" spans="1:22" x14ac:dyDescent="0.25">
      <c r="A338" t="str">
        <f>IF(games!$A338="","",games!$A338)</f>
        <v>Gunlocked</v>
      </c>
      <c r="B338">
        <f>IF($A338="","",games!$B338)</f>
        <v>2022</v>
      </c>
      <c r="C338" t="str">
        <f>IF($A338="","",games!$C338)</f>
        <v>Action</v>
      </c>
      <c r="D338">
        <f>IF($A338="","",COUNTIF(connections!$A$2:$A$1473,$A338)+COUNTIF(connections!$B$2:$B$1473,$A338))</f>
        <v>2</v>
      </c>
      <c r="E338">
        <f t="shared" si="65"/>
        <v>1</v>
      </c>
      <c r="F338">
        <f t="shared" si="66"/>
        <v>32</v>
      </c>
      <c r="G338">
        <f t="shared" si="67"/>
        <v>2022</v>
      </c>
      <c r="H338">
        <f t="shared" si="68"/>
        <v>1.736</v>
      </c>
      <c r="I338" t="e">
        <f t="shared" si="69"/>
        <v>#N/A</v>
      </c>
      <c r="J338" t="e">
        <f t="shared" si="70"/>
        <v>#N/A</v>
      </c>
      <c r="K338" t="e">
        <f t="shared" si="71"/>
        <v>#N/A</v>
      </c>
      <c r="L338" t="e">
        <f t="shared" si="72"/>
        <v>#N/A</v>
      </c>
      <c r="M338" t="e">
        <f t="shared" si="73"/>
        <v>#N/A</v>
      </c>
      <c r="N338" t="e">
        <f t="shared" si="74"/>
        <v>#N/A</v>
      </c>
      <c r="O338">
        <f t="shared" si="75"/>
        <v>2.0003380000000002</v>
      </c>
      <c r="P338" t="str">
        <f>IF(OR($A338="",games!$H338=""),"",games!$H338)</f>
        <v>Yes</v>
      </c>
      <c r="Q338">
        <f t="shared" si="76"/>
        <v>2.0003380000000002</v>
      </c>
      <c r="T338">
        <f>IF(connections!$A338="","",IFERROR(INDEX(games!$B$2:$B$950,MATCH(connections!$A338,games!$A$2:$A$950,0)),""))</f>
        <v>2017</v>
      </c>
      <c r="U338">
        <f>IF(connections!$A338="","",IFERROR(INDEX(games!$B$2:$B$950,MATCH(connections!$B338,games!$A$2:$A$950,0)),""))</f>
        <v>2021</v>
      </c>
      <c r="V338">
        <f t="shared" si="77"/>
        <v>4</v>
      </c>
    </row>
    <row r="339" spans="1:22" x14ac:dyDescent="0.25">
      <c r="A339" t="str">
        <f>IF(games!$A339="","",games!$A339)</f>
        <v>Gunlocked 2</v>
      </c>
      <c r="B339">
        <f>IF($A339="","",games!$B339)</f>
        <v>2025</v>
      </c>
      <c r="C339" t="str">
        <f>IF($A339="","",games!$C339)</f>
        <v>Action</v>
      </c>
      <c r="D339">
        <f>IF($A339="","",COUNTIF(connections!$A$2:$A$1473,$A339)+COUNTIF(connections!$B$2:$B$1473,$A339))</f>
        <v>1</v>
      </c>
      <c r="E339">
        <f t="shared" si="65"/>
        <v>1</v>
      </c>
      <c r="F339">
        <f t="shared" si="66"/>
        <v>33</v>
      </c>
      <c r="G339">
        <f t="shared" si="67"/>
        <v>2025</v>
      </c>
      <c r="H339">
        <f t="shared" si="68"/>
        <v>1.7589999999999999</v>
      </c>
      <c r="I339" t="e">
        <f t="shared" si="69"/>
        <v>#N/A</v>
      </c>
      <c r="J339" t="e">
        <f t="shared" si="70"/>
        <v>#N/A</v>
      </c>
      <c r="K339" t="e">
        <f t="shared" si="71"/>
        <v>#N/A</v>
      </c>
      <c r="L339" t="e">
        <f t="shared" si="72"/>
        <v>#N/A</v>
      </c>
      <c r="M339" t="e">
        <f t="shared" si="73"/>
        <v>#N/A</v>
      </c>
      <c r="N339" t="e">
        <f t="shared" si="74"/>
        <v>#N/A</v>
      </c>
      <c r="O339">
        <f t="shared" si="75"/>
        <v>1.0003390000000001</v>
      </c>
      <c r="P339" t="str">
        <f>IF(OR($A339="",games!$H339=""),"",games!$H339)</f>
        <v>Yes</v>
      </c>
      <c r="Q339">
        <f t="shared" si="76"/>
        <v>1.0003390000000001</v>
      </c>
      <c r="T339">
        <f>IF(connections!$A339="","",IFERROR(INDEX(games!$B$2:$B$950,MATCH(connections!$A339,games!$A$2:$A$950,0)),""))</f>
        <v>1996</v>
      </c>
      <c r="U339">
        <f>IF(connections!$A339="","",IFERROR(INDEX(games!$B$2:$B$950,MATCH(connections!$B339,games!$A$2:$A$950,0)),""))</f>
        <v>2012</v>
      </c>
      <c r="V339">
        <f t="shared" si="77"/>
        <v>16</v>
      </c>
    </row>
    <row r="340" spans="1:22" x14ac:dyDescent="0.25">
      <c r="A340" t="str">
        <f>IF(games!$A340="","",games!$A340)</f>
        <v>Guntouchables</v>
      </c>
      <c r="B340">
        <f>IF($A340="","",games!$B340)</f>
        <v>2025</v>
      </c>
      <c r="C340" t="str">
        <f>IF($A340="","",games!$C340)</f>
        <v>Action</v>
      </c>
      <c r="D340">
        <f>IF($A340="","",COUNTIF(connections!$A$2:$A$1473,$A340)+COUNTIF(connections!$B$2:$B$1473,$A340))</f>
        <v>1</v>
      </c>
      <c r="E340">
        <f t="shared" si="65"/>
        <v>1</v>
      </c>
      <c r="F340">
        <f t="shared" si="66"/>
        <v>0</v>
      </c>
      <c r="G340">
        <f t="shared" si="67"/>
        <v>2025</v>
      </c>
      <c r="H340">
        <f t="shared" si="68"/>
        <v>1</v>
      </c>
      <c r="I340" t="e">
        <f t="shared" si="69"/>
        <v>#N/A</v>
      </c>
      <c r="J340" t="e">
        <f t="shared" si="70"/>
        <v>#N/A</v>
      </c>
      <c r="K340" t="e">
        <f t="shared" si="71"/>
        <v>#N/A</v>
      </c>
      <c r="L340" t="e">
        <f t="shared" si="72"/>
        <v>#N/A</v>
      </c>
      <c r="M340" t="e">
        <f t="shared" si="73"/>
        <v>#N/A</v>
      </c>
      <c r="N340" t="e">
        <f t="shared" si="74"/>
        <v>#N/A</v>
      </c>
      <c r="O340">
        <f t="shared" si="75"/>
        <v>1.00034</v>
      </c>
      <c r="P340" t="str">
        <f>IF(OR($A340="",games!$H340=""),"",games!$H340)</f>
        <v>Yes</v>
      </c>
      <c r="Q340">
        <f t="shared" si="76"/>
        <v>1.00034</v>
      </c>
      <c r="T340">
        <f>IF(connections!$A340="","",IFERROR(INDEX(games!$B$2:$B$950,MATCH(connections!$A340,games!$A$2:$A$950,0)),""))</f>
        <v>1987</v>
      </c>
      <c r="U340">
        <f>IF(connections!$A340="","",IFERROR(INDEX(games!$B$2:$B$950,MATCH(connections!$B340,games!$A$2:$A$950,0)),""))</f>
        <v>2012</v>
      </c>
      <c r="V340">
        <f t="shared" si="77"/>
        <v>25</v>
      </c>
    </row>
    <row r="341" spans="1:22" x14ac:dyDescent="0.25">
      <c r="A341" t="str">
        <f>IF(games!$A341="","",games!$A341)</f>
        <v>Hack</v>
      </c>
      <c r="B341">
        <f>IF($A341="","",games!$B341)</f>
        <v>1984</v>
      </c>
      <c r="C341" t="str">
        <f>IF($A341="","",games!$C341)</f>
        <v>Traditional</v>
      </c>
      <c r="D341">
        <f>IF($A341="","",COUNTIF(connections!$A$2:$A$1473,$A341)+COUNTIF(connections!$B$2:$B$1473,$A341))</f>
        <v>7</v>
      </c>
      <c r="E341">
        <f t="shared" si="65"/>
        <v>4</v>
      </c>
      <c r="F341">
        <f t="shared" si="66"/>
        <v>1</v>
      </c>
      <c r="G341" t="e">
        <f t="shared" si="67"/>
        <v>#N/A</v>
      </c>
      <c r="H341" t="e">
        <f t="shared" si="68"/>
        <v>#N/A</v>
      </c>
      <c r="I341" t="e">
        <f t="shared" si="69"/>
        <v>#N/A</v>
      </c>
      <c r="J341" t="e">
        <f t="shared" si="70"/>
        <v>#N/A</v>
      </c>
      <c r="K341" t="e">
        <f t="shared" si="71"/>
        <v>#N/A</v>
      </c>
      <c r="L341" t="e">
        <f t="shared" si="72"/>
        <v>#N/A</v>
      </c>
      <c r="M341">
        <f t="shared" si="73"/>
        <v>1984</v>
      </c>
      <c r="N341">
        <f t="shared" si="74"/>
        <v>4.0229999999999997</v>
      </c>
      <c r="O341">
        <f t="shared" si="75"/>
        <v>7.0003409999999997</v>
      </c>
      <c r="P341" t="str">
        <f>IF(OR($A341="",games!$H341=""),"",games!$H341)</f>
        <v>Yes</v>
      </c>
      <c r="Q341">
        <f t="shared" si="76"/>
        <v>7.0003409999999997</v>
      </c>
      <c r="T341">
        <f>IF(connections!$A341="","",IFERROR(INDEX(games!$B$2:$B$950,MATCH(connections!$A341,games!$A$2:$A$950,0)),""))</f>
        <v>1980</v>
      </c>
      <c r="U341">
        <f>IF(connections!$A341="","",IFERROR(INDEX(games!$B$2:$B$950,MATCH(connections!$B341,games!$A$2:$A$950,0)),""))</f>
        <v>2012</v>
      </c>
      <c r="V341">
        <f t="shared" si="77"/>
        <v>32</v>
      </c>
    </row>
    <row r="342" spans="1:22" x14ac:dyDescent="0.25">
      <c r="A342" t="str">
        <f>IF(games!$A342="","",games!$A342)</f>
        <v>Hack'EM</v>
      </c>
      <c r="B342">
        <f>IF($A342="","",games!$B342)</f>
        <v>2022</v>
      </c>
      <c r="C342" t="str">
        <f>IF($A342="","",games!$C342)</f>
        <v>Traditional</v>
      </c>
      <c r="D342">
        <f>IF($A342="","",COUNTIF(connections!$A$2:$A$1473,$A342)+COUNTIF(connections!$B$2:$B$1473,$A342))</f>
        <v>2</v>
      </c>
      <c r="E342">
        <f t="shared" si="65"/>
        <v>4</v>
      </c>
      <c r="F342">
        <f t="shared" si="66"/>
        <v>2</v>
      </c>
      <c r="G342" t="e">
        <f t="shared" si="67"/>
        <v>#N/A</v>
      </c>
      <c r="H342" t="e">
        <f t="shared" si="68"/>
        <v>#N/A</v>
      </c>
      <c r="I342" t="e">
        <f t="shared" si="69"/>
        <v>#N/A</v>
      </c>
      <c r="J342" t="e">
        <f t="shared" si="70"/>
        <v>#N/A</v>
      </c>
      <c r="K342" t="e">
        <f t="shared" si="71"/>
        <v>#N/A</v>
      </c>
      <c r="L342" t="e">
        <f t="shared" si="72"/>
        <v>#N/A</v>
      </c>
      <c r="M342">
        <f t="shared" si="73"/>
        <v>2022</v>
      </c>
      <c r="N342">
        <f t="shared" si="74"/>
        <v>4.0460000000000003</v>
      </c>
      <c r="O342">
        <f t="shared" si="75"/>
        <v>2.0003419999999998</v>
      </c>
      <c r="P342" t="str">
        <f>IF(OR($A342="",games!$H342=""),"",games!$H342)</f>
        <v>Yes</v>
      </c>
      <c r="Q342">
        <f t="shared" si="76"/>
        <v>2.0003419999999998</v>
      </c>
      <c r="T342">
        <f>IF(connections!$A342="","",IFERROR(INDEX(games!$B$2:$B$950,MATCH(connections!$A342,games!$A$2:$A$950,0)),""))</f>
        <v>2015</v>
      </c>
      <c r="U342">
        <f>IF(connections!$A342="","",IFERROR(INDEX(games!$B$2:$B$950,MATCH(connections!$B342,games!$A$2:$A$950,0)),""))</f>
        <v>2026</v>
      </c>
      <c r="V342">
        <f t="shared" si="77"/>
        <v>11</v>
      </c>
    </row>
    <row r="343" spans="1:22" x14ac:dyDescent="0.25">
      <c r="A343" t="str">
        <f>IF(games!$A343="","",games!$A343)</f>
        <v>Hadean Tactics</v>
      </c>
      <c r="B343">
        <f>IF($A343="","",games!$B343)</f>
        <v>2021</v>
      </c>
      <c r="C343" t="str">
        <f>IF($A343="","",games!$C343)</f>
        <v>Deckbuilder</v>
      </c>
      <c r="D343">
        <f>IF($A343="","",COUNTIF(connections!$A$2:$A$1473,$A343)+COUNTIF(connections!$B$2:$B$1473,$A343))</f>
        <v>1</v>
      </c>
      <c r="E343">
        <f t="shared" si="65"/>
        <v>3</v>
      </c>
      <c r="F343">
        <f t="shared" si="66"/>
        <v>3</v>
      </c>
      <c r="G343" t="e">
        <f t="shared" si="67"/>
        <v>#N/A</v>
      </c>
      <c r="H343" t="e">
        <f t="shared" si="68"/>
        <v>#N/A</v>
      </c>
      <c r="I343" t="e">
        <f t="shared" si="69"/>
        <v>#N/A</v>
      </c>
      <c r="J343" t="e">
        <f t="shared" si="70"/>
        <v>#N/A</v>
      </c>
      <c r="K343">
        <f t="shared" si="71"/>
        <v>2021</v>
      </c>
      <c r="L343">
        <f t="shared" si="72"/>
        <v>3.069</v>
      </c>
      <c r="M343" t="e">
        <f t="shared" si="73"/>
        <v>#N/A</v>
      </c>
      <c r="N343" t="e">
        <f t="shared" si="74"/>
        <v>#N/A</v>
      </c>
      <c r="O343">
        <f t="shared" si="75"/>
        <v>1.000343</v>
      </c>
      <c r="P343" t="str">
        <f>IF(OR($A343="",games!$H343=""),"",games!$H343)</f>
        <v>Yes</v>
      </c>
      <c r="Q343">
        <f t="shared" si="76"/>
        <v>1.000343</v>
      </c>
      <c r="T343">
        <f>IF(connections!$A343="","",IFERROR(INDEX(games!$B$2:$B$950,MATCH(connections!$A343,games!$A$2:$A$950,0)),""))</f>
        <v>2019</v>
      </c>
      <c r="U343">
        <f>IF(connections!$A343="","",IFERROR(INDEX(games!$B$2:$B$950,MATCH(connections!$B343,games!$A$2:$A$950,0)),""))</f>
        <v>2026</v>
      </c>
      <c r="V343">
        <f t="shared" si="77"/>
        <v>7</v>
      </c>
    </row>
    <row r="344" spans="1:22" x14ac:dyDescent="0.25">
      <c r="A344" t="str">
        <f>IF(games!$A344="","",games!$A344)</f>
        <v>Hades</v>
      </c>
      <c r="B344">
        <f>IF($A344="","",games!$B344)</f>
        <v>2019</v>
      </c>
      <c r="C344" t="str">
        <f>IF($A344="","",games!$C344)</f>
        <v>Action</v>
      </c>
      <c r="D344">
        <f>IF($A344="","",COUNTIF(connections!$A$2:$A$1473,$A344)+COUNTIF(connections!$B$2:$B$1473,$A344))</f>
        <v>69</v>
      </c>
      <c r="E344">
        <f t="shared" si="65"/>
        <v>1</v>
      </c>
      <c r="F344">
        <f t="shared" si="66"/>
        <v>4</v>
      </c>
      <c r="G344">
        <f t="shared" si="67"/>
        <v>2019</v>
      </c>
      <c r="H344">
        <f t="shared" si="68"/>
        <v>1.0920000000000001</v>
      </c>
      <c r="I344" t="e">
        <f t="shared" si="69"/>
        <v>#N/A</v>
      </c>
      <c r="J344" t="e">
        <f t="shared" si="70"/>
        <v>#N/A</v>
      </c>
      <c r="K344" t="e">
        <f t="shared" si="71"/>
        <v>#N/A</v>
      </c>
      <c r="L344" t="e">
        <f t="shared" si="72"/>
        <v>#N/A</v>
      </c>
      <c r="M344" t="e">
        <f t="shared" si="73"/>
        <v>#N/A</v>
      </c>
      <c r="N344" t="e">
        <f t="shared" si="74"/>
        <v>#N/A</v>
      </c>
      <c r="O344">
        <f t="shared" si="75"/>
        <v>69.000343999999998</v>
      </c>
      <c r="P344" t="str">
        <f>IF(OR($A344="",games!$H344=""),"",games!$H344)</f>
        <v>Yes</v>
      </c>
      <c r="Q344">
        <f t="shared" si="76"/>
        <v>69.000343999999998</v>
      </c>
      <c r="T344">
        <f>IF(connections!$A344="","",IFERROR(INDEX(games!$B$2:$B$950,MATCH(connections!$A344,games!$A$2:$A$950,0)),""))</f>
        <v>2017</v>
      </c>
      <c r="U344">
        <f>IF(connections!$A344="","",IFERROR(INDEX(games!$B$2:$B$950,MATCH(connections!$B344,games!$A$2:$A$950,0)),""))</f>
        <v>2025</v>
      </c>
      <c r="V344">
        <f t="shared" si="77"/>
        <v>8</v>
      </c>
    </row>
    <row r="345" spans="1:22" x14ac:dyDescent="0.25">
      <c r="A345" t="str">
        <f>IF(games!$A345="","",games!$A345)</f>
        <v>Hades II</v>
      </c>
      <c r="B345">
        <f>IF($A345="","",games!$B345)</f>
        <v>2024</v>
      </c>
      <c r="C345" t="str">
        <f>IF($A345="","",games!$C345)</f>
        <v>Action</v>
      </c>
      <c r="D345">
        <f>IF($A345="","",COUNTIF(connections!$A$2:$A$1473,$A345)+COUNTIF(connections!$B$2:$B$1473,$A345))</f>
        <v>1</v>
      </c>
      <c r="E345">
        <f t="shared" si="65"/>
        <v>1</v>
      </c>
      <c r="F345">
        <f t="shared" si="66"/>
        <v>5</v>
      </c>
      <c r="G345">
        <f t="shared" si="67"/>
        <v>2024</v>
      </c>
      <c r="H345">
        <f t="shared" si="68"/>
        <v>1.115</v>
      </c>
      <c r="I345" t="e">
        <f t="shared" si="69"/>
        <v>#N/A</v>
      </c>
      <c r="J345" t="e">
        <f t="shared" si="70"/>
        <v>#N/A</v>
      </c>
      <c r="K345" t="e">
        <f t="shared" si="71"/>
        <v>#N/A</v>
      </c>
      <c r="L345" t="e">
        <f t="shared" si="72"/>
        <v>#N/A</v>
      </c>
      <c r="M345" t="e">
        <f t="shared" si="73"/>
        <v>#N/A</v>
      </c>
      <c r="N345" t="e">
        <f t="shared" si="74"/>
        <v>#N/A</v>
      </c>
      <c r="O345">
        <f t="shared" si="75"/>
        <v>1.000345</v>
      </c>
      <c r="P345" t="str">
        <f>IF(OR($A345="",games!$H345=""),"",games!$H345)</f>
        <v>Yes</v>
      </c>
      <c r="Q345">
        <f t="shared" si="76"/>
        <v>1.000345</v>
      </c>
      <c r="T345">
        <f>IF(connections!$A345="","",IFERROR(INDEX(games!$B$2:$B$950,MATCH(connections!$A345,games!$A$2:$A$950,0)),""))</f>
        <v>1996</v>
      </c>
      <c r="U345">
        <f>IF(connections!$A345="","",IFERROR(INDEX(games!$B$2:$B$950,MATCH(connections!$B345,games!$A$2:$A$950,0)),""))</f>
        <v>2022</v>
      </c>
      <c r="V345">
        <f t="shared" si="77"/>
        <v>26</v>
      </c>
    </row>
    <row r="346" spans="1:22" x14ac:dyDescent="0.25">
      <c r="A346" t="str">
        <f>IF(games!$A346="","",games!$A346)</f>
        <v>Halls of Torment</v>
      </c>
      <c r="B346">
        <f>IF($A346="","",games!$B346)</f>
        <v>2023</v>
      </c>
      <c r="C346" t="str">
        <f>IF($A346="","",games!$C346)</f>
        <v>Action</v>
      </c>
      <c r="D346">
        <f>IF($A346="","",COUNTIF(connections!$A$2:$A$1473,$A346)+COUNTIF(connections!$B$2:$B$1473,$A346))</f>
        <v>7</v>
      </c>
      <c r="E346">
        <f t="shared" si="65"/>
        <v>1</v>
      </c>
      <c r="F346">
        <f t="shared" si="66"/>
        <v>6</v>
      </c>
      <c r="G346">
        <f t="shared" si="67"/>
        <v>2023</v>
      </c>
      <c r="H346">
        <f t="shared" si="68"/>
        <v>1.1379999999999999</v>
      </c>
      <c r="I346" t="e">
        <f t="shared" si="69"/>
        <v>#N/A</v>
      </c>
      <c r="J346" t="e">
        <f t="shared" si="70"/>
        <v>#N/A</v>
      </c>
      <c r="K346" t="e">
        <f t="shared" si="71"/>
        <v>#N/A</v>
      </c>
      <c r="L346" t="e">
        <f t="shared" si="72"/>
        <v>#N/A</v>
      </c>
      <c r="M346" t="e">
        <f t="shared" si="73"/>
        <v>#N/A</v>
      </c>
      <c r="N346" t="e">
        <f t="shared" si="74"/>
        <v>#N/A</v>
      </c>
      <c r="O346">
        <f t="shared" si="75"/>
        <v>7.0003460000000004</v>
      </c>
      <c r="P346" t="str">
        <f>IF(OR($A346="",games!$H346=""),"",games!$H346)</f>
        <v>Yes</v>
      </c>
      <c r="Q346">
        <f t="shared" si="76"/>
        <v>7.0003460000000004</v>
      </c>
      <c r="T346">
        <f>IF(connections!$A346="","",IFERROR(INDEX(games!$B$2:$B$950,MATCH(connections!$A346,games!$A$2:$A$950,0)),""))</f>
        <v>2006</v>
      </c>
      <c r="U346">
        <f>IF(connections!$A346="","",IFERROR(INDEX(games!$B$2:$B$950,MATCH(connections!$B346,games!$A$2:$A$950,0)),""))</f>
        <v>2010</v>
      </c>
      <c r="V346">
        <f t="shared" si="77"/>
        <v>4</v>
      </c>
    </row>
    <row r="347" spans="1:22" x14ac:dyDescent="0.25">
      <c r="A347" t="str">
        <f>IF(games!$A347="","",games!$A347)</f>
        <v>Hand of Fate</v>
      </c>
      <c r="B347">
        <f>IF($A347="","",games!$B347)</f>
        <v>2014</v>
      </c>
      <c r="C347" t="str">
        <f>IF($A347="","",games!$C347)</f>
        <v>Deckbuilder</v>
      </c>
      <c r="D347">
        <f>IF($A347="","",COUNTIF(connections!$A$2:$A$1473,$A347)+COUNTIF(connections!$B$2:$B$1473,$A347))</f>
        <v>4</v>
      </c>
      <c r="E347">
        <f t="shared" si="65"/>
        <v>3</v>
      </c>
      <c r="F347">
        <f t="shared" si="66"/>
        <v>7</v>
      </c>
      <c r="G347" t="e">
        <f t="shared" si="67"/>
        <v>#N/A</v>
      </c>
      <c r="H347" t="e">
        <f t="shared" si="68"/>
        <v>#N/A</v>
      </c>
      <c r="I347" t="e">
        <f t="shared" si="69"/>
        <v>#N/A</v>
      </c>
      <c r="J347" t="e">
        <f t="shared" si="70"/>
        <v>#N/A</v>
      </c>
      <c r="K347">
        <f t="shared" si="71"/>
        <v>2014</v>
      </c>
      <c r="L347">
        <f t="shared" si="72"/>
        <v>3.161</v>
      </c>
      <c r="M347" t="e">
        <f t="shared" si="73"/>
        <v>#N/A</v>
      </c>
      <c r="N347" t="e">
        <f t="shared" si="74"/>
        <v>#N/A</v>
      </c>
      <c r="O347">
        <f t="shared" si="75"/>
        <v>4.0003469999999997</v>
      </c>
      <c r="P347" t="str">
        <f>IF(OR($A347="",games!$H347=""),"",games!$H347)</f>
        <v>Yes</v>
      </c>
      <c r="Q347">
        <f t="shared" si="76"/>
        <v>4.0003469999999997</v>
      </c>
      <c r="T347">
        <f>IF(connections!$A347="","",IFERROR(INDEX(games!$B$2:$B$950,MATCH(connections!$A347,games!$A$2:$A$950,0)),""))</f>
        <v>2021</v>
      </c>
      <c r="U347">
        <f>IF(connections!$A347="","",IFERROR(INDEX(games!$B$2:$B$950,MATCH(connections!$B347,games!$A$2:$A$950,0)),""))</f>
        <v>2025</v>
      </c>
      <c r="V347">
        <f t="shared" si="77"/>
        <v>4</v>
      </c>
    </row>
    <row r="348" spans="1:22" x14ac:dyDescent="0.25">
      <c r="A348" t="str">
        <f>IF(games!$A348="","",games!$A348)</f>
        <v>Hand of Fate 2</v>
      </c>
      <c r="B348">
        <f>IF($A348="","",games!$B348)</f>
        <v>2017</v>
      </c>
      <c r="C348" t="str">
        <f>IF($A348="","",games!$C348)</f>
        <v>Deckbuilder</v>
      </c>
      <c r="D348">
        <f>IF($A348="","",COUNTIF(connections!$A$2:$A$1473,$A348)+COUNTIF(connections!$B$2:$B$1473,$A348))</f>
        <v>1</v>
      </c>
      <c r="E348">
        <f t="shared" si="65"/>
        <v>3</v>
      </c>
      <c r="F348">
        <f t="shared" si="66"/>
        <v>8</v>
      </c>
      <c r="G348" t="e">
        <f t="shared" si="67"/>
        <v>#N/A</v>
      </c>
      <c r="H348" t="e">
        <f t="shared" si="68"/>
        <v>#N/A</v>
      </c>
      <c r="I348" t="e">
        <f t="shared" si="69"/>
        <v>#N/A</v>
      </c>
      <c r="J348" t="e">
        <f t="shared" si="70"/>
        <v>#N/A</v>
      </c>
      <c r="K348">
        <f t="shared" si="71"/>
        <v>2017</v>
      </c>
      <c r="L348">
        <f t="shared" si="72"/>
        <v>3.1840000000000002</v>
      </c>
      <c r="M348" t="e">
        <f t="shared" si="73"/>
        <v>#N/A</v>
      </c>
      <c r="N348" t="e">
        <f t="shared" si="74"/>
        <v>#N/A</v>
      </c>
      <c r="O348">
        <f t="shared" si="75"/>
        <v>1.000348</v>
      </c>
      <c r="P348" t="str">
        <f>IF(OR($A348="",games!$H348=""),"",games!$H348)</f>
        <v>Yes</v>
      </c>
      <c r="Q348">
        <f t="shared" si="76"/>
        <v>1.000348</v>
      </c>
      <c r="T348">
        <f>IF(connections!$A348="","",IFERROR(INDEX(games!$B$2:$B$950,MATCH(connections!$A348,games!$A$2:$A$950,0)),""))</f>
        <v>2018</v>
      </c>
      <c r="U348">
        <f>IF(connections!$A348="","",IFERROR(INDEX(games!$B$2:$B$950,MATCH(connections!$B348,games!$A$2:$A$950,0)),""))</f>
        <v>2021</v>
      </c>
      <c r="V348">
        <f t="shared" si="77"/>
        <v>3</v>
      </c>
    </row>
    <row r="349" spans="1:22" x14ac:dyDescent="0.25">
      <c r="A349" t="str">
        <f>IF(games!$A349="","",games!$A349)</f>
        <v>Hand of Fate: Hordes</v>
      </c>
      <c r="B349">
        <f>IF($A349="","",games!$B349)</f>
        <v>2026</v>
      </c>
      <c r="C349" t="str">
        <f>IF($A349="","",games!$C349)</f>
        <v>Action</v>
      </c>
      <c r="D349">
        <f>IF($A349="","",COUNTIF(connections!$A$2:$A$1473,$A349)+COUNTIF(connections!$B$2:$B$1473,$A349))</f>
        <v>2</v>
      </c>
      <c r="E349">
        <f t="shared" si="65"/>
        <v>1</v>
      </c>
      <c r="F349">
        <f t="shared" si="66"/>
        <v>9</v>
      </c>
      <c r="G349">
        <f t="shared" si="67"/>
        <v>2026</v>
      </c>
      <c r="H349">
        <f t="shared" si="68"/>
        <v>1.2070000000000001</v>
      </c>
      <c r="I349" t="e">
        <f t="shared" si="69"/>
        <v>#N/A</v>
      </c>
      <c r="J349" t="e">
        <f t="shared" si="70"/>
        <v>#N/A</v>
      </c>
      <c r="K349" t="e">
        <f t="shared" si="71"/>
        <v>#N/A</v>
      </c>
      <c r="L349" t="e">
        <f t="shared" si="72"/>
        <v>#N/A</v>
      </c>
      <c r="M349" t="e">
        <f t="shared" si="73"/>
        <v>#N/A</v>
      </c>
      <c r="N349" t="e">
        <f t="shared" si="74"/>
        <v>#N/A</v>
      </c>
      <c r="O349">
        <f t="shared" si="75"/>
        <v>2.0003489999999999</v>
      </c>
      <c r="P349" t="str">
        <f>IF(OR($A349="",games!$H349=""),"",games!$H349)</f>
        <v/>
      </c>
      <c r="Q349" t="str">
        <f t="shared" si="76"/>
        <v/>
      </c>
      <c r="T349">
        <f>IF(connections!$A349="","",IFERROR(INDEX(games!$B$2:$B$950,MATCH(connections!$A349,games!$A$2:$A$950,0)),""))</f>
        <v>2019</v>
      </c>
      <c r="U349">
        <f>IF(connections!$A349="","",IFERROR(INDEX(games!$B$2:$B$950,MATCH(connections!$B349,games!$A$2:$A$950,0)),""))</f>
        <v>2021</v>
      </c>
      <c r="V349">
        <f t="shared" si="77"/>
        <v>2</v>
      </c>
    </row>
    <row r="350" spans="1:22" x14ac:dyDescent="0.25">
      <c r="A350" t="str">
        <f>IF(games!$A350="","",games!$A350)</f>
        <v>Handmancers</v>
      </c>
      <c r="B350">
        <f>IF($A350="","",games!$B350)</f>
        <v>2026</v>
      </c>
      <c r="C350" t="str">
        <f>IF($A350="","",games!$C350)</f>
        <v>Deckbuilder</v>
      </c>
      <c r="D350">
        <f>IF($A350="","",COUNTIF(connections!$A$2:$A$1473,$A350)+COUNTIF(connections!$B$2:$B$1473,$A350))</f>
        <v>1</v>
      </c>
      <c r="E350">
        <f t="shared" si="65"/>
        <v>3</v>
      </c>
      <c r="F350">
        <f t="shared" si="66"/>
        <v>10</v>
      </c>
      <c r="G350" t="e">
        <f t="shared" si="67"/>
        <v>#N/A</v>
      </c>
      <c r="H350" t="e">
        <f t="shared" si="68"/>
        <v>#N/A</v>
      </c>
      <c r="I350" t="e">
        <f t="shared" si="69"/>
        <v>#N/A</v>
      </c>
      <c r="J350" t="e">
        <f t="shared" si="70"/>
        <v>#N/A</v>
      </c>
      <c r="K350">
        <f t="shared" si="71"/>
        <v>2026</v>
      </c>
      <c r="L350">
        <f t="shared" si="72"/>
        <v>3.23</v>
      </c>
      <c r="M350" t="e">
        <f t="shared" si="73"/>
        <v>#N/A</v>
      </c>
      <c r="N350" t="e">
        <f t="shared" si="74"/>
        <v>#N/A</v>
      </c>
      <c r="O350">
        <f t="shared" si="75"/>
        <v>1.0003500000000001</v>
      </c>
      <c r="P350" t="str">
        <f>IF(OR($A350="",games!$H350=""),"",games!$H350)</f>
        <v/>
      </c>
      <c r="Q350" t="str">
        <f t="shared" si="76"/>
        <v/>
      </c>
      <c r="T350">
        <f>IF(connections!$A350="","",IFERROR(INDEX(games!$B$2:$B$950,MATCH(connections!$A350,games!$A$2:$A$950,0)),""))</f>
        <v>2018</v>
      </c>
      <c r="U350">
        <f>IF(connections!$A350="","",IFERROR(INDEX(games!$B$2:$B$950,MATCH(connections!$B350,games!$A$2:$A$950,0)),""))</f>
        <v>2019</v>
      </c>
      <c r="V350">
        <f t="shared" si="77"/>
        <v>1</v>
      </c>
    </row>
    <row r="351" spans="1:22" x14ac:dyDescent="0.25">
      <c r="A351" t="str">
        <f>IF(games!$A351="","",games!$A351)</f>
        <v>Hangtime!</v>
      </c>
      <c r="B351">
        <f>IF($A351="","",games!$B351)</f>
        <v>2025</v>
      </c>
      <c r="C351" t="str">
        <f>IF($A351="","",games!$C351)</f>
        <v>Action</v>
      </c>
      <c r="D351">
        <f>IF($A351="","",COUNTIF(connections!$A$2:$A$1473,$A351)+COUNTIF(connections!$B$2:$B$1473,$A351))</f>
        <v>0</v>
      </c>
      <c r="E351">
        <f t="shared" si="65"/>
        <v>1</v>
      </c>
      <c r="F351">
        <f t="shared" si="66"/>
        <v>11</v>
      </c>
      <c r="G351">
        <f t="shared" si="67"/>
        <v>2025</v>
      </c>
      <c r="H351">
        <f t="shared" si="68"/>
        <v>1.2530000000000001</v>
      </c>
      <c r="I351" t="e">
        <f t="shared" si="69"/>
        <v>#N/A</v>
      </c>
      <c r="J351" t="e">
        <f t="shared" si="70"/>
        <v>#N/A</v>
      </c>
      <c r="K351" t="e">
        <f t="shared" si="71"/>
        <v>#N/A</v>
      </c>
      <c r="L351" t="e">
        <f t="shared" si="72"/>
        <v>#N/A</v>
      </c>
      <c r="M351" t="e">
        <f t="shared" si="73"/>
        <v>#N/A</v>
      </c>
      <c r="N351" t="e">
        <f t="shared" si="74"/>
        <v>#N/A</v>
      </c>
      <c r="O351">
        <f t="shared" si="75"/>
        <v>3.5100000000000002E-4</v>
      </c>
      <c r="P351" t="str">
        <f>IF(OR($A351="",games!$H351=""),"",games!$H351)</f>
        <v/>
      </c>
      <c r="Q351" t="str">
        <f t="shared" si="76"/>
        <v/>
      </c>
      <c r="T351">
        <f>IF(connections!$A351="","",IFERROR(INDEX(games!$B$2:$B$950,MATCH(connections!$A351,games!$A$2:$A$950,0)),""))</f>
        <v>2011</v>
      </c>
      <c r="U351">
        <f>IF(connections!$A351="","",IFERROR(INDEX(games!$B$2:$B$950,MATCH(connections!$B351,games!$A$2:$A$950,0)),""))</f>
        <v>2019</v>
      </c>
      <c r="V351">
        <f t="shared" si="77"/>
        <v>8</v>
      </c>
    </row>
    <row r="352" spans="1:22" x14ac:dyDescent="0.25">
      <c r="A352" t="str">
        <f>IF(games!$A352="","",games!$A352)</f>
        <v>Haque</v>
      </c>
      <c r="B352">
        <f>IF($A352="","",games!$B352)</f>
        <v>2017</v>
      </c>
      <c r="C352" t="str">
        <f>IF($A352="","",games!$C352)</f>
        <v>Traditional</v>
      </c>
      <c r="D352">
        <f>IF($A352="","",COUNTIF(connections!$A$2:$A$1473,$A352)+COUNTIF(connections!$B$2:$B$1473,$A352))</f>
        <v>4</v>
      </c>
      <c r="E352">
        <f t="shared" si="65"/>
        <v>4</v>
      </c>
      <c r="F352">
        <f t="shared" si="66"/>
        <v>12</v>
      </c>
      <c r="G352" t="e">
        <f t="shared" si="67"/>
        <v>#N/A</v>
      </c>
      <c r="H352" t="e">
        <f t="shared" si="68"/>
        <v>#N/A</v>
      </c>
      <c r="I352" t="e">
        <f t="shared" si="69"/>
        <v>#N/A</v>
      </c>
      <c r="J352" t="e">
        <f t="shared" si="70"/>
        <v>#N/A</v>
      </c>
      <c r="K352" t="e">
        <f t="shared" si="71"/>
        <v>#N/A</v>
      </c>
      <c r="L352" t="e">
        <f t="shared" si="72"/>
        <v>#N/A</v>
      </c>
      <c r="M352">
        <f t="shared" si="73"/>
        <v>2017</v>
      </c>
      <c r="N352">
        <f t="shared" si="74"/>
        <v>4.2759999999999998</v>
      </c>
      <c r="O352">
        <f t="shared" si="75"/>
        <v>4.0003520000000004</v>
      </c>
      <c r="P352" t="str">
        <f>IF(OR($A352="",games!$H352=""),"",games!$H352)</f>
        <v/>
      </c>
      <c r="Q352" t="str">
        <f t="shared" si="76"/>
        <v/>
      </c>
      <c r="T352">
        <f>IF(connections!$A352="","",IFERROR(INDEX(games!$B$2:$B$950,MATCH(connections!$A352,games!$A$2:$A$950,0)),""))</f>
        <v>1990</v>
      </c>
      <c r="U352">
        <f>IF(connections!$A352="","",IFERROR(INDEX(games!$B$2:$B$950,MATCH(connections!$B352,games!$A$2:$A$950,0)),""))</f>
        <v>1996</v>
      </c>
      <c r="V352">
        <f t="shared" si="77"/>
        <v>6</v>
      </c>
    </row>
    <row r="353" spans="1:22" x14ac:dyDescent="0.25">
      <c r="A353" t="str">
        <f>IF(games!$A353="","",games!$A353)</f>
        <v>Has-Been Heroes</v>
      </c>
      <c r="B353">
        <f>IF($A353="","",games!$B353)</f>
        <v>2017</v>
      </c>
      <c r="C353" t="str">
        <f>IF($A353="","",games!$C353)</f>
        <v>Action</v>
      </c>
      <c r="D353">
        <f>IF($A353="","",COUNTIF(connections!$A$2:$A$1473,$A353)+COUNTIF(connections!$B$2:$B$1473,$A353))</f>
        <v>2</v>
      </c>
      <c r="E353">
        <f t="shared" si="65"/>
        <v>1</v>
      </c>
      <c r="F353">
        <f t="shared" si="66"/>
        <v>13</v>
      </c>
      <c r="G353">
        <f t="shared" si="67"/>
        <v>2017</v>
      </c>
      <c r="H353">
        <f t="shared" si="68"/>
        <v>1.2989999999999999</v>
      </c>
      <c r="I353" t="e">
        <f t="shared" si="69"/>
        <v>#N/A</v>
      </c>
      <c r="J353" t="e">
        <f t="shared" si="70"/>
        <v>#N/A</v>
      </c>
      <c r="K353" t="e">
        <f t="shared" si="71"/>
        <v>#N/A</v>
      </c>
      <c r="L353" t="e">
        <f t="shared" si="72"/>
        <v>#N/A</v>
      </c>
      <c r="M353" t="e">
        <f t="shared" si="73"/>
        <v>#N/A</v>
      </c>
      <c r="N353" t="e">
        <f t="shared" si="74"/>
        <v>#N/A</v>
      </c>
      <c r="O353">
        <f t="shared" si="75"/>
        <v>2.000353</v>
      </c>
      <c r="P353" t="str">
        <f>IF(OR($A353="",games!$H353=""),"",games!$H353)</f>
        <v/>
      </c>
      <c r="Q353" t="str">
        <f t="shared" si="76"/>
        <v/>
      </c>
      <c r="T353">
        <f>IF(connections!$A353="","",IFERROR(INDEX(games!$B$2:$B$950,MATCH(connections!$A353,games!$A$2:$A$950,0)),""))</f>
        <v>1983</v>
      </c>
      <c r="U353">
        <f>IF(connections!$A353="","",IFERROR(INDEX(games!$B$2:$B$950,MATCH(connections!$B353,games!$A$2:$A$950,0)),""))</f>
        <v>1996</v>
      </c>
      <c r="V353">
        <f t="shared" si="77"/>
        <v>13</v>
      </c>
    </row>
    <row r="354" spans="1:22" x14ac:dyDescent="0.25">
      <c r="A354" t="str">
        <f>IF(games!$A354="","",games!$A354)</f>
        <v>Haste</v>
      </c>
      <c r="B354">
        <f>IF($A354="","",games!$B354)</f>
        <v>2025</v>
      </c>
      <c r="C354" t="str">
        <f>IF($A354="","",games!$C354)</f>
        <v>Action</v>
      </c>
      <c r="D354">
        <f>IF($A354="","",COUNTIF(connections!$A$2:$A$1473,$A354)+COUNTIF(connections!$B$2:$B$1473,$A354))</f>
        <v>0</v>
      </c>
      <c r="E354">
        <f t="shared" si="65"/>
        <v>1</v>
      </c>
      <c r="F354">
        <f t="shared" si="66"/>
        <v>14</v>
      </c>
      <c r="G354">
        <f t="shared" si="67"/>
        <v>2025</v>
      </c>
      <c r="H354">
        <f t="shared" si="68"/>
        <v>1.3220000000000001</v>
      </c>
      <c r="I354" t="e">
        <f t="shared" si="69"/>
        <v>#N/A</v>
      </c>
      <c r="J354" t="e">
        <f t="shared" si="70"/>
        <v>#N/A</v>
      </c>
      <c r="K354" t="e">
        <f t="shared" si="71"/>
        <v>#N/A</v>
      </c>
      <c r="L354" t="e">
        <f t="shared" si="72"/>
        <v>#N/A</v>
      </c>
      <c r="M354" t="e">
        <f t="shared" si="73"/>
        <v>#N/A</v>
      </c>
      <c r="N354" t="e">
        <f t="shared" si="74"/>
        <v>#N/A</v>
      </c>
      <c r="O354">
        <f t="shared" si="75"/>
        <v>3.5399999999999999E-4</v>
      </c>
      <c r="P354" t="str">
        <f>IF(OR($A354="",games!$H354=""),"",games!$H354)</f>
        <v>Yes</v>
      </c>
      <c r="Q354">
        <f t="shared" si="76"/>
        <v>3.5399999999999999E-4</v>
      </c>
      <c r="T354">
        <f>IF(connections!$A354="","",IFERROR(INDEX(games!$B$2:$B$950,MATCH(connections!$A354,games!$A$2:$A$950,0)),""))</f>
        <v>1987</v>
      </c>
      <c r="U354">
        <f>IF(connections!$A354="","",IFERROR(INDEX(games!$B$2:$B$950,MATCH(connections!$B354,games!$A$2:$A$950,0)),""))</f>
        <v>1996</v>
      </c>
      <c r="V354">
        <f t="shared" si="77"/>
        <v>9</v>
      </c>
    </row>
    <row r="355" spans="1:22" x14ac:dyDescent="0.25">
      <c r="A355" t="str">
        <f>IF(games!$A355="","",games!$A355)</f>
        <v>Have a Nice Death</v>
      </c>
      <c r="B355">
        <f>IF($A355="","",games!$B355)</f>
        <v>2022</v>
      </c>
      <c r="C355" t="str">
        <f>IF($A355="","",games!$C355)</f>
        <v>Action</v>
      </c>
      <c r="D355">
        <f>IF($A355="","",COUNTIF(connections!$A$2:$A$1473,$A355)+COUNTIF(connections!$B$2:$B$1473,$A355))</f>
        <v>1</v>
      </c>
      <c r="E355">
        <f t="shared" si="65"/>
        <v>1</v>
      </c>
      <c r="F355">
        <f t="shared" si="66"/>
        <v>15</v>
      </c>
      <c r="G355">
        <f t="shared" si="67"/>
        <v>2022</v>
      </c>
      <c r="H355">
        <f t="shared" si="68"/>
        <v>1.345</v>
      </c>
      <c r="I355" t="e">
        <f t="shared" si="69"/>
        <v>#N/A</v>
      </c>
      <c r="J355" t="e">
        <f t="shared" si="70"/>
        <v>#N/A</v>
      </c>
      <c r="K355" t="e">
        <f t="shared" si="71"/>
        <v>#N/A</v>
      </c>
      <c r="L355" t="e">
        <f t="shared" si="72"/>
        <v>#N/A</v>
      </c>
      <c r="M355" t="e">
        <f t="shared" si="73"/>
        <v>#N/A</v>
      </c>
      <c r="N355" t="e">
        <f t="shared" si="74"/>
        <v>#N/A</v>
      </c>
      <c r="O355">
        <f t="shared" si="75"/>
        <v>1.0003550000000001</v>
      </c>
      <c r="P355" t="str">
        <f>IF(OR($A355="",games!$H355=""),"",games!$H355)</f>
        <v>Yes</v>
      </c>
      <c r="Q355">
        <f t="shared" si="76"/>
        <v>1.0003550000000001</v>
      </c>
      <c r="T355">
        <f>IF(connections!$A355="","",IFERROR(INDEX(games!$B$2:$B$950,MATCH(connections!$A355,games!$A$2:$A$950,0)),""))</f>
        <v>2019</v>
      </c>
      <c r="U355">
        <f>IF(connections!$A355="","",IFERROR(INDEX(games!$B$2:$B$950,MATCH(connections!$B355,games!$A$2:$A$950,0)),""))</f>
        <v>2024</v>
      </c>
      <c r="V355">
        <f t="shared" si="77"/>
        <v>5</v>
      </c>
    </row>
    <row r="356" spans="1:22" x14ac:dyDescent="0.25">
      <c r="A356" t="str">
        <f>IF(games!$A356="","",games!$A356)</f>
        <v>He is Coming</v>
      </c>
      <c r="B356">
        <f>IF($A356="","",games!$B356)</f>
        <v>2025</v>
      </c>
      <c r="C356" t="str">
        <f>IF($A356="","",games!$C356)</f>
        <v>Deckbuilder</v>
      </c>
      <c r="D356">
        <f>IF($A356="","",COUNTIF(connections!$A$2:$A$1473,$A356)+COUNTIF(connections!$B$2:$B$1473,$A356))</f>
        <v>1</v>
      </c>
      <c r="E356">
        <f t="shared" si="65"/>
        <v>3</v>
      </c>
      <c r="F356">
        <f t="shared" si="66"/>
        <v>16</v>
      </c>
      <c r="G356" t="e">
        <f t="shared" si="67"/>
        <v>#N/A</v>
      </c>
      <c r="H356" t="e">
        <f t="shared" si="68"/>
        <v>#N/A</v>
      </c>
      <c r="I356" t="e">
        <f t="shared" si="69"/>
        <v>#N/A</v>
      </c>
      <c r="J356" t="e">
        <f t="shared" si="70"/>
        <v>#N/A</v>
      </c>
      <c r="K356">
        <f t="shared" si="71"/>
        <v>2025</v>
      </c>
      <c r="L356">
        <f t="shared" si="72"/>
        <v>3.3679999999999999</v>
      </c>
      <c r="M356" t="e">
        <f t="shared" si="73"/>
        <v>#N/A</v>
      </c>
      <c r="N356" t="e">
        <f t="shared" si="74"/>
        <v>#N/A</v>
      </c>
      <c r="O356">
        <f t="shared" si="75"/>
        <v>1.000356</v>
      </c>
      <c r="P356" t="str">
        <f>IF(OR($A356="",games!$H356=""),"",games!$H356)</f>
        <v>Yes</v>
      </c>
      <c r="Q356">
        <f t="shared" si="76"/>
        <v>1.000356</v>
      </c>
      <c r="T356">
        <f>IF(connections!$A356="","",IFERROR(INDEX(games!$B$2:$B$950,MATCH(connections!$A356,games!$A$2:$A$950,0)),""))</f>
        <v>2022</v>
      </c>
      <c r="U356">
        <f>IF(connections!$A356="","",IFERROR(INDEX(games!$B$2:$B$950,MATCH(connections!$B356,games!$A$2:$A$950,0)),""))</f>
        <v>2024</v>
      </c>
      <c r="V356">
        <f t="shared" si="77"/>
        <v>2</v>
      </c>
    </row>
    <row r="357" spans="1:22" x14ac:dyDescent="0.25">
      <c r="A357" t="str">
        <f>IF(games!$A357="","",games!$A357)</f>
        <v>Heading Out</v>
      </c>
      <c r="B357">
        <f>IF($A357="","",games!$B357)</f>
        <v>2023</v>
      </c>
      <c r="C357" t="str">
        <f>IF($A357="","",games!$C357)</f>
        <v>Action</v>
      </c>
      <c r="D357">
        <f>IF($A357="","",COUNTIF(connections!$A$2:$A$1473,$A357)+COUNTIF(connections!$B$2:$B$1473,$A357))</f>
        <v>1</v>
      </c>
      <c r="E357">
        <f t="shared" si="65"/>
        <v>1</v>
      </c>
      <c r="F357">
        <f t="shared" si="66"/>
        <v>17</v>
      </c>
      <c r="G357">
        <f t="shared" si="67"/>
        <v>2023</v>
      </c>
      <c r="H357">
        <f t="shared" si="68"/>
        <v>1.391</v>
      </c>
      <c r="I357" t="e">
        <f t="shared" si="69"/>
        <v>#N/A</v>
      </c>
      <c r="J357" t="e">
        <f t="shared" si="70"/>
        <v>#N/A</v>
      </c>
      <c r="K357" t="e">
        <f t="shared" si="71"/>
        <v>#N/A</v>
      </c>
      <c r="L357" t="e">
        <f t="shared" si="72"/>
        <v>#N/A</v>
      </c>
      <c r="M357" t="e">
        <f t="shared" si="73"/>
        <v>#N/A</v>
      </c>
      <c r="N357" t="e">
        <f t="shared" si="74"/>
        <v>#N/A</v>
      </c>
      <c r="O357">
        <f t="shared" si="75"/>
        <v>1.0003569999999999</v>
      </c>
      <c r="P357" t="str">
        <f>IF(OR($A357="",games!$H357=""),"",games!$H357)</f>
        <v/>
      </c>
      <c r="Q357" t="str">
        <f t="shared" si="76"/>
        <v/>
      </c>
      <c r="T357">
        <f>IF(connections!$A357="","",IFERROR(INDEX(games!$B$2:$B$950,MATCH(connections!$A357,games!$A$2:$A$950,0)),""))</f>
        <v>2017</v>
      </c>
      <c r="U357">
        <f>IF(connections!$A357="","",IFERROR(INDEX(games!$B$2:$B$950,MATCH(connections!$B357,games!$A$2:$A$950,0)),""))</f>
        <v>2024</v>
      </c>
      <c r="V357">
        <f t="shared" si="77"/>
        <v>7</v>
      </c>
    </row>
    <row r="358" spans="1:22" x14ac:dyDescent="0.25">
      <c r="A358" t="str">
        <f>IF(games!$A358="","",games!$A358)</f>
        <v>Heat Signature</v>
      </c>
      <c r="B358">
        <f>IF($A358="","",games!$B358)</f>
        <v>2017</v>
      </c>
      <c r="C358" t="str">
        <f>IF($A358="","",games!$C358)</f>
        <v>Action</v>
      </c>
      <c r="D358">
        <f>IF($A358="","",COUNTIF(connections!$A$2:$A$1473,$A358)+COUNTIF(connections!$B$2:$B$1473,$A358))</f>
        <v>1</v>
      </c>
      <c r="E358">
        <f t="shared" si="65"/>
        <v>1</v>
      </c>
      <c r="F358">
        <f t="shared" si="66"/>
        <v>18</v>
      </c>
      <c r="G358">
        <f t="shared" si="67"/>
        <v>2017</v>
      </c>
      <c r="H358">
        <f t="shared" si="68"/>
        <v>1.4139999999999999</v>
      </c>
      <c r="I358" t="e">
        <f t="shared" si="69"/>
        <v>#N/A</v>
      </c>
      <c r="J358" t="e">
        <f t="shared" si="70"/>
        <v>#N/A</v>
      </c>
      <c r="K358" t="e">
        <f t="shared" si="71"/>
        <v>#N/A</v>
      </c>
      <c r="L358" t="e">
        <f t="shared" si="72"/>
        <v>#N/A</v>
      </c>
      <c r="M358" t="e">
        <f t="shared" si="73"/>
        <v>#N/A</v>
      </c>
      <c r="N358" t="e">
        <f t="shared" si="74"/>
        <v>#N/A</v>
      </c>
      <c r="O358">
        <f t="shared" si="75"/>
        <v>1.0003580000000001</v>
      </c>
      <c r="P358" t="str">
        <f>IF(OR($A358="",games!$H358=""),"",games!$H358)</f>
        <v>Yes</v>
      </c>
      <c r="Q358">
        <f t="shared" si="76"/>
        <v>1.0003580000000001</v>
      </c>
      <c r="T358">
        <f>IF(connections!$A358="","",IFERROR(INDEX(games!$B$2:$B$950,MATCH(connections!$A358,games!$A$2:$A$950,0)),""))</f>
        <v>2023</v>
      </c>
      <c r="U358">
        <f>IF(connections!$A358="","",IFERROR(INDEX(games!$B$2:$B$950,MATCH(connections!$B358,games!$A$2:$A$950,0)),""))</f>
        <v>2026</v>
      </c>
      <c r="V358">
        <f t="shared" si="77"/>
        <v>3</v>
      </c>
    </row>
    <row r="359" spans="1:22" x14ac:dyDescent="0.25">
      <c r="A359" t="str">
        <f>IF(games!$A359="","",games!$A359)</f>
        <v>Heavy Bullets</v>
      </c>
      <c r="B359">
        <f>IF($A359="","",games!$B359)</f>
        <v>2014</v>
      </c>
      <c r="C359" t="str">
        <f>IF($A359="","",games!$C359)</f>
        <v>Action</v>
      </c>
      <c r="D359">
        <f>IF($A359="","",COUNTIF(connections!$A$2:$A$1473,$A359)+COUNTIF(connections!$B$2:$B$1473,$A359))</f>
        <v>1</v>
      </c>
      <c r="E359">
        <f t="shared" si="65"/>
        <v>1</v>
      </c>
      <c r="F359">
        <f t="shared" si="66"/>
        <v>19</v>
      </c>
      <c r="G359">
        <f t="shared" si="67"/>
        <v>2014</v>
      </c>
      <c r="H359">
        <f t="shared" si="68"/>
        <v>1.4370000000000001</v>
      </c>
      <c r="I359" t="e">
        <f t="shared" si="69"/>
        <v>#N/A</v>
      </c>
      <c r="J359" t="e">
        <f t="shared" si="70"/>
        <v>#N/A</v>
      </c>
      <c r="K359" t="e">
        <f t="shared" si="71"/>
        <v>#N/A</v>
      </c>
      <c r="L359" t="e">
        <f t="shared" si="72"/>
        <v>#N/A</v>
      </c>
      <c r="M359" t="e">
        <f t="shared" si="73"/>
        <v>#N/A</v>
      </c>
      <c r="N359" t="e">
        <f t="shared" si="74"/>
        <v>#N/A</v>
      </c>
      <c r="O359">
        <f t="shared" si="75"/>
        <v>1.000359</v>
      </c>
      <c r="P359" t="str">
        <f>IF(OR($A359="",games!$H359=""),"",games!$H359)</f>
        <v>Yes</v>
      </c>
      <c r="Q359">
        <f t="shared" si="76"/>
        <v>1.000359</v>
      </c>
      <c r="T359">
        <f>IF(connections!$A359="","",IFERROR(INDEX(games!$B$2:$B$950,MATCH(connections!$A359,games!$A$2:$A$950,0)),""))</f>
        <v>2011</v>
      </c>
      <c r="U359">
        <f>IF(connections!$A359="","",IFERROR(INDEX(games!$B$2:$B$950,MATCH(connections!$B359,games!$A$2:$A$950,0)),""))</f>
        <v>2026</v>
      </c>
      <c r="V359">
        <f t="shared" si="77"/>
        <v>15</v>
      </c>
    </row>
    <row r="360" spans="1:22" x14ac:dyDescent="0.25">
      <c r="A360" t="str">
        <f>IF(games!$A360="","",games!$A360)</f>
        <v>Hell Clock</v>
      </c>
      <c r="B360">
        <f>IF($A360="","",games!$B360)</f>
        <v>2025</v>
      </c>
      <c r="C360" t="str">
        <f>IF($A360="","",games!$C360)</f>
        <v>Action</v>
      </c>
      <c r="D360">
        <f>IF($A360="","",COUNTIF(connections!$A$2:$A$1473,$A360)+COUNTIF(connections!$B$2:$B$1473,$A360))</f>
        <v>3</v>
      </c>
      <c r="E360">
        <f t="shared" si="65"/>
        <v>1</v>
      </c>
      <c r="F360">
        <f t="shared" si="66"/>
        <v>20</v>
      </c>
      <c r="G360">
        <f t="shared" si="67"/>
        <v>2025</v>
      </c>
      <c r="H360">
        <f t="shared" si="68"/>
        <v>1.46</v>
      </c>
      <c r="I360" t="e">
        <f t="shared" si="69"/>
        <v>#N/A</v>
      </c>
      <c r="J360" t="e">
        <f t="shared" si="70"/>
        <v>#N/A</v>
      </c>
      <c r="K360" t="e">
        <f t="shared" si="71"/>
        <v>#N/A</v>
      </c>
      <c r="L360" t="e">
        <f t="shared" si="72"/>
        <v>#N/A</v>
      </c>
      <c r="M360" t="e">
        <f t="shared" si="73"/>
        <v>#N/A</v>
      </c>
      <c r="N360" t="e">
        <f t="shared" si="74"/>
        <v>#N/A</v>
      </c>
      <c r="O360">
        <f t="shared" si="75"/>
        <v>3.0003600000000001</v>
      </c>
      <c r="P360" t="str">
        <f>IF(OR($A360="",games!$H360=""),"",games!$H360)</f>
        <v>Yes</v>
      </c>
      <c r="Q360">
        <f t="shared" si="76"/>
        <v>3.0003600000000001</v>
      </c>
      <c r="T360">
        <f>IF(connections!$A360="","",IFERROR(INDEX(games!$B$2:$B$950,MATCH(connections!$A360,games!$A$2:$A$950,0)),""))</f>
        <v>2017</v>
      </c>
      <c r="U360">
        <f>IF(connections!$A360="","",IFERROR(INDEX(games!$B$2:$B$950,MATCH(connections!$B360,games!$A$2:$A$950,0)),""))</f>
        <v>2025</v>
      </c>
      <c r="V360">
        <f t="shared" si="77"/>
        <v>8</v>
      </c>
    </row>
    <row r="361" spans="1:22" x14ac:dyDescent="0.25">
      <c r="A361" t="str">
        <f>IF(games!$A361="","",games!$A361)</f>
        <v>Hell Maiden</v>
      </c>
      <c r="B361">
        <f>IF($A361="","",games!$B361)</f>
        <v>2026</v>
      </c>
      <c r="C361" t="str">
        <f>IF($A361="","",games!$C361)</f>
        <v>Action</v>
      </c>
      <c r="D361">
        <f>IF($A361="","",COUNTIF(connections!$A$2:$A$1473,$A361)+COUNTIF(connections!$B$2:$B$1473,$A361))</f>
        <v>4</v>
      </c>
      <c r="E361">
        <f t="shared" si="65"/>
        <v>1</v>
      </c>
      <c r="F361">
        <f t="shared" si="66"/>
        <v>21</v>
      </c>
      <c r="G361">
        <f t="shared" si="67"/>
        <v>2026</v>
      </c>
      <c r="H361">
        <f t="shared" si="68"/>
        <v>1.4830000000000001</v>
      </c>
      <c r="I361" t="e">
        <f t="shared" si="69"/>
        <v>#N/A</v>
      </c>
      <c r="J361" t="e">
        <f t="shared" si="70"/>
        <v>#N/A</v>
      </c>
      <c r="K361" t="e">
        <f t="shared" si="71"/>
        <v>#N/A</v>
      </c>
      <c r="L361" t="e">
        <f t="shared" si="72"/>
        <v>#N/A</v>
      </c>
      <c r="M361" t="e">
        <f t="shared" si="73"/>
        <v>#N/A</v>
      </c>
      <c r="N361" t="e">
        <f t="shared" si="74"/>
        <v>#N/A</v>
      </c>
      <c r="O361">
        <f t="shared" si="75"/>
        <v>4.0003609999999998</v>
      </c>
      <c r="P361" t="str">
        <f>IF(OR($A361="",games!$H361=""),"",games!$H361)</f>
        <v/>
      </c>
      <c r="Q361" t="str">
        <f t="shared" si="76"/>
        <v/>
      </c>
      <c r="T361">
        <f>IF(connections!$A361="","",IFERROR(INDEX(games!$B$2:$B$950,MATCH(connections!$A361,games!$A$2:$A$950,0)),""))</f>
        <v>2023</v>
      </c>
      <c r="U361">
        <f>IF(connections!$A361="","",IFERROR(INDEX(games!$B$2:$B$950,MATCH(connections!$B361,games!$A$2:$A$950,0)),""))</f>
        <v>2025</v>
      </c>
      <c r="V361">
        <f t="shared" si="77"/>
        <v>2</v>
      </c>
    </row>
    <row r="362" spans="1:22" x14ac:dyDescent="0.25">
      <c r="A362" t="str">
        <f>IF(games!$A362="","",games!$A362)</f>
        <v>Hellboy Web of Wyrd</v>
      </c>
      <c r="B362">
        <f>IF($A362="","",games!$B362)</f>
        <v>2023</v>
      </c>
      <c r="C362" t="str">
        <f>IF($A362="","",games!$C362)</f>
        <v>Action</v>
      </c>
      <c r="D362">
        <f>IF($A362="","",COUNTIF(connections!$A$2:$A$1473,$A362)+COUNTIF(connections!$B$2:$B$1473,$A362))</f>
        <v>1</v>
      </c>
      <c r="E362">
        <f t="shared" si="65"/>
        <v>1</v>
      </c>
      <c r="F362">
        <f t="shared" si="66"/>
        <v>22</v>
      </c>
      <c r="G362">
        <f t="shared" si="67"/>
        <v>2023</v>
      </c>
      <c r="H362">
        <f t="shared" si="68"/>
        <v>1.506</v>
      </c>
      <c r="I362" t="e">
        <f t="shared" si="69"/>
        <v>#N/A</v>
      </c>
      <c r="J362" t="e">
        <f t="shared" si="70"/>
        <v>#N/A</v>
      </c>
      <c r="K362" t="e">
        <f t="shared" si="71"/>
        <v>#N/A</v>
      </c>
      <c r="L362" t="e">
        <f t="shared" si="72"/>
        <v>#N/A</v>
      </c>
      <c r="M362" t="e">
        <f t="shared" si="73"/>
        <v>#N/A</v>
      </c>
      <c r="N362" t="e">
        <f t="shared" si="74"/>
        <v>#N/A</v>
      </c>
      <c r="O362">
        <f t="shared" si="75"/>
        <v>1.000362</v>
      </c>
      <c r="P362" t="str">
        <f>IF(OR($A362="",games!$H362=""),"",games!$H362)</f>
        <v/>
      </c>
      <c r="Q362" t="str">
        <f t="shared" si="76"/>
        <v/>
      </c>
      <c r="T362">
        <f>IF(connections!$A362="","",IFERROR(INDEX(games!$B$2:$B$950,MATCH(connections!$A362,games!$A$2:$A$950,0)),""))</f>
        <v>2019</v>
      </c>
      <c r="U362">
        <f>IF(connections!$A362="","",IFERROR(INDEX(games!$B$2:$B$950,MATCH(connections!$B362,games!$A$2:$A$950,0)),""))</f>
        <v>2025</v>
      </c>
      <c r="V362">
        <f t="shared" si="77"/>
        <v>6</v>
      </c>
    </row>
    <row r="363" spans="1:22" x14ac:dyDescent="0.25">
      <c r="A363" t="str">
        <f>IF(games!$A363="","",games!$A363)</f>
        <v>Hellcard</v>
      </c>
      <c r="B363">
        <f>IF($A363="","",games!$B363)</f>
        <v>2023</v>
      </c>
      <c r="C363" t="str">
        <f>IF($A363="","",games!$C363)</f>
        <v>Deckbuilder</v>
      </c>
      <c r="D363">
        <f>IF($A363="","",COUNTIF(connections!$A$2:$A$1473,$A363)+COUNTIF(connections!$B$2:$B$1473,$A363))</f>
        <v>2</v>
      </c>
      <c r="E363">
        <f t="shared" si="65"/>
        <v>3</v>
      </c>
      <c r="F363">
        <f t="shared" si="66"/>
        <v>23</v>
      </c>
      <c r="G363" t="e">
        <f t="shared" si="67"/>
        <v>#N/A</v>
      </c>
      <c r="H363" t="e">
        <f t="shared" si="68"/>
        <v>#N/A</v>
      </c>
      <c r="I363" t="e">
        <f t="shared" si="69"/>
        <v>#N/A</v>
      </c>
      <c r="J363" t="e">
        <f t="shared" si="70"/>
        <v>#N/A</v>
      </c>
      <c r="K363">
        <f t="shared" si="71"/>
        <v>2023</v>
      </c>
      <c r="L363">
        <f t="shared" si="72"/>
        <v>3.5289999999999999</v>
      </c>
      <c r="M363" t="e">
        <f t="shared" si="73"/>
        <v>#N/A</v>
      </c>
      <c r="N363" t="e">
        <f t="shared" si="74"/>
        <v>#N/A</v>
      </c>
      <c r="O363">
        <f t="shared" si="75"/>
        <v>2.0003630000000001</v>
      </c>
      <c r="P363" t="str">
        <f>IF(OR($A363="",games!$H363=""),"",games!$H363)</f>
        <v>Yes</v>
      </c>
      <c r="Q363">
        <f t="shared" si="76"/>
        <v>2.0003630000000001</v>
      </c>
      <c r="T363">
        <f>IF(connections!$A363="","",IFERROR(INDEX(games!$B$2:$B$950,MATCH(connections!$A363,games!$A$2:$A$950,0)),""))</f>
        <v>2021</v>
      </c>
      <c r="U363">
        <f>IF(connections!$A363="","",IFERROR(INDEX(games!$B$2:$B$950,MATCH(connections!$B363,games!$A$2:$A$950,0)),""))</f>
        <v>2025</v>
      </c>
      <c r="V363">
        <f t="shared" si="77"/>
        <v>4</v>
      </c>
    </row>
    <row r="364" spans="1:22" x14ac:dyDescent="0.25">
      <c r="A364" t="str">
        <f>IF(games!$A364="","",games!$A364)</f>
        <v>Helskate</v>
      </c>
      <c r="B364">
        <f>IF($A364="","",games!$B364)</f>
        <v>2025</v>
      </c>
      <c r="C364" t="str">
        <f>IF($A364="","",games!$C364)</f>
        <v>Action</v>
      </c>
      <c r="D364">
        <f>IF($A364="","",COUNTIF(connections!$A$2:$A$1473,$A364)+COUNTIF(connections!$B$2:$B$1473,$A364))</f>
        <v>1</v>
      </c>
      <c r="E364">
        <f t="shared" si="65"/>
        <v>1</v>
      </c>
      <c r="F364">
        <f t="shared" si="66"/>
        <v>24</v>
      </c>
      <c r="G364">
        <f t="shared" si="67"/>
        <v>2025</v>
      </c>
      <c r="H364">
        <f t="shared" si="68"/>
        <v>1.552</v>
      </c>
      <c r="I364" t="e">
        <f t="shared" si="69"/>
        <v>#N/A</v>
      </c>
      <c r="J364" t="e">
        <f t="shared" si="70"/>
        <v>#N/A</v>
      </c>
      <c r="K364" t="e">
        <f t="shared" si="71"/>
        <v>#N/A</v>
      </c>
      <c r="L364" t="e">
        <f t="shared" si="72"/>
        <v>#N/A</v>
      </c>
      <c r="M364" t="e">
        <f t="shared" si="73"/>
        <v>#N/A</v>
      </c>
      <c r="N364" t="e">
        <f t="shared" si="74"/>
        <v>#N/A</v>
      </c>
      <c r="O364">
        <f t="shared" si="75"/>
        <v>1.000364</v>
      </c>
      <c r="P364" t="str">
        <f>IF(OR($A364="",games!$H364=""),"",games!$H364)</f>
        <v>Yes</v>
      </c>
      <c r="Q364">
        <f t="shared" si="76"/>
        <v>1.000364</v>
      </c>
      <c r="T364">
        <f>IF(connections!$A364="","",IFERROR(INDEX(games!$B$2:$B$950,MATCH(connections!$A364,games!$A$2:$A$950,0)),""))</f>
        <v>2020</v>
      </c>
      <c r="U364">
        <f>IF(connections!$A364="","",IFERROR(INDEX(games!$B$2:$B$950,MATCH(connections!$B364,games!$A$2:$A$950,0)),""))</f>
        <v>2025</v>
      </c>
      <c r="V364">
        <f t="shared" si="77"/>
        <v>5</v>
      </c>
    </row>
    <row r="365" spans="1:22" x14ac:dyDescent="0.25">
      <c r="A365" t="str">
        <f>IF(games!$A365="","",games!$A365)</f>
        <v>Heretic's Fork</v>
      </c>
      <c r="B365">
        <f>IF($A365="","",games!$B365)</f>
        <v>2023</v>
      </c>
      <c r="C365" t="str">
        <f>IF($A365="","",games!$C365)</f>
        <v>Action</v>
      </c>
      <c r="D365">
        <f>IF($A365="","",COUNTIF(connections!$A$2:$A$1473,$A365)+COUNTIF(connections!$B$2:$B$1473,$A365))</f>
        <v>2</v>
      </c>
      <c r="E365">
        <f t="shared" si="65"/>
        <v>1</v>
      </c>
      <c r="F365">
        <f t="shared" si="66"/>
        <v>25</v>
      </c>
      <c r="G365">
        <f t="shared" si="67"/>
        <v>2023</v>
      </c>
      <c r="H365">
        <f t="shared" si="68"/>
        <v>1.575</v>
      </c>
      <c r="I365" t="e">
        <f t="shared" si="69"/>
        <v>#N/A</v>
      </c>
      <c r="J365" t="e">
        <f t="shared" si="70"/>
        <v>#N/A</v>
      </c>
      <c r="K365" t="e">
        <f t="shared" si="71"/>
        <v>#N/A</v>
      </c>
      <c r="L365" t="e">
        <f t="shared" si="72"/>
        <v>#N/A</v>
      </c>
      <c r="M365" t="e">
        <f t="shared" si="73"/>
        <v>#N/A</v>
      </c>
      <c r="N365" t="e">
        <f t="shared" si="74"/>
        <v>#N/A</v>
      </c>
      <c r="O365">
        <f t="shared" si="75"/>
        <v>2.0003649999999999</v>
      </c>
      <c r="P365" t="str">
        <f>IF(OR($A365="",games!$H365=""),"",games!$H365)</f>
        <v>Yes</v>
      </c>
      <c r="Q365">
        <f t="shared" si="76"/>
        <v>2.0003649999999999</v>
      </c>
      <c r="T365">
        <f>IF(connections!$A365="","",IFERROR(INDEX(games!$B$2:$B$950,MATCH(connections!$A365,games!$A$2:$A$950,0)),""))</f>
        <v>2017</v>
      </c>
      <c r="U365">
        <f>IF(connections!$A365="","",IFERROR(INDEX(games!$B$2:$B$950,MATCH(connections!$B365,games!$A$2:$A$950,0)),""))</f>
        <v>2025</v>
      </c>
      <c r="V365">
        <f t="shared" si="77"/>
        <v>8</v>
      </c>
    </row>
    <row r="366" spans="1:22" x14ac:dyDescent="0.25">
      <c r="A366" t="str">
        <f>IF(games!$A366="","",games!$A366)</f>
        <v>Heroes of Hammerwatch</v>
      </c>
      <c r="B366">
        <f>IF($A366="","",games!$B366)</f>
        <v>2018</v>
      </c>
      <c r="C366" t="str">
        <f>IF($A366="","",games!$C366)</f>
        <v>Action</v>
      </c>
      <c r="D366">
        <f>IF($A366="","",COUNTIF(connections!$A$2:$A$1473,$A366)+COUNTIF(connections!$B$2:$B$1473,$A366))</f>
        <v>3</v>
      </c>
      <c r="E366">
        <f t="shared" si="65"/>
        <v>1</v>
      </c>
      <c r="F366">
        <f t="shared" si="66"/>
        <v>26</v>
      </c>
      <c r="G366">
        <f t="shared" si="67"/>
        <v>2018</v>
      </c>
      <c r="H366">
        <f t="shared" si="68"/>
        <v>1.5979999999999999</v>
      </c>
      <c r="I366" t="e">
        <f t="shared" si="69"/>
        <v>#N/A</v>
      </c>
      <c r="J366" t="e">
        <f t="shared" si="70"/>
        <v>#N/A</v>
      </c>
      <c r="K366" t="e">
        <f t="shared" si="71"/>
        <v>#N/A</v>
      </c>
      <c r="L366" t="e">
        <f t="shared" si="72"/>
        <v>#N/A</v>
      </c>
      <c r="M366" t="e">
        <f t="shared" si="73"/>
        <v>#N/A</v>
      </c>
      <c r="N366" t="e">
        <f t="shared" si="74"/>
        <v>#N/A</v>
      </c>
      <c r="O366">
        <f t="shared" si="75"/>
        <v>3.0003660000000001</v>
      </c>
      <c r="P366" t="str">
        <f>IF(OR($A366="",games!$H366=""),"",games!$H366)</f>
        <v>Yes</v>
      </c>
      <c r="Q366">
        <f t="shared" si="76"/>
        <v>3.0003660000000001</v>
      </c>
      <c r="T366">
        <f>IF(connections!$A366="","",IFERROR(INDEX(games!$B$2:$B$950,MATCH(connections!$A366,games!$A$2:$A$950,0)),""))</f>
        <v>2012</v>
      </c>
      <c r="U366">
        <f>IF(connections!$A366="","",IFERROR(INDEX(games!$B$2:$B$950,MATCH(connections!$B366,games!$A$2:$A$950,0)),""))</f>
        <v>2024</v>
      </c>
      <c r="V366">
        <f t="shared" si="77"/>
        <v>12</v>
      </c>
    </row>
    <row r="367" spans="1:22" x14ac:dyDescent="0.25">
      <c r="A367" t="str">
        <f>IF(games!$A367="","",games!$A367)</f>
        <v>Heroes of Hammerwatch II</v>
      </c>
      <c r="B367">
        <f>IF($A367="","",games!$B367)</f>
        <v>2025</v>
      </c>
      <c r="C367" t="str">
        <f>IF($A367="","",games!$C367)</f>
        <v>Action</v>
      </c>
      <c r="D367">
        <f>IF($A367="","",COUNTIF(connections!$A$2:$A$1473,$A367)+COUNTIF(connections!$B$2:$B$1473,$A367))</f>
        <v>1</v>
      </c>
      <c r="E367">
        <f t="shared" si="65"/>
        <v>1</v>
      </c>
      <c r="F367">
        <f t="shared" si="66"/>
        <v>27</v>
      </c>
      <c r="G367">
        <f t="shared" si="67"/>
        <v>2025</v>
      </c>
      <c r="H367">
        <f t="shared" si="68"/>
        <v>1.621</v>
      </c>
      <c r="I367" t="e">
        <f t="shared" si="69"/>
        <v>#N/A</v>
      </c>
      <c r="J367" t="e">
        <f t="shared" si="70"/>
        <v>#N/A</v>
      </c>
      <c r="K367" t="e">
        <f t="shared" si="71"/>
        <v>#N/A</v>
      </c>
      <c r="L367" t="e">
        <f t="shared" si="72"/>
        <v>#N/A</v>
      </c>
      <c r="M367" t="e">
        <f t="shared" si="73"/>
        <v>#N/A</v>
      </c>
      <c r="N367" t="e">
        <f t="shared" si="74"/>
        <v>#N/A</v>
      </c>
      <c r="O367">
        <f t="shared" si="75"/>
        <v>1.000367</v>
      </c>
      <c r="P367" t="str">
        <f>IF(OR($A367="",games!$H367=""),"",games!$H367)</f>
        <v>Yes</v>
      </c>
      <c r="Q367">
        <f t="shared" si="76"/>
        <v>1.000367</v>
      </c>
      <c r="T367">
        <f>IF(connections!$A367="","",IFERROR(INDEX(games!$B$2:$B$950,MATCH(connections!$A367,games!$A$2:$A$950,0)),""))</f>
        <v>2018</v>
      </c>
      <c r="U367">
        <f>IF(connections!$A367="","",IFERROR(INDEX(games!$B$2:$B$950,MATCH(connections!$B367,games!$A$2:$A$950,0)),""))</f>
        <v>2024</v>
      </c>
      <c r="V367">
        <f t="shared" si="77"/>
        <v>6</v>
      </c>
    </row>
    <row r="368" spans="1:22" x14ac:dyDescent="0.25">
      <c r="A368" t="str">
        <f>IF(games!$A368="","",games!$A368)</f>
        <v>Hexagod</v>
      </c>
      <c r="B368">
        <f>IF($A368="","",games!$B368)</f>
        <v>2025</v>
      </c>
      <c r="C368" t="str">
        <f>IF($A368="","",games!$C368)</f>
        <v>Strategy</v>
      </c>
      <c r="D368">
        <f>IF($A368="","",COUNTIF(connections!$A$2:$A$1473,$A368)+COUNTIF(connections!$B$2:$B$1473,$A368))</f>
        <v>1</v>
      </c>
      <c r="E368">
        <f t="shared" si="65"/>
        <v>2</v>
      </c>
      <c r="F368">
        <f t="shared" si="66"/>
        <v>28</v>
      </c>
      <c r="G368" t="e">
        <f t="shared" si="67"/>
        <v>#N/A</v>
      </c>
      <c r="H368" t="e">
        <f t="shared" si="68"/>
        <v>#N/A</v>
      </c>
      <c r="I368">
        <f t="shared" si="69"/>
        <v>2025</v>
      </c>
      <c r="J368">
        <f t="shared" si="70"/>
        <v>2.6440000000000001</v>
      </c>
      <c r="K368" t="e">
        <f t="shared" si="71"/>
        <v>#N/A</v>
      </c>
      <c r="L368" t="e">
        <f t="shared" si="72"/>
        <v>#N/A</v>
      </c>
      <c r="M368" t="e">
        <f t="shared" si="73"/>
        <v>#N/A</v>
      </c>
      <c r="N368" t="e">
        <f t="shared" si="74"/>
        <v>#N/A</v>
      </c>
      <c r="O368">
        <f t="shared" si="75"/>
        <v>1.0003679999999999</v>
      </c>
      <c r="P368" t="str">
        <f>IF(OR($A368="",games!$H368=""),"",games!$H368)</f>
        <v/>
      </c>
      <c r="Q368" t="str">
        <f t="shared" si="76"/>
        <v/>
      </c>
      <c r="T368">
        <f>IF(connections!$A368="","",IFERROR(INDEX(games!$B$2:$B$950,MATCH(connections!$A368,games!$A$2:$A$950,0)),""))</f>
        <v>2020</v>
      </c>
      <c r="U368">
        <f>IF(connections!$A368="","",IFERROR(INDEX(games!$B$2:$B$950,MATCH(connections!$B368,games!$A$2:$A$950,0)),""))</f>
        <v>2024</v>
      </c>
      <c r="V368">
        <f t="shared" si="77"/>
        <v>4</v>
      </c>
    </row>
    <row r="369" spans="1:22" x14ac:dyDescent="0.25">
      <c r="A369" t="str">
        <f>IF(games!$A369="","",games!$A369)</f>
        <v>Hive Blight</v>
      </c>
      <c r="B369">
        <f>IF($A369="","",games!$B369)</f>
        <v>2026</v>
      </c>
      <c r="C369" t="str">
        <f>IF($A369="","",games!$C369)</f>
        <v>Strategy</v>
      </c>
      <c r="D369">
        <f>IF($A369="","",COUNTIF(connections!$A$2:$A$1473,$A369)+COUNTIF(connections!$B$2:$B$1473,$A369))</f>
        <v>2</v>
      </c>
      <c r="E369">
        <f t="shared" si="65"/>
        <v>2</v>
      </c>
      <c r="F369">
        <f t="shared" si="66"/>
        <v>29</v>
      </c>
      <c r="G369" t="e">
        <f t="shared" si="67"/>
        <v>#N/A</v>
      </c>
      <c r="H369" t="e">
        <f t="shared" si="68"/>
        <v>#N/A</v>
      </c>
      <c r="I369">
        <f t="shared" si="69"/>
        <v>2026</v>
      </c>
      <c r="J369">
        <f t="shared" si="70"/>
        <v>2.6669999999999998</v>
      </c>
      <c r="K369" t="e">
        <f t="shared" si="71"/>
        <v>#N/A</v>
      </c>
      <c r="L369" t="e">
        <f t="shared" si="72"/>
        <v>#N/A</v>
      </c>
      <c r="M369" t="e">
        <f t="shared" si="73"/>
        <v>#N/A</v>
      </c>
      <c r="N369" t="e">
        <f t="shared" si="74"/>
        <v>#N/A</v>
      </c>
      <c r="O369">
        <f t="shared" si="75"/>
        <v>2.0003690000000001</v>
      </c>
      <c r="P369" t="str">
        <f>IF(OR($A369="",games!$H369=""),"",games!$H369)</f>
        <v/>
      </c>
      <c r="Q369" t="str">
        <f t="shared" si="76"/>
        <v/>
      </c>
      <c r="T369">
        <f>IF(connections!$A369="","",IFERROR(INDEX(games!$B$2:$B$950,MATCH(connections!$A369,games!$A$2:$A$950,0)),""))</f>
        <v>2021</v>
      </c>
      <c r="U369">
        <f>IF(connections!$A369="","",IFERROR(INDEX(games!$B$2:$B$950,MATCH(connections!$B369,games!$A$2:$A$950,0)),""))</f>
        <v>2024</v>
      </c>
      <c r="V369">
        <f t="shared" si="77"/>
        <v>3</v>
      </c>
    </row>
    <row r="370" spans="1:22" x14ac:dyDescent="0.25">
      <c r="A370" t="str">
        <f>IF(games!$A370="","",games!$A370)</f>
        <v>HoloCure: Save the Fans!</v>
      </c>
      <c r="B370">
        <f>IF($A370="","",games!$B370)</f>
        <v>2023</v>
      </c>
      <c r="C370" t="str">
        <f>IF($A370="","",games!$C370)</f>
        <v>Action</v>
      </c>
      <c r="D370">
        <f>IF($A370="","",COUNTIF(connections!$A$2:$A$1473,$A370)+COUNTIF(connections!$B$2:$B$1473,$A370))</f>
        <v>2</v>
      </c>
      <c r="E370">
        <f t="shared" si="65"/>
        <v>1</v>
      </c>
      <c r="F370">
        <f t="shared" si="66"/>
        <v>30</v>
      </c>
      <c r="G370">
        <f t="shared" si="67"/>
        <v>2023</v>
      </c>
      <c r="H370">
        <f t="shared" si="68"/>
        <v>1.69</v>
      </c>
      <c r="I370" t="e">
        <f t="shared" si="69"/>
        <v>#N/A</v>
      </c>
      <c r="J370" t="e">
        <f t="shared" si="70"/>
        <v>#N/A</v>
      </c>
      <c r="K370" t="e">
        <f t="shared" si="71"/>
        <v>#N/A</v>
      </c>
      <c r="L370" t="e">
        <f t="shared" si="72"/>
        <v>#N/A</v>
      </c>
      <c r="M370" t="e">
        <f t="shared" si="73"/>
        <v>#N/A</v>
      </c>
      <c r="N370" t="e">
        <f t="shared" si="74"/>
        <v>#N/A</v>
      </c>
      <c r="O370">
        <f t="shared" si="75"/>
        <v>2.0003700000000002</v>
      </c>
      <c r="P370" t="str">
        <f>IF(OR($A370="",games!$H370=""),"",games!$H370)</f>
        <v>Yes</v>
      </c>
      <c r="Q370">
        <f t="shared" si="76"/>
        <v>2.0003700000000002</v>
      </c>
      <c r="T370">
        <f>IF(connections!$A370="","",IFERROR(INDEX(games!$B$2:$B$950,MATCH(connections!$A370,games!$A$2:$A$950,0)),""))</f>
        <v>2017</v>
      </c>
      <c r="U370">
        <f>IF(connections!$A370="","",IFERROR(INDEX(games!$B$2:$B$950,MATCH(connections!$B370,games!$A$2:$A$950,0)),""))</f>
        <v>2024</v>
      </c>
      <c r="V370">
        <f t="shared" si="77"/>
        <v>7</v>
      </c>
    </row>
    <row r="371" spans="1:22" x14ac:dyDescent="0.25">
      <c r="A371" t="str">
        <f>IF(games!$A371="","",games!$A371)</f>
        <v>HoloDungeon: Koyori vs HollowLive in Honsha Tower</v>
      </c>
      <c r="B371">
        <f>IF($A371="","",games!$B371)</f>
        <v>2026</v>
      </c>
      <c r="C371" t="str">
        <f>IF($A371="","",games!$C371)</f>
        <v>Traditional</v>
      </c>
      <c r="D371">
        <f>IF($A371="","",COUNTIF(connections!$A$2:$A$1473,$A371)+COUNTIF(connections!$B$2:$B$1473,$A371))</f>
        <v>1</v>
      </c>
      <c r="E371">
        <f t="shared" si="65"/>
        <v>4</v>
      </c>
      <c r="F371">
        <f t="shared" si="66"/>
        <v>31</v>
      </c>
      <c r="G371" t="e">
        <f t="shared" si="67"/>
        <v>#N/A</v>
      </c>
      <c r="H371" t="e">
        <f t="shared" si="68"/>
        <v>#N/A</v>
      </c>
      <c r="I371" t="e">
        <f t="shared" si="69"/>
        <v>#N/A</v>
      </c>
      <c r="J371" t="e">
        <f t="shared" si="70"/>
        <v>#N/A</v>
      </c>
      <c r="K371" t="e">
        <f t="shared" si="71"/>
        <v>#N/A</v>
      </c>
      <c r="L371" t="e">
        <f t="shared" si="72"/>
        <v>#N/A</v>
      </c>
      <c r="M371">
        <f t="shared" si="73"/>
        <v>2026</v>
      </c>
      <c r="N371">
        <f t="shared" si="74"/>
        <v>4.7130000000000001</v>
      </c>
      <c r="O371">
        <f t="shared" si="75"/>
        <v>1.0003709999999999</v>
      </c>
      <c r="P371" t="str">
        <f>IF(OR($A371="",games!$H371=""),"",games!$H371)</f>
        <v/>
      </c>
      <c r="Q371" t="str">
        <f t="shared" si="76"/>
        <v/>
      </c>
      <c r="T371">
        <f>IF(connections!$A371="","",IFERROR(INDEX(games!$B$2:$B$950,MATCH(connections!$A371,games!$A$2:$A$950,0)),""))</f>
        <v>2008</v>
      </c>
      <c r="U371">
        <f>IF(connections!$A371="","",IFERROR(INDEX(games!$B$2:$B$950,MATCH(connections!$B371,games!$A$2:$A$950,0)),""))</f>
        <v>2024</v>
      </c>
      <c r="V371">
        <f t="shared" si="77"/>
        <v>16</v>
      </c>
    </row>
    <row r="372" spans="1:22" x14ac:dyDescent="0.25">
      <c r="A372" t="str">
        <f>IF(games!$A372="","",games!$A372)</f>
        <v>Hoplite</v>
      </c>
      <c r="B372">
        <f>IF($A372="","",games!$B372)</f>
        <v>2013</v>
      </c>
      <c r="C372" t="str">
        <f>IF($A372="","",games!$C372)</f>
        <v>Traditional</v>
      </c>
      <c r="D372">
        <f>IF($A372="","",COUNTIF(connections!$A$2:$A$1473,$A372)+COUNTIF(connections!$B$2:$B$1473,$A372))</f>
        <v>4</v>
      </c>
      <c r="E372">
        <f t="shared" si="65"/>
        <v>4</v>
      </c>
      <c r="F372">
        <f t="shared" si="66"/>
        <v>32</v>
      </c>
      <c r="G372" t="e">
        <f t="shared" si="67"/>
        <v>#N/A</v>
      </c>
      <c r="H372" t="e">
        <f t="shared" si="68"/>
        <v>#N/A</v>
      </c>
      <c r="I372" t="e">
        <f t="shared" si="69"/>
        <v>#N/A</v>
      </c>
      <c r="J372" t="e">
        <f t="shared" si="70"/>
        <v>#N/A</v>
      </c>
      <c r="K372" t="e">
        <f t="shared" si="71"/>
        <v>#N/A</v>
      </c>
      <c r="L372" t="e">
        <f t="shared" si="72"/>
        <v>#N/A</v>
      </c>
      <c r="M372">
        <f t="shared" si="73"/>
        <v>2013</v>
      </c>
      <c r="N372">
        <f t="shared" si="74"/>
        <v>4.7359999999999998</v>
      </c>
      <c r="O372">
        <f t="shared" si="75"/>
        <v>4.0003719999999996</v>
      </c>
      <c r="P372" t="str">
        <f>IF(OR($A372="",games!$H372=""),"",games!$H372)</f>
        <v>Yes</v>
      </c>
      <c r="Q372">
        <f t="shared" si="76"/>
        <v>4.0003719999999996</v>
      </c>
      <c r="T372">
        <f>IF(connections!$A372="","",IFERROR(INDEX(games!$B$2:$B$950,MATCH(connections!$A372,games!$A$2:$A$950,0)),""))</f>
        <v>2017</v>
      </c>
      <c r="U372">
        <f>IF(connections!$A372="","",IFERROR(INDEX(games!$B$2:$B$950,MATCH(connections!$B372,games!$A$2:$A$950,0)),""))</f>
        <v>2024</v>
      </c>
      <c r="V372">
        <f t="shared" si="77"/>
        <v>7</v>
      </c>
    </row>
    <row r="373" spans="1:22" x14ac:dyDescent="0.25">
      <c r="A373" t="str">
        <f>IF(games!$A373="","",games!$A373)</f>
        <v>House of Necrosis</v>
      </c>
      <c r="B373">
        <f>IF($A373="","",games!$B373)</f>
        <v>2025</v>
      </c>
      <c r="C373" t="str">
        <f>IF($A373="","",games!$C373)</f>
        <v>Traditional</v>
      </c>
      <c r="D373">
        <f>IF($A373="","",COUNTIF(connections!$A$2:$A$1473,$A373)+COUNTIF(connections!$B$2:$B$1473,$A373))</f>
        <v>2</v>
      </c>
      <c r="E373">
        <f t="shared" si="65"/>
        <v>4</v>
      </c>
      <c r="F373">
        <f t="shared" si="66"/>
        <v>33</v>
      </c>
      <c r="G373" t="e">
        <f t="shared" si="67"/>
        <v>#N/A</v>
      </c>
      <c r="H373" t="e">
        <f t="shared" si="68"/>
        <v>#N/A</v>
      </c>
      <c r="I373" t="e">
        <f t="shared" si="69"/>
        <v>#N/A</v>
      </c>
      <c r="J373" t="e">
        <f t="shared" si="70"/>
        <v>#N/A</v>
      </c>
      <c r="K373" t="e">
        <f t="shared" si="71"/>
        <v>#N/A</v>
      </c>
      <c r="L373" t="e">
        <f t="shared" si="72"/>
        <v>#N/A</v>
      </c>
      <c r="M373">
        <f t="shared" si="73"/>
        <v>2025</v>
      </c>
      <c r="N373">
        <f t="shared" si="74"/>
        <v>4.7590000000000003</v>
      </c>
      <c r="O373">
        <f t="shared" si="75"/>
        <v>2.0003730000000002</v>
      </c>
      <c r="P373" t="str">
        <f>IF(OR($A373="",games!$H373=""),"",games!$H373)</f>
        <v/>
      </c>
      <c r="Q373" t="str">
        <f t="shared" si="76"/>
        <v/>
      </c>
      <c r="T373">
        <f>IF(connections!$A373="","",IFERROR(INDEX(games!$B$2:$B$950,MATCH(connections!$A373,games!$A$2:$A$950,0)),""))</f>
        <v>2024</v>
      </c>
      <c r="U373">
        <f>IF(connections!$A373="","",IFERROR(INDEX(games!$B$2:$B$950,MATCH(connections!$B373,games!$A$2:$A$950,0)),""))</f>
        <v>2026</v>
      </c>
      <c r="V373">
        <f t="shared" si="77"/>
        <v>2</v>
      </c>
    </row>
    <row r="374" spans="1:22" x14ac:dyDescent="0.25">
      <c r="A374" t="str">
        <f>IF(games!$A374="","",games!$A374)</f>
        <v>How Many Dudes?</v>
      </c>
      <c r="B374">
        <f>IF($A374="","",games!$B374)</f>
        <v>2026</v>
      </c>
      <c r="C374" t="str">
        <f>IF($A374="","",games!$C374)</f>
        <v>Action</v>
      </c>
      <c r="D374">
        <f>IF($A374="","",COUNTIF(connections!$A$2:$A$1473,$A374)+COUNTIF(connections!$B$2:$B$1473,$A374))</f>
        <v>2</v>
      </c>
      <c r="E374">
        <f t="shared" si="65"/>
        <v>1</v>
      </c>
      <c r="F374">
        <f t="shared" si="66"/>
        <v>0</v>
      </c>
      <c r="G374">
        <f t="shared" si="67"/>
        <v>2026</v>
      </c>
      <c r="H374">
        <f t="shared" si="68"/>
        <v>1</v>
      </c>
      <c r="I374" t="e">
        <f t="shared" si="69"/>
        <v>#N/A</v>
      </c>
      <c r="J374" t="e">
        <f t="shared" si="70"/>
        <v>#N/A</v>
      </c>
      <c r="K374" t="e">
        <f t="shared" si="71"/>
        <v>#N/A</v>
      </c>
      <c r="L374" t="e">
        <f t="shared" si="72"/>
        <v>#N/A</v>
      </c>
      <c r="M374" t="e">
        <f t="shared" si="73"/>
        <v>#N/A</v>
      </c>
      <c r="N374" t="e">
        <f t="shared" si="74"/>
        <v>#N/A</v>
      </c>
      <c r="O374">
        <f t="shared" si="75"/>
        <v>2.0003739999999999</v>
      </c>
      <c r="P374" t="str">
        <f>IF(OR($A374="",games!$H374=""),"",games!$H374)</f>
        <v/>
      </c>
      <c r="Q374" t="str">
        <f t="shared" si="76"/>
        <v/>
      </c>
      <c r="T374">
        <f>IF(connections!$A374="","",IFERROR(INDEX(games!$B$2:$B$950,MATCH(connections!$A374,games!$A$2:$A$950,0)),""))</f>
        <v>2021</v>
      </c>
      <c r="U374">
        <f>IF(connections!$A374="","",IFERROR(INDEX(games!$B$2:$B$950,MATCH(connections!$B374,games!$A$2:$A$950,0)),""))</f>
        <v>2026</v>
      </c>
      <c r="V374">
        <f t="shared" si="77"/>
        <v>5</v>
      </c>
    </row>
    <row r="375" spans="1:22" x14ac:dyDescent="0.25">
      <c r="A375" t="str">
        <f>IF(games!$A375="","",games!$A375)</f>
        <v>Hungry Horrors</v>
      </c>
      <c r="B375">
        <f>IF($A375="","",games!$B375)</f>
        <v>2026</v>
      </c>
      <c r="C375" t="str">
        <f>IF($A375="","",games!$C375)</f>
        <v>Deckbuilder</v>
      </c>
      <c r="D375">
        <f>IF($A375="","",COUNTIF(connections!$A$2:$A$1473,$A375)+COUNTIF(connections!$B$2:$B$1473,$A375))</f>
        <v>4</v>
      </c>
      <c r="E375">
        <f t="shared" si="65"/>
        <v>3</v>
      </c>
      <c r="F375">
        <f t="shared" si="66"/>
        <v>1</v>
      </c>
      <c r="G375" t="e">
        <f t="shared" si="67"/>
        <v>#N/A</v>
      </c>
      <c r="H375" t="e">
        <f t="shared" si="68"/>
        <v>#N/A</v>
      </c>
      <c r="I375" t="e">
        <f t="shared" si="69"/>
        <v>#N/A</v>
      </c>
      <c r="J375" t="e">
        <f t="shared" si="70"/>
        <v>#N/A</v>
      </c>
      <c r="K375">
        <f t="shared" si="71"/>
        <v>2026</v>
      </c>
      <c r="L375">
        <f t="shared" si="72"/>
        <v>3.0230000000000001</v>
      </c>
      <c r="M375" t="e">
        <f t="shared" si="73"/>
        <v>#N/A</v>
      </c>
      <c r="N375" t="e">
        <f t="shared" si="74"/>
        <v>#N/A</v>
      </c>
      <c r="O375">
        <f t="shared" si="75"/>
        <v>4.000375</v>
      </c>
      <c r="P375" t="str">
        <f>IF(OR($A375="",games!$H375=""),"",games!$H375)</f>
        <v/>
      </c>
      <c r="Q375" t="str">
        <f t="shared" si="76"/>
        <v/>
      </c>
      <c r="T375">
        <f>IF(connections!$A375="","",IFERROR(INDEX(games!$B$2:$B$950,MATCH(connections!$A375,games!$A$2:$A$950,0)),""))</f>
        <v>2024</v>
      </c>
      <c r="U375">
        <f>IF(connections!$A375="","",IFERROR(INDEX(games!$B$2:$B$950,MATCH(connections!$B375,games!$A$2:$A$950,0)),""))</f>
        <v>2026</v>
      </c>
      <c r="V375">
        <f t="shared" si="77"/>
        <v>2</v>
      </c>
    </row>
    <row r="376" spans="1:22" x14ac:dyDescent="0.25">
      <c r="A376" t="str">
        <f>IF(games!$A376="","",games!$A376)</f>
        <v>Hunter X Hunter: Nen X Survivor</v>
      </c>
      <c r="B376">
        <f>IF($A376="","",games!$B376)</f>
        <v>2026</v>
      </c>
      <c r="C376" t="str">
        <f>IF($A376="","",games!$C376)</f>
        <v>Action</v>
      </c>
      <c r="D376">
        <f>IF($A376="","",COUNTIF(connections!$A$2:$A$1473,$A376)+COUNTIF(connections!$B$2:$B$1473,$A376))</f>
        <v>1</v>
      </c>
      <c r="E376">
        <f t="shared" si="65"/>
        <v>1</v>
      </c>
      <c r="F376">
        <f t="shared" si="66"/>
        <v>2</v>
      </c>
      <c r="G376">
        <f t="shared" si="67"/>
        <v>2026</v>
      </c>
      <c r="H376">
        <f t="shared" si="68"/>
        <v>1.046</v>
      </c>
      <c r="I376" t="e">
        <f t="shared" si="69"/>
        <v>#N/A</v>
      </c>
      <c r="J376" t="e">
        <f t="shared" si="70"/>
        <v>#N/A</v>
      </c>
      <c r="K376" t="e">
        <f t="shared" si="71"/>
        <v>#N/A</v>
      </c>
      <c r="L376" t="e">
        <f t="shared" si="72"/>
        <v>#N/A</v>
      </c>
      <c r="M376" t="e">
        <f t="shared" si="73"/>
        <v>#N/A</v>
      </c>
      <c r="N376" t="e">
        <f t="shared" si="74"/>
        <v>#N/A</v>
      </c>
      <c r="O376">
        <f t="shared" si="75"/>
        <v>1.0003759999999999</v>
      </c>
      <c r="P376" t="str">
        <f>IF(OR($A376="",games!$H376=""),"",games!$H376)</f>
        <v>Yes</v>
      </c>
      <c r="Q376">
        <f t="shared" si="76"/>
        <v>1.0003759999999999</v>
      </c>
      <c r="T376">
        <f>IF(connections!$A376="","",IFERROR(INDEX(games!$B$2:$B$950,MATCH(connections!$A376,games!$A$2:$A$950,0)),""))</f>
        <v>2025</v>
      </c>
      <c r="U376">
        <f>IF(connections!$A376="","",IFERROR(INDEX(games!$B$2:$B$950,MATCH(connections!$B376,games!$A$2:$A$950,0)),""))</f>
        <v>2026</v>
      </c>
      <c r="V376">
        <f t="shared" si="77"/>
        <v>1</v>
      </c>
    </row>
    <row r="377" spans="1:22" x14ac:dyDescent="0.25">
      <c r="A377" t="str">
        <f>IF(games!$A377="","",games!$A377)</f>
        <v>HyperRogue</v>
      </c>
      <c r="B377">
        <f>IF($A377="","",games!$B377)</f>
        <v>2012</v>
      </c>
      <c r="C377" t="str">
        <f>IF($A377="","",games!$C377)</f>
        <v>Traditional</v>
      </c>
      <c r="D377">
        <f>IF($A377="","",COUNTIF(connections!$A$2:$A$1473,$A377)+COUNTIF(connections!$B$2:$B$1473,$A377))</f>
        <v>6</v>
      </c>
      <c r="E377">
        <f t="shared" si="65"/>
        <v>4</v>
      </c>
      <c r="F377">
        <f t="shared" si="66"/>
        <v>3</v>
      </c>
      <c r="G377" t="e">
        <f t="shared" si="67"/>
        <v>#N/A</v>
      </c>
      <c r="H377" t="e">
        <f t="shared" si="68"/>
        <v>#N/A</v>
      </c>
      <c r="I377" t="e">
        <f t="shared" si="69"/>
        <v>#N/A</v>
      </c>
      <c r="J377" t="e">
        <f t="shared" si="70"/>
        <v>#N/A</v>
      </c>
      <c r="K377" t="e">
        <f t="shared" si="71"/>
        <v>#N/A</v>
      </c>
      <c r="L377" t="e">
        <f t="shared" si="72"/>
        <v>#N/A</v>
      </c>
      <c r="M377">
        <f t="shared" si="73"/>
        <v>2012</v>
      </c>
      <c r="N377">
        <f t="shared" si="74"/>
        <v>4.069</v>
      </c>
      <c r="O377">
        <f t="shared" si="75"/>
        <v>6.0003770000000003</v>
      </c>
      <c r="P377" t="str">
        <f>IF(OR($A377="",games!$H377=""),"",games!$H377)</f>
        <v/>
      </c>
      <c r="Q377" t="str">
        <f t="shared" si="76"/>
        <v/>
      </c>
      <c r="T377">
        <f>IF(connections!$A377="","",IFERROR(INDEX(games!$B$2:$B$950,MATCH(connections!$A377,games!$A$2:$A$950,0)),""))</f>
        <v>2014</v>
      </c>
      <c r="U377">
        <f>IF(connections!$A377="","",IFERROR(INDEX(games!$B$2:$B$950,MATCH(connections!$B377,games!$A$2:$A$950,0)),""))</f>
        <v>2019</v>
      </c>
      <c r="V377">
        <f t="shared" si="77"/>
        <v>5</v>
      </c>
    </row>
    <row r="378" spans="1:22" x14ac:dyDescent="0.25">
      <c r="A378" t="str">
        <f>IF(games!$A378="","",games!$A378)</f>
        <v>I Am Legion: Stand Survivors</v>
      </c>
      <c r="B378">
        <f>IF($A378="","",games!$B378)</f>
        <v>2025</v>
      </c>
      <c r="C378" t="str">
        <f>IF($A378="","",games!$C378)</f>
        <v>Action</v>
      </c>
      <c r="D378">
        <f>IF($A378="","",COUNTIF(connections!$A$2:$A$1473,$A378)+COUNTIF(connections!$B$2:$B$1473,$A378))</f>
        <v>1</v>
      </c>
      <c r="E378">
        <f t="shared" si="65"/>
        <v>1</v>
      </c>
      <c r="F378">
        <f t="shared" si="66"/>
        <v>4</v>
      </c>
      <c r="G378">
        <f t="shared" si="67"/>
        <v>2025</v>
      </c>
      <c r="H378">
        <f t="shared" si="68"/>
        <v>1.0920000000000001</v>
      </c>
      <c r="I378" t="e">
        <f t="shared" si="69"/>
        <v>#N/A</v>
      </c>
      <c r="J378" t="e">
        <f t="shared" si="70"/>
        <v>#N/A</v>
      </c>
      <c r="K378" t="e">
        <f t="shared" si="71"/>
        <v>#N/A</v>
      </c>
      <c r="L378" t="e">
        <f t="shared" si="72"/>
        <v>#N/A</v>
      </c>
      <c r="M378" t="e">
        <f t="shared" si="73"/>
        <v>#N/A</v>
      </c>
      <c r="N378" t="e">
        <f t="shared" si="74"/>
        <v>#N/A</v>
      </c>
      <c r="O378">
        <f t="shared" si="75"/>
        <v>1.000378</v>
      </c>
      <c r="P378" t="str">
        <f>IF(OR($A378="",games!$H378=""),"",games!$H378)</f>
        <v>Yes</v>
      </c>
      <c r="Q378">
        <f t="shared" si="76"/>
        <v>1.000378</v>
      </c>
      <c r="T378">
        <f>IF(connections!$A378="","",IFERROR(INDEX(games!$B$2:$B$950,MATCH(connections!$A378,games!$A$2:$A$950,0)),""))</f>
        <v>2015</v>
      </c>
      <c r="U378">
        <f>IF(connections!$A378="","",IFERROR(INDEX(games!$B$2:$B$950,MATCH(connections!$B378,games!$A$2:$A$950,0)),""))</f>
        <v>2025</v>
      </c>
      <c r="V378">
        <f t="shared" si="77"/>
        <v>10</v>
      </c>
    </row>
    <row r="379" spans="1:22" x14ac:dyDescent="0.25">
      <c r="A379" t="str">
        <f>IF(games!$A379="","",games!$A379)</f>
        <v>I Am Overburdened</v>
      </c>
      <c r="B379">
        <f>IF($A379="","",games!$B379)</f>
        <v>2017</v>
      </c>
      <c r="C379" t="str">
        <f>IF($A379="","",games!$C379)</f>
        <v>Traditional</v>
      </c>
      <c r="D379">
        <f>IF($A379="","",COUNTIF(connections!$A$2:$A$1473,$A379)+COUNTIF(connections!$B$2:$B$1473,$A379))</f>
        <v>3</v>
      </c>
      <c r="E379">
        <f t="shared" si="65"/>
        <v>4</v>
      </c>
      <c r="F379">
        <f t="shared" si="66"/>
        <v>5</v>
      </c>
      <c r="G379" t="e">
        <f t="shared" si="67"/>
        <v>#N/A</v>
      </c>
      <c r="H379" t="e">
        <f t="shared" si="68"/>
        <v>#N/A</v>
      </c>
      <c r="I379" t="e">
        <f t="shared" si="69"/>
        <v>#N/A</v>
      </c>
      <c r="J379" t="e">
        <f t="shared" si="70"/>
        <v>#N/A</v>
      </c>
      <c r="K379" t="e">
        <f t="shared" si="71"/>
        <v>#N/A</v>
      </c>
      <c r="L379" t="e">
        <f t="shared" si="72"/>
        <v>#N/A</v>
      </c>
      <c r="M379">
        <f t="shared" si="73"/>
        <v>2017</v>
      </c>
      <c r="N379">
        <f t="shared" si="74"/>
        <v>4.1150000000000002</v>
      </c>
      <c r="O379">
        <f t="shared" si="75"/>
        <v>3.0003790000000001</v>
      </c>
      <c r="P379" t="str">
        <f>IF(OR($A379="",games!$H379=""),"",games!$H379)</f>
        <v/>
      </c>
      <c r="Q379" t="str">
        <f t="shared" si="76"/>
        <v/>
      </c>
      <c r="T379">
        <f>IF(connections!$A379="","",IFERROR(INDEX(games!$B$2:$B$950,MATCH(connections!$A379,games!$A$2:$A$950,0)),""))</f>
        <v>2019</v>
      </c>
      <c r="U379">
        <f>IF(connections!$A379="","",IFERROR(INDEX(games!$B$2:$B$950,MATCH(connections!$B379,games!$A$2:$A$950,0)),""))</f>
        <v>2025</v>
      </c>
      <c r="V379">
        <f t="shared" si="77"/>
        <v>6</v>
      </c>
    </row>
    <row r="380" spans="1:22" x14ac:dyDescent="0.25">
      <c r="A380" t="str">
        <f>IF(games!$A380="","",games!$A380)</f>
        <v>Icewall</v>
      </c>
      <c r="B380">
        <f>IF($A380="","",games!$B380)</f>
        <v>2022</v>
      </c>
      <c r="C380" t="str">
        <f>IF($A380="","",games!$C380)</f>
        <v>Action</v>
      </c>
      <c r="D380">
        <f>IF($A380="","",COUNTIF(connections!$A$2:$A$1473,$A380)+COUNTIF(connections!$B$2:$B$1473,$A380))</f>
        <v>1</v>
      </c>
      <c r="E380">
        <f t="shared" si="65"/>
        <v>1</v>
      </c>
      <c r="F380">
        <f t="shared" si="66"/>
        <v>6</v>
      </c>
      <c r="G380">
        <f t="shared" si="67"/>
        <v>2022</v>
      </c>
      <c r="H380">
        <f t="shared" si="68"/>
        <v>1.1379999999999999</v>
      </c>
      <c r="I380" t="e">
        <f t="shared" si="69"/>
        <v>#N/A</v>
      </c>
      <c r="J380" t="e">
        <f t="shared" si="70"/>
        <v>#N/A</v>
      </c>
      <c r="K380" t="e">
        <f t="shared" si="71"/>
        <v>#N/A</v>
      </c>
      <c r="L380" t="e">
        <f t="shared" si="72"/>
        <v>#N/A</v>
      </c>
      <c r="M380" t="e">
        <f t="shared" si="73"/>
        <v>#N/A</v>
      </c>
      <c r="N380" t="e">
        <f t="shared" si="74"/>
        <v>#N/A</v>
      </c>
      <c r="O380">
        <f t="shared" si="75"/>
        <v>1.00038</v>
      </c>
      <c r="P380" t="str">
        <f>IF(OR($A380="",games!$H380=""),"",games!$H380)</f>
        <v>Yes</v>
      </c>
      <c r="Q380">
        <f t="shared" si="76"/>
        <v>1.00038</v>
      </c>
      <c r="T380">
        <f>IF(connections!$A380="","",IFERROR(INDEX(games!$B$2:$B$950,MATCH(connections!$A380,games!$A$2:$A$950,0)),""))</f>
        <v>2017</v>
      </c>
      <c r="U380">
        <f>IF(connections!$A380="","",IFERROR(INDEX(games!$B$2:$B$950,MATCH(connections!$B380,games!$A$2:$A$950,0)),""))</f>
        <v>2025</v>
      </c>
      <c r="V380">
        <f t="shared" si="77"/>
        <v>8</v>
      </c>
    </row>
    <row r="381" spans="1:22" x14ac:dyDescent="0.25">
      <c r="A381" t="str">
        <f>IF(games!$A381="","",games!$A381)</f>
        <v>Immortal Redneck</v>
      </c>
      <c r="B381">
        <f>IF($A381="","",games!$B381)</f>
        <v>2017</v>
      </c>
      <c r="C381" t="str">
        <f>IF($A381="","",games!$C381)</f>
        <v>Action</v>
      </c>
      <c r="D381">
        <f>IF($A381="","",COUNTIF(connections!$A$2:$A$1473,$A381)+COUNTIF(connections!$B$2:$B$1473,$A381))</f>
        <v>4</v>
      </c>
      <c r="E381">
        <f t="shared" si="65"/>
        <v>1</v>
      </c>
      <c r="F381">
        <f t="shared" si="66"/>
        <v>7</v>
      </c>
      <c r="G381">
        <f t="shared" si="67"/>
        <v>2017</v>
      </c>
      <c r="H381">
        <f t="shared" si="68"/>
        <v>1.161</v>
      </c>
      <c r="I381" t="e">
        <f t="shared" si="69"/>
        <v>#N/A</v>
      </c>
      <c r="J381" t="e">
        <f t="shared" si="70"/>
        <v>#N/A</v>
      </c>
      <c r="K381" t="e">
        <f t="shared" si="71"/>
        <v>#N/A</v>
      </c>
      <c r="L381" t="e">
        <f t="shared" si="72"/>
        <v>#N/A</v>
      </c>
      <c r="M381" t="e">
        <f t="shared" si="73"/>
        <v>#N/A</v>
      </c>
      <c r="N381" t="e">
        <f t="shared" si="74"/>
        <v>#N/A</v>
      </c>
      <c r="O381">
        <f t="shared" si="75"/>
        <v>4.000381</v>
      </c>
      <c r="P381" t="str">
        <f>IF(OR($A381="",games!$H381=""),"",games!$H381)</f>
        <v>Yes</v>
      </c>
      <c r="Q381">
        <f t="shared" si="76"/>
        <v>4.000381</v>
      </c>
      <c r="T381">
        <f>IF(connections!$A381="","",IFERROR(INDEX(games!$B$2:$B$950,MATCH(connections!$A381,games!$A$2:$A$950,0)),""))</f>
        <v>2017</v>
      </c>
      <c r="U381">
        <f>IF(connections!$A381="","",IFERROR(INDEX(games!$B$2:$B$950,MATCH(connections!$B381,games!$A$2:$A$950,0)),""))</f>
        <v>2025</v>
      </c>
      <c r="V381">
        <f t="shared" si="77"/>
        <v>8</v>
      </c>
    </row>
    <row r="382" spans="1:22" x14ac:dyDescent="0.25">
      <c r="A382" t="str">
        <f>IF(games!$A382="","",games!$A382)</f>
        <v>In Celebration of Violence</v>
      </c>
      <c r="B382">
        <f>IF($A382="","",games!$B382)</f>
        <v>2016</v>
      </c>
      <c r="C382" t="str">
        <f>IF($A382="","",games!$C382)</f>
        <v>Action</v>
      </c>
      <c r="D382">
        <f>IF($A382="","",COUNTIF(connections!$A$2:$A$1473,$A382)+COUNTIF(connections!$B$2:$B$1473,$A382))</f>
        <v>1</v>
      </c>
      <c r="E382">
        <f t="shared" si="65"/>
        <v>1</v>
      </c>
      <c r="F382">
        <f t="shared" si="66"/>
        <v>8</v>
      </c>
      <c r="G382">
        <f t="shared" si="67"/>
        <v>2016</v>
      </c>
      <c r="H382">
        <f t="shared" si="68"/>
        <v>1.1839999999999999</v>
      </c>
      <c r="I382" t="e">
        <f t="shared" si="69"/>
        <v>#N/A</v>
      </c>
      <c r="J382" t="e">
        <f t="shared" si="70"/>
        <v>#N/A</v>
      </c>
      <c r="K382" t="e">
        <f t="shared" si="71"/>
        <v>#N/A</v>
      </c>
      <c r="L382" t="e">
        <f t="shared" si="72"/>
        <v>#N/A</v>
      </c>
      <c r="M382" t="e">
        <f t="shared" si="73"/>
        <v>#N/A</v>
      </c>
      <c r="N382" t="e">
        <f t="shared" si="74"/>
        <v>#N/A</v>
      </c>
      <c r="O382">
        <f t="shared" si="75"/>
        <v>1.0003820000000001</v>
      </c>
      <c r="P382" t="str">
        <f>IF(OR($A382="",games!$H382=""),"",games!$H382)</f>
        <v/>
      </c>
      <c r="Q382" t="str">
        <f t="shared" si="76"/>
        <v/>
      </c>
      <c r="T382">
        <f>IF(connections!$A382="","",IFERROR(INDEX(games!$B$2:$B$950,MATCH(connections!$A382,games!$A$2:$A$950,0)),""))</f>
        <v>2017</v>
      </c>
      <c r="U382">
        <f>IF(connections!$A382="","",IFERROR(INDEX(games!$B$2:$B$950,MATCH(connections!$B382,games!$A$2:$A$950,0)),""))</f>
        <v>2024</v>
      </c>
      <c r="V382">
        <f t="shared" si="77"/>
        <v>7</v>
      </c>
    </row>
    <row r="383" spans="1:22" x14ac:dyDescent="0.25">
      <c r="A383" t="str">
        <f>IF(games!$A383="","",games!$A383)</f>
        <v>Incursion</v>
      </c>
      <c r="B383">
        <f>IF($A383="","",games!$B383)</f>
        <v>2007</v>
      </c>
      <c r="C383" t="str">
        <f>IF($A383="","",games!$C383)</f>
        <v>Traditional</v>
      </c>
      <c r="D383">
        <f>IF($A383="","",COUNTIF(connections!$A$2:$A$1473,$A383)+COUNTIF(connections!$B$2:$B$1473,$A383))</f>
        <v>6</v>
      </c>
      <c r="E383">
        <f t="shared" si="65"/>
        <v>4</v>
      </c>
      <c r="F383">
        <f t="shared" si="66"/>
        <v>9</v>
      </c>
      <c r="G383" t="e">
        <f t="shared" si="67"/>
        <v>#N/A</v>
      </c>
      <c r="H383" t="e">
        <f t="shared" si="68"/>
        <v>#N/A</v>
      </c>
      <c r="I383" t="e">
        <f t="shared" si="69"/>
        <v>#N/A</v>
      </c>
      <c r="J383" t="e">
        <f t="shared" si="70"/>
        <v>#N/A</v>
      </c>
      <c r="K383" t="e">
        <f t="shared" si="71"/>
        <v>#N/A</v>
      </c>
      <c r="L383" t="e">
        <f t="shared" si="72"/>
        <v>#N/A</v>
      </c>
      <c r="M383">
        <f t="shared" si="73"/>
        <v>2007</v>
      </c>
      <c r="N383">
        <f t="shared" si="74"/>
        <v>4.2069999999999999</v>
      </c>
      <c r="O383">
        <f t="shared" si="75"/>
        <v>6.0003830000000002</v>
      </c>
      <c r="P383" t="str">
        <f>IF(OR($A383="",games!$H383=""),"",games!$H383)</f>
        <v>Yes</v>
      </c>
      <c r="Q383">
        <f t="shared" si="76"/>
        <v>6.0003830000000002</v>
      </c>
      <c r="T383">
        <f>IF(connections!$A383="","",IFERROR(INDEX(games!$B$2:$B$950,MATCH(connections!$A383,games!$A$2:$A$950,0)),""))</f>
        <v>2022</v>
      </c>
      <c r="U383">
        <f>IF(connections!$A383="","",IFERROR(INDEX(games!$B$2:$B$950,MATCH(connections!$B383,games!$A$2:$A$950,0)),""))</f>
        <v>2023</v>
      </c>
      <c r="V383">
        <f t="shared" si="77"/>
        <v>1</v>
      </c>
    </row>
    <row r="384" spans="1:22" x14ac:dyDescent="0.25">
      <c r="A384" t="str">
        <f>IF(games!$A384="","",games!$A384)</f>
        <v>Infinite Space III: Sea of Stars</v>
      </c>
      <c r="B384">
        <f>IF($A384="","",games!$B384)</f>
        <v>2015</v>
      </c>
      <c r="C384" t="str">
        <f>IF($A384="","",games!$C384)</f>
        <v>Strategy</v>
      </c>
      <c r="D384">
        <f>IF($A384="","",COUNTIF(connections!$A$2:$A$1473,$A384)+COUNTIF(connections!$B$2:$B$1473,$A384))</f>
        <v>1</v>
      </c>
      <c r="E384">
        <f t="shared" si="65"/>
        <v>2</v>
      </c>
      <c r="F384">
        <f t="shared" si="66"/>
        <v>10</v>
      </c>
      <c r="G384" t="e">
        <f t="shared" si="67"/>
        <v>#N/A</v>
      </c>
      <c r="H384" t="e">
        <f t="shared" si="68"/>
        <v>#N/A</v>
      </c>
      <c r="I384">
        <f t="shared" si="69"/>
        <v>2015</v>
      </c>
      <c r="J384">
        <f t="shared" si="70"/>
        <v>2.23</v>
      </c>
      <c r="K384" t="e">
        <f t="shared" si="71"/>
        <v>#N/A</v>
      </c>
      <c r="L384" t="e">
        <f t="shared" si="72"/>
        <v>#N/A</v>
      </c>
      <c r="M384" t="e">
        <f t="shared" si="73"/>
        <v>#N/A</v>
      </c>
      <c r="N384" t="e">
        <f t="shared" si="74"/>
        <v>#N/A</v>
      </c>
      <c r="O384">
        <f t="shared" si="75"/>
        <v>1.0003839999999999</v>
      </c>
      <c r="P384" t="str">
        <f>IF(OR($A384="",games!$H384=""),"",games!$H384)</f>
        <v>Yes</v>
      </c>
      <c r="Q384">
        <f t="shared" si="76"/>
        <v>1.0003839999999999</v>
      </c>
      <c r="T384">
        <f>IF(connections!$A384="","",IFERROR(INDEX(games!$B$2:$B$950,MATCH(connections!$A384,games!$A$2:$A$950,0)),""))</f>
        <v>2021</v>
      </c>
      <c r="U384">
        <f>IF(connections!$A384="","",IFERROR(INDEX(games!$B$2:$B$950,MATCH(connections!$B384,games!$A$2:$A$950,0)),""))</f>
        <v>2023</v>
      </c>
      <c r="V384">
        <f t="shared" si="77"/>
        <v>2</v>
      </c>
    </row>
    <row r="385" spans="1:22" x14ac:dyDescent="0.25">
      <c r="A385" t="str">
        <f>IF(games!$A385="","",games!$A385)</f>
        <v>Infra Arcana</v>
      </c>
      <c r="B385">
        <f>IF($A385="","",games!$B385)</f>
        <v>2011</v>
      </c>
      <c r="C385" t="str">
        <f>IF($A385="","",games!$C385)</f>
        <v>Traditional</v>
      </c>
      <c r="D385">
        <f>IF($A385="","",COUNTIF(connections!$A$2:$A$1473,$A385)+COUNTIF(connections!$B$2:$B$1473,$A385))</f>
        <v>3</v>
      </c>
      <c r="E385">
        <f t="shared" si="65"/>
        <v>4</v>
      </c>
      <c r="F385">
        <f t="shared" si="66"/>
        <v>11</v>
      </c>
      <c r="G385" t="e">
        <f t="shared" si="67"/>
        <v>#N/A</v>
      </c>
      <c r="H385" t="e">
        <f t="shared" si="68"/>
        <v>#N/A</v>
      </c>
      <c r="I385" t="e">
        <f t="shared" si="69"/>
        <v>#N/A</v>
      </c>
      <c r="J385" t="e">
        <f t="shared" si="70"/>
        <v>#N/A</v>
      </c>
      <c r="K385" t="e">
        <f t="shared" si="71"/>
        <v>#N/A</v>
      </c>
      <c r="L385" t="e">
        <f t="shared" si="72"/>
        <v>#N/A</v>
      </c>
      <c r="M385">
        <f t="shared" si="73"/>
        <v>2011</v>
      </c>
      <c r="N385">
        <f t="shared" si="74"/>
        <v>4.2530000000000001</v>
      </c>
      <c r="O385">
        <f t="shared" si="75"/>
        <v>3.0003850000000001</v>
      </c>
      <c r="P385" t="str">
        <f>IF(OR($A385="",games!$H385=""),"",games!$H385)</f>
        <v>Yes</v>
      </c>
      <c r="Q385">
        <f t="shared" si="76"/>
        <v>3.0003850000000001</v>
      </c>
      <c r="T385">
        <f>IF(connections!$A385="","",IFERROR(INDEX(games!$B$2:$B$950,MATCH(connections!$A385,games!$A$2:$A$950,0)),""))</f>
        <v>2022</v>
      </c>
      <c r="U385">
        <f>IF(connections!$A385="","",IFERROR(INDEX(games!$B$2:$B$950,MATCH(connections!$B385,games!$A$2:$A$950,0)),""))</f>
        <v>2026</v>
      </c>
      <c r="V385">
        <f t="shared" si="77"/>
        <v>4</v>
      </c>
    </row>
    <row r="386" spans="1:22" x14ac:dyDescent="0.25">
      <c r="A386" t="str">
        <f>IF(games!$A386="","",games!$A386)</f>
        <v>Inkbound</v>
      </c>
      <c r="B386">
        <f>IF($A386="","",games!$B386)</f>
        <v>2023</v>
      </c>
      <c r="C386" t="str">
        <f>IF($A386="","",games!$C386)</f>
        <v>Strategy</v>
      </c>
      <c r="D386">
        <f>IF($A386="","",COUNTIF(connections!$A$2:$A$1473,$A386)+COUNTIF(connections!$B$2:$B$1473,$A386))</f>
        <v>2</v>
      </c>
      <c r="E386">
        <f t="shared" ref="E386:E449" si="78">IF($A386="","",IFERROR(MATCH($C386,$R$2:$R$5,0),0))</f>
        <v>2</v>
      </c>
      <c r="F386">
        <f t="shared" ref="F386:F449" si="79">IF($A386="","",MOD(ROW(),34))</f>
        <v>12</v>
      </c>
      <c r="G386" t="e">
        <f t="shared" ref="G386:G449" si="80">IF($A386="",NA(),IF($C386="Action",$B386,NA()))</f>
        <v>#N/A</v>
      </c>
      <c r="H386" t="e">
        <f t="shared" ref="H386:H449" si="81">IF($A386="",NA(),IF($C386="Action",1+$F386*0.023,NA()))</f>
        <v>#N/A</v>
      </c>
      <c r="I386">
        <f t="shared" ref="I386:I449" si="82">IF($A386="",NA(),IF($C386="Strategy",$B386,NA()))</f>
        <v>2023</v>
      </c>
      <c r="J386">
        <f t="shared" ref="J386:J449" si="83">IF($A386="",NA(),IF($C386="Strategy",2+$F386*0.023,NA()))</f>
        <v>2.2759999999999998</v>
      </c>
      <c r="K386" t="e">
        <f t="shared" ref="K386:K449" si="84">IF($A386="",NA(),IF($C386="Deckbuilder",$B386,NA()))</f>
        <v>#N/A</v>
      </c>
      <c r="L386" t="e">
        <f t="shared" ref="L386:L449" si="85">IF($A386="",NA(),IF($C386="Deckbuilder",3+$F386*0.023,NA()))</f>
        <v>#N/A</v>
      </c>
      <c r="M386" t="e">
        <f t="shared" ref="M386:M449" si="86">IF($A386="",NA(),IF($C386="Traditional",$B386,NA()))</f>
        <v>#N/A</v>
      </c>
      <c r="N386" t="e">
        <f t="shared" ref="N386:N449" si="87">IF($A386="",NA(),IF($C386="Traditional",4+$F386*0.023,NA()))</f>
        <v>#N/A</v>
      </c>
      <c r="O386">
        <f t="shared" ref="O386:O449" si="88">IF($A386="","",$D386+ROW()/1000000)</f>
        <v>2.0003860000000002</v>
      </c>
      <c r="P386" t="str">
        <f>IF(OR($A386="",games!$H386=""),"",games!$H386)</f>
        <v>Yes</v>
      </c>
      <c r="Q386">
        <f t="shared" ref="Q386:Q449" si="89">IF(OR($A386="",$P386&lt;&gt;"Yes"),"",$D386+ROW()/1000000)</f>
        <v>2.0003860000000002</v>
      </c>
      <c r="T386">
        <f>IF(connections!$A386="","",IFERROR(INDEX(games!$B$2:$B$950,MATCH(connections!$A386,games!$A$2:$A$950,0)),""))</f>
        <v>2021</v>
      </c>
      <c r="U386">
        <f>IF(connections!$A386="","",IFERROR(INDEX(games!$B$2:$B$950,MATCH(connections!$B386,games!$A$2:$A$950,0)),""))</f>
        <v>2024</v>
      </c>
      <c r="V386">
        <f t="shared" ref="V386:V449" si="90">IF(OR($T386="",$U386=""),"",$U386-$T386)</f>
        <v>3</v>
      </c>
    </row>
    <row r="387" spans="1:22" x14ac:dyDescent="0.25">
      <c r="A387" t="str">
        <f>IF(games!$A387="","",games!$A387)</f>
        <v>Inkshade</v>
      </c>
      <c r="B387">
        <f>IF($A387="","",games!$B387)</f>
        <v>2025</v>
      </c>
      <c r="C387" t="str">
        <f>IF($A387="","",games!$C387)</f>
        <v>Strategy</v>
      </c>
      <c r="D387">
        <f>IF($A387="","",COUNTIF(connections!$A$2:$A$1473,$A387)+COUNTIF(connections!$B$2:$B$1473,$A387))</f>
        <v>2</v>
      </c>
      <c r="E387">
        <f t="shared" si="78"/>
        <v>2</v>
      </c>
      <c r="F387">
        <f t="shared" si="79"/>
        <v>13</v>
      </c>
      <c r="G387" t="e">
        <f t="shared" si="80"/>
        <v>#N/A</v>
      </c>
      <c r="H387" t="e">
        <f t="shared" si="81"/>
        <v>#N/A</v>
      </c>
      <c r="I387">
        <f t="shared" si="82"/>
        <v>2025</v>
      </c>
      <c r="J387">
        <f t="shared" si="83"/>
        <v>2.2989999999999999</v>
      </c>
      <c r="K387" t="e">
        <f t="shared" si="84"/>
        <v>#N/A</v>
      </c>
      <c r="L387" t="e">
        <f t="shared" si="85"/>
        <v>#N/A</v>
      </c>
      <c r="M387" t="e">
        <f t="shared" si="86"/>
        <v>#N/A</v>
      </c>
      <c r="N387" t="e">
        <f t="shared" si="87"/>
        <v>#N/A</v>
      </c>
      <c r="O387">
        <f t="shared" si="88"/>
        <v>2.0003869999999999</v>
      </c>
      <c r="P387" t="str">
        <f>IF(OR($A387="",games!$H387=""),"",games!$H387)</f>
        <v/>
      </c>
      <c r="Q387" t="str">
        <f t="shared" si="89"/>
        <v/>
      </c>
      <c r="T387">
        <f>IF(connections!$A387="","",IFERROR(INDEX(games!$B$2:$B$950,MATCH(connections!$A387,games!$A$2:$A$950,0)),""))</f>
        <v>2019</v>
      </c>
      <c r="U387">
        <f>IF(connections!$A387="","",IFERROR(INDEX(games!$B$2:$B$950,MATCH(connections!$B387,games!$A$2:$A$950,0)),""))</f>
        <v>2025</v>
      </c>
      <c r="V387">
        <f t="shared" si="90"/>
        <v>6</v>
      </c>
    </row>
    <row r="388" spans="1:22" x14ac:dyDescent="0.25">
      <c r="A388" t="str">
        <f>IF(games!$A388="","",games!$A388)</f>
        <v>Inscryption</v>
      </c>
      <c r="B388">
        <f>IF($A388="","",games!$B388)</f>
        <v>2021</v>
      </c>
      <c r="C388" t="str">
        <f>IF($A388="","",games!$C388)</f>
        <v>Deckbuilder</v>
      </c>
      <c r="D388">
        <f>IF($A388="","",COUNTIF(connections!$A$2:$A$1473,$A388)+COUNTIF(connections!$B$2:$B$1473,$A388))</f>
        <v>18</v>
      </c>
      <c r="E388">
        <f t="shared" si="78"/>
        <v>3</v>
      </c>
      <c r="F388">
        <f t="shared" si="79"/>
        <v>14</v>
      </c>
      <c r="G388" t="e">
        <f t="shared" si="80"/>
        <v>#N/A</v>
      </c>
      <c r="H388" t="e">
        <f t="shared" si="81"/>
        <v>#N/A</v>
      </c>
      <c r="I388" t="e">
        <f t="shared" si="82"/>
        <v>#N/A</v>
      </c>
      <c r="J388" t="e">
        <f t="shared" si="83"/>
        <v>#N/A</v>
      </c>
      <c r="K388">
        <f t="shared" si="84"/>
        <v>2021</v>
      </c>
      <c r="L388">
        <f t="shared" si="85"/>
        <v>3.3220000000000001</v>
      </c>
      <c r="M388" t="e">
        <f t="shared" si="86"/>
        <v>#N/A</v>
      </c>
      <c r="N388" t="e">
        <f t="shared" si="87"/>
        <v>#N/A</v>
      </c>
      <c r="O388">
        <f t="shared" si="88"/>
        <v>18.000388000000001</v>
      </c>
      <c r="P388" t="str">
        <f>IF(OR($A388="",games!$H388=""),"",games!$H388)</f>
        <v>Yes</v>
      </c>
      <c r="Q388">
        <f t="shared" si="89"/>
        <v>18.000388000000001</v>
      </c>
      <c r="T388">
        <f>IF(connections!$A388="","",IFERROR(INDEX(games!$B$2:$B$950,MATCH(connections!$A388,games!$A$2:$A$950,0)),""))</f>
        <v>2017</v>
      </c>
      <c r="U388">
        <f>IF(connections!$A388="","",IFERROR(INDEX(games!$B$2:$B$950,MATCH(connections!$B388,games!$A$2:$A$950,0)),""))</f>
        <v>2025</v>
      </c>
      <c r="V388">
        <f t="shared" si="90"/>
        <v>8</v>
      </c>
    </row>
    <row r="389" spans="1:22" x14ac:dyDescent="0.25">
      <c r="A389" t="str">
        <f>IF(games!$A389="","",games!$A389)</f>
        <v>Insider Trading</v>
      </c>
      <c r="B389">
        <f>IF($A389="","",games!$B389)</f>
        <v>2026</v>
      </c>
      <c r="C389" t="str">
        <f>IF($A389="","",games!$C389)</f>
        <v>Deckbuilder</v>
      </c>
      <c r="D389">
        <f>IF($A389="","",COUNTIF(connections!$A$2:$A$1473,$A389)+COUNTIF(connections!$B$2:$B$1473,$A389))</f>
        <v>2</v>
      </c>
      <c r="E389">
        <f t="shared" si="78"/>
        <v>3</v>
      </c>
      <c r="F389">
        <f t="shared" si="79"/>
        <v>15</v>
      </c>
      <c r="G389" t="e">
        <f t="shared" si="80"/>
        <v>#N/A</v>
      </c>
      <c r="H389" t="e">
        <f t="shared" si="81"/>
        <v>#N/A</v>
      </c>
      <c r="I389" t="e">
        <f t="shared" si="82"/>
        <v>#N/A</v>
      </c>
      <c r="J389" t="e">
        <f t="shared" si="83"/>
        <v>#N/A</v>
      </c>
      <c r="K389">
        <f t="shared" si="84"/>
        <v>2026</v>
      </c>
      <c r="L389">
        <f t="shared" si="85"/>
        <v>3.3449999999999998</v>
      </c>
      <c r="M389" t="e">
        <f t="shared" si="86"/>
        <v>#N/A</v>
      </c>
      <c r="N389" t="e">
        <f t="shared" si="87"/>
        <v>#N/A</v>
      </c>
      <c r="O389">
        <f t="shared" si="88"/>
        <v>2.0003890000000002</v>
      </c>
      <c r="P389" t="str">
        <f>IF(OR($A389="",games!$H389=""),"",games!$H389)</f>
        <v/>
      </c>
      <c r="Q389" t="str">
        <f t="shared" si="89"/>
        <v/>
      </c>
      <c r="T389">
        <f>IF(connections!$A389="","",IFERROR(INDEX(games!$B$2:$B$950,MATCH(connections!$A389,games!$A$2:$A$950,0)),""))</f>
        <v>2023</v>
      </c>
      <c r="U389">
        <f>IF(connections!$A389="","",IFERROR(INDEX(games!$B$2:$B$950,MATCH(connections!$B389,games!$A$2:$A$950,0)),""))</f>
        <v>2025</v>
      </c>
      <c r="V389">
        <f t="shared" si="90"/>
        <v>2</v>
      </c>
    </row>
    <row r="390" spans="1:22" x14ac:dyDescent="0.25">
      <c r="A390" t="str">
        <f>IF(games!$A390="","",games!$A390)</f>
        <v>Insurmountable</v>
      </c>
      <c r="B390">
        <f>IF($A390="","",games!$B390)</f>
        <v>2021</v>
      </c>
      <c r="C390" t="str">
        <f>IF($A390="","",games!$C390)</f>
        <v>Strategy</v>
      </c>
      <c r="D390">
        <f>IF($A390="","",COUNTIF(connections!$A$2:$A$1473,$A390)+COUNTIF(connections!$B$2:$B$1473,$A390))</f>
        <v>2</v>
      </c>
      <c r="E390">
        <f t="shared" si="78"/>
        <v>2</v>
      </c>
      <c r="F390">
        <f t="shared" si="79"/>
        <v>16</v>
      </c>
      <c r="G390" t="e">
        <f t="shared" si="80"/>
        <v>#N/A</v>
      </c>
      <c r="H390" t="e">
        <f t="shared" si="81"/>
        <v>#N/A</v>
      </c>
      <c r="I390">
        <f t="shared" si="82"/>
        <v>2021</v>
      </c>
      <c r="J390">
        <f t="shared" si="83"/>
        <v>2.3679999999999999</v>
      </c>
      <c r="K390" t="e">
        <f t="shared" si="84"/>
        <v>#N/A</v>
      </c>
      <c r="L390" t="e">
        <f t="shared" si="85"/>
        <v>#N/A</v>
      </c>
      <c r="M390" t="e">
        <f t="shared" si="86"/>
        <v>#N/A</v>
      </c>
      <c r="N390" t="e">
        <f t="shared" si="87"/>
        <v>#N/A</v>
      </c>
      <c r="O390">
        <f t="shared" si="88"/>
        <v>2.0003899999999999</v>
      </c>
      <c r="P390" t="str">
        <f>IF(OR($A390="",games!$H390=""),"",games!$H390)</f>
        <v>Yes</v>
      </c>
      <c r="Q390">
        <f t="shared" si="89"/>
        <v>2.0003899999999999</v>
      </c>
      <c r="T390">
        <f>IF(connections!$A390="","",IFERROR(INDEX(games!$B$2:$B$950,MATCH(connections!$A390,games!$A$2:$A$950,0)),""))</f>
        <v>2018</v>
      </c>
      <c r="U390">
        <f>IF(connections!$A390="","",IFERROR(INDEX(games!$B$2:$B$950,MATCH(connections!$B390,games!$A$2:$A$950,0)),""))</f>
        <v>2022</v>
      </c>
      <c r="V390">
        <f t="shared" si="90"/>
        <v>4</v>
      </c>
    </row>
    <row r="391" spans="1:22" x14ac:dyDescent="0.25">
      <c r="A391" t="str">
        <f>IF(games!$A391="","",games!$A391)</f>
        <v>Into the Breach</v>
      </c>
      <c r="B391">
        <f>IF($A391="","",games!$B391)</f>
        <v>2018</v>
      </c>
      <c r="C391" t="str">
        <f>IF($A391="","",games!$C391)</f>
        <v>Strategy</v>
      </c>
      <c r="D391">
        <f>IF($A391="","",COUNTIF(connections!$A$2:$A$1473,$A391)+COUNTIF(connections!$B$2:$B$1473,$A391))</f>
        <v>28</v>
      </c>
      <c r="E391">
        <f t="shared" si="78"/>
        <v>2</v>
      </c>
      <c r="F391">
        <f t="shared" si="79"/>
        <v>17</v>
      </c>
      <c r="G391" t="e">
        <f t="shared" si="80"/>
        <v>#N/A</v>
      </c>
      <c r="H391" t="e">
        <f t="shared" si="81"/>
        <v>#N/A</v>
      </c>
      <c r="I391">
        <f t="shared" si="82"/>
        <v>2018</v>
      </c>
      <c r="J391">
        <f t="shared" si="83"/>
        <v>2.391</v>
      </c>
      <c r="K391" t="e">
        <f t="shared" si="84"/>
        <v>#N/A</v>
      </c>
      <c r="L391" t="e">
        <f t="shared" si="85"/>
        <v>#N/A</v>
      </c>
      <c r="M391" t="e">
        <f t="shared" si="86"/>
        <v>#N/A</v>
      </c>
      <c r="N391" t="e">
        <f t="shared" si="87"/>
        <v>#N/A</v>
      </c>
      <c r="O391">
        <f t="shared" si="88"/>
        <v>28.000391</v>
      </c>
      <c r="P391" t="str">
        <f>IF(OR($A391="",games!$H391=""),"",games!$H391)</f>
        <v>Yes</v>
      </c>
      <c r="Q391">
        <f t="shared" si="89"/>
        <v>28.000391</v>
      </c>
      <c r="T391">
        <f>IF(connections!$A391="","",IFERROR(INDEX(games!$B$2:$B$950,MATCH(connections!$A391,games!$A$2:$A$950,0)),""))</f>
        <v>2016</v>
      </c>
      <c r="U391">
        <f>IF(connections!$A391="","",IFERROR(INDEX(games!$B$2:$B$950,MATCH(connections!$B391,games!$A$2:$A$950,0)),""))</f>
        <v>2022</v>
      </c>
      <c r="V391">
        <f t="shared" si="90"/>
        <v>6</v>
      </c>
    </row>
    <row r="392" spans="1:22" x14ac:dyDescent="0.25">
      <c r="A392" t="str">
        <f>IF(games!$A392="","",games!$A392)</f>
        <v>Into The Grid</v>
      </c>
      <c r="B392">
        <f>IF($A392="","",games!$B392)</f>
        <v>2025</v>
      </c>
      <c r="C392" t="str">
        <f>IF($A392="","",games!$C392)</f>
        <v>Deckbuilder</v>
      </c>
      <c r="D392">
        <f>IF($A392="","",COUNTIF(connections!$A$2:$A$1473,$A392)+COUNTIF(connections!$B$2:$B$1473,$A392))</f>
        <v>1</v>
      </c>
      <c r="E392">
        <f t="shared" si="78"/>
        <v>3</v>
      </c>
      <c r="F392">
        <f t="shared" si="79"/>
        <v>18</v>
      </c>
      <c r="G392" t="e">
        <f t="shared" si="80"/>
        <v>#N/A</v>
      </c>
      <c r="H392" t="e">
        <f t="shared" si="81"/>
        <v>#N/A</v>
      </c>
      <c r="I392" t="e">
        <f t="shared" si="82"/>
        <v>#N/A</v>
      </c>
      <c r="J392" t="e">
        <f t="shared" si="83"/>
        <v>#N/A</v>
      </c>
      <c r="K392">
        <f t="shared" si="84"/>
        <v>2025</v>
      </c>
      <c r="L392">
        <f t="shared" si="85"/>
        <v>3.4140000000000001</v>
      </c>
      <c r="M392" t="e">
        <f t="shared" si="86"/>
        <v>#N/A</v>
      </c>
      <c r="N392" t="e">
        <f t="shared" si="87"/>
        <v>#N/A</v>
      </c>
      <c r="O392">
        <f t="shared" si="88"/>
        <v>1.0003919999999999</v>
      </c>
      <c r="P392" t="str">
        <f>IF(OR($A392="",games!$H392=""),"",games!$H392)</f>
        <v/>
      </c>
      <c r="Q392" t="str">
        <f t="shared" si="89"/>
        <v/>
      </c>
      <c r="T392">
        <f>IF(connections!$A392="","",IFERROR(INDEX(games!$B$2:$B$950,MATCH(connections!$A392,games!$A$2:$A$950,0)),""))</f>
        <v>2025</v>
      </c>
      <c r="U392">
        <f>IF(connections!$A392="","",IFERROR(INDEX(games!$B$2:$B$950,MATCH(connections!$B392,games!$A$2:$A$950,0)),""))</f>
        <v>2026</v>
      </c>
      <c r="V392">
        <f t="shared" si="90"/>
        <v>1</v>
      </c>
    </row>
    <row r="393" spans="1:22" x14ac:dyDescent="0.25">
      <c r="A393" t="str">
        <f>IF(games!$A393="","",games!$A393)</f>
        <v>Iratus: Lord of the Dead</v>
      </c>
      <c r="B393">
        <f>IF($A393="","",games!$B393)</f>
        <v>2019</v>
      </c>
      <c r="C393" t="str">
        <f>IF($A393="","",games!$C393)</f>
        <v>Strategy</v>
      </c>
      <c r="D393">
        <f>IF($A393="","",COUNTIF(connections!$A$2:$A$1473,$A393)+COUNTIF(connections!$B$2:$B$1473,$A393))</f>
        <v>2</v>
      </c>
      <c r="E393">
        <f t="shared" si="78"/>
        <v>2</v>
      </c>
      <c r="F393">
        <f t="shared" si="79"/>
        <v>19</v>
      </c>
      <c r="G393" t="e">
        <f t="shared" si="80"/>
        <v>#N/A</v>
      </c>
      <c r="H393" t="e">
        <f t="shared" si="81"/>
        <v>#N/A</v>
      </c>
      <c r="I393">
        <f t="shared" si="82"/>
        <v>2019</v>
      </c>
      <c r="J393">
        <f t="shared" si="83"/>
        <v>2.4369999999999998</v>
      </c>
      <c r="K393" t="e">
        <f t="shared" si="84"/>
        <v>#N/A</v>
      </c>
      <c r="L393" t="e">
        <f t="shared" si="85"/>
        <v>#N/A</v>
      </c>
      <c r="M393" t="e">
        <f t="shared" si="86"/>
        <v>#N/A</v>
      </c>
      <c r="N393" t="e">
        <f t="shared" si="87"/>
        <v>#N/A</v>
      </c>
      <c r="O393">
        <f t="shared" si="88"/>
        <v>2.0003929999999999</v>
      </c>
      <c r="P393" t="str">
        <f>IF(OR($A393="",games!$H393=""),"",games!$H393)</f>
        <v>Yes</v>
      </c>
      <c r="Q393">
        <f t="shared" si="89"/>
        <v>2.0003929999999999</v>
      </c>
      <c r="T393">
        <f>IF(connections!$A393="","",IFERROR(INDEX(games!$B$2:$B$950,MATCH(connections!$A393,games!$A$2:$A$950,0)),""))</f>
        <v>2013</v>
      </c>
      <c r="U393">
        <f>IF(connections!$A393="","",IFERROR(INDEX(games!$B$2:$B$950,MATCH(connections!$B393,games!$A$2:$A$950,0)),""))</f>
        <v>2014</v>
      </c>
      <c r="V393">
        <f t="shared" si="90"/>
        <v>1</v>
      </c>
    </row>
    <row r="394" spans="1:22" x14ac:dyDescent="0.25">
      <c r="A394" t="str">
        <f>IF(games!$A394="","",games!$A394)</f>
        <v>Iter Vehemens Ad Necem</v>
      </c>
      <c r="B394">
        <f>IF($A394="","",games!$B394)</f>
        <v>2001</v>
      </c>
      <c r="C394" t="str">
        <f>IF($A394="","",games!$C394)</f>
        <v>Traditional</v>
      </c>
      <c r="D394">
        <f>IF($A394="","",COUNTIF(connections!$A$2:$A$1473,$A394)+COUNTIF(connections!$B$2:$B$1473,$A394))</f>
        <v>3</v>
      </c>
      <c r="E394">
        <f t="shared" si="78"/>
        <v>4</v>
      </c>
      <c r="F394">
        <f t="shared" si="79"/>
        <v>20</v>
      </c>
      <c r="G394" t="e">
        <f t="shared" si="80"/>
        <v>#N/A</v>
      </c>
      <c r="H394" t="e">
        <f t="shared" si="81"/>
        <v>#N/A</v>
      </c>
      <c r="I394" t="e">
        <f t="shared" si="82"/>
        <v>#N/A</v>
      </c>
      <c r="J394" t="e">
        <f t="shared" si="83"/>
        <v>#N/A</v>
      </c>
      <c r="K394" t="e">
        <f t="shared" si="84"/>
        <v>#N/A</v>
      </c>
      <c r="L394" t="e">
        <f t="shared" si="85"/>
        <v>#N/A</v>
      </c>
      <c r="M394">
        <f t="shared" si="86"/>
        <v>2001</v>
      </c>
      <c r="N394">
        <f t="shared" si="87"/>
        <v>4.46</v>
      </c>
      <c r="O394">
        <f t="shared" si="88"/>
        <v>3.000394</v>
      </c>
      <c r="P394" t="str">
        <f>IF(OR($A394="",games!$H394=""),"",games!$H394)</f>
        <v>Yes</v>
      </c>
      <c r="Q394">
        <f t="shared" si="89"/>
        <v>3.000394</v>
      </c>
      <c r="T394">
        <f>IF(connections!$A394="","",IFERROR(INDEX(games!$B$2:$B$950,MATCH(connections!$A394,games!$A$2:$A$950,0)),""))</f>
        <v>2008</v>
      </c>
      <c r="U394">
        <f>IF(connections!$A394="","",IFERROR(INDEX(games!$B$2:$B$950,MATCH(connections!$B394,games!$A$2:$A$950,0)),""))</f>
        <v>2015</v>
      </c>
      <c r="V394">
        <f t="shared" si="90"/>
        <v>7</v>
      </c>
    </row>
    <row r="395" spans="1:22" x14ac:dyDescent="0.25">
      <c r="A395" t="str">
        <f>IF(games!$A395="","",games!$A395)</f>
        <v>Izuna 2: The Unemployed Ninja Returns</v>
      </c>
      <c r="B395">
        <f>IF($A395="","",games!$B395)</f>
        <v>2007</v>
      </c>
      <c r="C395" t="str">
        <f>IF($A395="","",games!$C395)</f>
        <v>Traditional</v>
      </c>
      <c r="D395">
        <f>IF($A395="","",COUNTIF(connections!$A$2:$A$1473,$A395)+COUNTIF(connections!$B$2:$B$1473,$A395))</f>
        <v>1</v>
      </c>
      <c r="E395">
        <f t="shared" si="78"/>
        <v>4</v>
      </c>
      <c r="F395">
        <f t="shared" si="79"/>
        <v>21</v>
      </c>
      <c r="G395" t="e">
        <f t="shared" si="80"/>
        <v>#N/A</v>
      </c>
      <c r="H395" t="e">
        <f t="shared" si="81"/>
        <v>#N/A</v>
      </c>
      <c r="I395" t="e">
        <f t="shared" si="82"/>
        <v>#N/A</v>
      </c>
      <c r="J395" t="e">
        <f t="shared" si="83"/>
        <v>#N/A</v>
      </c>
      <c r="K395" t="e">
        <f t="shared" si="84"/>
        <v>#N/A</v>
      </c>
      <c r="L395" t="e">
        <f t="shared" si="85"/>
        <v>#N/A</v>
      </c>
      <c r="M395">
        <f t="shared" si="86"/>
        <v>2007</v>
      </c>
      <c r="N395">
        <f t="shared" si="87"/>
        <v>4.4829999999999997</v>
      </c>
      <c r="O395">
        <f t="shared" si="88"/>
        <v>1.0003949999999999</v>
      </c>
      <c r="P395" t="str">
        <f>IF(OR($A395="",games!$H395=""),"",games!$H395)</f>
        <v>Yes</v>
      </c>
      <c r="Q395">
        <f t="shared" si="89"/>
        <v>1.0003949999999999</v>
      </c>
      <c r="T395">
        <f>IF(connections!$A395="","",IFERROR(INDEX(games!$B$2:$B$950,MATCH(connections!$A395,games!$A$2:$A$950,0)),""))</f>
        <v>1990</v>
      </c>
      <c r="U395">
        <f>IF(connections!$A395="","",IFERROR(INDEX(games!$B$2:$B$950,MATCH(connections!$B395,games!$A$2:$A$950,0)),""))</f>
        <v>1990</v>
      </c>
      <c r="V395">
        <f t="shared" si="90"/>
        <v>0</v>
      </c>
    </row>
    <row r="396" spans="1:22" x14ac:dyDescent="0.25">
      <c r="A396" t="str">
        <f>IF(games!$A396="","",games!$A396)</f>
        <v>Izuna: Legend of the Unemployed Ninja</v>
      </c>
      <c r="B396">
        <f>IF($A396="","",games!$B396)</f>
        <v>2006</v>
      </c>
      <c r="C396" t="str">
        <f>IF($A396="","",games!$C396)</f>
        <v>Traditional</v>
      </c>
      <c r="D396">
        <f>IF($A396="","",COUNTIF(connections!$A$2:$A$1473,$A396)+COUNTIF(connections!$B$2:$B$1473,$A396))</f>
        <v>2</v>
      </c>
      <c r="E396">
        <f t="shared" si="78"/>
        <v>4</v>
      </c>
      <c r="F396">
        <f t="shared" si="79"/>
        <v>22</v>
      </c>
      <c r="G396" t="e">
        <f t="shared" si="80"/>
        <v>#N/A</v>
      </c>
      <c r="H396" t="e">
        <f t="shared" si="81"/>
        <v>#N/A</v>
      </c>
      <c r="I396" t="e">
        <f t="shared" si="82"/>
        <v>#N/A</v>
      </c>
      <c r="J396" t="e">
        <f t="shared" si="83"/>
        <v>#N/A</v>
      </c>
      <c r="K396" t="e">
        <f t="shared" si="84"/>
        <v>#N/A</v>
      </c>
      <c r="L396" t="e">
        <f t="shared" si="85"/>
        <v>#N/A</v>
      </c>
      <c r="M396">
        <f t="shared" si="86"/>
        <v>2006</v>
      </c>
      <c r="N396">
        <f t="shared" si="87"/>
        <v>4.5060000000000002</v>
      </c>
      <c r="O396">
        <f t="shared" si="88"/>
        <v>2.0003959999999998</v>
      </c>
      <c r="P396" t="str">
        <f>IF(OR($A396="",games!$H396=""),"",games!$H396)</f>
        <v>Yes</v>
      </c>
      <c r="Q396">
        <f t="shared" si="89"/>
        <v>2.0003959999999998</v>
      </c>
      <c r="T396">
        <f>IF(connections!$A396="","",IFERROR(INDEX(games!$B$2:$B$950,MATCH(connections!$A396,games!$A$2:$A$950,0)),""))</f>
        <v>1993</v>
      </c>
      <c r="U396">
        <f>IF(connections!$A396="","",IFERROR(INDEX(games!$B$2:$B$950,MATCH(connections!$B396,games!$A$2:$A$950,0)),""))</f>
        <v>2026</v>
      </c>
      <c r="V396">
        <f t="shared" si="90"/>
        <v>33</v>
      </c>
    </row>
    <row r="397" spans="1:22" x14ac:dyDescent="0.25">
      <c r="A397" t="str">
        <f>IF(games!$A397="","",games!$A397)</f>
        <v>Jotunnslayer: Hordes of Hel</v>
      </c>
      <c r="B397">
        <f>IF($A397="","",games!$B397)</f>
        <v>2025</v>
      </c>
      <c r="C397" t="str">
        <f>IF($A397="","",games!$C397)</f>
        <v>Action</v>
      </c>
      <c r="D397">
        <f>IF($A397="","",COUNTIF(connections!$A$2:$A$1473,$A397)+COUNTIF(connections!$B$2:$B$1473,$A397))</f>
        <v>4</v>
      </c>
      <c r="E397">
        <f t="shared" si="78"/>
        <v>1</v>
      </c>
      <c r="F397">
        <f t="shared" si="79"/>
        <v>23</v>
      </c>
      <c r="G397">
        <f t="shared" si="80"/>
        <v>2025</v>
      </c>
      <c r="H397">
        <f t="shared" si="81"/>
        <v>1.5289999999999999</v>
      </c>
      <c r="I397" t="e">
        <f t="shared" si="82"/>
        <v>#N/A</v>
      </c>
      <c r="J397" t="e">
        <f t="shared" si="83"/>
        <v>#N/A</v>
      </c>
      <c r="K397" t="e">
        <f t="shared" si="84"/>
        <v>#N/A</v>
      </c>
      <c r="L397" t="e">
        <f t="shared" si="85"/>
        <v>#N/A</v>
      </c>
      <c r="M397" t="e">
        <f t="shared" si="86"/>
        <v>#N/A</v>
      </c>
      <c r="N397" t="e">
        <f t="shared" si="87"/>
        <v>#N/A</v>
      </c>
      <c r="O397">
        <f t="shared" si="88"/>
        <v>4.0003970000000004</v>
      </c>
      <c r="P397" t="str">
        <f>IF(OR($A397="",games!$H397=""),"",games!$H397)</f>
        <v/>
      </c>
      <c r="Q397" t="str">
        <f t="shared" si="89"/>
        <v/>
      </c>
      <c r="T397">
        <f>IF(connections!$A397="","",IFERROR(INDEX(games!$B$2:$B$950,MATCH(connections!$A397,games!$A$2:$A$950,0)),""))</f>
        <v>1993</v>
      </c>
      <c r="U397">
        <f>IF(connections!$A397="","",IFERROR(INDEX(games!$B$2:$B$950,MATCH(connections!$B397,games!$A$2:$A$950,0)),""))</f>
        <v>2006</v>
      </c>
      <c r="V397">
        <f t="shared" si="90"/>
        <v>13</v>
      </c>
    </row>
    <row r="398" spans="1:22" x14ac:dyDescent="0.25">
      <c r="A398" t="str">
        <f>IF(games!$A398="","",games!$A398)</f>
        <v>Juicy Realm</v>
      </c>
      <c r="B398">
        <f>IF($A398="","",games!$B398)</f>
        <v>2018</v>
      </c>
      <c r="C398" t="str">
        <f>IF($A398="","",games!$C398)</f>
        <v>Action</v>
      </c>
      <c r="D398">
        <f>IF($A398="","",COUNTIF(connections!$A$2:$A$1473,$A398)+COUNTIF(connections!$B$2:$B$1473,$A398))</f>
        <v>0</v>
      </c>
      <c r="E398">
        <f t="shared" si="78"/>
        <v>1</v>
      </c>
      <c r="F398">
        <f t="shared" si="79"/>
        <v>24</v>
      </c>
      <c r="G398">
        <f t="shared" si="80"/>
        <v>2018</v>
      </c>
      <c r="H398">
        <f t="shared" si="81"/>
        <v>1.552</v>
      </c>
      <c r="I398" t="e">
        <f t="shared" si="82"/>
        <v>#N/A</v>
      </c>
      <c r="J398" t="e">
        <f t="shared" si="83"/>
        <v>#N/A</v>
      </c>
      <c r="K398" t="e">
        <f t="shared" si="84"/>
        <v>#N/A</v>
      </c>
      <c r="L398" t="e">
        <f t="shared" si="85"/>
        <v>#N/A</v>
      </c>
      <c r="M398" t="e">
        <f t="shared" si="86"/>
        <v>#N/A</v>
      </c>
      <c r="N398" t="e">
        <f t="shared" si="87"/>
        <v>#N/A</v>
      </c>
      <c r="O398">
        <f t="shared" si="88"/>
        <v>3.9800000000000002E-4</v>
      </c>
      <c r="P398" t="str">
        <f>IF(OR($A398="",games!$H398=""),"",games!$H398)</f>
        <v/>
      </c>
      <c r="Q398" t="str">
        <f t="shared" si="89"/>
        <v/>
      </c>
      <c r="T398">
        <f>IF(connections!$A398="","",IFERROR(INDEX(games!$B$2:$B$950,MATCH(connections!$A398,games!$A$2:$A$950,0)),""))</f>
        <v>1987</v>
      </c>
      <c r="U398">
        <f>IF(connections!$A398="","",IFERROR(INDEX(games!$B$2:$B$950,MATCH(connections!$B398,games!$A$2:$A$950,0)),""))</f>
        <v>2003</v>
      </c>
      <c r="V398">
        <f t="shared" si="90"/>
        <v>16</v>
      </c>
    </row>
    <row r="399" spans="1:22" x14ac:dyDescent="0.25">
      <c r="A399" t="str">
        <f>IF(games!$A399="","",games!$A399)</f>
        <v>Jupiter Hell</v>
      </c>
      <c r="B399">
        <f>IF($A399="","",games!$B399)</f>
        <v>2019</v>
      </c>
      <c r="C399" t="str">
        <f>IF($A399="","",games!$C399)</f>
        <v>Traditional</v>
      </c>
      <c r="D399">
        <f>IF($A399="","",COUNTIF(connections!$A$2:$A$1473,$A399)+COUNTIF(connections!$B$2:$B$1473,$A399))</f>
        <v>1</v>
      </c>
      <c r="E399">
        <f t="shared" si="78"/>
        <v>4</v>
      </c>
      <c r="F399">
        <f t="shared" si="79"/>
        <v>25</v>
      </c>
      <c r="G399" t="e">
        <f t="shared" si="80"/>
        <v>#N/A</v>
      </c>
      <c r="H399" t="e">
        <f t="shared" si="81"/>
        <v>#N/A</v>
      </c>
      <c r="I399" t="e">
        <f t="shared" si="82"/>
        <v>#N/A</v>
      </c>
      <c r="J399" t="e">
        <f t="shared" si="83"/>
        <v>#N/A</v>
      </c>
      <c r="K399" t="e">
        <f t="shared" si="84"/>
        <v>#N/A</v>
      </c>
      <c r="L399" t="e">
        <f t="shared" si="85"/>
        <v>#N/A</v>
      </c>
      <c r="M399">
        <f t="shared" si="86"/>
        <v>2019</v>
      </c>
      <c r="N399">
        <f t="shared" si="87"/>
        <v>4.5750000000000002</v>
      </c>
      <c r="O399">
        <f t="shared" si="88"/>
        <v>1.000399</v>
      </c>
      <c r="P399" t="str">
        <f>IF(OR($A399="",games!$H399=""),"",games!$H399)</f>
        <v>Yes</v>
      </c>
      <c r="Q399">
        <f t="shared" si="89"/>
        <v>1.000399</v>
      </c>
      <c r="T399">
        <f>IF(connections!$A399="","",IFERROR(INDEX(games!$B$2:$B$950,MATCH(connections!$A399,games!$A$2:$A$950,0)),""))</f>
        <v>2021</v>
      </c>
      <c r="U399">
        <f>IF(connections!$A399="","",IFERROR(INDEX(games!$B$2:$B$950,MATCH(connections!$B399,games!$A$2:$A$950,0)),""))</f>
        <v>2025</v>
      </c>
      <c r="V399">
        <f t="shared" si="90"/>
        <v>4</v>
      </c>
    </row>
    <row r="400" spans="1:22" x14ac:dyDescent="0.25">
      <c r="A400" t="str">
        <f>IF(games!$A400="","",games!$A400)</f>
        <v>Just King</v>
      </c>
      <c r="B400">
        <f>IF($A400="","",games!$B400)</f>
        <v>2023</v>
      </c>
      <c r="C400" t="str">
        <f>IF($A400="","",games!$C400)</f>
        <v>Action</v>
      </c>
      <c r="D400">
        <f>IF($A400="","",COUNTIF(connections!$A$2:$A$1473,$A400)+COUNTIF(connections!$B$2:$B$1473,$A400))</f>
        <v>1</v>
      </c>
      <c r="E400">
        <f t="shared" si="78"/>
        <v>1</v>
      </c>
      <c r="F400">
        <f t="shared" si="79"/>
        <v>26</v>
      </c>
      <c r="G400">
        <f t="shared" si="80"/>
        <v>2023</v>
      </c>
      <c r="H400">
        <f t="shared" si="81"/>
        <v>1.5979999999999999</v>
      </c>
      <c r="I400" t="e">
        <f t="shared" si="82"/>
        <v>#N/A</v>
      </c>
      <c r="J400" t="e">
        <f t="shared" si="83"/>
        <v>#N/A</v>
      </c>
      <c r="K400" t="e">
        <f t="shared" si="84"/>
        <v>#N/A</v>
      </c>
      <c r="L400" t="e">
        <f t="shared" si="85"/>
        <v>#N/A</v>
      </c>
      <c r="M400" t="e">
        <f t="shared" si="86"/>
        <v>#N/A</v>
      </c>
      <c r="N400" t="e">
        <f t="shared" si="87"/>
        <v>#N/A</v>
      </c>
      <c r="O400">
        <f t="shared" si="88"/>
        <v>1.0004</v>
      </c>
      <c r="P400" t="str">
        <f>IF(OR($A400="",games!$H400=""),"",games!$H400)</f>
        <v>Yes</v>
      </c>
      <c r="Q400">
        <f t="shared" si="89"/>
        <v>1.0004</v>
      </c>
      <c r="T400">
        <f>IF(connections!$A400="","",IFERROR(INDEX(games!$B$2:$B$950,MATCH(connections!$A400,games!$A$2:$A$950,0)),""))</f>
        <v>2018</v>
      </c>
      <c r="U400">
        <f>IF(connections!$A400="","",IFERROR(INDEX(games!$B$2:$B$950,MATCH(connections!$B400,games!$A$2:$A$950,0)),""))</f>
        <v>2020</v>
      </c>
      <c r="V400">
        <f t="shared" si="90"/>
        <v>2</v>
      </c>
    </row>
    <row r="401" spans="1:22" x14ac:dyDescent="0.25">
      <c r="A401" t="str">
        <f>IF(games!$A401="","",games!$A401)</f>
        <v>Kādomon: Hyper Auto Battlers</v>
      </c>
      <c r="B401">
        <f>IF($A401="","",games!$B401)</f>
        <v>2024</v>
      </c>
      <c r="C401" t="str">
        <f>IF($A401="","",games!$C401)</f>
        <v>Strategy</v>
      </c>
      <c r="D401">
        <f>IF($A401="","",COUNTIF(connections!$A$2:$A$1473,$A401)+COUNTIF(connections!$B$2:$B$1473,$A401))</f>
        <v>3</v>
      </c>
      <c r="E401">
        <f t="shared" si="78"/>
        <v>2</v>
      </c>
      <c r="F401">
        <f t="shared" si="79"/>
        <v>27</v>
      </c>
      <c r="G401" t="e">
        <f t="shared" si="80"/>
        <v>#N/A</v>
      </c>
      <c r="H401" t="e">
        <f t="shared" si="81"/>
        <v>#N/A</v>
      </c>
      <c r="I401">
        <f t="shared" si="82"/>
        <v>2024</v>
      </c>
      <c r="J401">
        <f t="shared" si="83"/>
        <v>2.621</v>
      </c>
      <c r="K401" t="e">
        <f t="shared" si="84"/>
        <v>#N/A</v>
      </c>
      <c r="L401" t="e">
        <f t="shared" si="85"/>
        <v>#N/A</v>
      </c>
      <c r="M401" t="e">
        <f t="shared" si="86"/>
        <v>#N/A</v>
      </c>
      <c r="N401" t="e">
        <f t="shared" si="87"/>
        <v>#N/A</v>
      </c>
      <c r="O401">
        <f t="shared" si="88"/>
        <v>3.0004010000000001</v>
      </c>
      <c r="P401" t="str">
        <f>IF(OR($A401="",games!$H401=""),"",games!$H401)</f>
        <v>Yes</v>
      </c>
      <c r="Q401">
        <f t="shared" si="89"/>
        <v>3.0004010000000001</v>
      </c>
      <c r="T401">
        <f>IF(connections!$A401="","",IFERROR(INDEX(games!$B$2:$B$950,MATCH(connections!$A401,games!$A$2:$A$950,0)),""))</f>
        <v>2019</v>
      </c>
      <c r="U401">
        <f>IF(connections!$A401="","",IFERROR(INDEX(games!$B$2:$B$950,MATCH(connections!$B401,games!$A$2:$A$950,0)),""))</f>
        <v>2020</v>
      </c>
      <c r="V401">
        <f t="shared" si="90"/>
        <v>1</v>
      </c>
    </row>
    <row r="402" spans="1:22" x14ac:dyDescent="0.25">
      <c r="A402" t="str">
        <f>IF(games!$A402="","",games!$A402)</f>
        <v>Katanaut</v>
      </c>
      <c r="B402">
        <f>IF($A402="","",games!$B402)</f>
        <v>2025</v>
      </c>
      <c r="C402" t="str">
        <f>IF($A402="","",games!$C402)</f>
        <v>Action</v>
      </c>
      <c r="D402">
        <f>IF($A402="","",COUNTIF(connections!$A$2:$A$1473,$A402)+COUNTIF(connections!$B$2:$B$1473,$A402))</f>
        <v>1</v>
      </c>
      <c r="E402">
        <f t="shared" si="78"/>
        <v>1</v>
      </c>
      <c r="F402">
        <f t="shared" si="79"/>
        <v>28</v>
      </c>
      <c r="G402">
        <f t="shared" si="80"/>
        <v>2025</v>
      </c>
      <c r="H402">
        <f t="shared" si="81"/>
        <v>1.6440000000000001</v>
      </c>
      <c r="I402" t="e">
        <f t="shared" si="82"/>
        <v>#N/A</v>
      </c>
      <c r="J402" t="e">
        <f t="shared" si="83"/>
        <v>#N/A</v>
      </c>
      <c r="K402" t="e">
        <f t="shared" si="84"/>
        <v>#N/A</v>
      </c>
      <c r="L402" t="e">
        <f t="shared" si="85"/>
        <v>#N/A</v>
      </c>
      <c r="M402" t="e">
        <f t="shared" si="86"/>
        <v>#N/A</v>
      </c>
      <c r="N402" t="e">
        <f t="shared" si="87"/>
        <v>#N/A</v>
      </c>
      <c r="O402">
        <f t="shared" si="88"/>
        <v>1.000402</v>
      </c>
      <c r="P402" t="str">
        <f>IF(OR($A402="",games!$H402=""),"",games!$H402)</f>
        <v/>
      </c>
      <c r="Q402" t="str">
        <f t="shared" si="89"/>
        <v/>
      </c>
      <c r="T402">
        <f>IF(connections!$A402="","",IFERROR(INDEX(games!$B$2:$B$950,MATCH(connections!$A402,games!$A$2:$A$950,0)),""))</f>
        <v>2011</v>
      </c>
      <c r="U402">
        <f>IF(connections!$A402="","",IFERROR(INDEX(games!$B$2:$B$950,MATCH(connections!$B402,games!$A$2:$A$950,0)),""))</f>
        <v>2020</v>
      </c>
      <c r="V402">
        <f t="shared" si="90"/>
        <v>9</v>
      </c>
    </row>
    <row r="403" spans="1:22" x14ac:dyDescent="0.25">
      <c r="A403" t="str">
        <f>IF(games!$A403="","",games!$A403)</f>
        <v>KeeperRL</v>
      </c>
      <c r="B403">
        <f>IF($A403="","",games!$B403)</f>
        <v>2015</v>
      </c>
      <c r="C403" t="str">
        <f>IF($A403="","",games!$C403)</f>
        <v>Traditional</v>
      </c>
      <c r="D403">
        <f>IF($A403="","",COUNTIF(connections!$A$2:$A$1473,$A403)+COUNTIF(connections!$B$2:$B$1473,$A403))</f>
        <v>3</v>
      </c>
      <c r="E403">
        <f t="shared" si="78"/>
        <v>4</v>
      </c>
      <c r="F403">
        <f t="shared" si="79"/>
        <v>29</v>
      </c>
      <c r="G403" t="e">
        <f t="shared" si="80"/>
        <v>#N/A</v>
      </c>
      <c r="H403" t="e">
        <f t="shared" si="81"/>
        <v>#N/A</v>
      </c>
      <c r="I403" t="e">
        <f t="shared" si="82"/>
        <v>#N/A</v>
      </c>
      <c r="J403" t="e">
        <f t="shared" si="83"/>
        <v>#N/A</v>
      </c>
      <c r="K403" t="e">
        <f t="shared" si="84"/>
        <v>#N/A</v>
      </c>
      <c r="L403" t="e">
        <f t="shared" si="85"/>
        <v>#N/A</v>
      </c>
      <c r="M403">
        <f t="shared" si="86"/>
        <v>2015</v>
      </c>
      <c r="N403">
        <f t="shared" si="87"/>
        <v>4.6669999999999998</v>
      </c>
      <c r="O403">
        <f t="shared" si="88"/>
        <v>3.0004029999999999</v>
      </c>
      <c r="P403" t="str">
        <f>IF(OR($A403="",games!$H403=""),"",games!$H403)</f>
        <v>Yes</v>
      </c>
      <c r="Q403">
        <f t="shared" si="89"/>
        <v>3.0004029999999999</v>
      </c>
      <c r="T403">
        <f>IF(connections!$A403="","",IFERROR(INDEX(games!$B$2:$B$950,MATCH(connections!$A403,games!$A$2:$A$950,0)),""))</f>
        <v>2016</v>
      </c>
      <c r="U403">
        <f>IF(connections!$A403="","",IFERROR(INDEX(games!$B$2:$B$950,MATCH(connections!$B403,games!$A$2:$A$950,0)),""))</f>
        <v>2024</v>
      </c>
      <c r="V403">
        <f t="shared" si="90"/>
        <v>8</v>
      </c>
    </row>
    <row r="404" spans="1:22" x14ac:dyDescent="0.25">
      <c r="A404" t="str">
        <f>IF(games!$A404="","",games!$A404)</f>
        <v>Keeper's Toll</v>
      </c>
      <c r="B404">
        <f>IF($A404="","",games!$B404)</f>
        <v>2023</v>
      </c>
      <c r="C404" t="str">
        <f>IF($A404="","",games!$C404)</f>
        <v>Action</v>
      </c>
      <c r="D404">
        <f>IF($A404="","",COUNTIF(connections!$A$2:$A$1473,$A404)+COUNTIF(connections!$B$2:$B$1473,$A404))</f>
        <v>1</v>
      </c>
      <c r="E404">
        <f t="shared" si="78"/>
        <v>1</v>
      </c>
      <c r="F404">
        <f t="shared" si="79"/>
        <v>30</v>
      </c>
      <c r="G404">
        <f t="shared" si="80"/>
        <v>2023</v>
      </c>
      <c r="H404">
        <f t="shared" si="81"/>
        <v>1.69</v>
      </c>
      <c r="I404" t="e">
        <f t="shared" si="82"/>
        <v>#N/A</v>
      </c>
      <c r="J404" t="e">
        <f t="shared" si="83"/>
        <v>#N/A</v>
      </c>
      <c r="K404" t="e">
        <f t="shared" si="84"/>
        <v>#N/A</v>
      </c>
      <c r="L404" t="e">
        <f t="shared" si="85"/>
        <v>#N/A</v>
      </c>
      <c r="M404" t="e">
        <f t="shared" si="86"/>
        <v>#N/A</v>
      </c>
      <c r="N404" t="e">
        <f t="shared" si="87"/>
        <v>#N/A</v>
      </c>
      <c r="O404">
        <f t="shared" si="88"/>
        <v>1.0004040000000001</v>
      </c>
      <c r="P404" t="str">
        <f>IF(OR($A404="",games!$H404=""),"",games!$H404)</f>
        <v>Yes</v>
      </c>
      <c r="Q404">
        <f t="shared" si="89"/>
        <v>1.0004040000000001</v>
      </c>
      <c r="T404">
        <f>IF(connections!$A404="","",IFERROR(INDEX(games!$B$2:$B$950,MATCH(connections!$A404,games!$A$2:$A$950,0)),""))</f>
        <v>2023</v>
      </c>
      <c r="U404">
        <f>IF(connections!$A404="","",IFERROR(INDEX(games!$B$2:$B$950,MATCH(connections!$B404,games!$A$2:$A$950,0)),""))</f>
        <v>2026</v>
      </c>
      <c r="V404">
        <f t="shared" si="90"/>
        <v>3</v>
      </c>
    </row>
    <row r="405" spans="1:22" x14ac:dyDescent="0.25">
      <c r="A405" t="str">
        <f>IF(games!$A405="","",games!$A405)</f>
        <v>Kernel Hearts</v>
      </c>
      <c r="B405">
        <f>IF($A405="","",games!$B405)</f>
        <v>2026</v>
      </c>
      <c r="C405" t="str">
        <f>IF($A405="","",games!$C405)</f>
        <v>Action</v>
      </c>
      <c r="D405">
        <f>IF($A405="","",COUNTIF(connections!$A$2:$A$1473,$A405)+COUNTIF(connections!$B$2:$B$1473,$A405))</f>
        <v>2</v>
      </c>
      <c r="E405">
        <f t="shared" si="78"/>
        <v>1</v>
      </c>
      <c r="F405">
        <f t="shared" si="79"/>
        <v>31</v>
      </c>
      <c r="G405">
        <f t="shared" si="80"/>
        <v>2026</v>
      </c>
      <c r="H405">
        <f t="shared" si="81"/>
        <v>1.7130000000000001</v>
      </c>
      <c r="I405" t="e">
        <f t="shared" si="82"/>
        <v>#N/A</v>
      </c>
      <c r="J405" t="e">
        <f t="shared" si="83"/>
        <v>#N/A</v>
      </c>
      <c r="K405" t="e">
        <f t="shared" si="84"/>
        <v>#N/A</v>
      </c>
      <c r="L405" t="e">
        <f t="shared" si="85"/>
        <v>#N/A</v>
      </c>
      <c r="M405" t="e">
        <f t="shared" si="86"/>
        <v>#N/A</v>
      </c>
      <c r="N405" t="e">
        <f t="shared" si="87"/>
        <v>#N/A</v>
      </c>
      <c r="O405">
        <f t="shared" si="88"/>
        <v>2.0004050000000002</v>
      </c>
      <c r="P405" t="str">
        <f>IF(OR($A405="",games!$H405=""),"",games!$H405)</f>
        <v/>
      </c>
      <c r="Q405" t="str">
        <f t="shared" si="89"/>
        <v/>
      </c>
      <c r="T405">
        <f>IF(connections!$A405="","",IFERROR(INDEX(games!$B$2:$B$950,MATCH(connections!$A405,games!$A$2:$A$950,0)),""))</f>
        <v>2023</v>
      </c>
      <c r="U405">
        <f>IF(connections!$A405="","",IFERROR(INDEX(games!$B$2:$B$950,MATCH(connections!$B405,games!$A$2:$A$950,0)),""))</f>
        <v>2026</v>
      </c>
      <c r="V405">
        <f t="shared" si="90"/>
        <v>3</v>
      </c>
    </row>
    <row r="406" spans="1:22" x14ac:dyDescent="0.25">
      <c r="A406" t="str">
        <f>IF(games!$A406="","",games!$A406)</f>
        <v>Kill the Brickman</v>
      </c>
      <c r="B406">
        <f>IF($A406="","",games!$B406)</f>
        <v>2025</v>
      </c>
      <c r="C406" t="str">
        <f>IF($A406="","",games!$C406)</f>
        <v>Strategy</v>
      </c>
      <c r="D406">
        <f>IF($A406="","",COUNTIF(connections!$A$2:$A$1473,$A406)+COUNTIF(connections!$B$2:$B$1473,$A406))</f>
        <v>1</v>
      </c>
      <c r="E406">
        <f t="shared" si="78"/>
        <v>2</v>
      </c>
      <c r="F406">
        <f t="shared" si="79"/>
        <v>32</v>
      </c>
      <c r="G406" t="e">
        <f t="shared" si="80"/>
        <v>#N/A</v>
      </c>
      <c r="H406" t="e">
        <f t="shared" si="81"/>
        <v>#N/A</v>
      </c>
      <c r="I406">
        <f t="shared" si="82"/>
        <v>2025</v>
      </c>
      <c r="J406">
        <f t="shared" si="83"/>
        <v>2.7359999999999998</v>
      </c>
      <c r="K406" t="e">
        <f t="shared" si="84"/>
        <v>#N/A</v>
      </c>
      <c r="L406" t="e">
        <f t="shared" si="85"/>
        <v>#N/A</v>
      </c>
      <c r="M406" t="e">
        <f t="shared" si="86"/>
        <v>#N/A</v>
      </c>
      <c r="N406" t="e">
        <f t="shared" si="87"/>
        <v>#N/A</v>
      </c>
      <c r="O406">
        <f t="shared" si="88"/>
        <v>1.0004059999999999</v>
      </c>
      <c r="P406" t="str">
        <f>IF(OR($A406="",games!$H406=""),"",games!$H406)</f>
        <v/>
      </c>
      <c r="Q406" t="str">
        <f t="shared" si="89"/>
        <v/>
      </c>
      <c r="T406">
        <f>IF(connections!$A406="","",IFERROR(INDEX(games!$B$2:$B$950,MATCH(connections!$A406,games!$A$2:$A$950,0)),""))</f>
        <v>2023</v>
      </c>
      <c r="U406">
        <f>IF(connections!$A406="","",IFERROR(INDEX(games!$B$2:$B$950,MATCH(connections!$B406,games!$A$2:$A$950,0)),""))</f>
        <v>2025</v>
      </c>
      <c r="V406">
        <f t="shared" si="90"/>
        <v>2</v>
      </c>
    </row>
    <row r="407" spans="1:22" x14ac:dyDescent="0.25">
      <c r="A407" t="str">
        <f>IF(games!$A407="","",games!$A407)</f>
        <v>Kill The Music</v>
      </c>
      <c r="B407">
        <f>IF($A407="","",games!$B407)</f>
        <v>2025</v>
      </c>
      <c r="C407" t="str">
        <f>IF($A407="","",games!$C407)</f>
        <v>Action</v>
      </c>
      <c r="D407">
        <f>IF($A407="","",COUNTIF(connections!$A$2:$A$1473,$A407)+COUNTIF(connections!$B$2:$B$1473,$A407))</f>
        <v>4</v>
      </c>
      <c r="E407">
        <f t="shared" si="78"/>
        <v>1</v>
      </c>
      <c r="F407">
        <f t="shared" si="79"/>
        <v>33</v>
      </c>
      <c r="G407">
        <f t="shared" si="80"/>
        <v>2025</v>
      </c>
      <c r="H407">
        <f t="shared" si="81"/>
        <v>1.7589999999999999</v>
      </c>
      <c r="I407" t="e">
        <f t="shared" si="82"/>
        <v>#N/A</v>
      </c>
      <c r="J407" t="e">
        <f t="shared" si="83"/>
        <v>#N/A</v>
      </c>
      <c r="K407" t="e">
        <f t="shared" si="84"/>
        <v>#N/A</v>
      </c>
      <c r="L407" t="e">
        <f t="shared" si="85"/>
        <v>#N/A</v>
      </c>
      <c r="M407" t="e">
        <f t="shared" si="86"/>
        <v>#N/A</v>
      </c>
      <c r="N407" t="e">
        <f t="shared" si="87"/>
        <v>#N/A</v>
      </c>
      <c r="O407">
        <f t="shared" si="88"/>
        <v>4.000407</v>
      </c>
      <c r="P407" t="str">
        <f>IF(OR($A407="",games!$H407=""),"",games!$H407)</f>
        <v>Yes</v>
      </c>
      <c r="Q407">
        <f t="shared" si="89"/>
        <v>4.000407</v>
      </c>
      <c r="T407">
        <f>IF(connections!$A407="","",IFERROR(INDEX(games!$B$2:$B$950,MATCH(connections!$A407,games!$A$2:$A$950,0)),""))</f>
        <v>2023</v>
      </c>
      <c r="U407">
        <f>IF(connections!$A407="","",IFERROR(INDEX(games!$B$2:$B$950,MATCH(connections!$B407,games!$A$2:$A$950,0)),""))</f>
        <v>2025</v>
      </c>
      <c r="V407">
        <f t="shared" si="90"/>
        <v>2</v>
      </c>
    </row>
    <row r="408" spans="1:22" x14ac:dyDescent="0.25">
      <c r="A408" t="str">
        <f>IF(games!$A408="","",games!$A408)</f>
        <v>Kingdom: New Lands</v>
      </c>
      <c r="B408">
        <f>IF($A408="","",games!$B408)</f>
        <v>2016</v>
      </c>
      <c r="C408" t="str">
        <f>IF($A408="","",games!$C408)</f>
        <v>Strategy</v>
      </c>
      <c r="D408">
        <f>IF($A408="","",COUNTIF(connections!$A$2:$A$1473,$A408)+COUNTIF(connections!$B$2:$B$1473,$A408))</f>
        <v>3</v>
      </c>
      <c r="E408">
        <f t="shared" si="78"/>
        <v>2</v>
      </c>
      <c r="F408">
        <f t="shared" si="79"/>
        <v>0</v>
      </c>
      <c r="G408" t="e">
        <f t="shared" si="80"/>
        <v>#N/A</v>
      </c>
      <c r="H408" t="e">
        <f t="shared" si="81"/>
        <v>#N/A</v>
      </c>
      <c r="I408">
        <f t="shared" si="82"/>
        <v>2016</v>
      </c>
      <c r="J408">
        <f t="shared" si="83"/>
        <v>2</v>
      </c>
      <c r="K408" t="e">
        <f t="shared" si="84"/>
        <v>#N/A</v>
      </c>
      <c r="L408" t="e">
        <f t="shared" si="85"/>
        <v>#N/A</v>
      </c>
      <c r="M408" t="e">
        <f t="shared" si="86"/>
        <v>#N/A</v>
      </c>
      <c r="N408" t="e">
        <f t="shared" si="87"/>
        <v>#N/A</v>
      </c>
      <c r="O408">
        <f t="shared" si="88"/>
        <v>3.0004080000000002</v>
      </c>
      <c r="P408" t="str">
        <f>IF(OR($A408="",games!$H408=""),"",games!$H408)</f>
        <v>Yes</v>
      </c>
      <c r="Q408">
        <f t="shared" si="89"/>
        <v>3.0004080000000002</v>
      </c>
      <c r="T408">
        <f>IF(connections!$A408="","",IFERROR(INDEX(games!$B$2:$B$950,MATCH(connections!$A408,games!$A$2:$A$950,0)),""))</f>
        <v>2019</v>
      </c>
      <c r="U408">
        <f>IF(connections!$A408="","",IFERROR(INDEX(games!$B$2:$B$950,MATCH(connections!$B408,games!$A$2:$A$950,0)),""))</f>
        <v>2024</v>
      </c>
      <c r="V408">
        <f t="shared" si="90"/>
        <v>5</v>
      </c>
    </row>
    <row r="409" spans="1:22" x14ac:dyDescent="0.25">
      <c r="A409" t="str">
        <f>IF(games!$A409="","",games!$A409)</f>
        <v>Kitty Survivors: Rogues of Catmere</v>
      </c>
      <c r="B409">
        <f>IF($A409="","",games!$B409)</f>
        <v>2023</v>
      </c>
      <c r="C409" t="str">
        <f>IF($A409="","",games!$C409)</f>
        <v>Action</v>
      </c>
      <c r="D409">
        <f>IF($A409="","",COUNTIF(connections!$A$2:$A$1473,$A409)+COUNTIF(connections!$B$2:$B$1473,$A409))</f>
        <v>1</v>
      </c>
      <c r="E409">
        <f t="shared" si="78"/>
        <v>1</v>
      </c>
      <c r="F409">
        <f t="shared" si="79"/>
        <v>1</v>
      </c>
      <c r="G409">
        <f t="shared" si="80"/>
        <v>2023</v>
      </c>
      <c r="H409">
        <f t="shared" si="81"/>
        <v>1.0229999999999999</v>
      </c>
      <c r="I409" t="e">
        <f t="shared" si="82"/>
        <v>#N/A</v>
      </c>
      <c r="J409" t="e">
        <f t="shared" si="83"/>
        <v>#N/A</v>
      </c>
      <c r="K409" t="e">
        <f t="shared" si="84"/>
        <v>#N/A</v>
      </c>
      <c r="L409" t="e">
        <f t="shared" si="85"/>
        <v>#N/A</v>
      </c>
      <c r="M409" t="e">
        <f t="shared" si="86"/>
        <v>#N/A</v>
      </c>
      <c r="N409" t="e">
        <f t="shared" si="87"/>
        <v>#N/A</v>
      </c>
      <c r="O409">
        <f t="shared" si="88"/>
        <v>1.0004090000000001</v>
      </c>
      <c r="P409" t="str">
        <f>IF(OR($A409="",games!$H409=""),"",games!$H409)</f>
        <v>Yes</v>
      </c>
      <c r="Q409">
        <f t="shared" si="89"/>
        <v>1.0004090000000001</v>
      </c>
      <c r="T409">
        <f>IF(connections!$A409="","",IFERROR(INDEX(games!$B$2:$B$950,MATCH(connections!$A409,games!$A$2:$A$950,0)),""))</f>
        <v>2022</v>
      </c>
      <c r="U409">
        <f>IF(connections!$A409="","",IFERROR(INDEX(games!$B$2:$B$950,MATCH(connections!$B409,games!$A$2:$A$950,0)),""))</f>
        <v>2024</v>
      </c>
      <c r="V409">
        <f t="shared" si="90"/>
        <v>2</v>
      </c>
    </row>
    <row r="410" spans="1:22" x14ac:dyDescent="0.25">
      <c r="A410" t="str">
        <f>IF(games!$A410="","",games!$A410)</f>
        <v>Knightica</v>
      </c>
      <c r="B410">
        <f>IF($A410="","",games!$B410)</f>
        <v>2025</v>
      </c>
      <c r="C410" t="str">
        <f>IF($A410="","",games!$C410)</f>
        <v>Strategy</v>
      </c>
      <c r="D410">
        <f>IF($A410="","",COUNTIF(connections!$A$2:$A$1473,$A410)+COUNTIF(connections!$B$2:$B$1473,$A410))</f>
        <v>3</v>
      </c>
      <c r="E410">
        <f t="shared" si="78"/>
        <v>2</v>
      </c>
      <c r="F410">
        <f t="shared" si="79"/>
        <v>2</v>
      </c>
      <c r="G410" t="e">
        <f t="shared" si="80"/>
        <v>#N/A</v>
      </c>
      <c r="H410" t="e">
        <f t="shared" si="81"/>
        <v>#N/A</v>
      </c>
      <c r="I410">
        <f t="shared" si="82"/>
        <v>2025</v>
      </c>
      <c r="J410">
        <f t="shared" si="83"/>
        <v>2.0459999999999998</v>
      </c>
      <c r="K410" t="e">
        <f t="shared" si="84"/>
        <v>#N/A</v>
      </c>
      <c r="L410" t="e">
        <f t="shared" si="85"/>
        <v>#N/A</v>
      </c>
      <c r="M410" t="e">
        <f t="shared" si="86"/>
        <v>#N/A</v>
      </c>
      <c r="N410" t="e">
        <f t="shared" si="87"/>
        <v>#N/A</v>
      </c>
      <c r="O410">
        <f t="shared" si="88"/>
        <v>3.00041</v>
      </c>
      <c r="P410" t="str">
        <f>IF(OR($A410="",games!$H410=""),"",games!$H410)</f>
        <v>Yes</v>
      </c>
      <c r="Q410">
        <f t="shared" si="89"/>
        <v>3.00041</v>
      </c>
      <c r="T410">
        <f>IF(connections!$A410="","",IFERROR(INDEX(games!$B$2:$B$950,MATCH(connections!$A410,games!$A$2:$A$950,0)),""))</f>
        <v>2017</v>
      </c>
      <c r="U410">
        <f>IF(connections!$A410="","",IFERROR(INDEX(games!$B$2:$B$950,MATCH(connections!$B410,games!$A$2:$A$950,0)),""))</f>
        <v>2024</v>
      </c>
      <c r="V410">
        <f t="shared" si="90"/>
        <v>7</v>
      </c>
    </row>
    <row r="411" spans="1:22" x14ac:dyDescent="0.25">
      <c r="A411" t="str">
        <f>IF(games!$A411="","",games!$A411)</f>
        <v>Knights in Tight Spaces</v>
      </c>
      <c r="B411">
        <f>IF($A411="","",games!$B411)</f>
        <v>2025</v>
      </c>
      <c r="C411" t="str">
        <f>IF($A411="","",games!$C411)</f>
        <v>Deckbuilder</v>
      </c>
      <c r="D411">
        <f>IF($A411="","",COUNTIF(connections!$A$2:$A$1473,$A411)+COUNTIF(connections!$B$2:$B$1473,$A411))</f>
        <v>1</v>
      </c>
      <c r="E411">
        <f t="shared" si="78"/>
        <v>3</v>
      </c>
      <c r="F411">
        <f t="shared" si="79"/>
        <v>3</v>
      </c>
      <c r="G411" t="e">
        <f t="shared" si="80"/>
        <v>#N/A</v>
      </c>
      <c r="H411" t="e">
        <f t="shared" si="81"/>
        <v>#N/A</v>
      </c>
      <c r="I411" t="e">
        <f t="shared" si="82"/>
        <v>#N/A</v>
      </c>
      <c r="J411" t="e">
        <f t="shared" si="83"/>
        <v>#N/A</v>
      </c>
      <c r="K411">
        <f t="shared" si="84"/>
        <v>2025</v>
      </c>
      <c r="L411">
        <f t="shared" si="85"/>
        <v>3.069</v>
      </c>
      <c r="M411" t="e">
        <f t="shared" si="86"/>
        <v>#N/A</v>
      </c>
      <c r="N411" t="e">
        <f t="shared" si="87"/>
        <v>#N/A</v>
      </c>
      <c r="O411">
        <f t="shared" si="88"/>
        <v>1.0004109999999999</v>
      </c>
      <c r="P411" t="str">
        <f>IF(OR($A411="",games!$H411=""),"",games!$H411)</f>
        <v>Yes</v>
      </c>
      <c r="Q411">
        <f t="shared" si="89"/>
        <v>1.0004109999999999</v>
      </c>
      <c r="T411">
        <f>IF(connections!$A411="","",IFERROR(INDEX(games!$B$2:$B$950,MATCH(connections!$A411,games!$A$2:$A$950,0)),""))</f>
        <v>1995</v>
      </c>
      <c r="U411">
        <f>IF(connections!$A411="","",IFERROR(INDEX(games!$B$2:$B$950,MATCH(connections!$B411,games!$A$2:$A$950,0)),""))</f>
        <v>2006</v>
      </c>
      <c r="V411">
        <f t="shared" si="90"/>
        <v>11</v>
      </c>
    </row>
    <row r="412" spans="1:22" x14ac:dyDescent="0.25">
      <c r="A412" t="str">
        <f>IF(games!$A412="","",games!$A412)</f>
        <v>Knock on the Coffin Lid</v>
      </c>
      <c r="B412">
        <f>IF($A412="","",games!$B412)</f>
        <v>2020</v>
      </c>
      <c r="C412" t="str">
        <f>IF($A412="","",games!$C412)</f>
        <v>Deckbuilder</v>
      </c>
      <c r="D412">
        <f>IF($A412="","",COUNTIF(connections!$A$2:$A$1473,$A412)+COUNTIF(connections!$B$2:$B$1473,$A412))</f>
        <v>1</v>
      </c>
      <c r="E412">
        <f t="shared" si="78"/>
        <v>3</v>
      </c>
      <c r="F412">
        <f t="shared" si="79"/>
        <v>4</v>
      </c>
      <c r="G412" t="e">
        <f t="shared" si="80"/>
        <v>#N/A</v>
      </c>
      <c r="H412" t="e">
        <f t="shared" si="81"/>
        <v>#N/A</v>
      </c>
      <c r="I412" t="e">
        <f t="shared" si="82"/>
        <v>#N/A</v>
      </c>
      <c r="J412" t="e">
        <f t="shared" si="83"/>
        <v>#N/A</v>
      </c>
      <c r="K412">
        <f t="shared" si="84"/>
        <v>2020</v>
      </c>
      <c r="L412">
        <f t="shared" si="85"/>
        <v>3.0920000000000001</v>
      </c>
      <c r="M412" t="e">
        <f t="shared" si="86"/>
        <v>#N/A</v>
      </c>
      <c r="N412" t="e">
        <f t="shared" si="87"/>
        <v>#N/A</v>
      </c>
      <c r="O412">
        <f t="shared" si="88"/>
        <v>1.0004120000000001</v>
      </c>
      <c r="P412" t="str">
        <f>IF(OR($A412="",games!$H412=""),"",games!$H412)</f>
        <v/>
      </c>
      <c r="Q412" t="str">
        <f t="shared" si="89"/>
        <v/>
      </c>
      <c r="T412">
        <f>IF(connections!$A412="","",IFERROR(INDEX(games!$B$2:$B$950,MATCH(connections!$A412,games!$A$2:$A$950,0)),""))</f>
        <v>2018</v>
      </c>
      <c r="U412">
        <f>IF(connections!$A412="","",IFERROR(INDEX(games!$B$2:$B$950,MATCH(connections!$B412,games!$A$2:$A$950,0)),""))</f>
        <v>2023</v>
      </c>
      <c r="V412">
        <f t="shared" si="90"/>
        <v>5</v>
      </c>
    </row>
    <row r="413" spans="1:22" x14ac:dyDescent="0.25">
      <c r="A413" t="str">
        <f>IF(games!$A413="","",games!$A413)</f>
        <v>Labyrinth of Legendary Loot</v>
      </c>
      <c r="B413">
        <f>IF($A413="","",games!$B413)</f>
        <v>2020</v>
      </c>
      <c r="C413" t="str">
        <f>IF($A413="","",games!$C413)</f>
        <v>Traditional</v>
      </c>
      <c r="D413">
        <f>IF($A413="","",COUNTIF(connections!$A$2:$A$1473,$A413)+COUNTIF(connections!$B$2:$B$1473,$A413))</f>
        <v>3</v>
      </c>
      <c r="E413">
        <f t="shared" si="78"/>
        <v>4</v>
      </c>
      <c r="F413">
        <f t="shared" si="79"/>
        <v>5</v>
      </c>
      <c r="G413" t="e">
        <f t="shared" si="80"/>
        <v>#N/A</v>
      </c>
      <c r="H413" t="e">
        <f t="shared" si="81"/>
        <v>#N/A</v>
      </c>
      <c r="I413" t="e">
        <f t="shared" si="82"/>
        <v>#N/A</v>
      </c>
      <c r="J413" t="e">
        <f t="shared" si="83"/>
        <v>#N/A</v>
      </c>
      <c r="K413" t="e">
        <f t="shared" si="84"/>
        <v>#N/A</v>
      </c>
      <c r="L413" t="e">
        <f t="shared" si="85"/>
        <v>#N/A</v>
      </c>
      <c r="M413">
        <f t="shared" si="86"/>
        <v>2020</v>
      </c>
      <c r="N413">
        <f t="shared" si="87"/>
        <v>4.1150000000000002</v>
      </c>
      <c r="O413">
        <f t="shared" si="88"/>
        <v>3.000413</v>
      </c>
      <c r="P413" t="str">
        <f>IF(OR($A413="",games!$H413=""),"",games!$H413)</f>
        <v>Yes</v>
      </c>
      <c r="Q413">
        <f t="shared" si="89"/>
        <v>3.000413</v>
      </c>
      <c r="T413">
        <f>IF(connections!$A413="","",IFERROR(INDEX(games!$B$2:$B$950,MATCH(connections!$A413,games!$A$2:$A$950,0)),""))</f>
        <v>2002</v>
      </c>
      <c r="U413">
        <f>IF(connections!$A413="","",IFERROR(INDEX(games!$B$2:$B$950,MATCH(connections!$B413,games!$A$2:$A$950,0)),""))</f>
        <v>2023</v>
      </c>
      <c r="V413">
        <f t="shared" si="90"/>
        <v>21</v>
      </c>
    </row>
    <row r="414" spans="1:22" x14ac:dyDescent="0.25">
      <c r="A414" t="str">
        <f>IF(games!$A414="","",games!$A414)</f>
        <v>Lake of Creatures</v>
      </c>
      <c r="B414">
        <f>IF($A414="","",games!$B414)</f>
        <v>2024</v>
      </c>
      <c r="C414" t="str">
        <f>IF($A414="","",games!$C414)</f>
        <v>Action</v>
      </c>
      <c r="D414">
        <f>IF($A414="","",COUNTIF(connections!$A$2:$A$1473,$A414)+COUNTIF(connections!$B$2:$B$1473,$A414))</f>
        <v>3</v>
      </c>
      <c r="E414">
        <f t="shared" si="78"/>
        <v>1</v>
      </c>
      <c r="F414">
        <f t="shared" si="79"/>
        <v>6</v>
      </c>
      <c r="G414">
        <f t="shared" si="80"/>
        <v>2024</v>
      </c>
      <c r="H414">
        <f t="shared" si="81"/>
        <v>1.1379999999999999</v>
      </c>
      <c r="I414" t="e">
        <f t="shared" si="82"/>
        <v>#N/A</v>
      </c>
      <c r="J414" t="e">
        <f t="shared" si="83"/>
        <v>#N/A</v>
      </c>
      <c r="K414" t="e">
        <f t="shared" si="84"/>
        <v>#N/A</v>
      </c>
      <c r="L414" t="e">
        <f t="shared" si="85"/>
        <v>#N/A</v>
      </c>
      <c r="M414" t="e">
        <f t="shared" si="86"/>
        <v>#N/A</v>
      </c>
      <c r="N414" t="e">
        <f t="shared" si="87"/>
        <v>#N/A</v>
      </c>
      <c r="O414">
        <f t="shared" si="88"/>
        <v>3.0004140000000001</v>
      </c>
      <c r="P414" t="str">
        <f>IF(OR($A414="",games!$H414=""),"",games!$H414)</f>
        <v>Yes</v>
      </c>
      <c r="Q414">
        <f t="shared" si="89"/>
        <v>3.0004140000000001</v>
      </c>
      <c r="T414">
        <f>IF(connections!$A414="","",IFERROR(INDEX(games!$B$2:$B$950,MATCH(connections!$A414,games!$A$2:$A$950,0)),""))</f>
        <v>1995</v>
      </c>
      <c r="U414">
        <f>IF(connections!$A414="","",IFERROR(INDEX(games!$B$2:$B$950,MATCH(connections!$B414,games!$A$2:$A$950,0)),""))</f>
        <v>2023</v>
      </c>
      <c r="V414">
        <f t="shared" si="90"/>
        <v>28</v>
      </c>
    </row>
    <row r="415" spans="1:22" x14ac:dyDescent="0.25">
      <c r="A415" t="str">
        <f>IF(games!$A415="","",games!$A415)</f>
        <v>LambdaRogue: The Book of Stars</v>
      </c>
      <c r="B415">
        <f>IF($A415="","",games!$B415)</f>
        <v>2006</v>
      </c>
      <c r="C415" t="str">
        <f>IF($A415="","",games!$C415)</f>
        <v>Traditional</v>
      </c>
      <c r="D415">
        <f>IF($A415="","",COUNTIF(connections!$A$2:$A$1473,$A415)+COUNTIF(connections!$B$2:$B$1473,$A415))</f>
        <v>4</v>
      </c>
      <c r="E415">
        <f t="shared" si="78"/>
        <v>4</v>
      </c>
      <c r="F415">
        <f t="shared" si="79"/>
        <v>7</v>
      </c>
      <c r="G415" t="e">
        <f t="shared" si="80"/>
        <v>#N/A</v>
      </c>
      <c r="H415" t="e">
        <f t="shared" si="81"/>
        <v>#N/A</v>
      </c>
      <c r="I415" t="e">
        <f t="shared" si="82"/>
        <v>#N/A</v>
      </c>
      <c r="J415" t="e">
        <f t="shared" si="83"/>
        <v>#N/A</v>
      </c>
      <c r="K415" t="e">
        <f t="shared" si="84"/>
        <v>#N/A</v>
      </c>
      <c r="L415" t="e">
        <f t="shared" si="85"/>
        <v>#N/A</v>
      </c>
      <c r="M415">
        <f t="shared" si="86"/>
        <v>2006</v>
      </c>
      <c r="N415">
        <f t="shared" si="87"/>
        <v>4.1609999999999996</v>
      </c>
      <c r="O415">
        <f t="shared" si="88"/>
        <v>4.0004150000000003</v>
      </c>
      <c r="P415" t="str">
        <f>IF(OR($A415="",games!$H415=""),"",games!$H415)</f>
        <v>Yes</v>
      </c>
      <c r="Q415">
        <f t="shared" si="89"/>
        <v>4.0004150000000003</v>
      </c>
      <c r="T415">
        <f>IF(connections!$A415="","",IFERROR(INDEX(games!$B$2:$B$950,MATCH(connections!$A415,games!$A$2:$A$950,0)),""))</f>
        <v>1993</v>
      </c>
      <c r="U415">
        <f>IF(connections!$A415="","",IFERROR(INDEX(games!$B$2:$B$950,MATCH(connections!$B415,games!$A$2:$A$950,0)),""))</f>
        <v>2023</v>
      </c>
      <c r="V415">
        <f t="shared" si="90"/>
        <v>30</v>
      </c>
    </row>
    <row r="416" spans="1:22" x14ac:dyDescent="0.25">
      <c r="A416" t="str">
        <f>IF(games!$A416="","",games!$A416)</f>
        <v>Larn</v>
      </c>
      <c r="B416">
        <f>IF($A416="","",games!$B416)</f>
        <v>1986</v>
      </c>
      <c r="C416" t="str">
        <f>IF($A416="","",games!$C416)</f>
        <v>Traditional</v>
      </c>
      <c r="D416">
        <f>IF($A416="","",COUNTIF(connections!$A$2:$A$1473,$A416)+COUNTIF(connections!$B$2:$B$1473,$A416))</f>
        <v>2</v>
      </c>
      <c r="E416">
        <f t="shared" si="78"/>
        <v>4</v>
      </c>
      <c r="F416">
        <f t="shared" si="79"/>
        <v>8</v>
      </c>
      <c r="G416" t="e">
        <f t="shared" si="80"/>
        <v>#N/A</v>
      </c>
      <c r="H416" t="e">
        <f t="shared" si="81"/>
        <v>#N/A</v>
      </c>
      <c r="I416" t="e">
        <f t="shared" si="82"/>
        <v>#N/A</v>
      </c>
      <c r="J416" t="e">
        <f t="shared" si="83"/>
        <v>#N/A</v>
      </c>
      <c r="K416" t="e">
        <f t="shared" si="84"/>
        <v>#N/A</v>
      </c>
      <c r="L416" t="e">
        <f t="shared" si="85"/>
        <v>#N/A</v>
      </c>
      <c r="M416">
        <f t="shared" si="86"/>
        <v>1986</v>
      </c>
      <c r="N416">
        <f t="shared" si="87"/>
        <v>4.1840000000000002</v>
      </c>
      <c r="O416">
        <f t="shared" si="88"/>
        <v>2.000416</v>
      </c>
      <c r="P416" t="str">
        <f>IF(OR($A416="",games!$H416=""),"",games!$H416)</f>
        <v>Yes</v>
      </c>
      <c r="Q416">
        <f t="shared" si="89"/>
        <v>2.000416</v>
      </c>
      <c r="T416">
        <f>IF(connections!$A416="","",IFERROR(INDEX(games!$B$2:$B$950,MATCH(connections!$A416,games!$A$2:$A$950,0)),""))</f>
        <v>1993</v>
      </c>
      <c r="U416">
        <f>IF(connections!$A416="","",IFERROR(INDEX(games!$B$2:$B$950,MATCH(connections!$B416,games!$A$2:$A$950,0)),""))</f>
        <v>2008</v>
      </c>
      <c r="V416">
        <f t="shared" si="90"/>
        <v>15</v>
      </c>
    </row>
    <row r="417" spans="1:22" x14ac:dyDescent="0.25">
      <c r="A417" t="str">
        <f>IF(games!$A417="","",games!$A417)</f>
        <v>Legend of Dungeon</v>
      </c>
      <c r="B417">
        <f>IF($A417="","",games!$B417)</f>
        <v>2013</v>
      </c>
      <c r="C417" t="str">
        <f>IF($A417="","",games!$C417)</f>
        <v>Action</v>
      </c>
      <c r="D417">
        <f>IF($A417="","",COUNTIF(connections!$A$2:$A$1473,$A417)+COUNTIF(connections!$B$2:$B$1473,$A417))</f>
        <v>1</v>
      </c>
      <c r="E417">
        <f t="shared" si="78"/>
        <v>1</v>
      </c>
      <c r="F417">
        <f t="shared" si="79"/>
        <v>9</v>
      </c>
      <c r="G417">
        <f t="shared" si="80"/>
        <v>2013</v>
      </c>
      <c r="H417">
        <f t="shared" si="81"/>
        <v>1.2070000000000001</v>
      </c>
      <c r="I417" t="e">
        <f t="shared" si="82"/>
        <v>#N/A</v>
      </c>
      <c r="J417" t="e">
        <f t="shared" si="83"/>
        <v>#N/A</v>
      </c>
      <c r="K417" t="e">
        <f t="shared" si="84"/>
        <v>#N/A</v>
      </c>
      <c r="L417" t="e">
        <f t="shared" si="85"/>
        <v>#N/A</v>
      </c>
      <c r="M417" t="e">
        <f t="shared" si="86"/>
        <v>#N/A</v>
      </c>
      <c r="N417" t="e">
        <f t="shared" si="87"/>
        <v>#N/A</v>
      </c>
      <c r="O417">
        <f t="shared" si="88"/>
        <v>1.0004169999999999</v>
      </c>
      <c r="P417" t="str">
        <f>IF(OR($A417="",games!$H417=""),"",games!$H417)</f>
        <v/>
      </c>
      <c r="Q417" t="str">
        <f t="shared" si="89"/>
        <v/>
      </c>
      <c r="T417">
        <f>IF(connections!$A417="","",IFERROR(INDEX(games!$B$2:$B$950,MATCH(connections!$A417,games!$A$2:$A$950,0)),""))</f>
        <v>2015</v>
      </c>
      <c r="U417">
        <f>IF(connections!$A417="","",IFERROR(INDEX(games!$B$2:$B$950,MATCH(connections!$B417,games!$A$2:$A$950,0)),""))</f>
        <v>2016</v>
      </c>
      <c r="V417">
        <f t="shared" si="90"/>
        <v>1</v>
      </c>
    </row>
    <row r="418" spans="1:22" x14ac:dyDescent="0.25">
      <c r="A418" t="str">
        <f>IF(games!$A418="","",games!$A418)</f>
        <v>Legend of Keepers: Career of a Dungeon Manager</v>
      </c>
      <c r="B418">
        <f>IF($A418="","",games!$B418)</f>
        <v>2019</v>
      </c>
      <c r="C418" t="str">
        <f>IF($A418="","",games!$C418)</f>
        <v>Strategy</v>
      </c>
      <c r="D418">
        <f>IF($A418="","",COUNTIF(connections!$A$2:$A$1473,$A418)+COUNTIF(connections!$B$2:$B$1473,$A418))</f>
        <v>4</v>
      </c>
      <c r="E418">
        <f t="shared" si="78"/>
        <v>2</v>
      </c>
      <c r="F418">
        <f t="shared" si="79"/>
        <v>10</v>
      </c>
      <c r="G418" t="e">
        <f t="shared" si="80"/>
        <v>#N/A</v>
      </c>
      <c r="H418" t="e">
        <f t="shared" si="81"/>
        <v>#N/A</v>
      </c>
      <c r="I418">
        <f t="shared" si="82"/>
        <v>2019</v>
      </c>
      <c r="J418">
        <f t="shared" si="83"/>
        <v>2.23</v>
      </c>
      <c r="K418" t="e">
        <f t="shared" si="84"/>
        <v>#N/A</v>
      </c>
      <c r="L418" t="e">
        <f t="shared" si="85"/>
        <v>#N/A</v>
      </c>
      <c r="M418" t="e">
        <f t="shared" si="86"/>
        <v>#N/A</v>
      </c>
      <c r="N418" t="e">
        <f t="shared" si="87"/>
        <v>#N/A</v>
      </c>
      <c r="O418">
        <f t="shared" si="88"/>
        <v>4.0004179999999998</v>
      </c>
      <c r="P418" t="str">
        <f>IF(OR($A418="",games!$H418=""),"",games!$H418)</f>
        <v>Yes</v>
      </c>
      <c r="Q418">
        <f t="shared" si="89"/>
        <v>4.0004179999999998</v>
      </c>
      <c r="T418">
        <f>IF(connections!$A418="","",IFERROR(INDEX(games!$B$2:$B$950,MATCH(connections!$A418,games!$A$2:$A$950,0)),""))</f>
        <v>1994</v>
      </c>
      <c r="U418">
        <f>IF(connections!$A418="","",IFERROR(INDEX(games!$B$2:$B$950,MATCH(connections!$B418,games!$A$2:$A$950,0)),""))</f>
        <v>2010</v>
      </c>
      <c r="V418">
        <f t="shared" si="90"/>
        <v>16</v>
      </c>
    </row>
    <row r="419" spans="1:22" x14ac:dyDescent="0.25">
      <c r="A419" t="str">
        <f>IF(games!$A419="","",games!$A419)</f>
        <v>Legionbound</v>
      </c>
      <c r="B419">
        <f>IF($A419="","",games!$B419)</f>
        <v>2026</v>
      </c>
      <c r="C419" t="str">
        <f>IF($A419="","",games!$C419)</f>
        <v>Strategy</v>
      </c>
      <c r="D419">
        <f>IF($A419="","",COUNTIF(connections!$A$2:$A$1473,$A419)+COUNTIF(connections!$B$2:$B$1473,$A419))</f>
        <v>1</v>
      </c>
      <c r="E419">
        <f t="shared" si="78"/>
        <v>2</v>
      </c>
      <c r="F419">
        <f t="shared" si="79"/>
        <v>11</v>
      </c>
      <c r="G419" t="e">
        <f t="shared" si="80"/>
        <v>#N/A</v>
      </c>
      <c r="H419" t="e">
        <f t="shared" si="81"/>
        <v>#N/A</v>
      </c>
      <c r="I419">
        <f t="shared" si="82"/>
        <v>2026</v>
      </c>
      <c r="J419">
        <f t="shared" si="83"/>
        <v>2.2530000000000001</v>
      </c>
      <c r="K419" t="e">
        <f t="shared" si="84"/>
        <v>#N/A</v>
      </c>
      <c r="L419" t="e">
        <f t="shared" si="85"/>
        <v>#N/A</v>
      </c>
      <c r="M419" t="e">
        <f t="shared" si="86"/>
        <v>#N/A</v>
      </c>
      <c r="N419" t="e">
        <f t="shared" si="87"/>
        <v>#N/A</v>
      </c>
      <c r="O419">
        <f t="shared" si="88"/>
        <v>1.0004189999999999</v>
      </c>
      <c r="P419" t="str">
        <f>IF(OR($A419="",games!$H419=""),"",games!$H419)</f>
        <v/>
      </c>
      <c r="Q419" t="str">
        <f t="shared" si="89"/>
        <v/>
      </c>
      <c r="T419">
        <f>IF(connections!$A419="","",IFERROR(INDEX(games!$B$2:$B$950,MATCH(connections!$A419,games!$A$2:$A$950,0)),""))</f>
        <v>1990</v>
      </c>
      <c r="U419">
        <f>IF(connections!$A419="","",IFERROR(INDEX(games!$B$2:$B$950,MATCH(connections!$B419,games!$A$2:$A$950,0)),""))</f>
        <v>2010</v>
      </c>
      <c r="V419">
        <f t="shared" si="90"/>
        <v>20</v>
      </c>
    </row>
    <row r="420" spans="1:22" x14ac:dyDescent="0.25">
      <c r="A420" t="str">
        <f>IF(games!$A420="","",games!$A420)</f>
        <v>Let Him Cook</v>
      </c>
      <c r="B420">
        <f>IF($A420="","",games!$B420)</f>
        <v>2024</v>
      </c>
      <c r="C420" t="str">
        <f>IF($A420="","",games!$C420)</f>
        <v>Action</v>
      </c>
      <c r="D420">
        <f>IF($A420="","",COUNTIF(connections!$A$2:$A$1473,$A420)+COUNTIF(connections!$B$2:$B$1473,$A420))</f>
        <v>1</v>
      </c>
      <c r="E420">
        <f t="shared" si="78"/>
        <v>1</v>
      </c>
      <c r="F420">
        <f t="shared" si="79"/>
        <v>12</v>
      </c>
      <c r="G420">
        <f t="shared" si="80"/>
        <v>2024</v>
      </c>
      <c r="H420">
        <f t="shared" si="81"/>
        <v>1.276</v>
      </c>
      <c r="I420" t="e">
        <f t="shared" si="82"/>
        <v>#N/A</v>
      </c>
      <c r="J420" t="e">
        <f t="shared" si="83"/>
        <v>#N/A</v>
      </c>
      <c r="K420" t="e">
        <f t="shared" si="84"/>
        <v>#N/A</v>
      </c>
      <c r="L420" t="e">
        <f t="shared" si="85"/>
        <v>#N/A</v>
      </c>
      <c r="M420" t="e">
        <f t="shared" si="86"/>
        <v>#N/A</v>
      </c>
      <c r="N420" t="e">
        <f t="shared" si="87"/>
        <v>#N/A</v>
      </c>
      <c r="O420">
        <f t="shared" si="88"/>
        <v>1.0004200000000001</v>
      </c>
      <c r="P420" t="str">
        <f>IF(OR($A420="",games!$H420=""),"",games!$H420)</f>
        <v/>
      </c>
      <c r="Q420" t="str">
        <f t="shared" si="89"/>
        <v/>
      </c>
      <c r="T420">
        <f>IF(connections!$A420="","",IFERROR(INDEX(games!$B$2:$B$950,MATCH(connections!$A420,games!$A$2:$A$950,0)),""))</f>
        <v>1994</v>
      </c>
      <c r="U420">
        <f>IF(connections!$A420="","",IFERROR(INDEX(games!$B$2:$B$950,MATCH(connections!$B420,games!$A$2:$A$950,0)),""))</f>
        <v>2010</v>
      </c>
      <c r="V420">
        <f t="shared" si="90"/>
        <v>16</v>
      </c>
    </row>
    <row r="421" spans="1:22" x14ac:dyDescent="0.25">
      <c r="A421" t="str">
        <f>IF(games!$A421="","",games!$A421)</f>
        <v>Lethal Dungeon</v>
      </c>
      <c r="B421">
        <f>IF($A421="","",games!$B421)</f>
        <v>2026</v>
      </c>
      <c r="C421" t="str">
        <f>IF($A421="","",games!$C421)</f>
        <v>Deckbuilder</v>
      </c>
      <c r="D421">
        <f>IF($A421="","",COUNTIF(connections!$A$2:$A$1473,$A421)+COUNTIF(connections!$B$2:$B$1473,$A421))</f>
        <v>2</v>
      </c>
      <c r="E421">
        <f t="shared" si="78"/>
        <v>3</v>
      </c>
      <c r="F421">
        <f t="shared" si="79"/>
        <v>13</v>
      </c>
      <c r="G421" t="e">
        <f t="shared" si="80"/>
        <v>#N/A</v>
      </c>
      <c r="H421" t="e">
        <f t="shared" si="81"/>
        <v>#N/A</v>
      </c>
      <c r="I421" t="e">
        <f t="shared" si="82"/>
        <v>#N/A</v>
      </c>
      <c r="J421" t="e">
        <f t="shared" si="83"/>
        <v>#N/A</v>
      </c>
      <c r="K421">
        <f t="shared" si="84"/>
        <v>2026</v>
      </c>
      <c r="L421">
        <f t="shared" si="85"/>
        <v>3.2989999999999999</v>
      </c>
      <c r="M421" t="e">
        <f t="shared" si="86"/>
        <v>#N/A</v>
      </c>
      <c r="N421" t="e">
        <f t="shared" si="87"/>
        <v>#N/A</v>
      </c>
      <c r="O421">
        <f t="shared" si="88"/>
        <v>2.0004209999999998</v>
      </c>
      <c r="P421" t="str">
        <f>IF(OR($A421="",games!$H421=""),"",games!$H421)</f>
        <v/>
      </c>
      <c r="Q421" t="str">
        <f t="shared" si="89"/>
        <v/>
      </c>
      <c r="T421">
        <f>IF(connections!$A421="","",IFERROR(INDEX(games!$B$2:$B$950,MATCH(connections!$A421,games!$A$2:$A$950,0)),""))</f>
        <v>1996</v>
      </c>
      <c r="U421">
        <f>IF(connections!$A421="","",IFERROR(INDEX(games!$B$2:$B$950,MATCH(connections!$B421,games!$A$2:$A$950,0)),""))</f>
        <v>2010</v>
      </c>
      <c r="V421">
        <f t="shared" si="90"/>
        <v>14</v>
      </c>
    </row>
    <row r="422" spans="1:22" x14ac:dyDescent="0.25">
      <c r="A422" t="str">
        <f>IF(games!$A422="","",games!$A422)</f>
        <v>Let's! Revolution!</v>
      </c>
      <c r="B422">
        <f>IF($A422="","",games!$B422)</f>
        <v>2023</v>
      </c>
      <c r="C422" t="str">
        <f>IF($A422="","",games!$C422)</f>
        <v>Strategy</v>
      </c>
      <c r="D422">
        <f>IF($A422="","",COUNTIF(connections!$A$2:$A$1473,$A422)+COUNTIF(connections!$B$2:$B$1473,$A422))</f>
        <v>2</v>
      </c>
      <c r="E422">
        <f t="shared" si="78"/>
        <v>2</v>
      </c>
      <c r="F422">
        <f t="shared" si="79"/>
        <v>14</v>
      </c>
      <c r="G422" t="e">
        <f t="shared" si="80"/>
        <v>#N/A</v>
      </c>
      <c r="H422" t="e">
        <f t="shared" si="81"/>
        <v>#N/A</v>
      </c>
      <c r="I422">
        <f t="shared" si="82"/>
        <v>2023</v>
      </c>
      <c r="J422">
        <f t="shared" si="83"/>
        <v>2.3220000000000001</v>
      </c>
      <c r="K422" t="e">
        <f t="shared" si="84"/>
        <v>#N/A</v>
      </c>
      <c r="L422" t="e">
        <f t="shared" si="85"/>
        <v>#N/A</v>
      </c>
      <c r="M422" t="e">
        <f t="shared" si="86"/>
        <v>#N/A</v>
      </c>
      <c r="N422" t="e">
        <f t="shared" si="87"/>
        <v>#N/A</v>
      </c>
      <c r="O422">
        <f t="shared" si="88"/>
        <v>2.0004219999999999</v>
      </c>
      <c r="P422" t="str">
        <f>IF(OR($A422="",games!$H422=""),"",games!$H422)</f>
        <v>Yes</v>
      </c>
      <c r="Q422">
        <f t="shared" si="89"/>
        <v>2.0004219999999999</v>
      </c>
      <c r="T422">
        <f>IF(connections!$A422="","",IFERROR(INDEX(games!$B$2:$B$950,MATCH(connections!$A422,games!$A$2:$A$950,0)),""))</f>
        <v>2002</v>
      </c>
      <c r="U422">
        <f>IF(connections!$A422="","",IFERROR(INDEX(games!$B$2:$B$950,MATCH(connections!$B422,games!$A$2:$A$950,0)),""))</f>
        <v>2010</v>
      </c>
      <c r="V422">
        <f t="shared" si="90"/>
        <v>8</v>
      </c>
    </row>
    <row r="423" spans="1:22" x14ac:dyDescent="0.25">
      <c r="A423" t="str">
        <f>IF(games!$A423="","",games!$A423)</f>
        <v>Lexispell</v>
      </c>
      <c r="B423">
        <f>IF($A423="","",games!$B423)</f>
        <v>2026</v>
      </c>
      <c r="C423" t="str">
        <f>IF($A423="","",games!$C423)</f>
        <v>Deckbuilder</v>
      </c>
      <c r="D423">
        <f>IF($A423="","",COUNTIF(connections!$A$2:$A$1473,$A423)+COUNTIF(connections!$B$2:$B$1473,$A423))</f>
        <v>2</v>
      </c>
      <c r="E423">
        <f t="shared" si="78"/>
        <v>3</v>
      </c>
      <c r="F423">
        <f t="shared" si="79"/>
        <v>15</v>
      </c>
      <c r="G423" t="e">
        <f t="shared" si="80"/>
        <v>#N/A</v>
      </c>
      <c r="H423" t="e">
        <f t="shared" si="81"/>
        <v>#N/A</v>
      </c>
      <c r="I423" t="e">
        <f t="shared" si="82"/>
        <v>#N/A</v>
      </c>
      <c r="J423" t="e">
        <f t="shared" si="83"/>
        <v>#N/A</v>
      </c>
      <c r="K423">
        <f t="shared" si="84"/>
        <v>2026</v>
      </c>
      <c r="L423">
        <f t="shared" si="85"/>
        <v>3.3449999999999998</v>
      </c>
      <c r="M423" t="e">
        <f t="shared" si="86"/>
        <v>#N/A</v>
      </c>
      <c r="N423" t="e">
        <f t="shared" si="87"/>
        <v>#N/A</v>
      </c>
      <c r="O423">
        <f t="shared" si="88"/>
        <v>2.0004230000000001</v>
      </c>
      <c r="P423" t="str">
        <f>IF(OR($A423="",games!$H423=""),"",games!$H423)</f>
        <v/>
      </c>
      <c r="Q423" t="str">
        <f t="shared" si="89"/>
        <v/>
      </c>
      <c r="T423">
        <f>IF(connections!$A423="","",IFERROR(INDEX(games!$B$2:$B$950,MATCH(connections!$A423,games!$A$2:$A$950,0)),""))</f>
        <v>2006</v>
      </c>
      <c r="U423">
        <f>IF(connections!$A423="","",IFERROR(INDEX(games!$B$2:$B$950,MATCH(connections!$B423,games!$A$2:$A$950,0)),""))</f>
        <v>2010</v>
      </c>
      <c r="V423">
        <f t="shared" si="90"/>
        <v>4</v>
      </c>
    </row>
    <row r="424" spans="1:22" x14ac:dyDescent="0.25">
      <c r="A424" t="str">
        <f>IF(games!$A424="","",games!$A424)</f>
        <v>Linley's Dungeon Crawl</v>
      </c>
      <c r="B424">
        <f>IF($A424="","",games!$B424)</f>
        <v>1995</v>
      </c>
      <c r="C424" t="str">
        <f>IF($A424="","",games!$C424)</f>
        <v>Traditional</v>
      </c>
      <c r="D424">
        <f>IF($A424="","",COUNTIF(connections!$A$2:$A$1473,$A424)+COUNTIF(connections!$B$2:$B$1473,$A424))</f>
        <v>5</v>
      </c>
      <c r="E424">
        <f t="shared" si="78"/>
        <v>4</v>
      </c>
      <c r="F424">
        <f t="shared" si="79"/>
        <v>16</v>
      </c>
      <c r="G424" t="e">
        <f t="shared" si="80"/>
        <v>#N/A</v>
      </c>
      <c r="H424" t="e">
        <f t="shared" si="81"/>
        <v>#N/A</v>
      </c>
      <c r="I424" t="e">
        <f t="shared" si="82"/>
        <v>#N/A</v>
      </c>
      <c r="J424" t="e">
        <f t="shared" si="83"/>
        <v>#N/A</v>
      </c>
      <c r="K424" t="e">
        <f t="shared" si="84"/>
        <v>#N/A</v>
      </c>
      <c r="L424" t="e">
        <f t="shared" si="85"/>
        <v>#N/A</v>
      </c>
      <c r="M424">
        <f t="shared" si="86"/>
        <v>1995</v>
      </c>
      <c r="N424">
        <f t="shared" si="87"/>
        <v>4.3680000000000003</v>
      </c>
      <c r="O424">
        <f t="shared" si="88"/>
        <v>5.0004239999999998</v>
      </c>
      <c r="P424" t="str">
        <f>IF(OR($A424="",games!$H424=""),"",games!$H424)</f>
        <v>Yes</v>
      </c>
      <c r="Q424">
        <f t="shared" si="89"/>
        <v>5.0004239999999998</v>
      </c>
      <c r="T424">
        <f>IF(connections!$A424="","",IFERROR(INDEX(games!$B$2:$B$950,MATCH(connections!$A424,games!$A$2:$A$950,0)),""))</f>
        <v>2006</v>
      </c>
      <c r="U424">
        <f>IF(connections!$A424="","",IFERROR(INDEX(games!$B$2:$B$950,MATCH(connections!$B424,games!$A$2:$A$950,0)),""))</f>
        <v>2010</v>
      </c>
      <c r="V424">
        <f t="shared" si="90"/>
        <v>4</v>
      </c>
    </row>
    <row r="425" spans="1:22" x14ac:dyDescent="0.25">
      <c r="A425" t="str">
        <f>IF(games!$A425="","",games!$A425)</f>
        <v>Lone Ruin</v>
      </c>
      <c r="B425">
        <f>IF($A425="","",games!$B425)</f>
        <v>2023</v>
      </c>
      <c r="C425" t="str">
        <f>IF($A425="","",games!$C425)</f>
        <v>Action</v>
      </c>
      <c r="D425">
        <f>IF($A425="","",COUNTIF(connections!$A$2:$A$1473,$A425)+COUNTIF(connections!$B$2:$B$1473,$A425))</f>
        <v>3</v>
      </c>
      <c r="E425">
        <f t="shared" si="78"/>
        <v>1</v>
      </c>
      <c r="F425">
        <f t="shared" si="79"/>
        <v>17</v>
      </c>
      <c r="G425">
        <f t="shared" si="80"/>
        <v>2023</v>
      </c>
      <c r="H425">
        <f t="shared" si="81"/>
        <v>1.391</v>
      </c>
      <c r="I425" t="e">
        <f t="shared" si="82"/>
        <v>#N/A</v>
      </c>
      <c r="J425" t="e">
        <f t="shared" si="83"/>
        <v>#N/A</v>
      </c>
      <c r="K425" t="e">
        <f t="shared" si="84"/>
        <v>#N/A</v>
      </c>
      <c r="L425" t="e">
        <f t="shared" si="85"/>
        <v>#N/A</v>
      </c>
      <c r="M425" t="e">
        <f t="shared" si="86"/>
        <v>#N/A</v>
      </c>
      <c r="N425" t="e">
        <f t="shared" si="87"/>
        <v>#N/A</v>
      </c>
      <c r="O425">
        <f t="shared" si="88"/>
        <v>3.0004249999999999</v>
      </c>
      <c r="P425" t="str">
        <f>IF(OR($A425="",games!$H425=""),"",games!$H425)</f>
        <v>Yes</v>
      </c>
      <c r="Q425">
        <f t="shared" si="89"/>
        <v>3.0004249999999999</v>
      </c>
      <c r="T425">
        <f>IF(connections!$A425="","",IFERROR(INDEX(games!$B$2:$B$950,MATCH(connections!$A425,games!$A$2:$A$950,0)),""))</f>
        <v>2008</v>
      </c>
      <c r="U425">
        <f>IF(connections!$A425="","",IFERROR(INDEX(games!$B$2:$B$950,MATCH(connections!$B425,games!$A$2:$A$950,0)),""))</f>
        <v>2010</v>
      </c>
      <c r="V425">
        <f t="shared" si="90"/>
        <v>2</v>
      </c>
    </row>
    <row r="426" spans="1:22" x14ac:dyDescent="0.25">
      <c r="A426" t="str">
        <f>IF(games!$A426="","",games!$A426)</f>
        <v>LoneStar</v>
      </c>
      <c r="B426">
        <f>IF($A426="","",games!$B426)</f>
        <v>2024</v>
      </c>
      <c r="C426" t="str">
        <f>IF($A426="","",games!$C426)</f>
        <v>Strategy</v>
      </c>
      <c r="D426">
        <f>IF($A426="","",COUNTIF(connections!$A$2:$A$1473,$A426)+COUNTIF(connections!$B$2:$B$1473,$A426))</f>
        <v>1</v>
      </c>
      <c r="E426">
        <f t="shared" si="78"/>
        <v>2</v>
      </c>
      <c r="F426">
        <f t="shared" si="79"/>
        <v>18</v>
      </c>
      <c r="G426" t="e">
        <f t="shared" si="80"/>
        <v>#N/A</v>
      </c>
      <c r="H426" t="e">
        <f t="shared" si="81"/>
        <v>#N/A</v>
      </c>
      <c r="I426">
        <f t="shared" si="82"/>
        <v>2024</v>
      </c>
      <c r="J426">
        <f t="shared" si="83"/>
        <v>2.4140000000000001</v>
      </c>
      <c r="K426" t="e">
        <f t="shared" si="84"/>
        <v>#N/A</v>
      </c>
      <c r="L426" t="e">
        <f t="shared" si="85"/>
        <v>#N/A</v>
      </c>
      <c r="M426" t="e">
        <f t="shared" si="86"/>
        <v>#N/A</v>
      </c>
      <c r="N426" t="e">
        <f t="shared" si="87"/>
        <v>#N/A</v>
      </c>
      <c r="O426">
        <f t="shared" si="88"/>
        <v>1.000426</v>
      </c>
      <c r="P426" t="str">
        <f>IF(OR($A426="",games!$H426=""),"",games!$H426)</f>
        <v>Yes</v>
      </c>
      <c r="Q426">
        <f t="shared" si="89"/>
        <v>1.000426</v>
      </c>
      <c r="T426">
        <f>IF(connections!$A426="","",IFERROR(INDEX(games!$B$2:$B$950,MATCH(connections!$A426,games!$A$2:$A$950,0)),""))</f>
        <v>1998</v>
      </c>
      <c r="U426">
        <f>IF(connections!$A426="","",IFERROR(INDEX(games!$B$2:$B$950,MATCH(connections!$B426,games!$A$2:$A$950,0)),""))</f>
        <v>2010</v>
      </c>
      <c r="V426">
        <f t="shared" si="90"/>
        <v>12</v>
      </c>
    </row>
    <row r="427" spans="1:22" x14ac:dyDescent="0.25">
      <c r="A427" t="str">
        <f>IF(games!$A427="","",games!$A427)</f>
        <v>Loop Hero</v>
      </c>
      <c r="B427">
        <f>IF($A427="","",games!$B427)</f>
        <v>2021</v>
      </c>
      <c r="C427" t="str">
        <f>IF($A427="","",games!$C427)</f>
        <v>Strategy</v>
      </c>
      <c r="D427">
        <f>IF($A427="","",COUNTIF(connections!$A$2:$A$1473,$A427)+COUNTIF(connections!$B$2:$B$1473,$A427))</f>
        <v>4</v>
      </c>
      <c r="E427">
        <f t="shared" si="78"/>
        <v>2</v>
      </c>
      <c r="F427">
        <f t="shared" si="79"/>
        <v>19</v>
      </c>
      <c r="G427" t="e">
        <f t="shared" si="80"/>
        <v>#N/A</v>
      </c>
      <c r="H427" t="e">
        <f t="shared" si="81"/>
        <v>#N/A</v>
      </c>
      <c r="I427">
        <f t="shared" si="82"/>
        <v>2021</v>
      </c>
      <c r="J427">
        <f t="shared" si="83"/>
        <v>2.4369999999999998</v>
      </c>
      <c r="K427" t="e">
        <f t="shared" si="84"/>
        <v>#N/A</v>
      </c>
      <c r="L427" t="e">
        <f t="shared" si="85"/>
        <v>#N/A</v>
      </c>
      <c r="M427" t="e">
        <f t="shared" si="86"/>
        <v>#N/A</v>
      </c>
      <c r="N427" t="e">
        <f t="shared" si="87"/>
        <v>#N/A</v>
      </c>
      <c r="O427">
        <f t="shared" si="88"/>
        <v>4.0004270000000002</v>
      </c>
      <c r="P427" t="str">
        <f>IF(OR($A427="",games!$H427=""),"",games!$H427)</f>
        <v>Yes</v>
      </c>
      <c r="Q427">
        <f t="shared" si="89"/>
        <v>4.0004270000000002</v>
      </c>
      <c r="T427">
        <f>IF(connections!$A427="","",IFERROR(INDEX(games!$B$2:$B$950,MATCH(connections!$A427,games!$A$2:$A$950,0)),""))</f>
        <v>2021</v>
      </c>
      <c r="U427">
        <f>IF(connections!$A427="","",IFERROR(INDEX(games!$B$2:$B$950,MATCH(connections!$B427,games!$A$2:$A$950,0)),""))</f>
        <v>2024</v>
      </c>
      <c r="V427">
        <f t="shared" si="90"/>
        <v>3</v>
      </c>
    </row>
    <row r="428" spans="1:22" x14ac:dyDescent="0.25">
      <c r="A428" t="str">
        <f>IF(games!$A428="","",games!$A428)</f>
        <v>Loot Rascals</v>
      </c>
      <c r="B428">
        <f>IF($A428="","",games!$B428)</f>
        <v>2017</v>
      </c>
      <c r="C428" t="str">
        <f>IF($A428="","",games!$C428)</f>
        <v>Strategy</v>
      </c>
      <c r="D428">
        <f>IF($A428="","",COUNTIF(connections!$A$2:$A$1473,$A428)+COUNTIF(connections!$B$2:$B$1473,$A428))</f>
        <v>3</v>
      </c>
      <c r="E428">
        <f t="shared" si="78"/>
        <v>2</v>
      </c>
      <c r="F428">
        <f t="shared" si="79"/>
        <v>20</v>
      </c>
      <c r="G428" t="e">
        <f t="shared" si="80"/>
        <v>#N/A</v>
      </c>
      <c r="H428" t="e">
        <f t="shared" si="81"/>
        <v>#N/A</v>
      </c>
      <c r="I428">
        <f t="shared" si="82"/>
        <v>2017</v>
      </c>
      <c r="J428">
        <f t="shared" si="83"/>
        <v>2.46</v>
      </c>
      <c r="K428" t="e">
        <f t="shared" si="84"/>
        <v>#N/A</v>
      </c>
      <c r="L428" t="e">
        <f t="shared" si="85"/>
        <v>#N/A</v>
      </c>
      <c r="M428" t="e">
        <f t="shared" si="86"/>
        <v>#N/A</v>
      </c>
      <c r="N428" t="e">
        <f t="shared" si="87"/>
        <v>#N/A</v>
      </c>
      <c r="O428">
        <f t="shared" si="88"/>
        <v>3.0004279999999999</v>
      </c>
      <c r="P428" t="str">
        <f>IF(OR($A428="",games!$H428=""),"",games!$H428)</f>
        <v/>
      </c>
      <c r="Q428" t="str">
        <f t="shared" si="89"/>
        <v/>
      </c>
      <c r="T428">
        <f>IF(connections!$A428="","",IFERROR(INDEX(games!$B$2:$B$950,MATCH(connections!$A428,games!$A$2:$A$950,0)),""))</f>
        <v>2011</v>
      </c>
      <c r="U428">
        <f>IF(connections!$A428="","",IFERROR(INDEX(games!$B$2:$B$950,MATCH(connections!$B428,games!$A$2:$A$950,0)),""))</f>
        <v>2024</v>
      </c>
      <c r="V428">
        <f t="shared" si="90"/>
        <v>13</v>
      </c>
    </row>
    <row r="429" spans="1:22" x14ac:dyDescent="0.25">
      <c r="A429" t="str">
        <f>IF(games!$A429="","",games!$A429)</f>
        <v>Loot River</v>
      </c>
      <c r="B429">
        <f>IF($A429="","",games!$B429)</f>
        <v>2022</v>
      </c>
      <c r="C429" t="str">
        <f>IF($A429="","",games!$C429)</f>
        <v>Strategy</v>
      </c>
      <c r="D429">
        <f>IF($A429="","",COUNTIF(connections!$A$2:$A$1473,$A429)+COUNTIF(connections!$B$2:$B$1473,$A429))</f>
        <v>0</v>
      </c>
      <c r="E429">
        <f t="shared" si="78"/>
        <v>2</v>
      </c>
      <c r="F429">
        <f t="shared" si="79"/>
        <v>21</v>
      </c>
      <c r="G429" t="e">
        <f t="shared" si="80"/>
        <v>#N/A</v>
      </c>
      <c r="H429" t="e">
        <f t="shared" si="81"/>
        <v>#N/A</v>
      </c>
      <c r="I429">
        <f t="shared" si="82"/>
        <v>2022</v>
      </c>
      <c r="J429">
        <f t="shared" si="83"/>
        <v>2.4830000000000001</v>
      </c>
      <c r="K429" t="e">
        <f t="shared" si="84"/>
        <v>#N/A</v>
      </c>
      <c r="L429" t="e">
        <f t="shared" si="85"/>
        <v>#N/A</v>
      </c>
      <c r="M429" t="e">
        <f t="shared" si="86"/>
        <v>#N/A</v>
      </c>
      <c r="N429" t="e">
        <f t="shared" si="87"/>
        <v>#N/A</v>
      </c>
      <c r="O429">
        <f t="shared" si="88"/>
        <v>4.2900000000000002E-4</v>
      </c>
      <c r="P429" t="str">
        <f>IF(OR($A429="",games!$H429=""),"",games!$H429)</f>
        <v>Yes</v>
      </c>
      <c r="Q429">
        <f t="shared" si="89"/>
        <v>4.2900000000000002E-4</v>
      </c>
      <c r="T429">
        <f>IF(connections!$A429="","",IFERROR(INDEX(games!$B$2:$B$950,MATCH(connections!$A429,games!$A$2:$A$950,0)),""))</f>
        <v>1987</v>
      </c>
      <c r="U429">
        <f>IF(connections!$A429="","",IFERROR(INDEX(games!$B$2:$B$950,MATCH(connections!$B429,games!$A$2:$A$950,0)),""))</f>
        <v>2011</v>
      </c>
      <c r="V429">
        <f t="shared" si="90"/>
        <v>24</v>
      </c>
    </row>
    <row r="430" spans="1:22" x14ac:dyDescent="0.25">
      <c r="A430" t="str">
        <f>IF(games!$A430="","",games!$A430)</f>
        <v>Lootplot</v>
      </c>
      <c r="B430">
        <f>IF($A430="","",games!$B430)</f>
        <v>2025</v>
      </c>
      <c r="C430" t="str">
        <f>IF($A430="","",games!$C430)</f>
        <v>Strategy</v>
      </c>
      <c r="D430">
        <f>IF($A430="","",COUNTIF(connections!$A$2:$A$1473,$A430)+COUNTIF(connections!$B$2:$B$1473,$A430))</f>
        <v>2</v>
      </c>
      <c r="E430">
        <f t="shared" si="78"/>
        <v>2</v>
      </c>
      <c r="F430">
        <f t="shared" si="79"/>
        <v>22</v>
      </c>
      <c r="G430" t="e">
        <f t="shared" si="80"/>
        <v>#N/A</v>
      </c>
      <c r="H430" t="e">
        <f t="shared" si="81"/>
        <v>#N/A</v>
      </c>
      <c r="I430">
        <f t="shared" si="82"/>
        <v>2025</v>
      </c>
      <c r="J430">
        <f t="shared" si="83"/>
        <v>2.5060000000000002</v>
      </c>
      <c r="K430" t="e">
        <f t="shared" si="84"/>
        <v>#N/A</v>
      </c>
      <c r="L430" t="e">
        <f t="shared" si="85"/>
        <v>#N/A</v>
      </c>
      <c r="M430" t="e">
        <f t="shared" si="86"/>
        <v>#N/A</v>
      </c>
      <c r="N430" t="e">
        <f t="shared" si="87"/>
        <v>#N/A</v>
      </c>
      <c r="O430">
        <f t="shared" si="88"/>
        <v>2.0004300000000002</v>
      </c>
      <c r="P430" t="str">
        <f>IF(OR($A430="",games!$H430=""),"",games!$H430)</f>
        <v/>
      </c>
      <c r="Q430" t="str">
        <f t="shared" si="89"/>
        <v/>
      </c>
      <c r="T430">
        <f>IF(connections!$A430="","",IFERROR(INDEX(games!$B$2:$B$950,MATCH(connections!$A430,games!$A$2:$A$950,0)),""))</f>
        <v>2013</v>
      </c>
      <c r="U430">
        <f>IF(connections!$A430="","",IFERROR(INDEX(games!$B$2:$B$950,MATCH(connections!$B430,games!$A$2:$A$950,0)),""))</f>
        <v>2018</v>
      </c>
      <c r="V430">
        <f t="shared" si="90"/>
        <v>5</v>
      </c>
    </row>
    <row r="431" spans="1:22" x14ac:dyDescent="0.25">
      <c r="A431" t="str">
        <f>IF(games!$A431="","",games!$A431)</f>
        <v>Lort</v>
      </c>
      <c r="B431">
        <f>IF($A431="","",games!$B431)</f>
        <v>2026</v>
      </c>
      <c r="C431" t="str">
        <f>IF($A431="","",games!$C431)</f>
        <v>Action</v>
      </c>
      <c r="D431">
        <f>IF($A431="","",COUNTIF(connections!$A$2:$A$1473,$A431)+COUNTIF(connections!$B$2:$B$1473,$A431))</f>
        <v>2</v>
      </c>
      <c r="E431">
        <f t="shared" si="78"/>
        <v>1</v>
      </c>
      <c r="F431">
        <f t="shared" si="79"/>
        <v>23</v>
      </c>
      <c r="G431">
        <f t="shared" si="80"/>
        <v>2026</v>
      </c>
      <c r="H431">
        <f t="shared" si="81"/>
        <v>1.5289999999999999</v>
      </c>
      <c r="I431" t="e">
        <f t="shared" si="82"/>
        <v>#N/A</v>
      </c>
      <c r="J431" t="e">
        <f t="shared" si="83"/>
        <v>#N/A</v>
      </c>
      <c r="K431" t="e">
        <f t="shared" si="84"/>
        <v>#N/A</v>
      </c>
      <c r="L431" t="e">
        <f t="shared" si="85"/>
        <v>#N/A</v>
      </c>
      <c r="M431" t="e">
        <f t="shared" si="86"/>
        <v>#N/A</v>
      </c>
      <c r="N431" t="e">
        <f t="shared" si="87"/>
        <v>#N/A</v>
      </c>
      <c r="O431">
        <f t="shared" si="88"/>
        <v>2.0004309999999998</v>
      </c>
      <c r="P431" t="str">
        <f>IF(OR($A431="",games!$H431=""),"",games!$H431)</f>
        <v/>
      </c>
      <c r="Q431" t="str">
        <f t="shared" si="89"/>
        <v/>
      </c>
      <c r="T431">
        <f>IF(connections!$A431="","",IFERROR(INDEX(games!$B$2:$B$950,MATCH(connections!$A431,games!$A$2:$A$950,0)),""))</f>
        <v>2018</v>
      </c>
      <c r="U431">
        <f>IF(connections!$A431="","",IFERROR(INDEX(games!$B$2:$B$950,MATCH(connections!$B431,games!$A$2:$A$950,0)),""))</f>
        <v>2025</v>
      </c>
      <c r="V431">
        <f t="shared" si="90"/>
        <v>7</v>
      </c>
    </row>
    <row r="432" spans="1:22" x14ac:dyDescent="0.25">
      <c r="A432" t="str">
        <f>IF(games!$A432="","",games!$A432)</f>
        <v>Lost Flame</v>
      </c>
      <c r="B432">
        <f>IF($A432="","",games!$B432)</f>
        <v>2019</v>
      </c>
      <c r="C432" t="str">
        <f>IF($A432="","",games!$C432)</f>
        <v>Traditional</v>
      </c>
      <c r="D432">
        <f>IF($A432="","",COUNTIF(connections!$A$2:$A$1473,$A432)+COUNTIF(connections!$B$2:$B$1473,$A432))</f>
        <v>2</v>
      </c>
      <c r="E432">
        <f t="shared" si="78"/>
        <v>4</v>
      </c>
      <c r="F432">
        <f t="shared" si="79"/>
        <v>24</v>
      </c>
      <c r="G432" t="e">
        <f t="shared" si="80"/>
        <v>#N/A</v>
      </c>
      <c r="H432" t="e">
        <f t="shared" si="81"/>
        <v>#N/A</v>
      </c>
      <c r="I432" t="e">
        <f t="shared" si="82"/>
        <v>#N/A</v>
      </c>
      <c r="J432" t="e">
        <f t="shared" si="83"/>
        <v>#N/A</v>
      </c>
      <c r="K432" t="e">
        <f t="shared" si="84"/>
        <v>#N/A</v>
      </c>
      <c r="L432" t="e">
        <f t="shared" si="85"/>
        <v>#N/A</v>
      </c>
      <c r="M432">
        <f t="shared" si="86"/>
        <v>2019</v>
      </c>
      <c r="N432">
        <f t="shared" si="87"/>
        <v>4.5519999999999996</v>
      </c>
      <c r="O432">
        <f t="shared" si="88"/>
        <v>2.000432</v>
      </c>
      <c r="P432" t="str">
        <f>IF(OR($A432="",games!$H432=""),"",games!$H432)</f>
        <v/>
      </c>
      <c r="Q432" t="str">
        <f t="shared" si="89"/>
        <v/>
      </c>
      <c r="T432">
        <f>IF(connections!$A432="","",IFERROR(INDEX(games!$B$2:$B$950,MATCH(connections!$A432,games!$A$2:$A$950,0)),""))</f>
        <v>2019</v>
      </c>
      <c r="U432">
        <f>IF(connections!$A432="","",IFERROR(INDEX(games!$B$2:$B$950,MATCH(connections!$B432,games!$A$2:$A$950,0)),""))</f>
        <v>2025</v>
      </c>
      <c r="V432">
        <f t="shared" si="90"/>
        <v>6</v>
      </c>
    </row>
    <row r="433" spans="1:22" x14ac:dyDescent="0.25">
      <c r="A433" t="str">
        <f>IF(games!$A433="","",games!$A433)</f>
        <v>Lost For Swords</v>
      </c>
      <c r="B433">
        <f>IF($A433="","",games!$B433)</f>
        <v>2023</v>
      </c>
      <c r="C433" t="str">
        <f>IF($A433="","",games!$C433)</f>
        <v>Deckbuilder</v>
      </c>
      <c r="D433">
        <f>IF($A433="","",COUNTIF(connections!$A$2:$A$1473,$A433)+COUNTIF(connections!$B$2:$B$1473,$A433))</f>
        <v>4</v>
      </c>
      <c r="E433">
        <f t="shared" si="78"/>
        <v>3</v>
      </c>
      <c r="F433">
        <f t="shared" si="79"/>
        <v>25</v>
      </c>
      <c r="G433" t="e">
        <f t="shared" si="80"/>
        <v>#N/A</v>
      </c>
      <c r="H433" t="e">
        <f t="shared" si="81"/>
        <v>#N/A</v>
      </c>
      <c r="I433" t="e">
        <f t="shared" si="82"/>
        <v>#N/A</v>
      </c>
      <c r="J433" t="e">
        <f t="shared" si="83"/>
        <v>#N/A</v>
      </c>
      <c r="K433">
        <f t="shared" si="84"/>
        <v>2023</v>
      </c>
      <c r="L433">
        <f t="shared" si="85"/>
        <v>3.5750000000000002</v>
      </c>
      <c r="M433" t="e">
        <f t="shared" si="86"/>
        <v>#N/A</v>
      </c>
      <c r="N433" t="e">
        <f t="shared" si="87"/>
        <v>#N/A</v>
      </c>
      <c r="O433">
        <f t="shared" si="88"/>
        <v>4.0004330000000001</v>
      </c>
      <c r="P433" t="str">
        <f>IF(OR($A433="",games!$H433=""),"",games!$H433)</f>
        <v/>
      </c>
      <c r="Q433" t="str">
        <f t="shared" si="89"/>
        <v/>
      </c>
      <c r="T433">
        <f>IF(connections!$A433="","",IFERROR(INDEX(games!$B$2:$B$950,MATCH(connections!$A433,games!$A$2:$A$950,0)),""))</f>
        <v>2013</v>
      </c>
      <c r="U433">
        <f>IF(connections!$A433="","",IFERROR(INDEX(games!$B$2:$B$950,MATCH(connections!$B433,games!$A$2:$A$950,0)),""))</f>
        <v>2025</v>
      </c>
      <c r="V433">
        <f t="shared" si="90"/>
        <v>12</v>
      </c>
    </row>
    <row r="434" spans="1:22" x14ac:dyDescent="0.25">
      <c r="A434" t="str">
        <f>IF(games!$A434="","",games!$A434)</f>
        <v>Lost In Fantaland</v>
      </c>
      <c r="B434">
        <f>IF($A434="","",games!$B434)</f>
        <v>2022</v>
      </c>
      <c r="C434" t="str">
        <f>IF($A434="","",games!$C434)</f>
        <v>Deckbuilder</v>
      </c>
      <c r="D434">
        <f>IF($A434="","",COUNTIF(connections!$A$2:$A$1473,$A434)+COUNTIF(connections!$B$2:$B$1473,$A434))</f>
        <v>1</v>
      </c>
      <c r="E434">
        <f t="shared" si="78"/>
        <v>3</v>
      </c>
      <c r="F434">
        <f t="shared" si="79"/>
        <v>26</v>
      </c>
      <c r="G434" t="e">
        <f t="shared" si="80"/>
        <v>#N/A</v>
      </c>
      <c r="H434" t="e">
        <f t="shared" si="81"/>
        <v>#N/A</v>
      </c>
      <c r="I434" t="e">
        <f t="shared" si="82"/>
        <v>#N/A</v>
      </c>
      <c r="J434" t="e">
        <f t="shared" si="83"/>
        <v>#N/A</v>
      </c>
      <c r="K434">
        <f t="shared" si="84"/>
        <v>2022</v>
      </c>
      <c r="L434">
        <f t="shared" si="85"/>
        <v>3.5979999999999999</v>
      </c>
      <c r="M434" t="e">
        <f t="shared" si="86"/>
        <v>#N/A</v>
      </c>
      <c r="N434" t="e">
        <f t="shared" si="87"/>
        <v>#N/A</v>
      </c>
      <c r="O434">
        <f t="shared" si="88"/>
        <v>1.000434</v>
      </c>
      <c r="P434" t="str">
        <f>IF(OR($A434="",games!$H434=""),"",games!$H434)</f>
        <v/>
      </c>
      <c r="Q434" t="str">
        <f t="shared" si="89"/>
        <v/>
      </c>
      <c r="T434">
        <f>IF(connections!$A434="","",IFERROR(INDEX(games!$B$2:$B$950,MATCH(connections!$A434,games!$A$2:$A$950,0)),""))</f>
        <v>2008</v>
      </c>
      <c r="U434">
        <f>IF(connections!$A434="","",IFERROR(INDEX(games!$B$2:$B$950,MATCH(connections!$B434,games!$A$2:$A$950,0)),""))</f>
        <v>2025</v>
      </c>
      <c r="V434">
        <f t="shared" si="90"/>
        <v>17</v>
      </c>
    </row>
    <row r="435" spans="1:22" x14ac:dyDescent="0.25">
      <c r="A435" t="str">
        <f>IF(games!$A435="","",games!$A435)</f>
        <v>Lost in Random: The Eternal Die</v>
      </c>
      <c r="B435">
        <f>IF($A435="","",games!$B435)</f>
        <v>2025</v>
      </c>
      <c r="C435" t="str">
        <f>IF($A435="","",games!$C435)</f>
        <v>Action</v>
      </c>
      <c r="D435">
        <f>IF($A435="","",COUNTIF(connections!$A$2:$A$1473,$A435)+COUNTIF(connections!$B$2:$B$1473,$A435))</f>
        <v>1</v>
      </c>
      <c r="E435">
        <f t="shared" si="78"/>
        <v>1</v>
      </c>
      <c r="F435">
        <f t="shared" si="79"/>
        <v>27</v>
      </c>
      <c r="G435">
        <f t="shared" si="80"/>
        <v>2025</v>
      </c>
      <c r="H435">
        <f t="shared" si="81"/>
        <v>1.621</v>
      </c>
      <c r="I435" t="e">
        <f t="shared" si="82"/>
        <v>#N/A</v>
      </c>
      <c r="J435" t="e">
        <f t="shared" si="83"/>
        <v>#N/A</v>
      </c>
      <c r="K435" t="e">
        <f t="shared" si="84"/>
        <v>#N/A</v>
      </c>
      <c r="L435" t="e">
        <f t="shared" si="85"/>
        <v>#N/A</v>
      </c>
      <c r="M435" t="e">
        <f t="shared" si="86"/>
        <v>#N/A</v>
      </c>
      <c r="N435" t="e">
        <f t="shared" si="87"/>
        <v>#N/A</v>
      </c>
      <c r="O435">
        <f t="shared" si="88"/>
        <v>1.000435</v>
      </c>
      <c r="P435" t="str">
        <f>IF(OR($A435="",games!$H435=""),"",games!$H435)</f>
        <v>Yes</v>
      </c>
      <c r="Q435">
        <f t="shared" si="89"/>
        <v>1.000435</v>
      </c>
      <c r="T435">
        <f>IF(connections!$A435="","",IFERROR(INDEX(games!$B$2:$B$950,MATCH(connections!$A435,games!$A$2:$A$950,0)),""))</f>
        <v>1984</v>
      </c>
      <c r="U435">
        <f>IF(connections!$A435="","",IFERROR(INDEX(games!$B$2:$B$950,MATCH(connections!$B435,games!$A$2:$A$950,0)),""))</f>
        <v>2006</v>
      </c>
      <c r="V435">
        <f t="shared" si="90"/>
        <v>22</v>
      </c>
    </row>
    <row r="436" spans="1:22" x14ac:dyDescent="0.25">
      <c r="A436" t="str">
        <f>IF(games!$A436="","",games!$A436)</f>
        <v>Lost Labyrinth</v>
      </c>
      <c r="B436">
        <f>IF($A436="","",games!$B436)</f>
        <v>2001</v>
      </c>
      <c r="C436" t="str">
        <f>IF($A436="","",games!$C436)</f>
        <v>Traditional</v>
      </c>
      <c r="D436">
        <f>IF($A436="","",COUNTIF(connections!$A$2:$A$1473,$A436)+COUNTIF(connections!$B$2:$B$1473,$A436))</f>
        <v>2</v>
      </c>
      <c r="E436">
        <f t="shared" si="78"/>
        <v>4</v>
      </c>
      <c r="F436">
        <f t="shared" si="79"/>
        <v>28</v>
      </c>
      <c r="G436" t="e">
        <f t="shared" si="80"/>
        <v>#N/A</v>
      </c>
      <c r="H436" t="e">
        <f t="shared" si="81"/>
        <v>#N/A</v>
      </c>
      <c r="I436" t="e">
        <f t="shared" si="82"/>
        <v>#N/A</v>
      </c>
      <c r="J436" t="e">
        <f t="shared" si="83"/>
        <v>#N/A</v>
      </c>
      <c r="K436" t="e">
        <f t="shared" si="84"/>
        <v>#N/A</v>
      </c>
      <c r="L436" t="e">
        <f t="shared" si="85"/>
        <v>#N/A</v>
      </c>
      <c r="M436">
        <f t="shared" si="86"/>
        <v>2001</v>
      </c>
      <c r="N436">
        <f t="shared" si="87"/>
        <v>4.6440000000000001</v>
      </c>
      <c r="O436">
        <f t="shared" si="88"/>
        <v>2.0004360000000001</v>
      </c>
      <c r="P436" t="str">
        <f>IF(OR($A436="",games!$H436=""),"",games!$H436)</f>
        <v/>
      </c>
      <c r="Q436" t="str">
        <f t="shared" si="89"/>
        <v/>
      </c>
      <c r="T436">
        <f>IF(connections!$A436="","",IFERROR(INDEX(games!$B$2:$B$950,MATCH(connections!$A436,games!$A$2:$A$950,0)),""))</f>
        <v>2019</v>
      </c>
      <c r="U436">
        <f>IF(connections!$A436="","",IFERROR(INDEX(games!$B$2:$B$950,MATCH(connections!$B436,games!$A$2:$A$950,0)),""))</f>
        <v>2023</v>
      </c>
      <c r="V436">
        <f t="shared" si="90"/>
        <v>4</v>
      </c>
    </row>
    <row r="437" spans="1:22" x14ac:dyDescent="0.25">
      <c r="A437" t="str">
        <f>IF(games!$A437="","",games!$A437)</f>
        <v>Luck &amp; Loot</v>
      </c>
      <c r="B437">
        <f>IF($A437="","",games!$B437)</f>
        <v>2024</v>
      </c>
      <c r="C437" t="str">
        <f>IF($A437="","",games!$C437)</f>
        <v>Deckbuilder</v>
      </c>
      <c r="D437">
        <f>IF($A437="","",COUNTIF(connections!$A$2:$A$1473,$A437)+COUNTIF(connections!$B$2:$B$1473,$A437))</f>
        <v>3</v>
      </c>
      <c r="E437">
        <f t="shared" si="78"/>
        <v>3</v>
      </c>
      <c r="F437">
        <f t="shared" si="79"/>
        <v>29</v>
      </c>
      <c r="G437" t="e">
        <f t="shared" si="80"/>
        <v>#N/A</v>
      </c>
      <c r="H437" t="e">
        <f t="shared" si="81"/>
        <v>#N/A</v>
      </c>
      <c r="I437" t="e">
        <f t="shared" si="82"/>
        <v>#N/A</v>
      </c>
      <c r="J437" t="e">
        <f t="shared" si="83"/>
        <v>#N/A</v>
      </c>
      <c r="K437">
        <f t="shared" si="84"/>
        <v>2024</v>
      </c>
      <c r="L437">
        <f t="shared" si="85"/>
        <v>3.6669999999999998</v>
      </c>
      <c r="M437" t="e">
        <f t="shared" si="86"/>
        <v>#N/A</v>
      </c>
      <c r="N437" t="e">
        <f t="shared" si="87"/>
        <v>#N/A</v>
      </c>
      <c r="O437">
        <f t="shared" si="88"/>
        <v>3.0004369999999998</v>
      </c>
      <c r="P437" t="str">
        <f>IF(OR($A437="",games!$H437=""),"",games!$H437)</f>
        <v/>
      </c>
      <c r="Q437" t="str">
        <f t="shared" si="89"/>
        <v/>
      </c>
      <c r="T437">
        <f>IF(connections!$A437="","",IFERROR(INDEX(games!$B$2:$B$950,MATCH(connections!$A437,games!$A$2:$A$950,0)),""))</f>
        <v>2008</v>
      </c>
      <c r="U437">
        <f>IF(connections!$A437="","",IFERROR(INDEX(games!$B$2:$B$950,MATCH(connections!$B437,games!$A$2:$A$950,0)),""))</f>
        <v>2013</v>
      </c>
      <c r="V437">
        <f t="shared" si="90"/>
        <v>5</v>
      </c>
    </row>
    <row r="438" spans="1:22" x14ac:dyDescent="0.25">
      <c r="A438" t="str">
        <f>IF(games!$A438="","",games!$A438)</f>
        <v>Luck be a Landlord</v>
      </c>
      <c r="B438">
        <f>IF($A438="","",games!$B438)</f>
        <v>2021</v>
      </c>
      <c r="C438" t="str">
        <f>IF($A438="","",games!$C438)</f>
        <v>Deckbuilder</v>
      </c>
      <c r="D438">
        <f>IF($A438="","",COUNTIF(connections!$A$2:$A$1473,$A438)+COUNTIF(connections!$B$2:$B$1473,$A438))</f>
        <v>27</v>
      </c>
      <c r="E438">
        <f t="shared" si="78"/>
        <v>3</v>
      </c>
      <c r="F438">
        <f t="shared" si="79"/>
        <v>30</v>
      </c>
      <c r="G438" t="e">
        <f t="shared" si="80"/>
        <v>#N/A</v>
      </c>
      <c r="H438" t="e">
        <f t="shared" si="81"/>
        <v>#N/A</v>
      </c>
      <c r="I438" t="e">
        <f t="shared" si="82"/>
        <v>#N/A</v>
      </c>
      <c r="J438" t="e">
        <f t="shared" si="83"/>
        <v>#N/A</v>
      </c>
      <c r="K438">
        <f t="shared" si="84"/>
        <v>2021</v>
      </c>
      <c r="L438">
        <f t="shared" si="85"/>
        <v>3.69</v>
      </c>
      <c r="M438" t="e">
        <f t="shared" si="86"/>
        <v>#N/A</v>
      </c>
      <c r="N438" t="e">
        <f t="shared" si="87"/>
        <v>#N/A</v>
      </c>
      <c r="O438">
        <f t="shared" si="88"/>
        <v>27.000437999999999</v>
      </c>
      <c r="P438" t="str">
        <f>IF(OR($A438="",games!$H438=""),"",games!$H438)</f>
        <v>Yes</v>
      </c>
      <c r="Q438">
        <f t="shared" si="89"/>
        <v>27.000437999999999</v>
      </c>
      <c r="T438">
        <f>IF(connections!$A438="","",IFERROR(INDEX(games!$B$2:$B$950,MATCH(connections!$A438,games!$A$2:$A$950,0)),""))</f>
        <v>2021</v>
      </c>
      <c r="U438">
        <f>IF(connections!$A438="","",IFERROR(INDEX(games!$B$2:$B$950,MATCH(connections!$B438,games!$A$2:$A$950,0)),""))</f>
        <v>2023</v>
      </c>
      <c r="V438">
        <f t="shared" si="90"/>
        <v>2</v>
      </c>
    </row>
    <row r="439" spans="1:22" x14ac:dyDescent="0.25">
      <c r="A439" t="str">
        <f>IF(games!$A439="","",games!$A439)</f>
        <v>Lucky Hero</v>
      </c>
      <c r="B439">
        <f>IF($A439="","",games!$B439)</f>
        <v>2023</v>
      </c>
      <c r="C439" t="str">
        <f>IF($A439="","",games!$C439)</f>
        <v>Deckbuilder</v>
      </c>
      <c r="D439">
        <f>IF($A439="","",COUNTIF(connections!$A$2:$A$1473,$A439)+COUNTIF(connections!$B$2:$B$1473,$A439))</f>
        <v>1</v>
      </c>
      <c r="E439">
        <f t="shared" si="78"/>
        <v>3</v>
      </c>
      <c r="F439">
        <f t="shared" si="79"/>
        <v>31</v>
      </c>
      <c r="G439" t="e">
        <f t="shared" si="80"/>
        <v>#N/A</v>
      </c>
      <c r="H439" t="e">
        <f t="shared" si="81"/>
        <v>#N/A</v>
      </c>
      <c r="I439" t="e">
        <f t="shared" si="82"/>
        <v>#N/A</v>
      </c>
      <c r="J439" t="e">
        <f t="shared" si="83"/>
        <v>#N/A</v>
      </c>
      <c r="K439">
        <f t="shared" si="84"/>
        <v>2023</v>
      </c>
      <c r="L439">
        <f t="shared" si="85"/>
        <v>3.7130000000000001</v>
      </c>
      <c r="M439" t="e">
        <f t="shared" si="86"/>
        <v>#N/A</v>
      </c>
      <c r="N439" t="e">
        <f t="shared" si="87"/>
        <v>#N/A</v>
      </c>
      <c r="O439">
        <f t="shared" si="88"/>
        <v>1.0004390000000001</v>
      </c>
      <c r="P439" t="str">
        <f>IF(OR($A439="",games!$H439=""),"",games!$H439)</f>
        <v>Yes</v>
      </c>
      <c r="Q439">
        <f t="shared" si="89"/>
        <v>1.0004390000000001</v>
      </c>
      <c r="T439">
        <f>IF(connections!$A439="","",IFERROR(INDEX(games!$B$2:$B$950,MATCH(connections!$A439,games!$A$2:$A$950,0)),""))</f>
        <v>2021</v>
      </c>
      <c r="U439">
        <f>IF(connections!$A439="","",IFERROR(INDEX(games!$B$2:$B$950,MATCH(connections!$B439,games!$A$2:$A$950,0)),""))</f>
        <v>2023</v>
      </c>
      <c r="V439">
        <f t="shared" si="90"/>
        <v>2</v>
      </c>
    </row>
    <row r="440" spans="1:22" x14ac:dyDescent="0.25">
      <c r="A440" t="str">
        <f>IF(games!$A440="","",games!$A440)</f>
        <v>Lucky Shot</v>
      </c>
      <c r="B440">
        <f>IF($A440="","",games!$B440)</f>
        <v>2026</v>
      </c>
      <c r="C440" t="str">
        <f>IF($A440="","",games!$C440)</f>
        <v>Action</v>
      </c>
      <c r="D440">
        <f>IF($A440="","",COUNTIF(connections!$A$2:$A$1473,$A440)+COUNTIF(connections!$B$2:$B$1473,$A440))</f>
        <v>1</v>
      </c>
      <c r="E440">
        <f t="shared" si="78"/>
        <v>1</v>
      </c>
      <c r="F440">
        <f t="shared" si="79"/>
        <v>32</v>
      </c>
      <c r="G440">
        <f t="shared" si="80"/>
        <v>2026</v>
      </c>
      <c r="H440">
        <f t="shared" si="81"/>
        <v>1.736</v>
      </c>
      <c r="I440" t="e">
        <f t="shared" si="82"/>
        <v>#N/A</v>
      </c>
      <c r="J440" t="e">
        <f t="shared" si="83"/>
        <v>#N/A</v>
      </c>
      <c r="K440" t="e">
        <f t="shared" si="84"/>
        <v>#N/A</v>
      </c>
      <c r="L440" t="e">
        <f t="shared" si="85"/>
        <v>#N/A</v>
      </c>
      <c r="M440" t="e">
        <f t="shared" si="86"/>
        <v>#N/A</v>
      </c>
      <c r="N440" t="e">
        <f t="shared" si="87"/>
        <v>#N/A</v>
      </c>
      <c r="O440">
        <f t="shared" si="88"/>
        <v>1.00044</v>
      </c>
      <c r="P440" t="str">
        <f>IF(OR($A440="",games!$H440=""),"",games!$H440)</f>
        <v/>
      </c>
      <c r="Q440" t="str">
        <f t="shared" si="89"/>
        <v/>
      </c>
      <c r="T440">
        <f>IF(connections!$A440="","",IFERROR(INDEX(games!$B$2:$B$950,MATCH(connections!$A440,games!$A$2:$A$950,0)),""))</f>
        <v>2008</v>
      </c>
      <c r="U440">
        <f>IF(connections!$A440="","",IFERROR(INDEX(games!$B$2:$B$950,MATCH(connections!$B440,games!$A$2:$A$950,0)),""))</f>
        <v>2024</v>
      </c>
      <c r="V440">
        <f t="shared" si="90"/>
        <v>16</v>
      </c>
    </row>
    <row r="441" spans="1:22" x14ac:dyDescent="0.25">
      <c r="A441" t="str">
        <f>IF(games!$A441="","",games!$A441)</f>
        <v>Lunchbreak Tactics</v>
      </c>
      <c r="B441">
        <f>IF($A441="","",games!$B441)</f>
        <v>2026</v>
      </c>
      <c r="C441" t="str">
        <f>IF($A441="","",games!$C441)</f>
        <v>Strategy</v>
      </c>
      <c r="D441">
        <f>IF($A441="","",COUNTIF(connections!$A$2:$A$1473,$A441)+COUNTIF(connections!$B$2:$B$1473,$A441))</f>
        <v>1</v>
      </c>
      <c r="E441">
        <f t="shared" si="78"/>
        <v>2</v>
      </c>
      <c r="F441">
        <f t="shared" si="79"/>
        <v>33</v>
      </c>
      <c r="G441" t="e">
        <f t="shared" si="80"/>
        <v>#N/A</v>
      </c>
      <c r="H441" t="e">
        <f t="shared" si="81"/>
        <v>#N/A</v>
      </c>
      <c r="I441">
        <f t="shared" si="82"/>
        <v>2026</v>
      </c>
      <c r="J441">
        <f t="shared" si="83"/>
        <v>2.7589999999999999</v>
      </c>
      <c r="K441" t="e">
        <f t="shared" si="84"/>
        <v>#N/A</v>
      </c>
      <c r="L441" t="e">
        <f t="shared" si="85"/>
        <v>#N/A</v>
      </c>
      <c r="M441" t="e">
        <f t="shared" si="86"/>
        <v>#N/A</v>
      </c>
      <c r="N441" t="e">
        <f t="shared" si="87"/>
        <v>#N/A</v>
      </c>
      <c r="O441">
        <f t="shared" si="88"/>
        <v>1.0004409999999999</v>
      </c>
      <c r="P441" t="str">
        <f>IF(OR($A441="",games!$H441=""),"",games!$H441)</f>
        <v/>
      </c>
      <c r="Q441" t="str">
        <f t="shared" si="89"/>
        <v/>
      </c>
      <c r="T441">
        <f>IF(connections!$A441="","",IFERROR(INDEX(games!$B$2:$B$950,MATCH(connections!$A441,games!$A$2:$A$950,0)),""))</f>
        <v>1994</v>
      </c>
      <c r="U441">
        <f>IF(connections!$A441="","",IFERROR(INDEX(games!$B$2:$B$950,MATCH(connections!$B441,games!$A$2:$A$950,0)),""))</f>
        <v>2008</v>
      </c>
      <c r="V441">
        <f t="shared" si="90"/>
        <v>14</v>
      </c>
    </row>
    <row r="442" spans="1:22" x14ac:dyDescent="0.25">
      <c r="A442" t="str">
        <f>IF(games!$A442="","",games!$A442)</f>
        <v>Mad King Redemption</v>
      </c>
      <c r="B442">
        <f>IF($A442="","",games!$B442)</f>
        <v>2026</v>
      </c>
      <c r="C442" t="str">
        <f>IF($A442="","",games!$C442)</f>
        <v>Action</v>
      </c>
      <c r="D442">
        <f>IF($A442="","",COUNTIF(connections!$A$2:$A$1473,$A442)+COUNTIF(connections!$B$2:$B$1473,$A442))</f>
        <v>0</v>
      </c>
      <c r="E442">
        <f t="shared" si="78"/>
        <v>1</v>
      </c>
      <c r="F442">
        <f t="shared" si="79"/>
        <v>0</v>
      </c>
      <c r="G442">
        <f t="shared" si="80"/>
        <v>2026</v>
      </c>
      <c r="H442">
        <f t="shared" si="81"/>
        <v>1</v>
      </c>
      <c r="I442" t="e">
        <f t="shared" si="82"/>
        <v>#N/A</v>
      </c>
      <c r="J442" t="e">
        <f t="shared" si="83"/>
        <v>#N/A</v>
      </c>
      <c r="K442" t="e">
        <f t="shared" si="84"/>
        <v>#N/A</v>
      </c>
      <c r="L442" t="e">
        <f t="shared" si="85"/>
        <v>#N/A</v>
      </c>
      <c r="M442" t="e">
        <f t="shared" si="86"/>
        <v>#N/A</v>
      </c>
      <c r="N442" t="e">
        <f t="shared" si="87"/>
        <v>#N/A</v>
      </c>
      <c r="O442">
        <f t="shared" si="88"/>
        <v>4.4200000000000001E-4</v>
      </c>
      <c r="P442" t="str">
        <f>IF(OR($A442="",games!$H442=""),"",games!$H442)</f>
        <v/>
      </c>
      <c r="Q442" t="str">
        <f t="shared" si="89"/>
        <v/>
      </c>
      <c r="T442">
        <f>IF(connections!$A442="","",IFERROR(INDEX(games!$B$2:$B$950,MATCH(connections!$A442,games!$A$2:$A$950,0)),""))</f>
        <v>1990</v>
      </c>
      <c r="U442">
        <f>IF(connections!$A442="","",IFERROR(INDEX(games!$B$2:$B$950,MATCH(connections!$B442,games!$A$2:$A$950,0)),""))</f>
        <v>2008</v>
      </c>
      <c r="V442">
        <f t="shared" si="90"/>
        <v>18</v>
      </c>
    </row>
    <row r="443" spans="1:22" x14ac:dyDescent="0.25">
      <c r="A443" t="str">
        <f>IF(games!$A443="","",games!$A443)</f>
        <v>Magic Survival</v>
      </c>
      <c r="B443">
        <f>IF($A443="","",games!$B443)</f>
        <v>2019</v>
      </c>
      <c r="C443" t="str">
        <f>IF($A443="","",games!$C443)</f>
        <v>Action</v>
      </c>
      <c r="D443">
        <f>IF($A443="","",COUNTIF(connections!$A$2:$A$1473,$A443)+COUNTIF(connections!$B$2:$B$1473,$A443))</f>
        <v>3</v>
      </c>
      <c r="E443">
        <f t="shared" si="78"/>
        <v>1</v>
      </c>
      <c r="F443">
        <f t="shared" si="79"/>
        <v>1</v>
      </c>
      <c r="G443">
        <f t="shared" si="80"/>
        <v>2019</v>
      </c>
      <c r="H443">
        <f t="shared" si="81"/>
        <v>1.0229999999999999</v>
      </c>
      <c r="I443" t="e">
        <f t="shared" si="82"/>
        <v>#N/A</v>
      </c>
      <c r="J443" t="e">
        <f t="shared" si="83"/>
        <v>#N/A</v>
      </c>
      <c r="K443" t="e">
        <f t="shared" si="84"/>
        <v>#N/A</v>
      </c>
      <c r="L443" t="e">
        <f t="shared" si="85"/>
        <v>#N/A</v>
      </c>
      <c r="M443" t="e">
        <f t="shared" si="86"/>
        <v>#N/A</v>
      </c>
      <c r="N443" t="e">
        <f t="shared" si="87"/>
        <v>#N/A</v>
      </c>
      <c r="O443">
        <f t="shared" si="88"/>
        <v>3.0004430000000002</v>
      </c>
      <c r="P443" t="str">
        <f>IF(OR($A443="",games!$H443=""),"",games!$H443)</f>
        <v/>
      </c>
      <c r="Q443" t="str">
        <f t="shared" si="89"/>
        <v/>
      </c>
      <c r="T443">
        <f>IF(connections!$A443="","",IFERROR(INDEX(games!$B$2:$B$950,MATCH(connections!$A443,games!$A$2:$A$950,0)),""))</f>
        <v>1987</v>
      </c>
      <c r="U443">
        <f>IF(connections!$A443="","",IFERROR(INDEX(games!$B$2:$B$950,MATCH(connections!$B443,games!$A$2:$A$950,0)),""))</f>
        <v>2008</v>
      </c>
      <c r="V443">
        <f t="shared" si="90"/>
        <v>21</v>
      </c>
    </row>
    <row r="444" spans="1:22" x14ac:dyDescent="0.25">
      <c r="A444" t="str">
        <f>IF(games!$A444="","",games!$A444)</f>
        <v>Magicraft</v>
      </c>
      <c r="B444">
        <f>IF($A444="","",games!$B444)</f>
        <v>2023</v>
      </c>
      <c r="C444" t="str">
        <f>IF($A444="","",games!$C444)</f>
        <v>Action</v>
      </c>
      <c r="D444">
        <f>IF($A444="","",COUNTIF(connections!$A$2:$A$1473,$A444)+COUNTIF(connections!$B$2:$B$1473,$A444))</f>
        <v>4</v>
      </c>
      <c r="E444">
        <f t="shared" si="78"/>
        <v>1</v>
      </c>
      <c r="F444">
        <f t="shared" si="79"/>
        <v>2</v>
      </c>
      <c r="G444">
        <f t="shared" si="80"/>
        <v>2023</v>
      </c>
      <c r="H444">
        <f t="shared" si="81"/>
        <v>1.046</v>
      </c>
      <c r="I444" t="e">
        <f t="shared" si="82"/>
        <v>#N/A</v>
      </c>
      <c r="J444" t="e">
        <f t="shared" si="83"/>
        <v>#N/A</v>
      </c>
      <c r="K444" t="e">
        <f t="shared" si="84"/>
        <v>#N/A</v>
      </c>
      <c r="L444" t="e">
        <f t="shared" si="85"/>
        <v>#N/A</v>
      </c>
      <c r="M444" t="e">
        <f t="shared" si="86"/>
        <v>#N/A</v>
      </c>
      <c r="N444" t="e">
        <f t="shared" si="87"/>
        <v>#N/A</v>
      </c>
      <c r="O444">
        <f t="shared" si="88"/>
        <v>4.0004439999999999</v>
      </c>
      <c r="P444" t="str">
        <f>IF(OR($A444="",games!$H444=""),"",games!$H444)</f>
        <v/>
      </c>
      <c r="Q444" t="str">
        <f t="shared" si="89"/>
        <v/>
      </c>
      <c r="T444">
        <f>IF(connections!$A444="","",IFERROR(INDEX(games!$B$2:$B$950,MATCH(connections!$A444,games!$A$2:$A$950,0)),""))</f>
        <v>2018</v>
      </c>
      <c r="U444">
        <f>IF(connections!$A444="","",IFERROR(INDEX(games!$B$2:$B$950,MATCH(connections!$B444,games!$A$2:$A$950,0)),""))</f>
        <v>2022</v>
      </c>
      <c r="V444">
        <f t="shared" si="90"/>
        <v>4</v>
      </c>
    </row>
    <row r="445" spans="1:22" x14ac:dyDescent="0.25">
      <c r="A445" t="str">
        <f>IF(games!$A445="","",games!$A445)</f>
        <v>Maid Survivors: Little Angels</v>
      </c>
      <c r="B445">
        <f>IF($A445="","",games!$B445)</f>
        <v>2025</v>
      </c>
      <c r="C445" t="str">
        <f>IF($A445="","",games!$C445)</f>
        <v>Action</v>
      </c>
      <c r="D445">
        <f>IF($A445="","",COUNTIF(connections!$A$2:$A$1473,$A445)+COUNTIF(connections!$B$2:$B$1473,$A445))</f>
        <v>1</v>
      </c>
      <c r="E445">
        <f t="shared" si="78"/>
        <v>1</v>
      </c>
      <c r="F445">
        <f t="shared" si="79"/>
        <v>3</v>
      </c>
      <c r="G445">
        <f t="shared" si="80"/>
        <v>2025</v>
      </c>
      <c r="H445">
        <f t="shared" si="81"/>
        <v>1.069</v>
      </c>
      <c r="I445" t="e">
        <f t="shared" si="82"/>
        <v>#N/A</v>
      </c>
      <c r="J445" t="e">
        <f t="shared" si="83"/>
        <v>#N/A</v>
      </c>
      <c r="K445" t="e">
        <f t="shared" si="84"/>
        <v>#N/A</v>
      </c>
      <c r="L445" t="e">
        <f t="shared" si="85"/>
        <v>#N/A</v>
      </c>
      <c r="M445" t="e">
        <f t="shared" si="86"/>
        <v>#N/A</v>
      </c>
      <c r="N445" t="e">
        <f t="shared" si="87"/>
        <v>#N/A</v>
      </c>
      <c r="O445">
        <f t="shared" si="88"/>
        <v>1.000445</v>
      </c>
      <c r="P445" t="str">
        <f>IF(OR($A445="",games!$H445=""),"",games!$H445)</f>
        <v/>
      </c>
      <c r="Q445" t="str">
        <f t="shared" si="89"/>
        <v/>
      </c>
      <c r="T445">
        <f>IF(connections!$A445="","",IFERROR(INDEX(games!$B$2:$B$950,MATCH(connections!$A445,games!$A$2:$A$950,0)),""))</f>
        <v>2019</v>
      </c>
      <c r="U445">
        <f>IF(connections!$A445="","",IFERROR(INDEX(games!$B$2:$B$950,MATCH(connections!$B445,games!$A$2:$A$950,0)),""))</f>
        <v>2022</v>
      </c>
      <c r="V445">
        <f t="shared" si="90"/>
        <v>3</v>
      </c>
    </row>
    <row r="446" spans="1:22" x14ac:dyDescent="0.25">
      <c r="A446" t="str">
        <f>IF(games!$A446="","",games!$A446)</f>
        <v>Mainframe Defenders</v>
      </c>
      <c r="B446">
        <f>IF($A446="","",games!$B446)</f>
        <v>2020</v>
      </c>
      <c r="C446" t="str">
        <f>IF($A446="","",games!$C446)</f>
        <v>Traditional</v>
      </c>
      <c r="D446">
        <f>IF($A446="","",COUNTIF(connections!$A$2:$A$1473,$A446)+COUNTIF(connections!$B$2:$B$1473,$A446))</f>
        <v>1</v>
      </c>
      <c r="E446">
        <f t="shared" si="78"/>
        <v>4</v>
      </c>
      <c r="F446">
        <f t="shared" si="79"/>
        <v>4</v>
      </c>
      <c r="G446" t="e">
        <f t="shared" si="80"/>
        <v>#N/A</v>
      </c>
      <c r="H446" t="e">
        <f t="shared" si="81"/>
        <v>#N/A</v>
      </c>
      <c r="I446" t="e">
        <f t="shared" si="82"/>
        <v>#N/A</v>
      </c>
      <c r="J446" t="e">
        <f t="shared" si="83"/>
        <v>#N/A</v>
      </c>
      <c r="K446" t="e">
        <f t="shared" si="84"/>
        <v>#N/A</v>
      </c>
      <c r="L446" t="e">
        <f t="shared" si="85"/>
        <v>#N/A</v>
      </c>
      <c r="M446">
        <f t="shared" si="86"/>
        <v>2020</v>
      </c>
      <c r="N446">
        <f t="shared" si="87"/>
        <v>4.0919999999999996</v>
      </c>
      <c r="O446">
        <f t="shared" si="88"/>
        <v>1.0004459999999999</v>
      </c>
      <c r="P446" t="str">
        <f>IF(OR($A446="",games!$H446=""),"",games!$H446)</f>
        <v>Yes</v>
      </c>
      <c r="Q446">
        <f t="shared" si="89"/>
        <v>1.0004459999999999</v>
      </c>
      <c r="T446">
        <f>IF(connections!$A446="","",IFERROR(INDEX(games!$B$2:$B$950,MATCH(connections!$A446,games!$A$2:$A$950,0)),""))</f>
        <v>2017</v>
      </c>
      <c r="U446">
        <f>IF(connections!$A446="","",IFERROR(INDEX(games!$B$2:$B$950,MATCH(connections!$B446,games!$A$2:$A$950,0)),""))</f>
        <v>2022</v>
      </c>
      <c r="V446">
        <f t="shared" si="90"/>
        <v>5</v>
      </c>
    </row>
    <row r="447" spans="1:22" x14ac:dyDescent="0.25">
      <c r="A447" t="str">
        <f>IF(games!$A447="","",games!$A447)</f>
        <v>Mana Spark</v>
      </c>
      <c r="B447">
        <f>IF($A447="","",games!$B447)</f>
        <v>2018</v>
      </c>
      <c r="C447" t="str">
        <f>IF($A447="","",games!$C447)</f>
        <v>Action</v>
      </c>
      <c r="D447">
        <f>IF($A447="","",COUNTIF(connections!$A$2:$A$1473,$A447)+COUNTIF(connections!$B$2:$B$1473,$A447))</f>
        <v>2</v>
      </c>
      <c r="E447">
        <f t="shared" si="78"/>
        <v>1</v>
      </c>
      <c r="F447">
        <f t="shared" si="79"/>
        <v>5</v>
      </c>
      <c r="G447">
        <f t="shared" si="80"/>
        <v>2018</v>
      </c>
      <c r="H447">
        <f t="shared" si="81"/>
        <v>1.115</v>
      </c>
      <c r="I447" t="e">
        <f t="shared" si="82"/>
        <v>#N/A</v>
      </c>
      <c r="J447" t="e">
        <f t="shared" si="83"/>
        <v>#N/A</v>
      </c>
      <c r="K447" t="e">
        <f t="shared" si="84"/>
        <v>#N/A</v>
      </c>
      <c r="L447" t="e">
        <f t="shared" si="85"/>
        <v>#N/A</v>
      </c>
      <c r="M447" t="e">
        <f t="shared" si="86"/>
        <v>#N/A</v>
      </c>
      <c r="N447" t="e">
        <f t="shared" si="87"/>
        <v>#N/A</v>
      </c>
      <c r="O447">
        <f t="shared" si="88"/>
        <v>2.0004469999999999</v>
      </c>
      <c r="P447" t="str">
        <f>IF(OR($A447="",games!$H447=""),"",games!$H447)</f>
        <v>Yes</v>
      </c>
      <c r="Q447">
        <f t="shared" si="89"/>
        <v>2.0004469999999999</v>
      </c>
      <c r="T447">
        <f>IF(connections!$A447="","",IFERROR(INDEX(games!$B$2:$B$950,MATCH(connections!$A447,games!$A$2:$A$950,0)),""))</f>
        <v>2011</v>
      </c>
      <c r="U447">
        <f>IF(connections!$A447="","",IFERROR(INDEX(games!$B$2:$B$950,MATCH(connections!$B447,games!$A$2:$A$950,0)),""))</f>
        <v>2022</v>
      </c>
      <c r="V447">
        <f t="shared" si="90"/>
        <v>11</v>
      </c>
    </row>
    <row r="448" spans="1:22" x14ac:dyDescent="0.25">
      <c r="A448" t="str">
        <f>IF(games!$A448="","",games!$A448)</f>
        <v>Masks of the Void: Origins</v>
      </c>
      <c r="B448">
        <f>IF($A448="","",games!$B448)</f>
        <v>2025</v>
      </c>
      <c r="C448" t="str">
        <f>IF($A448="","",games!$C448)</f>
        <v>Action</v>
      </c>
      <c r="D448">
        <f>IF($A448="","",COUNTIF(connections!$A$2:$A$1473,$A448)+COUNTIF(connections!$B$2:$B$1473,$A448))</f>
        <v>3</v>
      </c>
      <c r="E448">
        <f t="shared" si="78"/>
        <v>1</v>
      </c>
      <c r="F448">
        <f t="shared" si="79"/>
        <v>6</v>
      </c>
      <c r="G448">
        <f t="shared" si="80"/>
        <v>2025</v>
      </c>
      <c r="H448">
        <f t="shared" si="81"/>
        <v>1.1379999999999999</v>
      </c>
      <c r="I448" t="e">
        <f t="shared" si="82"/>
        <v>#N/A</v>
      </c>
      <c r="J448" t="e">
        <f t="shared" si="83"/>
        <v>#N/A</v>
      </c>
      <c r="K448" t="e">
        <f t="shared" si="84"/>
        <v>#N/A</v>
      </c>
      <c r="L448" t="e">
        <f t="shared" si="85"/>
        <v>#N/A</v>
      </c>
      <c r="M448" t="e">
        <f t="shared" si="86"/>
        <v>#N/A</v>
      </c>
      <c r="N448" t="e">
        <f t="shared" si="87"/>
        <v>#N/A</v>
      </c>
      <c r="O448">
        <f t="shared" si="88"/>
        <v>3.000448</v>
      </c>
      <c r="P448" t="str">
        <f>IF(OR($A448="",games!$H448=""),"",games!$H448)</f>
        <v>Yes</v>
      </c>
      <c r="Q448">
        <f t="shared" si="89"/>
        <v>3.000448</v>
      </c>
      <c r="T448">
        <f>IF(connections!$A448="","",IFERROR(INDEX(games!$B$2:$B$950,MATCH(connections!$A448,games!$A$2:$A$950,0)),""))</f>
        <v>2017</v>
      </c>
      <c r="U448">
        <f>IF(connections!$A448="","",IFERROR(INDEX(games!$B$2:$B$950,MATCH(connections!$B448,games!$A$2:$A$950,0)),""))</f>
        <v>2024</v>
      </c>
      <c r="V448">
        <f t="shared" si="90"/>
        <v>7</v>
      </c>
    </row>
    <row r="449" spans="1:22" x14ac:dyDescent="0.25">
      <c r="A449" t="str">
        <f>IF(games!$A449="","",games!$A449)</f>
        <v>Master of Piece</v>
      </c>
      <c r="B449">
        <f>IF($A449="","",games!$B449)</f>
        <v>2026</v>
      </c>
      <c r="C449" t="str">
        <f>IF($A449="","",games!$C449)</f>
        <v>Deckbuilder</v>
      </c>
      <c r="D449">
        <f>IF($A449="","",COUNTIF(connections!$A$2:$A$1473,$A449)+COUNTIF(connections!$B$2:$B$1473,$A449))</f>
        <v>4</v>
      </c>
      <c r="E449">
        <f t="shared" si="78"/>
        <v>3</v>
      </c>
      <c r="F449">
        <f t="shared" si="79"/>
        <v>7</v>
      </c>
      <c r="G449" t="e">
        <f t="shared" si="80"/>
        <v>#N/A</v>
      </c>
      <c r="H449" t="e">
        <f t="shared" si="81"/>
        <v>#N/A</v>
      </c>
      <c r="I449" t="e">
        <f t="shared" si="82"/>
        <v>#N/A</v>
      </c>
      <c r="J449" t="e">
        <f t="shared" si="83"/>
        <v>#N/A</v>
      </c>
      <c r="K449">
        <f t="shared" si="84"/>
        <v>2026</v>
      </c>
      <c r="L449">
        <f t="shared" si="85"/>
        <v>3.161</v>
      </c>
      <c r="M449" t="e">
        <f t="shared" si="86"/>
        <v>#N/A</v>
      </c>
      <c r="N449" t="e">
        <f t="shared" si="87"/>
        <v>#N/A</v>
      </c>
      <c r="O449">
        <f t="shared" si="88"/>
        <v>4.0004489999999997</v>
      </c>
      <c r="P449" t="str">
        <f>IF(OR($A449="",games!$H449=""),"",games!$H449)</f>
        <v/>
      </c>
      <c r="Q449" t="str">
        <f t="shared" si="89"/>
        <v/>
      </c>
      <c r="T449">
        <f>IF(connections!$A449="","",IFERROR(INDEX(games!$B$2:$B$950,MATCH(connections!$A449,games!$A$2:$A$950,0)),""))</f>
        <v>2021</v>
      </c>
      <c r="U449">
        <f>IF(connections!$A449="","",IFERROR(INDEX(games!$B$2:$B$950,MATCH(connections!$B449,games!$A$2:$A$950,0)),""))</f>
        <v>2023</v>
      </c>
      <c r="V449">
        <f t="shared" si="90"/>
        <v>2</v>
      </c>
    </row>
    <row r="450" spans="1:22" x14ac:dyDescent="0.25">
      <c r="A450" t="str">
        <f>IF(games!$A450="","",games!$A450)</f>
        <v>Maze Mice</v>
      </c>
      <c r="B450">
        <f>IF($A450="","",games!$B450)</f>
        <v>2025</v>
      </c>
      <c r="C450" t="str">
        <f>IF($A450="","",games!$C450)</f>
        <v>Action</v>
      </c>
      <c r="D450">
        <f>IF($A450="","",COUNTIF(connections!$A$2:$A$1473,$A450)+COUNTIF(connections!$B$2:$B$1473,$A450))</f>
        <v>2</v>
      </c>
      <c r="E450">
        <f t="shared" ref="E450:E513" si="91">IF($A450="","",IFERROR(MATCH($C450,$R$2:$R$5,0),0))</f>
        <v>1</v>
      </c>
      <c r="F450">
        <f t="shared" ref="F450:F513" si="92">IF($A450="","",MOD(ROW(),34))</f>
        <v>8</v>
      </c>
      <c r="G450">
        <f t="shared" ref="G450:G513" si="93">IF($A450="",NA(),IF($C450="Action",$B450,NA()))</f>
        <v>2025</v>
      </c>
      <c r="H450">
        <f t="shared" ref="H450:H513" si="94">IF($A450="",NA(),IF($C450="Action",1+$F450*0.023,NA()))</f>
        <v>1.1839999999999999</v>
      </c>
      <c r="I450" t="e">
        <f t="shared" ref="I450:I513" si="95">IF($A450="",NA(),IF($C450="Strategy",$B450,NA()))</f>
        <v>#N/A</v>
      </c>
      <c r="J450" t="e">
        <f t="shared" ref="J450:J513" si="96">IF($A450="",NA(),IF($C450="Strategy",2+$F450*0.023,NA()))</f>
        <v>#N/A</v>
      </c>
      <c r="K450" t="e">
        <f t="shared" ref="K450:K513" si="97">IF($A450="",NA(),IF($C450="Deckbuilder",$B450,NA()))</f>
        <v>#N/A</v>
      </c>
      <c r="L450" t="e">
        <f t="shared" ref="L450:L513" si="98">IF($A450="",NA(),IF($C450="Deckbuilder",3+$F450*0.023,NA()))</f>
        <v>#N/A</v>
      </c>
      <c r="M450" t="e">
        <f t="shared" ref="M450:M513" si="99">IF($A450="",NA(),IF($C450="Traditional",$B450,NA()))</f>
        <v>#N/A</v>
      </c>
      <c r="N450" t="e">
        <f t="shared" ref="N450:N513" si="100">IF($A450="",NA(),IF($C450="Traditional",4+$F450*0.023,NA()))</f>
        <v>#N/A</v>
      </c>
      <c r="O450">
        <f t="shared" ref="O450:O513" si="101">IF($A450="","",$D450+ROW()/1000000)</f>
        <v>2.0004499999999998</v>
      </c>
      <c r="P450" t="str">
        <f>IF(OR($A450="",games!$H450=""),"",games!$H450)</f>
        <v>Yes</v>
      </c>
      <c r="Q450">
        <f t="shared" ref="Q450:Q513" si="102">IF(OR($A450="",$P450&lt;&gt;"Yes"),"",$D450+ROW()/1000000)</f>
        <v>2.0004499999999998</v>
      </c>
      <c r="T450">
        <f>IF(connections!$A450="","",IFERROR(INDEX(games!$B$2:$B$950,MATCH(connections!$A450,games!$A$2:$A$950,0)),""))</f>
        <v>2020</v>
      </c>
      <c r="U450">
        <f>IF(connections!$A450="","",IFERROR(INDEX(games!$B$2:$B$950,MATCH(connections!$B450,games!$A$2:$A$950,0)),""))</f>
        <v>2025</v>
      </c>
      <c r="V450">
        <f t="shared" ref="V450:V513" si="103">IF(OR($T450="",$U450=""),"",$U450-$T450)</f>
        <v>5</v>
      </c>
    </row>
    <row r="451" spans="1:22" x14ac:dyDescent="0.25">
      <c r="A451" t="str">
        <f>IF(games!$A451="","",games!$A451)</f>
        <v>Mechanibot</v>
      </c>
      <c r="B451">
        <f>IF($A451="","",games!$B451)</f>
        <v>2022</v>
      </c>
      <c r="C451" t="str">
        <f>IF($A451="","",games!$C451)</f>
        <v>Strategy</v>
      </c>
      <c r="D451">
        <f>IF($A451="","",COUNTIF(connections!$A$2:$A$1473,$A451)+COUNTIF(connections!$B$2:$B$1473,$A451))</f>
        <v>0</v>
      </c>
      <c r="E451">
        <f t="shared" si="91"/>
        <v>2</v>
      </c>
      <c r="F451">
        <f t="shared" si="92"/>
        <v>9</v>
      </c>
      <c r="G451" t="e">
        <f t="shared" si="93"/>
        <v>#N/A</v>
      </c>
      <c r="H451" t="e">
        <f t="shared" si="94"/>
        <v>#N/A</v>
      </c>
      <c r="I451">
        <f t="shared" si="95"/>
        <v>2022</v>
      </c>
      <c r="J451">
        <f t="shared" si="96"/>
        <v>2.2069999999999999</v>
      </c>
      <c r="K451" t="e">
        <f t="shared" si="97"/>
        <v>#N/A</v>
      </c>
      <c r="L451" t="e">
        <f t="shared" si="98"/>
        <v>#N/A</v>
      </c>
      <c r="M451" t="e">
        <f t="shared" si="99"/>
        <v>#N/A</v>
      </c>
      <c r="N451" t="e">
        <f t="shared" si="100"/>
        <v>#N/A</v>
      </c>
      <c r="O451">
        <f t="shared" si="101"/>
        <v>4.5100000000000001E-4</v>
      </c>
      <c r="P451" t="str">
        <f>IF(OR($A451="",games!$H451=""),"",games!$H451)</f>
        <v>Yes</v>
      </c>
      <c r="Q451">
        <f t="shared" si="102"/>
        <v>4.5100000000000001E-4</v>
      </c>
      <c r="T451">
        <f>IF(connections!$A451="","",IFERROR(INDEX(games!$B$2:$B$950,MATCH(connections!$A451,games!$A$2:$A$950,0)),""))</f>
        <v>2015</v>
      </c>
      <c r="U451">
        <f>IF(connections!$A451="","",IFERROR(INDEX(games!$B$2:$B$950,MATCH(connections!$B451,games!$A$2:$A$950,0)),""))</f>
        <v>2016</v>
      </c>
      <c r="V451">
        <f t="shared" si="103"/>
        <v>1</v>
      </c>
    </row>
    <row r="452" spans="1:22" x14ac:dyDescent="0.25">
      <c r="A452" t="str">
        <f>IF(games!$A452="","",games!$A452)</f>
        <v>Megabonk</v>
      </c>
      <c r="B452">
        <f>IF($A452="","",games!$B452)</f>
        <v>2025</v>
      </c>
      <c r="C452" t="str">
        <f>IF($A452="","",games!$C452)</f>
        <v>Action</v>
      </c>
      <c r="D452">
        <f>IF($A452="","",COUNTIF(connections!$A$2:$A$1473,$A452)+COUNTIF(connections!$B$2:$B$1473,$A452))</f>
        <v>4</v>
      </c>
      <c r="E452">
        <f t="shared" si="91"/>
        <v>1</v>
      </c>
      <c r="F452">
        <f t="shared" si="92"/>
        <v>10</v>
      </c>
      <c r="G452">
        <f t="shared" si="93"/>
        <v>2025</v>
      </c>
      <c r="H452">
        <f t="shared" si="94"/>
        <v>1.23</v>
      </c>
      <c r="I452" t="e">
        <f t="shared" si="95"/>
        <v>#N/A</v>
      </c>
      <c r="J452" t="e">
        <f t="shared" si="96"/>
        <v>#N/A</v>
      </c>
      <c r="K452" t="e">
        <f t="shared" si="97"/>
        <v>#N/A</v>
      </c>
      <c r="L452" t="e">
        <f t="shared" si="98"/>
        <v>#N/A</v>
      </c>
      <c r="M452" t="e">
        <f t="shared" si="99"/>
        <v>#N/A</v>
      </c>
      <c r="N452" t="e">
        <f t="shared" si="100"/>
        <v>#N/A</v>
      </c>
      <c r="O452">
        <f t="shared" si="101"/>
        <v>4.0004520000000001</v>
      </c>
      <c r="P452" t="str">
        <f>IF(OR($A452="",games!$H452=""),"",games!$H452)</f>
        <v>Yes</v>
      </c>
      <c r="Q452">
        <f t="shared" si="102"/>
        <v>4.0004520000000001</v>
      </c>
      <c r="T452">
        <f>IF(connections!$A452="","",IFERROR(INDEX(games!$B$2:$B$950,MATCH(connections!$A452,games!$A$2:$A$950,0)),""))</f>
        <v>2008</v>
      </c>
      <c r="U452">
        <f>IF(connections!$A452="","",IFERROR(INDEX(games!$B$2:$B$950,MATCH(connections!$B452,games!$A$2:$A$950,0)),""))</f>
        <v>2016</v>
      </c>
      <c r="V452">
        <f t="shared" si="103"/>
        <v>8</v>
      </c>
    </row>
    <row r="453" spans="1:22" x14ac:dyDescent="0.25">
      <c r="A453" t="str">
        <f>IF(games!$A453="","",games!$A453)</f>
        <v>Meme Mayhem</v>
      </c>
      <c r="B453">
        <f>IF($A453="","",games!$B453)</f>
        <v>2024</v>
      </c>
      <c r="C453" t="str">
        <f>IF($A453="","",games!$C453)</f>
        <v>Deckbuilder</v>
      </c>
      <c r="D453">
        <f>IF($A453="","",COUNTIF(connections!$A$2:$A$1473,$A453)+COUNTIF(connections!$B$2:$B$1473,$A453))</f>
        <v>1</v>
      </c>
      <c r="E453">
        <f t="shared" si="91"/>
        <v>3</v>
      </c>
      <c r="F453">
        <f t="shared" si="92"/>
        <v>11</v>
      </c>
      <c r="G453" t="e">
        <f t="shared" si="93"/>
        <v>#N/A</v>
      </c>
      <c r="H453" t="e">
        <f t="shared" si="94"/>
        <v>#N/A</v>
      </c>
      <c r="I453" t="e">
        <f t="shared" si="95"/>
        <v>#N/A</v>
      </c>
      <c r="J453" t="e">
        <f t="shared" si="96"/>
        <v>#N/A</v>
      </c>
      <c r="K453">
        <f t="shared" si="97"/>
        <v>2024</v>
      </c>
      <c r="L453">
        <f t="shared" si="98"/>
        <v>3.2530000000000001</v>
      </c>
      <c r="M453" t="e">
        <f t="shared" si="99"/>
        <v>#N/A</v>
      </c>
      <c r="N453" t="e">
        <f t="shared" si="100"/>
        <v>#N/A</v>
      </c>
      <c r="O453">
        <f t="shared" si="101"/>
        <v>1.000453</v>
      </c>
      <c r="P453" t="str">
        <f>IF(OR($A453="",games!$H453=""),"",games!$H453)</f>
        <v/>
      </c>
      <c r="Q453" t="str">
        <f t="shared" si="102"/>
        <v/>
      </c>
      <c r="T453">
        <f>IF(connections!$A453="","",IFERROR(INDEX(games!$B$2:$B$950,MATCH(connections!$A453,games!$A$2:$A$950,0)),""))</f>
        <v>2011</v>
      </c>
      <c r="U453">
        <f>IF(connections!$A453="","",IFERROR(INDEX(games!$B$2:$B$950,MATCH(connections!$B453,games!$A$2:$A$950,0)),""))</f>
        <v>2016</v>
      </c>
      <c r="V453">
        <f t="shared" si="103"/>
        <v>5</v>
      </c>
    </row>
    <row r="454" spans="1:22" x14ac:dyDescent="0.25">
      <c r="A454" t="str">
        <f>IF(games!$A454="","",games!$A454)</f>
        <v>Menace from the Deep</v>
      </c>
      <c r="B454">
        <f>IF($A454="","",games!$B454)</f>
        <v>2024</v>
      </c>
      <c r="C454" t="str">
        <f>IF($A454="","",games!$C454)</f>
        <v>Deckbuilder</v>
      </c>
      <c r="D454">
        <f>IF($A454="","",COUNTIF(connections!$A$2:$A$1473,$A454)+COUNTIF(connections!$B$2:$B$1473,$A454))</f>
        <v>1</v>
      </c>
      <c r="E454">
        <f t="shared" si="91"/>
        <v>3</v>
      </c>
      <c r="F454">
        <f t="shared" si="92"/>
        <v>12</v>
      </c>
      <c r="G454" t="e">
        <f t="shared" si="93"/>
        <v>#N/A</v>
      </c>
      <c r="H454" t="e">
        <f t="shared" si="94"/>
        <v>#N/A</v>
      </c>
      <c r="I454" t="e">
        <f t="shared" si="95"/>
        <v>#N/A</v>
      </c>
      <c r="J454" t="e">
        <f t="shared" si="96"/>
        <v>#N/A</v>
      </c>
      <c r="K454">
        <f t="shared" si="97"/>
        <v>2024</v>
      </c>
      <c r="L454">
        <f t="shared" si="98"/>
        <v>3.2759999999999998</v>
      </c>
      <c r="M454" t="e">
        <f t="shared" si="99"/>
        <v>#N/A</v>
      </c>
      <c r="N454" t="e">
        <f t="shared" si="100"/>
        <v>#N/A</v>
      </c>
      <c r="O454">
        <f t="shared" si="101"/>
        <v>1.000454</v>
      </c>
      <c r="P454" t="str">
        <f>IF(OR($A454="",games!$H454=""),"",games!$H454)</f>
        <v>Yes</v>
      </c>
      <c r="Q454">
        <f t="shared" si="102"/>
        <v>1.000454</v>
      </c>
      <c r="T454">
        <f>IF(connections!$A454="","",IFERROR(INDEX(games!$B$2:$B$950,MATCH(connections!$A454,games!$A$2:$A$950,0)),""))</f>
        <v>2009</v>
      </c>
      <c r="U454">
        <f>IF(connections!$A454="","",IFERROR(INDEX(games!$B$2:$B$950,MATCH(connections!$B454,games!$A$2:$A$950,0)),""))</f>
        <v>2025</v>
      </c>
      <c r="V454">
        <f t="shared" si="103"/>
        <v>16</v>
      </c>
    </row>
    <row r="455" spans="1:22" x14ac:dyDescent="0.25">
      <c r="A455" t="str">
        <f>IF(games!$A455="","",games!$A455)</f>
        <v>Menherarium</v>
      </c>
      <c r="B455">
        <f>IF($A455="","",games!$B455)</f>
        <v>2026</v>
      </c>
      <c r="C455" t="str">
        <f>IF($A455="","",games!$C455)</f>
        <v>Deckbuilder</v>
      </c>
      <c r="D455">
        <f>IF($A455="","",COUNTIF(connections!$A$2:$A$1473,$A455)+COUNTIF(connections!$B$2:$B$1473,$A455))</f>
        <v>2</v>
      </c>
      <c r="E455">
        <f t="shared" si="91"/>
        <v>3</v>
      </c>
      <c r="F455">
        <f t="shared" si="92"/>
        <v>13</v>
      </c>
      <c r="G455" t="e">
        <f t="shared" si="93"/>
        <v>#N/A</v>
      </c>
      <c r="H455" t="e">
        <f t="shared" si="94"/>
        <v>#N/A</v>
      </c>
      <c r="I455" t="e">
        <f t="shared" si="95"/>
        <v>#N/A</v>
      </c>
      <c r="J455" t="e">
        <f t="shared" si="96"/>
        <v>#N/A</v>
      </c>
      <c r="K455">
        <f t="shared" si="97"/>
        <v>2026</v>
      </c>
      <c r="L455">
        <f t="shared" si="98"/>
        <v>3.2989999999999999</v>
      </c>
      <c r="M455" t="e">
        <f t="shared" si="99"/>
        <v>#N/A</v>
      </c>
      <c r="N455" t="e">
        <f t="shared" si="100"/>
        <v>#N/A</v>
      </c>
      <c r="O455">
        <f t="shared" si="101"/>
        <v>2.0004550000000001</v>
      </c>
      <c r="P455" t="str">
        <f>IF(OR($A455="",games!$H455=""),"",games!$H455)</f>
        <v/>
      </c>
      <c r="Q455" t="str">
        <f t="shared" si="102"/>
        <v/>
      </c>
      <c r="T455">
        <f>IF(connections!$A455="","",IFERROR(INDEX(games!$B$2:$B$950,MATCH(connections!$A455,games!$A$2:$A$950,0)),""))</f>
        <v>2015</v>
      </c>
      <c r="U455">
        <f>IF(connections!$A455="","",IFERROR(INDEX(games!$B$2:$B$950,MATCH(connections!$B455,games!$A$2:$A$950,0)),""))</f>
        <v>2025</v>
      </c>
      <c r="V455">
        <f t="shared" si="103"/>
        <v>10</v>
      </c>
    </row>
    <row r="456" spans="1:22" x14ac:dyDescent="0.25">
      <c r="A456" t="str">
        <f>IF(games!$A456="","",games!$A456)</f>
        <v>Merge Maestro</v>
      </c>
      <c r="B456">
        <f>IF($A456="","",games!$B456)</f>
        <v>2025</v>
      </c>
      <c r="C456" t="str">
        <f>IF($A456="","",games!$C456)</f>
        <v>Deckbuilder</v>
      </c>
      <c r="D456">
        <f>IF($A456="","",COUNTIF(connections!$A$2:$A$1473,$A456)+COUNTIF(connections!$B$2:$B$1473,$A456))</f>
        <v>1</v>
      </c>
      <c r="E456">
        <f t="shared" si="91"/>
        <v>3</v>
      </c>
      <c r="F456">
        <f t="shared" si="92"/>
        <v>14</v>
      </c>
      <c r="G456" t="e">
        <f t="shared" si="93"/>
        <v>#N/A</v>
      </c>
      <c r="H456" t="e">
        <f t="shared" si="94"/>
        <v>#N/A</v>
      </c>
      <c r="I456" t="e">
        <f t="shared" si="95"/>
        <v>#N/A</v>
      </c>
      <c r="J456" t="e">
        <f t="shared" si="96"/>
        <v>#N/A</v>
      </c>
      <c r="K456">
        <f t="shared" si="97"/>
        <v>2025</v>
      </c>
      <c r="L456">
        <f t="shared" si="98"/>
        <v>3.3220000000000001</v>
      </c>
      <c r="M456" t="e">
        <f t="shared" si="99"/>
        <v>#N/A</v>
      </c>
      <c r="N456" t="e">
        <f t="shared" si="100"/>
        <v>#N/A</v>
      </c>
      <c r="O456">
        <f t="shared" si="101"/>
        <v>1.000456</v>
      </c>
      <c r="P456" t="str">
        <f>IF(OR($A456="",games!$H456=""),"",games!$H456)</f>
        <v>Yes</v>
      </c>
      <c r="Q456">
        <f t="shared" si="102"/>
        <v>1.000456</v>
      </c>
      <c r="T456">
        <f>IF(connections!$A456="","",IFERROR(INDEX(games!$B$2:$B$950,MATCH(connections!$A456,games!$A$2:$A$950,0)),""))</f>
        <v>1996</v>
      </c>
      <c r="U456">
        <f>IF(connections!$A456="","",IFERROR(INDEX(games!$B$2:$B$950,MATCH(connections!$B456,games!$A$2:$A$950,0)),""))</f>
        <v>2025</v>
      </c>
      <c r="V456">
        <f t="shared" si="103"/>
        <v>29</v>
      </c>
    </row>
    <row r="457" spans="1:22" x14ac:dyDescent="0.25">
      <c r="A457" t="str">
        <f>IF(games!$A457="","",games!$A457)</f>
        <v>Metal Slug Tactics</v>
      </c>
      <c r="B457">
        <f>IF($A457="","",games!$B457)</f>
        <v>2024</v>
      </c>
      <c r="C457" t="str">
        <f>IF($A457="","",games!$C457)</f>
        <v>Strategy</v>
      </c>
      <c r="D457">
        <f>IF($A457="","",COUNTIF(connections!$A$2:$A$1473,$A457)+COUNTIF(connections!$B$2:$B$1473,$A457))</f>
        <v>1</v>
      </c>
      <c r="E457">
        <f t="shared" si="91"/>
        <v>2</v>
      </c>
      <c r="F457">
        <f t="shared" si="92"/>
        <v>15</v>
      </c>
      <c r="G457" t="e">
        <f t="shared" si="93"/>
        <v>#N/A</v>
      </c>
      <c r="H457" t="e">
        <f t="shared" si="94"/>
        <v>#N/A</v>
      </c>
      <c r="I457">
        <f t="shared" si="95"/>
        <v>2024</v>
      </c>
      <c r="J457">
        <f t="shared" si="96"/>
        <v>2.3449999999999998</v>
      </c>
      <c r="K457" t="e">
        <f t="shared" si="97"/>
        <v>#N/A</v>
      </c>
      <c r="L457" t="e">
        <f t="shared" si="98"/>
        <v>#N/A</v>
      </c>
      <c r="M457" t="e">
        <f t="shared" si="99"/>
        <v>#N/A</v>
      </c>
      <c r="N457" t="e">
        <f t="shared" si="100"/>
        <v>#N/A</v>
      </c>
      <c r="O457">
        <f t="shared" si="101"/>
        <v>1.0004569999999999</v>
      </c>
      <c r="P457" t="str">
        <f>IF(OR($A457="",games!$H457=""),"",games!$H457)</f>
        <v>Yes</v>
      </c>
      <c r="Q457">
        <f t="shared" si="102"/>
        <v>1.0004569999999999</v>
      </c>
      <c r="T457">
        <f>IF(connections!$A457="","",IFERROR(INDEX(games!$B$2:$B$950,MATCH(connections!$A457,games!$A$2:$A$950,0)),""))</f>
        <v>2016</v>
      </c>
      <c r="U457">
        <f>IF(connections!$A457="","",IFERROR(INDEX(games!$B$2:$B$950,MATCH(connections!$B457,games!$A$2:$A$950,0)),""))</f>
        <v>2025</v>
      </c>
      <c r="V457">
        <f t="shared" si="103"/>
        <v>9</v>
      </c>
    </row>
    <row r="458" spans="1:22" x14ac:dyDescent="0.25">
      <c r="A458" t="str">
        <f>IF(games!$A458="","",games!$A458)</f>
        <v>Metal Unit</v>
      </c>
      <c r="B458">
        <f>IF($A458="","",games!$B458)</f>
        <v>2020</v>
      </c>
      <c r="C458" t="str">
        <f>IF($A458="","",games!$C458)</f>
        <v>Action</v>
      </c>
      <c r="D458">
        <f>IF($A458="","",COUNTIF(connections!$A$2:$A$1473,$A458)+COUNTIF(connections!$B$2:$B$1473,$A458))</f>
        <v>1</v>
      </c>
      <c r="E458">
        <f t="shared" si="91"/>
        <v>1</v>
      </c>
      <c r="F458">
        <f t="shared" si="92"/>
        <v>16</v>
      </c>
      <c r="G458">
        <f t="shared" si="93"/>
        <v>2020</v>
      </c>
      <c r="H458">
        <f t="shared" si="94"/>
        <v>1.3679999999999999</v>
      </c>
      <c r="I458" t="e">
        <f t="shared" si="95"/>
        <v>#N/A</v>
      </c>
      <c r="J458" t="e">
        <f t="shared" si="96"/>
        <v>#N/A</v>
      </c>
      <c r="K458" t="e">
        <f t="shared" si="97"/>
        <v>#N/A</v>
      </c>
      <c r="L458" t="e">
        <f t="shared" si="98"/>
        <v>#N/A</v>
      </c>
      <c r="M458" t="e">
        <f t="shared" si="99"/>
        <v>#N/A</v>
      </c>
      <c r="N458" t="e">
        <f t="shared" si="100"/>
        <v>#N/A</v>
      </c>
      <c r="O458">
        <f t="shared" si="101"/>
        <v>1.0004580000000001</v>
      </c>
      <c r="P458" t="str">
        <f>IF(OR($A458="",games!$H458=""),"",games!$H458)</f>
        <v>Yes</v>
      </c>
      <c r="Q458">
        <f t="shared" si="102"/>
        <v>1.0004580000000001</v>
      </c>
      <c r="T458">
        <f>IF(connections!$A458="","",IFERROR(INDEX(games!$B$2:$B$950,MATCH(connections!$A458,games!$A$2:$A$950,0)),""))</f>
        <v>2018</v>
      </c>
      <c r="U458">
        <f>IF(connections!$A458="","",IFERROR(INDEX(games!$B$2:$B$950,MATCH(connections!$B458,games!$A$2:$A$950,0)),""))</f>
        <v>2025</v>
      </c>
      <c r="V458">
        <f t="shared" si="103"/>
        <v>7</v>
      </c>
    </row>
    <row r="459" spans="1:22" x14ac:dyDescent="0.25">
      <c r="A459" t="str">
        <f>IF(games!$A459="","",games!$A459)</f>
        <v>Metallic Child</v>
      </c>
      <c r="B459">
        <f>IF($A459="","",games!$B459)</f>
        <v>2021</v>
      </c>
      <c r="C459" t="str">
        <f>IF($A459="","",games!$C459)</f>
        <v>Action</v>
      </c>
      <c r="D459">
        <f>IF($A459="","",COUNTIF(connections!$A$2:$A$1473,$A459)+COUNTIF(connections!$B$2:$B$1473,$A459))</f>
        <v>1</v>
      </c>
      <c r="E459">
        <f t="shared" si="91"/>
        <v>1</v>
      </c>
      <c r="F459">
        <f t="shared" si="92"/>
        <v>17</v>
      </c>
      <c r="G459">
        <f t="shared" si="93"/>
        <v>2021</v>
      </c>
      <c r="H459">
        <f t="shared" si="94"/>
        <v>1.391</v>
      </c>
      <c r="I459" t="e">
        <f t="shared" si="95"/>
        <v>#N/A</v>
      </c>
      <c r="J459" t="e">
        <f t="shared" si="96"/>
        <v>#N/A</v>
      </c>
      <c r="K459" t="e">
        <f t="shared" si="97"/>
        <v>#N/A</v>
      </c>
      <c r="L459" t="e">
        <f t="shared" si="98"/>
        <v>#N/A</v>
      </c>
      <c r="M459" t="e">
        <f t="shared" si="99"/>
        <v>#N/A</v>
      </c>
      <c r="N459" t="e">
        <f t="shared" si="100"/>
        <v>#N/A</v>
      </c>
      <c r="O459">
        <f t="shared" si="101"/>
        <v>1.000459</v>
      </c>
      <c r="P459" t="str">
        <f>IF(OR($A459="",games!$H459=""),"",games!$H459)</f>
        <v>Yes</v>
      </c>
      <c r="Q459">
        <f t="shared" si="102"/>
        <v>1.000459</v>
      </c>
      <c r="T459">
        <f>IF(connections!$A459="","",IFERROR(INDEX(games!$B$2:$B$950,MATCH(connections!$A459,games!$A$2:$A$950,0)),""))</f>
        <v>2020</v>
      </c>
      <c r="U459">
        <f>IF(connections!$A459="","",IFERROR(INDEX(games!$B$2:$B$950,MATCH(connections!$B459,games!$A$2:$A$950,0)),""))</f>
        <v>2025</v>
      </c>
      <c r="V459">
        <f t="shared" si="103"/>
        <v>5</v>
      </c>
    </row>
    <row r="460" spans="1:22" x14ac:dyDescent="0.25">
      <c r="A460" t="str">
        <f>IF(games!$A460="","",games!$A460)</f>
        <v>Mewgenics</v>
      </c>
      <c r="B460">
        <f>IF($A460="","",games!$B460)</f>
        <v>2026</v>
      </c>
      <c r="C460" t="str">
        <f>IF($A460="","",games!$C460)</f>
        <v>Strategy</v>
      </c>
      <c r="D460">
        <f>IF($A460="","",COUNTIF(connections!$A$2:$A$1473,$A460)+COUNTIF(connections!$B$2:$B$1473,$A460))</f>
        <v>2</v>
      </c>
      <c r="E460">
        <f t="shared" si="91"/>
        <v>2</v>
      </c>
      <c r="F460">
        <f t="shared" si="92"/>
        <v>18</v>
      </c>
      <c r="G460" t="e">
        <f t="shared" si="93"/>
        <v>#N/A</v>
      </c>
      <c r="H460" t="e">
        <f t="shared" si="94"/>
        <v>#N/A</v>
      </c>
      <c r="I460">
        <f t="shared" si="95"/>
        <v>2026</v>
      </c>
      <c r="J460">
        <f t="shared" si="96"/>
        <v>2.4140000000000001</v>
      </c>
      <c r="K460" t="e">
        <f t="shared" si="97"/>
        <v>#N/A</v>
      </c>
      <c r="L460" t="e">
        <f t="shared" si="98"/>
        <v>#N/A</v>
      </c>
      <c r="M460" t="e">
        <f t="shared" si="99"/>
        <v>#N/A</v>
      </c>
      <c r="N460" t="e">
        <f t="shared" si="100"/>
        <v>#N/A</v>
      </c>
      <c r="O460">
        <f t="shared" si="101"/>
        <v>2.0004599999999999</v>
      </c>
      <c r="P460" t="str">
        <f>IF(OR($A460="",games!$H460=""),"",games!$H460)</f>
        <v>Yes</v>
      </c>
      <c r="Q460">
        <f t="shared" si="102"/>
        <v>2.0004599999999999</v>
      </c>
      <c r="T460">
        <f>IF(connections!$A460="","",IFERROR(INDEX(games!$B$2:$B$950,MATCH(connections!$A460,games!$A$2:$A$950,0)),""))</f>
        <v>2000</v>
      </c>
      <c r="U460">
        <f>IF(connections!$A460="","",IFERROR(INDEX(games!$B$2:$B$950,MATCH(connections!$B460,games!$A$2:$A$950,0)),""))</f>
        <v>2004</v>
      </c>
      <c r="V460">
        <f t="shared" si="103"/>
        <v>4</v>
      </c>
    </row>
    <row r="461" spans="1:22" x14ac:dyDescent="0.25">
      <c r="A461" t="str">
        <f>IF(games!$A461="","",games!$A461)</f>
        <v>Million Depth</v>
      </c>
      <c r="B461">
        <f>IF($A461="","",games!$B461)</f>
        <v>2025</v>
      </c>
      <c r="C461" t="str">
        <f>IF($A461="","",games!$C461)</f>
        <v>Action</v>
      </c>
      <c r="D461">
        <f>IF($A461="","",COUNTIF(connections!$A$2:$A$1473,$A461)+COUNTIF(connections!$B$2:$B$1473,$A461))</f>
        <v>1</v>
      </c>
      <c r="E461">
        <f t="shared" si="91"/>
        <v>1</v>
      </c>
      <c r="F461">
        <f t="shared" si="92"/>
        <v>19</v>
      </c>
      <c r="G461">
        <f t="shared" si="93"/>
        <v>2025</v>
      </c>
      <c r="H461">
        <f t="shared" si="94"/>
        <v>1.4370000000000001</v>
      </c>
      <c r="I461" t="e">
        <f t="shared" si="95"/>
        <v>#N/A</v>
      </c>
      <c r="J461" t="e">
        <f t="shared" si="96"/>
        <v>#N/A</v>
      </c>
      <c r="K461" t="e">
        <f t="shared" si="97"/>
        <v>#N/A</v>
      </c>
      <c r="L461" t="e">
        <f t="shared" si="98"/>
        <v>#N/A</v>
      </c>
      <c r="M461" t="e">
        <f t="shared" si="99"/>
        <v>#N/A</v>
      </c>
      <c r="N461" t="e">
        <f t="shared" si="100"/>
        <v>#N/A</v>
      </c>
      <c r="O461">
        <f t="shared" si="101"/>
        <v>1.000461</v>
      </c>
      <c r="P461" t="str">
        <f>IF(OR($A461="",games!$H461=""),"",games!$H461)</f>
        <v/>
      </c>
      <c r="Q461" t="str">
        <f t="shared" si="102"/>
        <v/>
      </c>
      <c r="T461">
        <f>IF(connections!$A461="","",IFERROR(INDEX(games!$B$2:$B$950,MATCH(connections!$A461,games!$A$2:$A$950,0)),""))</f>
        <v>1993</v>
      </c>
      <c r="U461">
        <f>IF(connections!$A461="","",IFERROR(INDEX(games!$B$2:$B$950,MATCH(connections!$B461,games!$A$2:$A$950,0)),""))</f>
        <v>2015</v>
      </c>
      <c r="V461">
        <f t="shared" si="103"/>
        <v>22</v>
      </c>
    </row>
    <row r="462" spans="1:22" x14ac:dyDescent="0.25">
      <c r="A462" t="str">
        <f>IF(games!$A462="","",games!$A462)</f>
        <v>Mimic Logic</v>
      </c>
      <c r="B462">
        <f>IF($A462="","",games!$B462)</f>
        <v>2024</v>
      </c>
      <c r="C462" t="str">
        <f>IF($A462="","",games!$C462)</f>
        <v>Strategy</v>
      </c>
      <c r="D462">
        <f>IF($A462="","",COUNTIF(connections!$A$2:$A$1473,$A462)+COUNTIF(connections!$B$2:$B$1473,$A462))</f>
        <v>1</v>
      </c>
      <c r="E462">
        <f t="shared" si="91"/>
        <v>2</v>
      </c>
      <c r="F462">
        <f t="shared" si="92"/>
        <v>20</v>
      </c>
      <c r="G462" t="e">
        <f t="shared" si="93"/>
        <v>#N/A</v>
      </c>
      <c r="H462" t="e">
        <f t="shared" si="94"/>
        <v>#N/A</v>
      </c>
      <c r="I462">
        <f t="shared" si="95"/>
        <v>2024</v>
      </c>
      <c r="J462">
        <f t="shared" si="96"/>
        <v>2.46</v>
      </c>
      <c r="K462" t="e">
        <f t="shared" si="97"/>
        <v>#N/A</v>
      </c>
      <c r="L462" t="e">
        <f t="shared" si="98"/>
        <v>#N/A</v>
      </c>
      <c r="M462" t="e">
        <f t="shared" si="99"/>
        <v>#N/A</v>
      </c>
      <c r="N462" t="e">
        <f t="shared" si="100"/>
        <v>#N/A</v>
      </c>
      <c r="O462">
        <f t="shared" si="101"/>
        <v>1.000462</v>
      </c>
      <c r="P462" t="str">
        <f>IF(OR($A462="",games!$H462=""),"",games!$H462)</f>
        <v>Yes</v>
      </c>
      <c r="Q462">
        <f t="shared" si="102"/>
        <v>1.000462</v>
      </c>
      <c r="T462">
        <f>IF(connections!$A462="","",IFERROR(INDEX(games!$B$2:$B$950,MATCH(connections!$A462,games!$A$2:$A$950,0)),""))</f>
        <v>2015</v>
      </c>
      <c r="U462">
        <f>IF(connections!$A462="","",IFERROR(INDEX(games!$B$2:$B$950,MATCH(connections!$B462,games!$A$2:$A$950,0)),""))</f>
        <v>2017</v>
      </c>
      <c r="V462">
        <f t="shared" si="103"/>
        <v>2</v>
      </c>
    </row>
    <row r="463" spans="1:22" x14ac:dyDescent="0.25">
      <c r="A463" t="str">
        <f>IF(games!$A463="","",games!$A463)</f>
        <v>Miracle Chou Party: Sanae to Tenshi no Gensou Labyrinth</v>
      </c>
      <c r="B463">
        <f>IF($A463="","",games!$B463)</f>
        <v>2012</v>
      </c>
      <c r="C463" t="str">
        <f>IF($A463="","",games!$C463)</f>
        <v>Traditional</v>
      </c>
      <c r="D463">
        <f>IF($A463="","",COUNTIF(connections!$A$2:$A$1473,$A463)+COUNTIF(connections!$B$2:$B$1473,$A463))</f>
        <v>2</v>
      </c>
      <c r="E463">
        <f t="shared" si="91"/>
        <v>4</v>
      </c>
      <c r="F463">
        <f t="shared" si="92"/>
        <v>21</v>
      </c>
      <c r="G463" t="e">
        <f t="shared" si="93"/>
        <v>#N/A</v>
      </c>
      <c r="H463" t="e">
        <f t="shared" si="94"/>
        <v>#N/A</v>
      </c>
      <c r="I463" t="e">
        <f t="shared" si="95"/>
        <v>#N/A</v>
      </c>
      <c r="J463" t="e">
        <f t="shared" si="96"/>
        <v>#N/A</v>
      </c>
      <c r="K463" t="e">
        <f t="shared" si="97"/>
        <v>#N/A</v>
      </c>
      <c r="L463" t="e">
        <f t="shared" si="98"/>
        <v>#N/A</v>
      </c>
      <c r="M463">
        <f t="shared" si="99"/>
        <v>2012</v>
      </c>
      <c r="N463">
        <f t="shared" si="100"/>
        <v>4.4829999999999997</v>
      </c>
      <c r="O463">
        <f t="shared" si="101"/>
        <v>2.0004629999999999</v>
      </c>
      <c r="P463" t="str">
        <f>IF(OR($A463="",games!$H463=""),"",games!$H463)</f>
        <v/>
      </c>
      <c r="Q463" t="str">
        <f t="shared" si="102"/>
        <v/>
      </c>
      <c r="T463">
        <f>IF(connections!$A463="","",IFERROR(INDEX(games!$B$2:$B$950,MATCH(connections!$A463,games!$A$2:$A$950,0)),""))</f>
        <v>2023</v>
      </c>
      <c r="U463">
        <f>IF(connections!$A463="","",IFERROR(INDEX(games!$B$2:$B$950,MATCH(connections!$B463,games!$A$2:$A$950,0)),""))</f>
        <v>2026</v>
      </c>
      <c r="V463">
        <f t="shared" si="103"/>
        <v>3</v>
      </c>
    </row>
    <row r="464" spans="1:22" x14ac:dyDescent="0.25">
      <c r="A464" t="str">
        <f>IF(games!$A464="","",games!$A464)</f>
        <v>Miracle Party: Fushigi no Gensoukyou 2</v>
      </c>
      <c r="B464">
        <f>IF($A464="","",games!$B464)</f>
        <v>2011</v>
      </c>
      <c r="C464" t="str">
        <f>IF($A464="","",games!$C464)</f>
        <v>Traditional</v>
      </c>
      <c r="D464">
        <f>IF($A464="","",COUNTIF(connections!$A$2:$A$1473,$A464)+COUNTIF(connections!$B$2:$B$1473,$A464))</f>
        <v>3</v>
      </c>
      <c r="E464">
        <f t="shared" si="91"/>
        <v>4</v>
      </c>
      <c r="F464">
        <f t="shared" si="92"/>
        <v>22</v>
      </c>
      <c r="G464" t="e">
        <f t="shared" si="93"/>
        <v>#N/A</v>
      </c>
      <c r="H464" t="e">
        <f t="shared" si="94"/>
        <v>#N/A</v>
      </c>
      <c r="I464" t="e">
        <f t="shared" si="95"/>
        <v>#N/A</v>
      </c>
      <c r="J464" t="e">
        <f t="shared" si="96"/>
        <v>#N/A</v>
      </c>
      <c r="K464" t="e">
        <f t="shared" si="97"/>
        <v>#N/A</v>
      </c>
      <c r="L464" t="e">
        <f t="shared" si="98"/>
        <v>#N/A</v>
      </c>
      <c r="M464">
        <f t="shared" si="99"/>
        <v>2011</v>
      </c>
      <c r="N464">
        <f t="shared" si="100"/>
        <v>4.5060000000000002</v>
      </c>
      <c r="O464">
        <f t="shared" si="101"/>
        <v>3.000464</v>
      </c>
      <c r="P464" t="str">
        <f>IF(OR($A464="",games!$H464=""),"",games!$H464)</f>
        <v/>
      </c>
      <c r="Q464" t="str">
        <f t="shared" si="102"/>
        <v/>
      </c>
      <c r="T464">
        <f>IF(connections!$A464="","",IFERROR(INDEX(games!$B$2:$B$950,MATCH(connections!$A464,games!$A$2:$A$950,0)),""))</f>
        <v>2020</v>
      </c>
      <c r="U464">
        <f>IF(connections!$A464="","",IFERROR(INDEX(games!$B$2:$B$950,MATCH(connections!$B464,games!$A$2:$A$950,0)),""))</f>
        <v>2026</v>
      </c>
      <c r="V464">
        <f t="shared" si="103"/>
        <v>6</v>
      </c>
    </row>
    <row r="465" spans="1:22" x14ac:dyDescent="0.25">
      <c r="A465" t="str">
        <f>IF(games!$A465="","",games!$A465)</f>
        <v>Mission: Thunderbolt</v>
      </c>
      <c r="B465">
        <f>IF($A465="","",games!$B465)</f>
        <v>1987</v>
      </c>
      <c r="C465" t="str">
        <f>IF($A465="","",games!$C465)</f>
        <v>Traditional</v>
      </c>
      <c r="D465">
        <f>IF($A465="","",COUNTIF(connections!$A$2:$A$1473,$A465)+COUNTIF(connections!$B$2:$B$1473,$A465))</f>
        <v>1</v>
      </c>
      <c r="E465">
        <f t="shared" si="91"/>
        <v>4</v>
      </c>
      <c r="F465">
        <f t="shared" si="92"/>
        <v>23</v>
      </c>
      <c r="G465" t="e">
        <f t="shared" si="93"/>
        <v>#N/A</v>
      </c>
      <c r="H465" t="e">
        <f t="shared" si="94"/>
        <v>#N/A</v>
      </c>
      <c r="I465" t="e">
        <f t="shared" si="95"/>
        <v>#N/A</v>
      </c>
      <c r="J465" t="e">
        <f t="shared" si="96"/>
        <v>#N/A</v>
      </c>
      <c r="K465" t="e">
        <f t="shared" si="97"/>
        <v>#N/A</v>
      </c>
      <c r="L465" t="e">
        <f t="shared" si="98"/>
        <v>#N/A</v>
      </c>
      <c r="M465">
        <f t="shared" si="99"/>
        <v>1987</v>
      </c>
      <c r="N465">
        <f t="shared" si="100"/>
        <v>4.5289999999999999</v>
      </c>
      <c r="O465">
        <f t="shared" si="101"/>
        <v>1.0004649999999999</v>
      </c>
      <c r="P465" t="str">
        <f>IF(OR($A465="",games!$H465=""),"",games!$H465)</f>
        <v>Yes</v>
      </c>
      <c r="Q465">
        <f t="shared" si="102"/>
        <v>1.0004649999999999</v>
      </c>
      <c r="T465">
        <f>IF(connections!$A465="","",IFERROR(INDEX(games!$B$2:$B$950,MATCH(connections!$A465,games!$A$2:$A$950,0)),""))</f>
        <v>2017</v>
      </c>
      <c r="U465">
        <f>IF(connections!$A465="","",IFERROR(INDEX(games!$B$2:$B$950,MATCH(connections!$B465,games!$A$2:$A$950,0)),""))</f>
        <v>2026</v>
      </c>
      <c r="V465">
        <f t="shared" si="103"/>
        <v>9</v>
      </c>
    </row>
    <row r="466" spans="1:22" x14ac:dyDescent="0.25">
      <c r="A466" t="str">
        <f>IF(games!$A466="","",games!$A466)</f>
        <v>Mistrogue: Mist and the Living Dungeons</v>
      </c>
      <c r="B466">
        <f>IF($A466="","",games!$B466)</f>
        <v>2023</v>
      </c>
      <c r="C466" t="str">
        <f>IF($A466="","",games!$C466)</f>
        <v>Action</v>
      </c>
      <c r="D466">
        <f>IF($A466="","",COUNTIF(connections!$A$2:$A$1473,$A466)+COUNTIF(connections!$B$2:$B$1473,$A466))</f>
        <v>1</v>
      </c>
      <c r="E466">
        <f t="shared" si="91"/>
        <v>1</v>
      </c>
      <c r="F466">
        <f t="shared" si="92"/>
        <v>24</v>
      </c>
      <c r="G466">
        <f t="shared" si="93"/>
        <v>2023</v>
      </c>
      <c r="H466">
        <f t="shared" si="94"/>
        <v>1.552</v>
      </c>
      <c r="I466" t="e">
        <f t="shared" si="95"/>
        <v>#N/A</v>
      </c>
      <c r="J466" t="e">
        <f t="shared" si="96"/>
        <v>#N/A</v>
      </c>
      <c r="K466" t="e">
        <f t="shared" si="97"/>
        <v>#N/A</v>
      </c>
      <c r="L466" t="e">
        <f t="shared" si="98"/>
        <v>#N/A</v>
      </c>
      <c r="M466" t="e">
        <f t="shared" si="99"/>
        <v>#N/A</v>
      </c>
      <c r="N466" t="e">
        <f t="shared" si="100"/>
        <v>#N/A</v>
      </c>
      <c r="O466">
        <f t="shared" si="101"/>
        <v>1.0004660000000001</v>
      </c>
      <c r="P466" t="str">
        <f>IF(OR($A466="",games!$H466=""),"",games!$H466)</f>
        <v>Yes</v>
      </c>
      <c r="Q466">
        <f t="shared" si="102"/>
        <v>1.0004660000000001</v>
      </c>
      <c r="T466">
        <f>IF(connections!$A466="","",IFERROR(INDEX(games!$B$2:$B$950,MATCH(connections!$A466,games!$A$2:$A$950,0)),""))</f>
        <v>2015</v>
      </c>
      <c r="U466">
        <f>IF(connections!$A466="","",IFERROR(INDEX(games!$B$2:$B$950,MATCH(connections!$B466,games!$A$2:$A$950,0)),""))</f>
        <v>2020</v>
      </c>
      <c r="V466">
        <f t="shared" si="103"/>
        <v>5</v>
      </c>
    </row>
    <row r="467" spans="1:22" x14ac:dyDescent="0.25">
      <c r="A467" t="str">
        <f>IF(games!$A467="","",games!$A467)</f>
        <v>Mobmania</v>
      </c>
      <c r="B467">
        <f>IF($A467="","",games!$B467)</f>
        <v>2022</v>
      </c>
      <c r="C467" t="str">
        <f>IF($A467="","",games!$C467)</f>
        <v>Action</v>
      </c>
      <c r="D467">
        <f>IF($A467="","",COUNTIF(connections!$A$2:$A$1473,$A467)+COUNTIF(connections!$B$2:$B$1473,$A467))</f>
        <v>1</v>
      </c>
      <c r="E467">
        <f t="shared" si="91"/>
        <v>1</v>
      </c>
      <c r="F467">
        <f t="shared" si="92"/>
        <v>25</v>
      </c>
      <c r="G467">
        <f t="shared" si="93"/>
        <v>2022</v>
      </c>
      <c r="H467">
        <f t="shared" si="94"/>
        <v>1.575</v>
      </c>
      <c r="I467" t="e">
        <f t="shared" si="95"/>
        <v>#N/A</v>
      </c>
      <c r="J467" t="e">
        <f t="shared" si="96"/>
        <v>#N/A</v>
      </c>
      <c r="K467" t="e">
        <f t="shared" si="97"/>
        <v>#N/A</v>
      </c>
      <c r="L467" t="e">
        <f t="shared" si="98"/>
        <v>#N/A</v>
      </c>
      <c r="M467" t="e">
        <f t="shared" si="99"/>
        <v>#N/A</v>
      </c>
      <c r="N467" t="e">
        <f t="shared" si="100"/>
        <v>#N/A</v>
      </c>
      <c r="O467">
        <f t="shared" si="101"/>
        <v>1.000467</v>
      </c>
      <c r="P467" t="str">
        <f>IF(OR($A467="",games!$H467=""),"",games!$H467)</f>
        <v/>
      </c>
      <c r="Q467" t="str">
        <f t="shared" si="102"/>
        <v/>
      </c>
      <c r="T467">
        <f>IF(connections!$A467="","",IFERROR(INDEX(games!$B$2:$B$950,MATCH(connections!$A467,games!$A$2:$A$950,0)),""))</f>
        <v>2016</v>
      </c>
      <c r="U467">
        <f>IF(connections!$A467="","",IFERROR(INDEX(games!$B$2:$B$950,MATCH(connections!$B467,games!$A$2:$A$950,0)),""))</f>
        <v>2020</v>
      </c>
      <c r="V467">
        <f t="shared" si="103"/>
        <v>4</v>
      </c>
    </row>
    <row r="468" spans="1:22" x14ac:dyDescent="0.25">
      <c r="A468" t="str">
        <f>IF(games!$A468="","",games!$A468)</f>
        <v>Monmusu Gladiator</v>
      </c>
      <c r="B468">
        <f>IF($A468="","",games!$B468)</f>
        <v>2021</v>
      </c>
      <c r="C468" t="str">
        <f>IF($A468="","",games!$C468)</f>
        <v>Deckbuilder</v>
      </c>
      <c r="D468">
        <f>IF($A468="","",COUNTIF(connections!$A$2:$A$1473,$A468)+COUNTIF(connections!$B$2:$B$1473,$A468))</f>
        <v>1</v>
      </c>
      <c r="E468">
        <f t="shared" si="91"/>
        <v>3</v>
      </c>
      <c r="F468">
        <f t="shared" si="92"/>
        <v>26</v>
      </c>
      <c r="G468" t="e">
        <f t="shared" si="93"/>
        <v>#N/A</v>
      </c>
      <c r="H468" t="e">
        <f t="shared" si="94"/>
        <v>#N/A</v>
      </c>
      <c r="I468" t="e">
        <f t="shared" si="95"/>
        <v>#N/A</v>
      </c>
      <c r="J468" t="e">
        <f t="shared" si="96"/>
        <v>#N/A</v>
      </c>
      <c r="K468">
        <f t="shared" si="97"/>
        <v>2021</v>
      </c>
      <c r="L468">
        <f t="shared" si="98"/>
        <v>3.5979999999999999</v>
      </c>
      <c r="M468" t="e">
        <f t="shared" si="99"/>
        <v>#N/A</v>
      </c>
      <c r="N468" t="e">
        <f t="shared" si="100"/>
        <v>#N/A</v>
      </c>
      <c r="O468">
        <f t="shared" si="101"/>
        <v>1.0004679999999999</v>
      </c>
      <c r="P468" t="str">
        <f>IF(OR($A468="",games!$H468=""),"",games!$H468)</f>
        <v>Yes</v>
      </c>
      <c r="Q468">
        <f t="shared" si="102"/>
        <v>1.0004679999999999</v>
      </c>
      <c r="T468">
        <f>IF(connections!$A468="","",IFERROR(INDEX(games!$B$2:$B$950,MATCH(connections!$A468,games!$A$2:$A$950,0)),""))</f>
        <v>2021</v>
      </c>
      <c r="U468">
        <f>IF(connections!$A468="","",IFERROR(INDEX(games!$B$2:$B$950,MATCH(connections!$B468,games!$A$2:$A$950,0)),""))</f>
        <v>2024</v>
      </c>
      <c r="V468">
        <f t="shared" si="103"/>
        <v>3</v>
      </c>
    </row>
    <row r="469" spans="1:22" x14ac:dyDescent="0.25">
      <c r="A469" t="str">
        <f>IF(games!$A469="","",games!$A469)</f>
        <v>Monster Gate</v>
      </c>
      <c r="B469">
        <f>IF($A469="","",games!$B469)</f>
        <v>2002</v>
      </c>
      <c r="C469" t="str">
        <f>IF($A469="","",games!$C469)</f>
        <v>Traditional</v>
      </c>
      <c r="D469">
        <f>IF($A469="","",COUNTIF(connections!$A$2:$A$1473,$A469)+COUNTIF(connections!$B$2:$B$1473,$A469))</f>
        <v>3</v>
      </c>
      <c r="E469">
        <f t="shared" si="91"/>
        <v>4</v>
      </c>
      <c r="F469">
        <f t="shared" si="92"/>
        <v>27</v>
      </c>
      <c r="G469" t="e">
        <f t="shared" si="93"/>
        <v>#N/A</v>
      </c>
      <c r="H469" t="e">
        <f t="shared" si="94"/>
        <v>#N/A</v>
      </c>
      <c r="I469" t="e">
        <f t="shared" si="95"/>
        <v>#N/A</v>
      </c>
      <c r="J469" t="e">
        <f t="shared" si="96"/>
        <v>#N/A</v>
      </c>
      <c r="K469" t="e">
        <f t="shared" si="97"/>
        <v>#N/A</v>
      </c>
      <c r="L469" t="e">
        <f t="shared" si="98"/>
        <v>#N/A</v>
      </c>
      <c r="M469">
        <f t="shared" si="99"/>
        <v>2002</v>
      </c>
      <c r="N469">
        <f t="shared" si="100"/>
        <v>4.6210000000000004</v>
      </c>
      <c r="O469">
        <f t="shared" si="101"/>
        <v>3.0004689999999998</v>
      </c>
      <c r="P469" t="str">
        <f>IF(OR($A469="",games!$H469=""),"",games!$H469)</f>
        <v>Yes</v>
      </c>
      <c r="Q469">
        <f t="shared" si="102"/>
        <v>3.0004689999999998</v>
      </c>
      <c r="T469">
        <f>IF(connections!$A469="","",IFERROR(INDEX(games!$B$2:$B$950,MATCH(connections!$A469,games!$A$2:$A$950,0)),""))</f>
        <v>1980</v>
      </c>
      <c r="U469">
        <f>IF(connections!$A469="","",IFERROR(INDEX(games!$B$2:$B$950,MATCH(connections!$B469,games!$A$2:$A$950,0)),""))</f>
        <v>1990</v>
      </c>
      <c r="V469">
        <f t="shared" si="103"/>
        <v>10</v>
      </c>
    </row>
    <row r="470" spans="1:22" x14ac:dyDescent="0.25">
      <c r="A470" t="str">
        <f>IF(games!$A470="","",games!$A470)</f>
        <v>Monster Gate: Ooinaru Dungeon - Fuuin no Orb</v>
      </c>
      <c r="B470">
        <f>IF($A470="","",games!$B470)</f>
        <v>2003</v>
      </c>
      <c r="C470" t="str">
        <f>IF($A470="","",games!$C470)</f>
        <v>Traditional</v>
      </c>
      <c r="D470">
        <f>IF($A470="","",COUNTIF(connections!$A$2:$A$1473,$A470)+COUNTIF(connections!$B$2:$B$1473,$A470))</f>
        <v>1</v>
      </c>
      <c r="E470">
        <f t="shared" si="91"/>
        <v>4</v>
      </c>
      <c r="F470">
        <f t="shared" si="92"/>
        <v>28</v>
      </c>
      <c r="G470" t="e">
        <f t="shared" si="93"/>
        <v>#N/A</v>
      </c>
      <c r="H470" t="e">
        <f t="shared" si="94"/>
        <v>#N/A</v>
      </c>
      <c r="I470" t="e">
        <f t="shared" si="95"/>
        <v>#N/A</v>
      </c>
      <c r="J470" t="e">
        <f t="shared" si="96"/>
        <v>#N/A</v>
      </c>
      <c r="K470" t="e">
        <f t="shared" si="97"/>
        <v>#N/A</v>
      </c>
      <c r="L470" t="e">
        <f t="shared" si="98"/>
        <v>#N/A</v>
      </c>
      <c r="M470">
        <f t="shared" si="99"/>
        <v>2003</v>
      </c>
      <c r="N470">
        <f t="shared" si="100"/>
        <v>4.6440000000000001</v>
      </c>
      <c r="O470">
        <f t="shared" si="101"/>
        <v>1.00047</v>
      </c>
      <c r="P470" t="str">
        <f>IF(OR($A470="",games!$H470=""),"",games!$H470)</f>
        <v>Yes</v>
      </c>
      <c r="Q470">
        <f t="shared" si="102"/>
        <v>1.00047</v>
      </c>
      <c r="T470">
        <f>IF(connections!$A470="","",IFERROR(INDEX(games!$B$2:$B$950,MATCH(connections!$A470,games!$A$2:$A$950,0)),""))</f>
        <v>1987</v>
      </c>
      <c r="U470">
        <f>IF(connections!$A470="","",IFERROR(INDEX(games!$B$2:$B$950,MATCH(connections!$B470,games!$A$2:$A$950,0)),""))</f>
        <v>2018</v>
      </c>
      <c r="V470">
        <f t="shared" si="103"/>
        <v>31</v>
      </c>
    </row>
    <row r="471" spans="1:22" x14ac:dyDescent="0.25">
      <c r="A471" t="str">
        <f>IF(games!$A471="","",games!$A471)</f>
        <v>Monster Girls and the Mysterious Adventure</v>
      </c>
      <c r="B471">
        <f>IF($A471="","",games!$B471)</f>
        <v>2020</v>
      </c>
      <c r="C471" t="str">
        <f>IF($A471="","",games!$C471)</f>
        <v>Traditional</v>
      </c>
      <c r="D471">
        <f>IF($A471="","",COUNTIF(connections!$A$2:$A$1473,$A471)+COUNTIF(connections!$B$2:$B$1473,$A471))</f>
        <v>2</v>
      </c>
      <c r="E471">
        <f t="shared" si="91"/>
        <v>4</v>
      </c>
      <c r="F471">
        <f t="shared" si="92"/>
        <v>29</v>
      </c>
      <c r="G471" t="e">
        <f t="shared" si="93"/>
        <v>#N/A</v>
      </c>
      <c r="H471" t="e">
        <f t="shared" si="94"/>
        <v>#N/A</v>
      </c>
      <c r="I471" t="e">
        <f t="shared" si="95"/>
        <v>#N/A</v>
      </c>
      <c r="J471" t="e">
        <f t="shared" si="96"/>
        <v>#N/A</v>
      </c>
      <c r="K471" t="e">
        <f t="shared" si="97"/>
        <v>#N/A</v>
      </c>
      <c r="L471" t="e">
        <f t="shared" si="98"/>
        <v>#N/A</v>
      </c>
      <c r="M471">
        <f t="shared" si="99"/>
        <v>2020</v>
      </c>
      <c r="N471">
        <f t="shared" si="100"/>
        <v>4.6669999999999998</v>
      </c>
      <c r="O471">
        <f t="shared" si="101"/>
        <v>2.0004710000000001</v>
      </c>
      <c r="P471" t="str">
        <f>IF(OR($A471="",games!$H471=""),"",games!$H471)</f>
        <v/>
      </c>
      <c r="Q471" t="str">
        <f t="shared" si="102"/>
        <v/>
      </c>
      <c r="T471">
        <f>IF(connections!$A471="","",IFERROR(INDEX(games!$B$2:$B$950,MATCH(connections!$A471,games!$A$2:$A$950,0)),""))</f>
        <v>2022</v>
      </c>
      <c r="U471">
        <f>IF(connections!$A471="","",IFERROR(INDEX(games!$B$2:$B$950,MATCH(connections!$B471,games!$A$2:$A$950,0)),""))</f>
        <v>2024</v>
      </c>
      <c r="V471">
        <f t="shared" si="103"/>
        <v>2</v>
      </c>
    </row>
    <row r="472" spans="1:22" x14ac:dyDescent="0.25">
      <c r="A472" t="str">
        <f>IF(games!$A472="","",games!$A472)</f>
        <v>Monster Girls and the Mysterious Adventure 2</v>
      </c>
      <c r="B472">
        <f>IF($A472="","",games!$B472)</f>
        <v>2022</v>
      </c>
      <c r="C472" t="str">
        <f>IF($A472="","",games!$C472)</f>
        <v>Traditional</v>
      </c>
      <c r="D472">
        <f>IF($A472="","",COUNTIF(connections!$A$2:$A$1473,$A472)+COUNTIF(connections!$B$2:$B$1473,$A472))</f>
        <v>1</v>
      </c>
      <c r="E472">
        <f t="shared" si="91"/>
        <v>4</v>
      </c>
      <c r="F472">
        <f t="shared" si="92"/>
        <v>30</v>
      </c>
      <c r="G472" t="e">
        <f t="shared" si="93"/>
        <v>#N/A</v>
      </c>
      <c r="H472" t="e">
        <f t="shared" si="94"/>
        <v>#N/A</v>
      </c>
      <c r="I472" t="e">
        <f t="shared" si="95"/>
        <v>#N/A</v>
      </c>
      <c r="J472" t="e">
        <f t="shared" si="96"/>
        <v>#N/A</v>
      </c>
      <c r="K472" t="e">
        <f t="shared" si="97"/>
        <v>#N/A</v>
      </c>
      <c r="L472" t="e">
        <f t="shared" si="98"/>
        <v>#N/A</v>
      </c>
      <c r="M472">
        <f t="shared" si="99"/>
        <v>2022</v>
      </c>
      <c r="N472">
        <f t="shared" si="100"/>
        <v>4.6899999999999995</v>
      </c>
      <c r="O472">
        <f t="shared" si="101"/>
        <v>1.000472</v>
      </c>
      <c r="P472" t="str">
        <f>IF(OR($A472="",games!$H472=""),"",games!$H472)</f>
        <v/>
      </c>
      <c r="Q472" t="str">
        <f t="shared" si="102"/>
        <v/>
      </c>
      <c r="T472">
        <f>IF(connections!$A472="","",IFERROR(INDEX(games!$B$2:$B$950,MATCH(connections!$A472,games!$A$2:$A$950,0)),""))</f>
        <v>2008</v>
      </c>
      <c r="U472">
        <f>IF(connections!$A472="","",IFERROR(INDEX(games!$B$2:$B$950,MATCH(connections!$B472,games!$A$2:$A$950,0)),""))</f>
        <v>2024</v>
      </c>
      <c r="V472">
        <f t="shared" si="103"/>
        <v>16</v>
      </c>
    </row>
    <row r="473" spans="1:22" x14ac:dyDescent="0.25">
      <c r="A473" t="str">
        <f>IF(games!$A473="","",games!$A473)</f>
        <v>Monster Slayers</v>
      </c>
      <c r="B473">
        <f>IF($A473="","",games!$B473)</f>
        <v>2017</v>
      </c>
      <c r="C473" t="str">
        <f>IF($A473="","",games!$C473)</f>
        <v>Deckbuilder</v>
      </c>
      <c r="D473">
        <f>IF($A473="","",COUNTIF(connections!$A$2:$A$1473,$A473)+COUNTIF(connections!$B$2:$B$1473,$A473))</f>
        <v>2</v>
      </c>
      <c r="E473">
        <f t="shared" si="91"/>
        <v>3</v>
      </c>
      <c r="F473">
        <f t="shared" si="92"/>
        <v>31</v>
      </c>
      <c r="G473" t="e">
        <f t="shared" si="93"/>
        <v>#N/A</v>
      </c>
      <c r="H473" t="e">
        <f t="shared" si="94"/>
        <v>#N/A</v>
      </c>
      <c r="I473" t="e">
        <f t="shared" si="95"/>
        <v>#N/A</v>
      </c>
      <c r="J473" t="e">
        <f t="shared" si="96"/>
        <v>#N/A</v>
      </c>
      <c r="K473">
        <f t="shared" si="97"/>
        <v>2017</v>
      </c>
      <c r="L473">
        <f t="shared" si="98"/>
        <v>3.7130000000000001</v>
      </c>
      <c r="M473" t="e">
        <f t="shared" si="99"/>
        <v>#N/A</v>
      </c>
      <c r="N473" t="e">
        <f t="shared" si="100"/>
        <v>#N/A</v>
      </c>
      <c r="O473">
        <f t="shared" si="101"/>
        <v>2.0004729999999999</v>
      </c>
      <c r="P473" t="str">
        <f>IF(OR($A473="",games!$H473=""),"",games!$H473)</f>
        <v>Yes</v>
      </c>
      <c r="Q473">
        <f t="shared" si="102"/>
        <v>2.0004729999999999</v>
      </c>
      <c r="T473">
        <f>IF(connections!$A473="","",IFERROR(INDEX(games!$B$2:$B$950,MATCH(connections!$A473,games!$A$2:$A$950,0)),""))</f>
        <v>2018</v>
      </c>
      <c r="U473">
        <f>IF(connections!$A473="","",IFERROR(INDEX(games!$B$2:$B$950,MATCH(connections!$B473,games!$A$2:$A$950,0)),""))</f>
        <v>2021</v>
      </c>
      <c r="V473">
        <f t="shared" si="103"/>
        <v>3</v>
      </c>
    </row>
    <row r="474" spans="1:22" x14ac:dyDescent="0.25">
      <c r="A474" t="str">
        <f>IF(games!$A474="","",games!$A474)</f>
        <v>Monster Train</v>
      </c>
      <c r="B474">
        <f>IF($A474="","",games!$B474)</f>
        <v>2020</v>
      </c>
      <c r="C474" t="str">
        <f>IF($A474="","",games!$C474)</f>
        <v>Deckbuilder</v>
      </c>
      <c r="D474">
        <f>IF($A474="","",COUNTIF(connections!$A$2:$A$1473,$A474)+COUNTIF(connections!$B$2:$B$1473,$A474))</f>
        <v>14</v>
      </c>
      <c r="E474">
        <f t="shared" si="91"/>
        <v>3</v>
      </c>
      <c r="F474">
        <f t="shared" si="92"/>
        <v>32</v>
      </c>
      <c r="G474" t="e">
        <f t="shared" si="93"/>
        <v>#N/A</v>
      </c>
      <c r="H474" t="e">
        <f t="shared" si="94"/>
        <v>#N/A</v>
      </c>
      <c r="I474" t="e">
        <f t="shared" si="95"/>
        <v>#N/A</v>
      </c>
      <c r="J474" t="e">
        <f t="shared" si="96"/>
        <v>#N/A</v>
      </c>
      <c r="K474">
        <f t="shared" si="97"/>
        <v>2020</v>
      </c>
      <c r="L474">
        <f t="shared" si="98"/>
        <v>3.7359999999999998</v>
      </c>
      <c r="M474" t="e">
        <f t="shared" si="99"/>
        <v>#N/A</v>
      </c>
      <c r="N474" t="e">
        <f t="shared" si="100"/>
        <v>#N/A</v>
      </c>
      <c r="O474">
        <f t="shared" si="101"/>
        <v>14.000474000000001</v>
      </c>
      <c r="P474" t="str">
        <f>IF(OR($A474="",games!$H474=""),"",games!$H474)</f>
        <v>Yes</v>
      </c>
      <c r="Q474">
        <f t="shared" si="102"/>
        <v>14.000474000000001</v>
      </c>
      <c r="T474">
        <f>IF(connections!$A474="","",IFERROR(INDEX(games!$B$2:$B$950,MATCH(connections!$A474,games!$A$2:$A$950,0)),""))</f>
        <v>2017</v>
      </c>
      <c r="U474">
        <f>IF(connections!$A474="","",IFERROR(INDEX(games!$B$2:$B$950,MATCH(connections!$B474,games!$A$2:$A$950,0)),""))</f>
        <v>2021</v>
      </c>
      <c r="V474">
        <f t="shared" si="103"/>
        <v>4</v>
      </c>
    </row>
    <row r="475" spans="1:22" x14ac:dyDescent="0.25">
      <c r="A475" t="str">
        <f>IF(games!$A475="","",games!$A475)</f>
        <v>Monster Train 2</v>
      </c>
      <c r="B475">
        <f>IF($A475="","",games!$B475)</f>
        <v>2025</v>
      </c>
      <c r="C475" t="str">
        <f>IF($A475="","",games!$C475)</f>
        <v>Deckbuilder</v>
      </c>
      <c r="D475">
        <f>IF($A475="","",COUNTIF(connections!$A$2:$A$1473,$A475)+COUNTIF(connections!$B$2:$B$1473,$A475))</f>
        <v>2</v>
      </c>
      <c r="E475">
        <f t="shared" si="91"/>
        <v>3</v>
      </c>
      <c r="F475">
        <f t="shared" si="92"/>
        <v>33</v>
      </c>
      <c r="G475" t="e">
        <f t="shared" si="93"/>
        <v>#N/A</v>
      </c>
      <c r="H475" t="e">
        <f t="shared" si="94"/>
        <v>#N/A</v>
      </c>
      <c r="I475" t="e">
        <f t="shared" si="95"/>
        <v>#N/A</v>
      </c>
      <c r="J475" t="e">
        <f t="shared" si="96"/>
        <v>#N/A</v>
      </c>
      <c r="K475">
        <f t="shared" si="97"/>
        <v>2025</v>
      </c>
      <c r="L475">
        <f t="shared" si="98"/>
        <v>3.7589999999999999</v>
      </c>
      <c r="M475" t="e">
        <f t="shared" si="99"/>
        <v>#N/A</v>
      </c>
      <c r="N475" t="e">
        <f t="shared" si="100"/>
        <v>#N/A</v>
      </c>
      <c r="O475">
        <f t="shared" si="101"/>
        <v>2.0004749999999998</v>
      </c>
      <c r="P475" t="str">
        <f>IF(OR($A475="",games!$H475=""),"",games!$H475)</f>
        <v/>
      </c>
      <c r="Q475" t="str">
        <f t="shared" si="102"/>
        <v/>
      </c>
      <c r="T475">
        <f>IF(connections!$A475="","",IFERROR(INDEX(games!$B$2:$B$950,MATCH(connections!$A475,games!$A$2:$A$950,0)),""))</f>
        <v>1998</v>
      </c>
      <c r="U475">
        <f>IF(connections!$A475="","",IFERROR(INDEX(games!$B$2:$B$950,MATCH(connections!$B475,games!$A$2:$A$950,0)),""))</f>
        <v>2007</v>
      </c>
      <c r="V475">
        <f t="shared" si="103"/>
        <v>9</v>
      </c>
    </row>
    <row r="476" spans="1:22" x14ac:dyDescent="0.25">
      <c r="A476" t="str">
        <f>IF(games!$A476="","",games!$A476)</f>
        <v>Monsters are Coming!</v>
      </c>
      <c r="B476">
        <f>IF($A476="","",games!$B476)</f>
        <v>2025</v>
      </c>
      <c r="C476" t="str">
        <f>IF($A476="","",games!$C476)</f>
        <v>Action</v>
      </c>
      <c r="D476">
        <f>IF($A476="","",COUNTIF(connections!$A$2:$A$1473,$A476)+COUNTIF(connections!$B$2:$B$1473,$A476))</f>
        <v>2</v>
      </c>
      <c r="E476">
        <f t="shared" si="91"/>
        <v>1</v>
      </c>
      <c r="F476">
        <f t="shared" si="92"/>
        <v>0</v>
      </c>
      <c r="G476">
        <f t="shared" si="93"/>
        <v>2025</v>
      </c>
      <c r="H476">
        <f t="shared" si="94"/>
        <v>1</v>
      </c>
      <c r="I476" t="e">
        <f t="shared" si="95"/>
        <v>#N/A</v>
      </c>
      <c r="J476" t="e">
        <f t="shared" si="96"/>
        <v>#N/A</v>
      </c>
      <c r="K476" t="e">
        <f t="shared" si="97"/>
        <v>#N/A</v>
      </c>
      <c r="L476" t="e">
        <f t="shared" si="98"/>
        <v>#N/A</v>
      </c>
      <c r="M476" t="e">
        <f t="shared" si="99"/>
        <v>#N/A</v>
      </c>
      <c r="N476" t="e">
        <f t="shared" si="100"/>
        <v>#N/A</v>
      </c>
      <c r="O476">
        <f t="shared" si="101"/>
        <v>2.0004759999999999</v>
      </c>
      <c r="P476" t="str">
        <f>IF(OR($A476="",games!$H476=""),"",games!$H476)</f>
        <v>Yes</v>
      </c>
      <c r="Q476">
        <f t="shared" si="102"/>
        <v>2.0004759999999999</v>
      </c>
      <c r="T476">
        <f>IF(connections!$A476="","",IFERROR(INDEX(games!$B$2:$B$950,MATCH(connections!$A476,games!$A$2:$A$950,0)),""))</f>
        <v>2021</v>
      </c>
      <c r="U476">
        <f>IF(connections!$A476="","",IFERROR(INDEX(games!$B$2:$B$950,MATCH(connections!$B476,games!$A$2:$A$950,0)),""))</f>
        <v>2024</v>
      </c>
      <c r="V476">
        <f t="shared" si="103"/>
        <v>3</v>
      </c>
    </row>
    <row r="477" spans="1:22" x14ac:dyDescent="0.25">
      <c r="A477" t="str">
        <f>IF(games!$A477="","",games!$A477)</f>
        <v>Monstrum</v>
      </c>
      <c r="B477">
        <f>IF($A477="","",games!$B477)</f>
        <v>2015</v>
      </c>
      <c r="C477" t="str">
        <f>IF($A477="","",games!$C477)</f>
        <v>Action</v>
      </c>
      <c r="D477">
        <f>IF($A477="","",COUNTIF(connections!$A$2:$A$1473,$A477)+COUNTIF(connections!$B$2:$B$1473,$A477))</f>
        <v>3</v>
      </c>
      <c r="E477">
        <f t="shared" si="91"/>
        <v>1</v>
      </c>
      <c r="F477">
        <f t="shared" si="92"/>
        <v>1</v>
      </c>
      <c r="G477">
        <f t="shared" si="93"/>
        <v>2015</v>
      </c>
      <c r="H477">
        <f t="shared" si="94"/>
        <v>1.0229999999999999</v>
      </c>
      <c r="I477" t="e">
        <f t="shared" si="95"/>
        <v>#N/A</v>
      </c>
      <c r="J477" t="e">
        <f t="shared" si="96"/>
        <v>#N/A</v>
      </c>
      <c r="K477" t="e">
        <f t="shared" si="97"/>
        <v>#N/A</v>
      </c>
      <c r="L477" t="e">
        <f t="shared" si="98"/>
        <v>#N/A</v>
      </c>
      <c r="M477" t="e">
        <f t="shared" si="99"/>
        <v>#N/A</v>
      </c>
      <c r="N477" t="e">
        <f t="shared" si="100"/>
        <v>#N/A</v>
      </c>
      <c r="O477">
        <f t="shared" si="101"/>
        <v>3.0004770000000001</v>
      </c>
      <c r="P477" t="str">
        <f>IF(OR($A477="",games!$H477=""),"",games!$H477)</f>
        <v>Yes</v>
      </c>
      <c r="Q477">
        <f t="shared" si="102"/>
        <v>3.0004770000000001</v>
      </c>
      <c r="T477">
        <f>IF(connections!$A477="","",IFERROR(INDEX(games!$B$2:$B$950,MATCH(connections!$A477,games!$A$2:$A$950,0)),""))</f>
        <v>2021</v>
      </c>
      <c r="U477">
        <f>IF(connections!$A477="","",IFERROR(INDEX(games!$B$2:$B$950,MATCH(connections!$B477,games!$A$2:$A$950,0)),""))</f>
        <v>2022</v>
      </c>
      <c r="V477">
        <f t="shared" si="103"/>
        <v>1</v>
      </c>
    </row>
    <row r="478" spans="1:22" x14ac:dyDescent="0.25">
      <c r="A478" t="str">
        <f>IF(games!$A478="","",games!$A478)</f>
        <v>Montabi</v>
      </c>
      <c r="B478">
        <f>IF($A478="","",games!$B478)</f>
        <v>2026</v>
      </c>
      <c r="C478" t="str">
        <f>IF($A478="","",games!$C478)</f>
        <v>Deckbuilder</v>
      </c>
      <c r="D478">
        <f>IF($A478="","",COUNTIF(connections!$A$2:$A$1473,$A478)+COUNTIF(connections!$B$2:$B$1473,$A478))</f>
        <v>3</v>
      </c>
      <c r="E478">
        <f t="shared" si="91"/>
        <v>3</v>
      </c>
      <c r="F478">
        <f t="shared" si="92"/>
        <v>2</v>
      </c>
      <c r="G478" t="e">
        <f t="shared" si="93"/>
        <v>#N/A</v>
      </c>
      <c r="H478" t="e">
        <f t="shared" si="94"/>
        <v>#N/A</v>
      </c>
      <c r="I478" t="e">
        <f t="shared" si="95"/>
        <v>#N/A</v>
      </c>
      <c r="J478" t="e">
        <f t="shared" si="96"/>
        <v>#N/A</v>
      </c>
      <c r="K478">
        <f t="shared" si="97"/>
        <v>2026</v>
      </c>
      <c r="L478">
        <f t="shared" si="98"/>
        <v>3.0459999999999998</v>
      </c>
      <c r="M478" t="e">
        <f t="shared" si="99"/>
        <v>#N/A</v>
      </c>
      <c r="N478" t="e">
        <f t="shared" si="100"/>
        <v>#N/A</v>
      </c>
      <c r="O478">
        <f t="shared" si="101"/>
        <v>3.0004780000000002</v>
      </c>
      <c r="P478" t="str">
        <f>IF(OR($A478="",games!$H478=""),"",games!$H478)</f>
        <v/>
      </c>
      <c r="Q478" t="str">
        <f t="shared" si="102"/>
        <v/>
      </c>
      <c r="T478">
        <f>IF(connections!$A478="","",IFERROR(INDEX(games!$B$2:$B$950,MATCH(connections!$A478,games!$A$2:$A$950,0)),""))</f>
        <v>2013</v>
      </c>
      <c r="U478">
        <f>IF(connections!$A478="","",IFERROR(INDEX(games!$B$2:$B$950,MATCH(connections!$B478,games!$A$2:$A$950,0)),""))</f>
        <v>2017</v>
      </c>
      <c r="V478">
        <f t="shared" si="103"/>
        <v>4</v>
      </c>
    </row>
    <row r="479" spans="1:22" x14ac:dyDescent="0.25">
      <c r="A479" t="str">
        <f>IF(games!$A479="","",games!$A479)</f>
        <v>Moon Hunters</v>
      </c>
      <c r="B479">
        <f>IF($A479="","",games!$B479)</f>
        <v>2016</v>
      </c>
      <c r="C479" t="str">
        <f>IF($A479="","",games!$C479)</f>
        <v>Action</v>
      </c>
      <c r="D479">
        <f>IF($A479="","",COUNTIF(connections!$A$2:$A$1473,$A479)+COUNTIF(connections!$B$2:$B$1473,$A479))</f>
        <v>1</v>
      </c>
      <c r="E479">
        <f t="shared" si="91"/>
        <v>1</v>
      </c>
      <c r="F479">
        <f t="shared" si="92"/>
        <v>3</v>
      </c>
      <c r="G479">
        <f t="shared" si="93"/>
        <v>2016</v>
      </c>
      <c r="H479">
        <f t="shared" si="94"/>
        <v>1.069</v>
      </c>
      <c r="I479" t="e">
        <f t="shared" si="95"/>
        <v>#N/A</v>
      </c>
      <c r="J479" t="e">
        <f t="shared" si="96"/>
        <v>#N/A</v>
      </c>
      <c r="K479" t="e">
        <f t="shared" si="97"/>
        <v>#N/A</v>
      </c>
      <c r="L479" t="e">
        <f t="shared" si="98"/>
        <v>#N/A</v>
      </c>
      <c r="M479" t="e">
        <f t="shared" si="99"/>
        <v>#N/A</v>
      </c>
      <c r="N479" t="e">
        <f t="shared" si="100"/>
        <v>#N/A</v>
      </c>
      <c r="O479">
        <f t="shared" si="101"/>
        <v>1.0004789999999999</v>
      </c>
      <c r="P479" t="str">
        <f>IF(OR($A479="",games!$H479=""),"",games!$H479)</f>
        <v>Yes</v>
      </c>
      <c r="Q479">
        <f t="shared" si="102"/>
        <v>1.0004789999999999</v>
      </c>
      <c r="T479">
        <f>IF(connections!$A479="","",IFERROR(INDEX(games!$B$2:$B$950,MATCH(connections!$A479,games!$A$2:$A$950,0)),""))</f>
        <v>2008</v>
      </c>
      <c r="U479">
        <f>IF(connections!$A479="","",IFERROR(INDEX(games!$B$2:$B$950,MATCH(connections!$B479,games!$A$2:$A$950,0)),""))</f>
        <v>2017</v>
      </c>
      <c r="V479">
        <f t="shared" si="103"/>
        <v>9</v>
      </c>
    </row>
    <row r="480" spans="1:22" x14ac:dyDescent="0.25">
      <c r="A480" t="str">
        <f>IF(games!$A480="","",games!$A480)</f>
        <v>Moon Watch</v>
      </c>
      <c r="B480">
        <f>IF($A480="","",games!$B480)</f>
        <v>2024</v>
      </c>
      <c r="C480" t="str">
        <f>IF($A480="","",games!$C480)</f>
        <v>Action</v>
      </c>
      <c r="D480">
        <f>IF($A480="","",COUNTIF(connections!$A$2:$A$1473,$A480)+COUNTIF(connections!$B$2:$B$1473,$A480))</f>
        <v>1</v>
      </c>
      <c r="E480">
        <f t="shared" si="91"/>
        <v>1</v>
      </c>
      <c r="F480">
        <f t="shared" si="92"/>
        <v>4</v>
      </c>
      <c r="G480">
        <f t="shared" si="93"/>
        <v>2024</v>
      </c>
      <c r="H480">
        <f t="shared" si="94"/>
        <v>1.0920000000000001</v>
      </c>
      <c r="I480" t="e">
        <f t="shared" si="95"/>
        <v>#N/A</v>
      </c>
      <c r="J480" t="e">
        <f t="shared" si="96"/>
        <v>#N/A</v>
      </c>
      <c r="K480" t="e">
        <f t="shared" si="97"/>
        <v>#N/A</v>
      </c>
      <c r="L480" t="e">
        <f t="shared" si="98"/>
        <v>#N/A</v>
      </c>
      <c r="M480" t="e">
        <f t="shared" si="99"/>
        <v>#N/A</v>
      </c>
      <c r="N480" t="e">
        <f t="shared" si="100"/>
        <v>#N/A</v>
      </c>
      <c r="O480">
        <f t="shared" si="101"/>
        <v>1.00048</v>
      </c>
      <c r="P480" t="str">
        <f>IF(OR($A480="",games!$H480=""),"",games!$H480)</f>
        <v/>
      </c>
      <c r="Q480" t="str">
        <f t="shared" si="102"/>
        <v/>
      </c>
      <c r="T480">
        <f>IF(connections!$A480="","",IFERROR(INDEX(games!$B$2:$B$950,MATCH(connections!$A480,games!$A$2:$A$950,0)),""))</f>
        <v>2023</v>
      </c>
      <c r="U480">
        <f>IF(connections!$A480="","",IFERROR(INDEX(games!$B$2:$B$950,MATCH(connections!$B480,games!$A$2:$A$950,0)),""))</f>
        <v>2026</v>
      </c>
      <c r="V480">
        <f t="shared" si="103"/>
        <v>3</v>
      </c>
    </row>
    <row r="481" spans="1:22" x14ac:dyDescent="0.25">
      <c r="A481" t="str">
        <f>IF(games!$A481="","",games!$A481)</f>
        <v>Moonlighter</v>
      </c>
      <c r="B481">
        <f>IF($A481="","",games!$B481)</f>
        <v>2018</v>
      </c>
      <c r="C481" t="str">
        <f>IF($A481="","",games!$C481)</f>
        <v>Action</v>
      </c>
      <c r="D481">
        <f>IF($A481="","",COUNTIF(connections!$A$2:$A$1473,$A481)+COUNTIF(connections!$B$2:$B$1473,$A481))</f>
        <v>4</v>
      </c>
      <c r="E481">
        <f t="shared" si="91"/>
        <v>1</v>
      </c>
      <c r="F481">
        <f t="shared" si="92"/>
        <v>5</v>
      </c>
      <c r="G481">
        <f t="shared" si="93"/>
        <v>2018</v>
      </c>
      <c r="H481">
        <f t="shared" si="94"/>
        <v>1.115</v>
      </c>
      <c r="I481" t="e">
        <f t="shared" si="95"/>
        <v>#N/A</v>
      </c>
      <c r="J481" t="e">
        <f t="shared" si="96"/>
        <v>#N/A</v>
      </c>
      <c r="K481" t="e">
        <f t="shared" si="97"/>
        <v>#N/A</v>
      </c>
      <c r="L481" t="e">
        <f t="shared" si="98"/>
        <v>#N/A</v>
      </c>
      <c r="M481" t="e">
        <f t="shared" si="99"/>
        <v>#N/A</v>
      </c>
      <c r="N481" t="e">
        <f t="shared" si="100"/>
        <v>#N/A</v>
      </c>
      <c r="O481">
        <f t="shared" si="101"/>
        <v>4.0004809999999997</v>
      </c>
      <c r="P481" t="str">
        <f>IF(OR($A481="",games!$H481=""),"",games!$H481)</f>
        <v>Yes</v>
      </c>
      <c r="Q481">
        <f t="shared" si="102"/>
        <v>4.0004809999999997</v>
      </c>
      <c r="T481">
        <f>IF(connections!$A481="","",IFERROR(INDEX(games!$B$2:$B$950,MATCH(connections!$A481,games!$A$2:$A$950,0)),""))</f>
        <v>2021</v>
      </c>
      <c r="U481">
        <f>IF(connections!$A481="","",IFERROR(INDEX(games!$B$2:$B$950,MATCH(connections!$B481,games!$A$2:$A$950,0)),""))</f>
        <v>2026</v>
      </c>
      <c r="V481">
        <f t="shared" si="103"/>
        <v>5</v>
      </c>
    </row>
    <row r="482" spans="1:22" x14ac:dyDescent="0.25">
      <c r="A482" t="str">
        <f>IF(games!$A482="","",games!$A482)</f>
        <v>Moonlighter 2: The Endless Vault</v>
      </c>
      <c r="B482">
        <f>IF($A482="","",games!$B482)</f>
        <v>2025</v>
      </c>
      <c r="C482" t="str">
        <f>IF($A482="","",games!$C482)</f>
        <v>Action</v>
      </c>
      <c r="D482">
        <f>IF($A482="","",COUNTIF(connections!$A$2:$A$1473,$A482)+COUNTIF(connections!$B$2:$B$1473,$A482))</f>
        <v>1</v>
      </c>
      <c r="E482">
        <f t="shared" si="91"/>
        <v>1</v>
      </c>
      <c r="F482">
        <f t="shared" si="92"/>
        <v>6</v>
      </c>
      <c r="G482">
        <f t="shared" si="93"/>
        <v>2025</v>
      </c>
      <c r="H482">
        <f t="shared" si="94"/>
        <v>1.1379999999999999</v>
      </c>
      <c r="I482" t="e">
        <f t="shared" si="95"/>
        <v>#N/A</v>
      </c>
      <c r="J482" t="e">
        <f t="shared" si="96"/>
        <v>#N/A</v>
      </c>
      <c r="K482" t="e">
        <f t="shared" si="97"/>
        <v>#N/A</v>
      </c>
      <c r="L482" t="e">
        <f t="shared" si="98"/>
        <v>#N/A</v>
      </c>
      <c r="M482" t="e">
        <f t="shared" si="99"/>
        <v>#N/A</v>
      </c>
      <c r="N482" t="e">
        <f t="shared" si="100"/>
        <v>#N/A</v>
      </c>
      <c r="O482">
        <f t="shared" si="101"/>
        <v>1.0004820000000001</v>
      </c>
      <c r="P482" t="str">
        <f>IF(OR($A482="",games!$H482=""),"",games!$H482)</f>
        <v/>
      </c>
      <c r="Q482" t="str">
        <f t="shared" si="102"/>
        <v/>
      </c>
      <c r="T482">
        <f>IF(connections!$A482="","",IFERROR(INDEX(games!$B$2:$B$950,MATCH(connections!$A482,games!$A$2:$A$950,0)),""))</f>
        <v>2018</v>
      </c>
      <c r="U482">
        <f>IF(connections!$A482="","",IFERROR(INDEX(games!$B$2:$B$950,MATCH(connections!$B482,games!$A$2:$A$950,0)),""))</f>
        <v>2026</v>
      </c>
      <c r="V482">
        <f t="shared" si="103"/>
        <v>8</v>
      </c>
    </row>
    <row r="483" spans="1:22" x14ac:dyDescent="0.25">
      <c r="A483" t="str">
        <f>IF(games!$A483="","",games!$A483)</f>
        <v>Moonring</v>
      </c>
      <c r="B483">
        <f>IF($A483="","",games!$B483)</f>
        <v>2023</v>
      </c>
      <c r="C483" t="str">
        <f>IF($A483="","",games!$C483)</f>
        <v>Traditional</v>
      </c>
      <c r="D483">
        <f>IF($A483="","",COUNTIF(connections!$A$2:$A$1473,$A483)+COUNTIF(connections!$B$2:$B$1473,$A483))</f>
        <v>4</v>
      </c>
      <c r="E483">
        <f t="shared" si="91"/>
        <v>4</v>
      </c>
      <c r="F483">
        <f t="shared" si="92"/>
        <v>7</v>
      </c>
      <c r="G483" t="e">
        <f t="shared" si="93"/>
        <v>#N/A</v>
      </c>
      <c r="H483" t="e">
        <f t="shared" si="94"/>
        <v>#N/A</v>
      </c>
      <c r="I483" t="e">
        <f t="shared" si="95"/>
        <v>#N/A</v>
      </c>
      <c r="J483" t="e">
        <f t="shared" si="96"/>
        <v>#N/A</v>
      </c>
      <c r="K483" t="e">
        <f t="shared" si="97"/>
        <v>#N/A</v>
      </c>
      <c r="L483" t="e">
        <f t="shared" si="98"/>
        <v>#N/A</v>
      </c>
      <c r="M483">
        <f t="shared" si="99"/>
        <v>2023</v>
      </c>
      <c r="N483">
        <f t="shared" si="100"/>
        <v>4.1609999999999996</v>
      </c>
      <c r="O483">
        <f t="shared" si="101"/>
        <v>4.000483</v>
      </c>
      <c r="P483" t="str">
        <f>IF(OR($A483="",games!$H483=""),"",games!$H483)</f>
        <v>Yes</v>
      </c>
      <c r="Q483">
        <f t="shared" si="102"/>
        <v>4.000483</v>
      </c>
      <c r="T483">
        <f>IF(connections!$A483="","",IFERROR(INDEX(games!$B$2:$B$950,MATCH(connections!$A483,games!$A$2:$A$950,0)),""))</f>
        <v>2017</v>
      </c>
      <c r="U483">
        <f>IF(connections!$A483="","",IFERROR(INDEX(games!$B$2:$B$950,MATCH(connections!$B483,games!$A$2:$A$950,0)),""))</f>
        <v>2026</v>
      </c>
      <c r="V483">
        <f t="shared" si="103"/>
        <v>9</v>
      </c>
    </row>
    <row r="484" spans="1:22" x14ac:dyDescent="0.25">
      <c r="A484" t="str">
        <f>IF(games!$A484="","",games!$A484)</f>
        <v>Morbid Metal</v>
      </c>
      <c r="B484">
        <f>IF($A484="","",games!$B484)</f>
        <v>2026</v>
      </c>
      <c r="C484" t="str">
        <f>IF($A484="","",games!$C484)</f>
        <v>Action</v>
      </c>
      <c r="D484">
        <f>IF($A484="","",COUNTIF(connections!$A$2:$A$1473,$A484)+COUNTIF(connections!$B$2:$B$1473,$A484))</f>
        <v>2</v>
      </c>
      <c r="E484">
        <f t="shared" si="91"/>
        <v>1</v>
      </c>
      <c r="F484">
        <f t="shared" si="92"/>
        <v>8</v>
      </c>
      <c r="G484">
        <f t="shared" si="93"/>
        <v>2026</v>
      </c>
      <c r="H484">
        <f t="shared" si="94"/>
        <v>1.1839999999999999</v>
      </c>
      <c r="I484" t="e">
        <f t="shared" si="95"/>
        <v>#N/A</v>
      </c>
      <c r="J484" t="e">
        <f t="shared" si="96"/>
        <v>#N/A</v>
      </c>
      <c r="K484" t="e">
        <f t="shared" si="97"/>
        <v>#N/A</v>
      </c>
      <c r="L484" t="e">
        <f t="shared" si="98"/>
        <v>#N/A</v>
      </c>
      <c r="M484" t="e">
        <f t="shared" si="99"/>
        <v>#N/A</v>
      </c>
      <c r="N484" t="e">
        <f t="shared" si="100"/>
        <v>#N/A</v>
      </c>
      <c r="O484">
        <f t="shared" si="101"/>
        <v>2.0004840000000002</v>
      </c>
      <c r="P484" t="str">
        <f>IF(OR($A484="",games!$H484=""),"",games!$H484)</f>
        <v/>
      </c>
      <c r="Q484" t="str">
        <f t="shared" si="102"/>
        <v/>
      </c>
      <c r="T484">
        <f>IF(connections!$A484="","",IFERROR(INDEX(games!$B$2:$B$950,MATCH(connections!$A484,games!$A$2:$A$950,0)),""))</f>
        <v>2022</v>
      </c>
      <c r="U484">
        <f>IF(connections!$A484="","",IFERROR(INDEX(games!$B$2:$B$950,MATCH(connections!$B484,games!$A$2:$A$950,0)),""))</f>
        <v>2024</v>
      </c>
      <c r="V484">
        <f t="shared" si="103"/>
        <v>2</v>
      </c>
    </row>
    <row r="485" spans="1:22" x14ac:dyDescent="0.25">
      <c r="A485" t="str">
        <f>IF(games!$A485="","",games!$A485)</f>
        <v>Moria</v>
      </c>
      <c r="B485">
        <f>IF($A485="","",games!$B485)</f>
        <v>1983</v>
      </c>
      <c r="C485" t="str">
        <f>IF($A485="","",games!$C485)</f>
        <v>Traditional</v>
      </c>
      <c r="D485">
        <f>IF($A485="","",COUNTIF(connections!$A$2:$A$1473,$A485)+COUNTIF(connections!$B$2:$B$1473,$A485))</f>
        <v>4</v>
      </c>
      <c r="E485">
        <f t="shared" si="91"/>
        <v>4</v>
      </c>
      <c r="F485">
        <f t="shared" si="92"/>
        <v>9</v>
      </c>
      <c r="G485" t="e">
        <f t="shared" si="93"/>
        <v>#N/A</v>
      </c>
      <c r="H485" t="e">
        <f t="shared" si="94"/>
        <v>#N/A</v>
      </c>
      <c r="I485" t="e">
        <f t="shared" si="95"/>
        <v>#N/A</v>
      </c>
      <c r="J485" t="e">
        <f t="shared" si="96"/>
        <v>#N/A</v>
      </c>
      <c r="K485" t="e">
        <f t="shared" si="97"/>
        <v>#N/A</v>
      </c>
      <c r="L485" t="e">
        <f t="shared" si="98"/>
        <v>#N/A</v>
      </c>
      <c r="M485">
        <f t="shared" si="99"/>
        <v>1983</v>
      </c>
      <c r="N485">
        <f t="shared" si="100"/>
        <v>4.2069999999999999</v>
      </c>
      <c r="O485">
        <f t="shared" si="101"/>
        <v>4.0004850000000003</v>
      </c>
      <c r="P485" t="str">
        <f>IF(OR($A485="",games!$H485=""),"",games!$H485)</f>
        <v>Yes</v>
      </c>
      <c r="Q485">
        <f t="shared" si="102"/>
        <v>4.0004850000000003</v>
      </c>
      <c r="T485">
        <f>IF(connections!$A485="","",IFERROR(INDEX(games!$B$2:$B$950,MATCH(connections!$A485,games!$A$2:$A$950,0)),""))</f>
        <v>2022</v>
      </c>
      <c r="U485">
        <f>IF(connections!$A485="","",IFERROR(INDEX(games!$B$2:$B$950,MATCH(connections!$B485,games!$A$2:$A$950,0)),""))</f>
        <v>2024</v>
      </c>
      <c r="V485">
        <f t="shared" si="103"/>
        <v>2</v>
      </c>
    </row>
    <row r="486" spans="1:22" x14ac:dyDescent="0.25">
      <c r="A486" t="str">
        <f>IF(games!$A486="","",games!$A486)</f>
        <v>Morimens</v>
      </c>
      <c r="B486">
        <f>IF($A486="","",games!$B486)</f>
        <v>2024</v>
      </c>
      <c r="C486" t="str">
        <f>IF($A486="","",games!$C486)</f>
        <v>Deckbuilder</v>
      </c>
      <c r="D486">
        <f>IF($A486="","",COUNTIF(connections!$A$2:$A$1473,$A486)+COUNTIF(connections!$B$2:$B$1473,$A486))</f>
        <v>1</v>
      </c>
      <c r="E486">
        <f t="shared" si="91"/>
        <v>3</v>
      </c>
      <c r="F486">
        <f t="shared" si="92"/>
        <v>10</v>
      </c>
      <c r="G486" t="e">
        <f t="shared" si="93"/>
        <v>#N/A</v>
      </c>
      <c r="H486" t="e">
        <f t="shared" si="94"/>
        <v>#N/A</v>
      </c>
      <c r="I486" t="e">
        <f t="shared" si="95"/>
        <v>#N/A</v>
      </c>
      <c r="J486" t="e">
        <f t="shared" si="96"/>
        <v>#N/A</v>
      </c>
      <c r="K486">
        <f t="shared" si="97"/>
        <v>2024</v>
      </c>
      <c r="L486">
        <f t="shared" si="98"/>
        <v>3.23</v>
      </c>
      <c r="M486" t="e">
        <f t="shared" si="99"/>
        <v>#N/A</v>
      </c>
      <c r="N486" t="e">
        <f t="shared" si="100"/>
        <v>#N/A</v>
      </c>
      <c r="O486">
        <f t="shared" si="101"/>
        <v>1.000486</v>
      </c>
      <c r="P486" t="str">
        <f>IF(OR($A486="",games!$H486=""),"",games!$H486)</f>
        <v>Yes</v>
      </c>
      <c r="Q486">
        <f t="shared" si="102"/>
        <v>1.000486</v>
      </c>
      <c r="T486">
        <f>IF(connections!$A486="","",IFERROR(INDEX(games!$B$2:$B$950,MATCH(connections!$A486,games!$A$2:$A$950,0)),""))</f>
        <v>2022</v>
      </c>
      <c r="U486">
        <f>IF(connections!$A486="","",IFERROR(INDEX(games!$B$2:$B$950,MATCH(connections!$B486,games!$A$2:$A$950,0)),""))</f>
        <v>2024</v>
      </c>
      <c r="V486">
        <f t="shared" si="103"/>
        <v>2</v>
      </c>
    </row>
    <row r="487" spans="1:22" x14ac:dyDescent="0.25">
      <c r="A487" t="str">
        <f>IF(games!$A487="","",games!$A487)</f>
        <v>Morsels</v>
      </c>
      <c r="B487">
        <f>IF($A487="","",games!$B487)</f>
        <v>2025</v>
      </c>
      <c r="C487" t="str">
        <f>IF($A487="","",games!$C487)</f>
        <v>Action</v>
      </c>
      <c r="D487">
        <f>IF($A487="","",COUNTIF(connections!$A$2:$A$1473,$A487)+COUNTIF(connections!$B$2:$B$1473,$A487))</f>
        <v>0</v>
      </c>
      <c r="E487">
        <f t="shared" si="91"/>
        <v>1</v>
      </c>
      <c r="F487">
        <f t="shared" si="92"/>
        <v>11</v>
      </c>
      <c r="G487">
        <f t="shared" si="93"/>
        <v>2025</v>
      </c>
      <c r="H487">
        <f t="shared" si="94"/>
        <v>1.2530000000000001</v>
      </c>
      <c r="I487" t="e">
        <f t="shared" si="95"/>
        <v>#N/A</v>
      </c>
      <c r="J487" t="e">
        <f t="shared" si="96"/>
        <v>#N/A</v>
      </c>
      <c r="K487" t="e">
        <f t="shared" si="97"/>
        <v>#N/A</v>
      </c>
      <c r="L487" t="e">
        <f t="shared" si="98"/>
        <v>#N/A</v>
      </c>
      <c r="M487" t="e">
        <f t="shared" si="99"/>
        <v>#N/A</v>
      </c>
      <c r="N487" t="e">
        <f t="shared" si="100"/>
        <v>#N/A</v>
      </c>
      <c r="O487">
        <f t="shared" si="101"/>
        <v>4.8700000000000002E-4</v>
      </c>
      <c r="P487" t="str">
        <f>IF(OR($A487="",games!$H487=""),"",games!$H487)</f>
        <v/>
      </c>
      <c r="Q487" t="str">
        <f t="shared" si="102"/>
        <v/>
      </c>
      <c r="T487">
        <f>IF(connections!$A487="","",IFERROR(INDEX(games!$B$2:$B$950,MATCH(connections!$A487,games!$A$2:$A$950,0)),""))</f>
        <v>2018</v>
      </c>
      <c r="U487">
        <f>IF(connections!$A487="","",IFERROR(INDEX(games!$B$2:$B$950,MATCH(connections!$B487,games!$A$2:$A$950,0)),""))</f>
        <v>2023</v>
      </c>
      <c r="V487">
        <f t="shared" si="103"/>
        <v>5</v>
      </c>
    </row>
    <row r="488" spans="1:22" x14ac:dyDescent="0.25">
      <c r="A488" t="str">
        <f>IF(games!$A488="","",games!$A488)</f>
        <v>Mortal Sin</v>
      </c>
      <c r="B488">
        <f>IF($A488="","",games!$B488)</f>
        <v>2023</v>
      </c>
      <c r="C488" t="str">
        <f>IF($A488="","",games!$C488)</f>
        <v>Action</v>
      </c>
      <c r="D488">
        <f>IF($A488="","",COUNTIF(connections!$A$2:$A$1473,$A488)+COUNTIF(connections!$B$2:$B$1473,$A488))</f>
        <v>2</v>
      </c>
      <c r="E488">
        <f t="shared" si="91"/>
        <v>1</v>
      </c>
      <c r="F488">
        <f t="shared" si="92"/>
        <v>12</v>
      </c>
      <c r="G488">
        <f t="shared" si="93"/>
        <v>2023</v>
      </c>
      <c r="H488">
        <f t="shared" si="94"/>
        <v>1.276</v>
      </c>
      <c r="I488" t="e">
        <f t="shared" si="95"/>
        <v>#N/A</v>
      </c>
      <c r="J488" t="e">
        <f t="shared" si="96"/>
        <v>#N/A</v>
      </c>
      <c r="K488" t="e">
        <f t="shared" si="97"/>
        <v>#N/A</v>
      </c>
      <c r="L488" t="e">
        <f t="shared" si="98"/>
        <v>#N/A</v>
      </c>
      <c r="M488" t="e">
        <f t="shared" si="99"/>
        <v>#N/A</v>
      </c>
      <c r="N488" t="e">
        <f t="shared" si="100"/>
        <v>#N/A</v>
      </c>
      <c r="O488">
        <f t="shared" si="101"/>
        <v>2.0004879999999998</v>
      </c>
      <c r="P488" t="str">
        <f>IF(OR($A488="",games!$H488=""),"",games!$H488)</f>
        <v>Yes</v>
      </c>
      <c r="Q488">
        <f t="shared" si="102"/>
        <v>2.0004879999999998</v>
      </c>
      <c r="T488">
        <f>IF(connections!$A488="","",IFERROR(INDEX(games!$B$2:$B$950,MATCH(connections!$A488,games!$A$2:$A$950,0)),""))</f>
        <v>2012</v>
      </c>
      <c r="U488">
        <f>IF(connections!$A488="","",IFERROR(INDEX(games!$B$2:$B$950,MATCH(connections!$B488,games!$A$2:$A$950,0)),""))</f>
        <v>2020</v>
      </c>
      <c r="V488">
        <f t="shared" si="103"/>
        <v>8</v>
      </c>
    </row>
    <row r="489" spans="1:22" x14ac:dyDescent="0.25">
      <c r="A489" t="str">
        <f>IF(games!$A489="","",games!$A489)</f>
        <v>Mothergunship</v>
      </c>
      <c r="B489">
        <f>IF($A489="","",games!$B489)</f>
        <v>2018</v>
      </c>
      <c r="C489" t="str">
        <f>IF($A489="","",games!$C489)</f>
        <v>Action</v>
      </c>
      <c r="D489">
        <f>IF($A489="","",COUNTIF(connections!$A$2:$A$1473,$A489)+COUNTIF(connections!$B$2:$B$1473,$A489))</f>
        <v>2</v>
      </c>
      <c r="E489">
        <f t="shared" si="91"/>
        <v>1</v>
      </c>
      <c r="F489">
        <f t="shared" si="92"/>
        <v>13</v>
      </c>
      <c r="G489">
        <f t="shared" si="93"/>
        <v>2018</v>
      </c>
      <c r="H489">
        <f t="shared" si="94"/>
        <v>1.2989999999999999</v>
      </c>
      <c r="I489" t="e">
        <f t="shared" si="95"/>
        <v>#N/A</v>
      </c>
      <c r="J489" t="e">
        <f t="shared" si="96"/>
        <v>#N/A</v>
      </c>
      <c r="K489" t="e">
        <f t="shared" si="97"/>
        <v>#N/A</v>
      </c>
      <c r="L489" t="e">
        <f t="shared" si="98"/>
        <v>#N/A</v>
      </c>
      <c r="M489" t="e">
        <f t="shared" si="99"/>
        <v>#N/A</v>
      </c>
      <c r="N489" t="e">
        <f t="shared" si="100"/>
        <v>#N/A</v>
      </c>
      <c r="O489">
        <f t="shared" si="101"/>
        <v>2.000489</v>
      </c>
      <c r="P489" t="str">
        <f>IF(OR($A489="",games!$H489=""),"",games!$H489)</f>
        <v>Yes</v>
      </c>
      <c r="Q489">
        <f t="shared" si="102"/>
        <v>2.000489</v>
      </c>
      <c r="T489">
        <f>IF(connections!$A489="","",IFERROR(INDEX(games!$B$2:$B$950,MATCH(connections!$A489,games!$A$2:$A$950,0)),""))</f>
        <v>2017</v>
      </c>
      <c r="U489">
        <f>IF(connections!$A489="","",IFERROR(INDEX(games!$B$2:$B$950,MATCH(connections!$B489,games!$A$2:$A$950,0)),""))</f>
        <v>2020</v>
      </c>
      <c r="V489">
        <f t="shared" si="103"/>
        <v>3</v>
      </c>
    </row>
    <row r="490" spans="1:22" x14ac:dyDescent="0.25">
      <c r="A490" t="str">
        <f>IF(games!$A490="","",games!$A490)</f>
        <v>Mothergunship: Forge</v>
      </c>
      <c r="B490">
        <f>IF($A490="","",games!$B490)</f>
        <v>2022</v>
      </c>
      <c r="C490" t="str">
        <f>IF($A490="","",games!$C490)</f>
        <v>Action</v>
      </c>
      <c r="D490">
        <f>IF($A490="","",COUNTIF(connections!$A$2:$A$1473,$A490)+COUNTIF(connections!$B$2:$B$1473,$A490))</f>
        <v>1</v>
      </c>
      <c r="E490">
        <f t="shared" si="91"/>
        <v>1</v>
      </c>
      <c r="F490">
        <f t="shared" si="92"/>
        <v>14</v>
      </c>
      <c r="G490">
        <f t="shared" si="93"/>
        <v>2022</v>
      </c>
      <c r="H490">
        <f t="shared" si="94"/>
        <v>1.3220000000000001</v>
      </c>
      <c r="I490" t="e">
        <f t="shared" si="95"/>
        <v>#N/A</v>
      </c>
      <c r="J490" t="e">
        <f t="shared" si="96"/>
        <v>#N/A</v>
      </c>
      <c r="K490" t="e">
        <f t="shared" si="97"/>
        <v>#N/A</v>
      </c>
      <c r="L490" t="e">
        <f t="shared" si="98"/>
        <v>#N/A</v>
      </c>
      <c r="M490" t="e">
        <f t="shared" si="99"/>
        <v>#N/A</v>
      </c>
      <c r="N490" t="e">
        <f t="shared" si="100"/>
        <v>#N/A</v>
      </c>
      <c r="O490">
        <f t="shared" si="101"/>
        <v>1.0004900000000001</v>
      </c>
      <c r="P490" t="str">
        <f>IF(OR($A490="",games!$H490=""),"",games!$H490)</f>
        <v>Yes</v>
      </c>
      <c r="Q490">
        <f t="shared" si="102"/>
        <v>1.0004900000000001</v>
      </c>
      <c r="T490">
        <f>IF(connections!$A490="","",IFERROR(INDEX(games!$B$2:$B$950,MATCH(connections!$A490,games!$A$2:$A$950,0)),""))</f>
        <v>2019</v>
      </c>
      <c r="U490">
        <f>IF(connections!$A490="","",IFERROR(INDEX(games!$B$2:$B$950,MATCH(connections!$B490,games!$A$2:$A$950,0)),""))</f>
        <v>2022</v>
      </c>
      <c r="V490">
        <f t="shared" si="103"/>
        <v>3</v>
      </c>
    </row>
    <row r="491" spans="1:22" x14ac:dyDescent="0.25">
      <c r="A491" t="str">
        <f>IF(games!$A491="","",games!$A491)</f>
        <v>Motto!? Fushigi no Gensoukyou: Under the Moonlight</v>
      </c>
      <c r="B491">
        <f>IF($A491="","",games!$B491)</f>
        <v>2011</v>
      </c>
      <c r="C491" t="str">
        <f>IF($A491="","",games!$C491)</f>
        <v>Traditional</v>
      </c>
      <c r="D491">
        <f>IF($A491="","",COUNTIF(connections!$A$2:$A$1473,$A491)+COUNTIF(connections!$B$2:$B$1473,$A491))</f>
        <v>2</v>
      </c>
      <c r="E491">
        <f t="shared" si="91"/>
        <v>4</v>
      </c>
      <c r="F491">
        <f t="shared" si="92"/>
        <v>15</v>
      </c>
      <c r="G491" t="e">
        <f t="shared" si="93"/>
        <v>#N/A</v>
      </c>
      <c r="H491" t="e">
        <f t="shared" si="94"/>
        <v>#N/A</v>
      </c>
      <c r="I491" t="e">
        <f t="shared" si="95"/>
        <v>#N/A</v>
      </c>
      <c r="J491" t="e">
        <f t="shared" si="96"/>
        <v>#N/A</v>
      </c>
      <c r="K491" t="e">
        <f t="shared" si="97"/>
        <v>#N/A</v>
      </c>
      <c r="L491" t="e">
        <f t="shared" si="98"/>
        <v>#N/A</v>
      </c>
      <c r="M491">
        <f t="shared" si="99"/>
        <v>2011</v>
      </c>
      <c r="N491">
        <f t="shared" si="100"/>
        <v>4.3449999999999998</v>
      </c>
      <c r="O491">
        <f t="shared" si="101"/>
        <v>2.0004909999999998</v>
      </c>
      <c r="P491" t="str">
        <f>IF(OR($A491="",games!$H491=""),"",games!$H491)</f>
        <v/>
      </c>
      <c r="Q491" t="str">
        <f t="shared" si="102"/>
        <v/>
      </c>
      <c r="T491">
        <f>IF(connections!$A491="","",IFERROR(INDEX(games!$B$2:$B$950,MATCH(connections!$A491,games!$A$2:$A$950,0)),""))</f>
        <v>2017</v>
      </c>
      <c r="U491">
        <f>IF(connections!$A491="","",IFERROR(INDEX(games!$B$2:$B$950,MATCH(connections!$B491,games!$A$2:$A$950,0)),""))</f>
        <v>2022</v>
      </c>
      <c r="V491">
        <f t="shared" si="103"/>
        <v>5</v>
      </c>
    </row>
    <row r="492" spans="1:22" x14ac:dyDescent="0.25">
      <c r="A492" t="str">
        <f>IF(games!$A492="","",games!$A492)</f>
        <v>Mr. Sun's Hatbox</v>
      </c>
      <c r="B492">
        <f>IF($A492="","",games!$B492)</f>
        <v>2023</v>
      </c>
      <c r="C492" t="str">
        <f>IF($A492="","",games!$C492)</f>
        <v>Action</v>
      </c>
      <c r="D492">
        <f>IF($A492="","",COUNTIF(connections!$A$2:$A$1473,$A492)+COUNTIF(connections!$B$2:$B$1473,$A492))</f>
        <v>1</v>
      </c>
      <c r="E492">
        <f t="shared" si="91"/>
        <v>1</v>
      </c>
      <c r="F492">
        <f t="shared" si="92"/>
        <v>16</v>
      </c>
      <c r="G492">
        <f t="shared" si="93"/>
        <v>2023</v>
      </c>
      <c r="H492">
        <f t="shared" si="94"/>
        <v>1.3679999999999999</v>
      </c>
      <c r="I492" t="e">
        <f t="shared" si="95"/>
        <v>#N/A</v>
      </c>
      <c r="J492" t="e">
        <f t="shared" si="96"/>
        <v>#N/A</v>
      </c>
      <c r="K492" t="e">
        <f t="shared" si="97"/>
        <v>#N/A</v>
      </c>
      <c r="L492" t="e">
        <f t="shared" si="98"/>
        <v>#N/A</v>
      </c>
      <c r="M492" t="e">
        <f t="shared" si="99"/>
        <v>#N/A</v>
      </c>
      <c r="N492" t="e">
        <f t="shared" si="100"/>
        <v>#N/A</v>
      </c>
      <c r="O492">
        <f t="shared" si="101"/>
        <v>1.0004919999999999</v>
      </c>
      <c r="P492" t="str">
        <f>IF(OR($A492="",games!$H492=""),"",games!$H492)</f>
        <v>Yes</v>
      </c>
      <c r="Q492">
        <f t="shared" si="102"/>
        <v>1.0004919999999999</v>
      </c>
      <c r="T492">
        <f>IF(connections!$A492="","",IFERROR(INDEX(games!$B$2:$B$950,MATCH(connections!$A492,games!$A$2:$A$950,0)),""))</f>
        <v>2011</v>
      </c>
      <c r="U492">
        <f>IF(connections!$A492="","",IFERROR(INDEX(games!$B$2:$B$950,MATCH(connections!$B492,games!$A$2:$A$950,0)),""))</f>
        <v>2017</v>
      </c>
      <c r="V492">
        <f t="shared" si="103"/>
        <v>6</v>
      </c>
    </row>
    <row r="493" spans="1:22" x14ac:dyDescent="0.25">
      <c r="A493" t="str">
        <f>IF(games!$A493="","",games!$A493)</f>
        <v>Muck</v>
      </c>
      <c r="B493">
        <f>IF($A493="","",games!$B493)</f>
        <v>2021</v>
      </c>
      <c r="C493" t="str">
        <f>IF($A493="","",games!$C493)</f>
        <v>Action</v>
      </c>
      <c r="D493">
        <f>IF($A493="","",COUNTIF(connections!$A$2:$A$1473,$A493)+COUNTIF(connections!$B$2:$B$1473,$A493))</f>
        <v>3</v>
      </c>
      <c r="E493">
        <f t="shared" si="91"/>
        <v>1</v>
      </c>
      <c r="F493">
        <f t="shared" si="92"/>
        <v>17</v>
      </c>
      <c r="G493">
        <f t="shared" si="93"/>
        <v>2021</v>
      </c>
      <c r="H493">
        <f t="shared" si="94"/>
        <v>1.391</v>
      </c>
      <c r="I493" t="e">
        <f t="shared" si="95"/>
        <v>#N/A</v>
      </c>
      <c r="J493" t="e">
        <f t="shared" si="96"/>
        <v>#N/A</v>
      </c>
      <c r="K493" t="e">
        <f t="shared" si="97"/>
        <v>#N/A</v>
      </c>
      <c r="L493" t="e">
        <f t="shared" si="98"/>
        <v>#N/A</v>
      </c>
      <c r="M493" t="e">
        <f t="shared" si="99"/>
        <v>#N/A</v>
      </c>
      <c r="N493" t="e">
        <f t="shared" si="100"/>
        <v>#N/A</v>
      </c>
      <c r="O493">
        <f t="shared" si="101"/>
        <v>3.0004930000000001</v>
      </c>
      <c r="P493" t="str">
        <f>IF(OR($A493="",games!$H493=""),"",games!$H493)</f>
        <v>Yes</v>
      </c>
      <c r="Q493">
        <f t="shared" si="102"/>
        <v>3.0004930000000001</v>
      </c>
      <c r="T493">
        <f>IF(connections!$A493="","",IFERROR(INDEX(games!$B$2:$B$950,MATCH(connections!$A493,games!$A$2:$A$950,0)),""))</f>
        <v>2021</v>
      </c>
      <c r="U493">
        <f>IF(connections!$A493="","",IFERROR(INDEX(games!$B$2:$B$950,MATCH(connections!$B493,games!$A$2:$A$950,0)),""))</f>
        <v>2025</v>
      </c>
      <c r="V493">
        <f t="shared" si="103"/>
        <v>4</v>
      </c>
    </row>
    <row r="494" spans="1:22" x14ac:dyDescent="0.25">
      <c r="A494" t="str">
        <f>IF(games!$A494="","",games!$A494)</f>
        <v>My Card Is Better Than Your Card!</v>
      </c>
      <c r="B494">
        <f>IF($A494="","",games!$B494)</f>
        <v>2025</v>
      </c>
      <c r="C494" t="str">
        <f>IF($A494="","",games!$C494)</f>
        <v>Deckbuilder</v>
      </c>
      <c r="D494">
        <f>IF($A494="","",COUNTIF(connections!$A$2:$A$1473,$A494)+COUNTIF(connections!$B$2:$B$1473,$A494))</f>
        <v>1</v>
      </c>
      <c r="E494">
        <f t="shared" si="91"/>
        <v>3</v>
      </c>
      <c r="F494">
        <f t="shared" si="92"/>
        <v>18</v>
      </c>
      <c r="G494" t="e">
        <f t="shared" si="93"/>
        <v>#N/A</v>
      </c>
      <c r="H494" t="e">
        <f t="shared" si="94"/>
        <v>#N/A</v>
      </c>
      <c r="I494" t="e">
        <f t="shared" si="95"/>
        <v>#N/A</v>
      </c>
      <c r="J494" t="e">
        <f t="shared" si="96"/>
        <v>#N/A</v>
      </c>
      <c r="K494">
        <f t="shared" si="97"/>
        <v>2025</v>
      </c>
      <c r="L494">
        <f t="shared" si="98"/>
        <v>3.4140000000000001</v>
      </c>
      <c r="M494" t="e">
        <f t="shared" si="99"/>
        <v>#N/A</v>
      </c>
      <c r="N494" t="e">
        <f t="shared" si="100"/>
        <v>#N/A</v>
      </c>
      <c r="O494">
        <f t="shared" si="101"/>
        <v>1.000494</v>
      </c>
      <c r="P494" t="str">
        <f>IF(OR($A494="",games!$H494=""),"",games!$H494)</f>
        <v/>
      </c>
      <c r="Q494" t="str">
        <f t="shared" si="102"/>
        <v/>
      </c>
      <c r="T494">
        <f>IF(connections!$A494="","",IFERROR(INDEX(games!$B$2:$B$950,MATCH(connections!$A494,games!$A$2:$A$950,0)),""))</f>
        <v>1994</v>
      </c>
      <c r="U494">
        <f>IF(connections!$A494="","",IFERROR(INDEX(games!$B$2:$B$950,MATCH(connections!$B494,games!$A$2:$A$950,0)),""))</f>
        <v>2006</v>
      </c>
      <c r="V494">
        <f t="shared" si="103"/>
        <v>12</v>
      </c>
    </row>
    <row r="495" spans="1:22" x14ac:dyDescent="0.25">
      <c r="A495" t="str">
        <f>IF(games!$A495="","",games!$A495)</f>
        <v>Mystery Chronicle: One Way Heroics</v>
      </c>
      <c r="B495">
        <f>IF($A495="","",games!$B495)</f>
        <v>2016</v>
      </c>
      <c r="C495" t="str">
        <f>IF($A495="","",games!$C495)</f>
        <v>Traditional</v>
      </c>
      <c r="D495">
        <f>IF($A495="","",COUNTIF(connections!$A$2:$A$1473,$A495)+COUNTIF(connections!$B$2:$B$1473,$A495))</f>
        <v>1</v>
      </c>
      <c r="E495">
        <f t="shared" si="91"/>
        <v>4</v>
      </c>
      <c r="F495">
        <f t="shared" si="92"/>
        <v>19</v>
      </c>
      <c r="G495" t="e">
        <f t="shared" si="93"/>
        <v>#N/A</v>
      </c>
      <c r="H495" t="e">
        <f t="shared" si="94"/>
        <v>#N/A</v>
      </c>
      <c r="I495" t="e">
        <f t="shared" si="95"/>
        <v>#N/A</v>
      </c>
      <c r="J495" t="e">
        <f t="shared" si="96"/>
        <v>#N/A</v>
      </c>
      <c r="K495" t="e">
        <f t="shared" si="97"/>
        <v>#N/A</v>
      </c>
      <c r="L495" t="e">
        <f t="shared" si="98"/>
        <v>#N/A</v>
      </c>
      <c r="M495">
        <f t="shared" si="99"/>
        <v>2016</v>
      </c>
      <c r="N495">
        <f t="shared" si="100"/>
        <v>4.4370000000000003</v>
      </c>
      <c r="O495">
        <f t="shared" si="101"/>
        <v>1.0004949999999999</v>
      </c>
      <c r="P495" t="str">
        <f>IF(OR($A495="",games!$H495=""),"",games!$H495)</f>
        <v>Yes</v>
      </c>
      <c r="Q495">
        <f t="shared" si="102"/>
        <v>1.0004949999999999</v>
      </c>
      <c r="T495">
        <f>IF(connections!$A495="","",IFERROR(INDEX(games!$B$2:$B$950,MATCH(connections!$A495,games!$A$2:$A$950,0)),""))</f>
        <v>2002</v>
      </c>
      <c r="U495">
        <f>IF(connections!$A495="","",IFERROR(INDEX(games!$B$2:$B$950,MATCH(connections!$B495,games!$A$2:$A$950,0)),""))</f>
        <v>2006</v>
      </c>
      <c r="V495">
        <f t="shared" si="103"/>
        <v>4</v>
      </c>
    </row>
    <row r="496" spans="1:22" x14ac:dyDescent="0.25">
      <c r="A496" t="str">
        <f>IF(games!$A496="","",games!$A496)</f>
        <v>Mystery Dungeon 2: Shiren the Wanderer</v>
      </c>
      <c r="B496">
        <f>IF($A496="","",games!$B496)</f>
        <v>1995</v>
      </c>
      <c r="C496" t="str">
        <f>IF($A496="","",games!$C496)</f>
        <v>Traditional</v>
      </c>
      <c r="D496">
        <f>IF($A496="","",COUNTIF(connections!$A$2:$A$1473,$A496)+COUNTIF(connections!$B$2:$B$1473,$A496))</f>
        <v>12</v>
      </c>
      <c r="E496">
        <f t="shared" si="91"/>
        <v>4</v>
      </c>
      <c r="F496">
        <f t="shared" si="92"/>
        <v>20</v>
      </c>
      <c r="G496" t="e">
        <f t="shared" si="93"/>
        <v>#N/A</v>
      </c>
      <c r="H496" t="e">
        <f t="shared" si="94"/>
        <v>#N/A</v>
      </c>
      <c r="I496" t="e">
        <f t="shared" si="95"/>
        <v>#N/A</v>
      </c>
      <c r="J496" t="e">
        <f t="shared" si="96"/>
        <v>#N/A</v>
      </c>
      <c r="K496" t="e">
        <f t="shared" si="97"/>
        <v>#N/A</v>
      </c>
      <c r="L496" t="e">
        <f t="shared" si="98"/>
        <v>#N/A</v>
      </c>
      <c r="M496">
        <f t="shared" si="99"/>
        <v>1995</v>
      </c>
      <c r="N496">
        <f t="shared" si="100"/>
        <v>4.46</v>
      </c>
      <c r="O496">
        <f t="shared" si="101"/>
        <v>12.000496</v>
      </c>
      <c r="P496" t="str">
        <f>IF(OR($A496="",games!$H496=""),"",games!$H496)</f>
        <v>Yes</v>
      </c>
      <c r="Q496">
        <f t="shared" si="102"/>
        <v>12.000496</v>
      </c>
      <c r="T496">
        <f>IF(connections!$A496="","",IFERROR(INDEX(games!$B$2:$B$950,MATCH(connections!$A496,games!$A$2:$A$950,0)),""))</f>
        <v>1995</v>
      </c>
      <c r="U496">
        <f>IF(connections!$A496="","",IFERROR(INDEX(games!$B$2:$B$950,MATCH(connections!$B496,games!$A$2:$A$950,0)),""))</f>
        <v>2006</v>
      </c>
      <c r="V496">
        <f t="shared" si="103"/>
        <v>11</v>
      </c>
    </row>
    <row r="497" spans="1:22" x14ac:dyDescent="0.25">
      <c r="A497" t="str">
        <f>IF(games!$A497="","",games!$A497)</f>
        <v>Mythical Concept Starnaut</v>
      </c>
      <c r="B497">
        <f>IF($A497="","",games!$B497)</f>
        <v>2024</v>
      </c>
      <c r="C497" t="str">
        <f>IF($A497="","",games!$C497)</f>
        <v>Action</v>
      </c>
      <c r="D497">
        <f>IF($A497="","",COUNTIF(connections!$A$2:$A$1473,$A497)+COUNTIF(connections!$B$2:$B$1473,$A497))</f>
        <v>1</v>
      </c>
      <c r="E497">
        <f t="shared" si="91"/>
        <v>1</v>
      </c>
      <c r="F497">
        <f t="shared" si="92"/>
        <v>21</v>
      </c>
      <c r="G497">
        <f t="shared" si="93"/>
        <v>2024</v>
      </c>
      <c r="H497">
        <f t="shared" si="94"/>
        <v>1.4830000000000001</v>
      </c>
      <c r="I497" t="e">
        <f t="shared" si="95"/>
        <v>#N/A</v>
      </c>
      <c r="J497" t="e">
        <f t="shared" si="96"/>
        <v>#N/A</v>
      </c>
      <c r="K497" t="e">
        <f t="shared" si="97"/>
        <v>#N/A</v>
      </c>
      <c r="L497" t="e">
        <f t="shared" si="98"/>
        <v>#N/A</v>
      </c>
      <c r="M497" t="e">
        <f t="shared" si="99"/>
        <v>#N/A</v>
      </c>
      <c r="N497" t="e">
        <f t="shared" si="100"/>
        <v>#N/A</v>
      </c>
      <c r="O497">
        <f t="shared" si="101"/>
        <v>1.000497</v>
      </c>
      <c r="P497" t="str">
        <f>IF(OR($A497="",games!$H497=""),"",games!$H497)</f>
        <v>Yes</v>
      </c>
      <c r="Q497">
        <f t="shared" si="102"/>
        <v>1.000497</v>
      </c>
      <c r="T497">
        <f>IF(connections!$A497="","",IFERROR(INDEX(games!$B$2:$B$950,MATCH(connections!$A497,games!$A$2:$A$950,0)),""))</f>
        <v>1987</v>
      </c>
      <c r="U497">
        <f>IF(connections!$A497="","",IFERROR(INDEX(games!$B$2:$B$950,MATCH(connections!$B497,games!$A$2:$A$950,0)),""))</f>
        <v>2006</v>
      </c>
      <c r="V497">
        <f t="shared" si="103"/>
        <v>19</v>
      </c>
    </row>
    <row r="498" spans="1:22" x14ac:dyDescent="0.25">
      <c r="A498" t="str">
        <f>IF(games!$A498="","",games!$A498)</f>
        <v>Nadir</v>
      </c>
      <c r="B498">
        <f>IF($A498="","",games!$B498)</f>
        <v>2022</v>
      </c>
      <c r="C498" t="str">
        <f>IF($A498="","",games!$C498)</f>
        <v>Deckbuilder</v>
      </c>
      <c r="D498">
        <f>IF($A498="","",COUNTIF(connections!$A$2:$A$1473,$A498)+COUNTIF(connections!$B$2:$B$1473,$A498))</f>
        <v>2</v>
      </c>
      <c r="E498">
        <f t="shared" si="91"/>
        <v>3</v>
      </c>
      <c r="F498">
        <f t="shared" si="92"/>
        <v>22</v>
      </c>
      <c r="G498" t="e">
        <f t="shared" si="93"/>
        <v>#N/A</v>
      </c>
      <c r="H498" t="e">
        <f t="shared" si="94"/>
        <v>#N/A</v>
      </c>
      <c r="I498" t="e">
        <f t="shared" si="95"/>
        <v>#N/A</v>
      </c>
      <c r="J498" t="e">
        <f t="shared" si="96"/>
        <v>#N/A</v>
      </c>
      <c r="K498">
        <f t="shared" si="97"/>
        <v>2022</v>
      </c>
      <c r="L498">
        <f t="shared" si="98"/>
        <v>3.5060000000000002</v>
      </c>
      <c r="M498" t="e">
        <f t="shared" si="99"/>
        <v>#N/A</v>
      </c>
      <c r="N498" t="e">
        <f t="shared" si="100"/>
        <v>#N/A</v>
      </c>
      <c r="O498">
        <f t="shared" si="101"/>
        <v>2.0004979999999999</v>
      </c>
      <c r="P498" t="str">
        <f>IF(OR($A498="",games!$H498=""),"",games!$H498)</f>
        <v/>
      </c>
      <c r="Q498" t="str">
        <f t="shared" si="102"/>
        <v/>
      </c>
      <c r="T498">
        <f>IF(connections!$A498="","",IFERROR(INDEX(games!$B$2:$B$950,MATCH(connections!$A498,games!$A$2:$A$950,0)),""))</f>
        <v>2008</v>
      </c>
      <c r="U498">
        <f>IF(connections!$A498="","",IFERROR(INDEX(games!$B$2:$B$950,MATCH(connections!$B498,games!$A$2:$A$950,0)),""))</f>
        <v>2012</v>
      </c>
      <c r="V498">
        <f t="shared" si="103"/>
        <v>4</v>
      </c>
    </row>
    <row r="499" spans="1:22" x14ac:dyDescent="0.25">
      <c r="A499" t="str">
        <f>IF(games!$A499="","",games!$A499)</f>
        <v>NecroBouncer</v>
      </c>
      <c r="B499">
        <f>IF($A499="","",games!$B499)</f>
        <v>2022</v>
      </c>
      <c r="C499" t="str">
        <f>IF($A499="","",games!$C499)</f>
        <v>Action</v>
      </c>
      <c r="D499">
        <f>IF($A499="","",COUNTIF(connections!$A$2:$A$1473,$A499)+COUNTIF(connections!$B$2:$B$1473,$A499))</f>
        <v>2</v>
      </c>
      <c r="E499">
        <f t="shared" si="91"/>
        <v>1</v>
      </c>
      <c r="F499">
        <f t="shared" si="92"/>
        <v>23</v>
      </c>
      <c r="G499">
        <f t="shared" si="93"/>
        <v>2022</v>
      </c>
      <c r="H499">
        <f t="shared" si="94"/>
        <v>1.5289999999999999</v>
      </c>
      <c r="I499" t="e">
        <f t="shared" si="95"/>
        <v>#N/A</v>
      </c>
      <c r="J499" t="e">
        <f t="shared" si="96"/>
        <v>#N/A</v>
      </c>
      <c r="K499" t="e">
        <f t="shared" si="97"/>
        <v>#N/A</v>
      </c>
      <c r="L499" t="e">
        <f t="shared" si="98"/>
        <v>#N/A</v>
      </c>
      <c r="M499" t="e">
        <f t="shared" si="99"/>
        <v>#N/A</v>
      </c>
      <c r="N499" t="e">
        <f t="shared" si="100"/>
        <v>#N/A</v>
      </c>
      <c r="O499">
        <f t="shared" si="101"/>
        <v>2.000499</v>
      </c>
      <c r="P499" t="str">
        <f>IF(OR($A499="",games!$H499=""),"",games!$H499)</f>
        <v>Yes</v>
      </c>
      <c r="Q499">
        <f t="shared" si="102"/>
        <v>2.000499</v>
      </c>
      <c r="T499">
        <f>IF(connections!$A499="","",IFERROR(INDEX(games!$B$2:$B$950,MATCH(connections!$A499,games!$A$2:$A$950,0)),""))</f>
        <v>2005</v>
      </c>
      <c r="U499">
        <f>IF(connections!$A499="","",IFERROR(INDEX(games!$B$2:$B$950,MATCH(connections!$B499,games!$A$2:$A$950,0)),""))</f>
        <v>2012</v>
      </c>
      <c r="V499">
        <f t="shared" si="103"/>
        <v>7</v>
      </c>
    </row>
    <row r="500" spans="1:22" x14ac:dyDescent="0.25">
      <c r="A500" t="str">
        <f>IF(games!$A500="","",games!$A500)</f>
        <v>Necroking</v>
      </c>
      <c r="B500">
        <f>IF($A500="","",games!$B500)</f>
        <v>2024</v>
      </c>
      <c r="C500" t="str">
        <f>IF($A500="","",games!$C500)</f>
        <v>Strategy</v>
      </c>
      <c r="D500">
        <f>IF($A500="","",COUNTIF(connections!$A$2:$A$1473,$A500)+COUNTIF(connections!$B$2:$B$1473,$A500))</f>
        <v>0</v>
      </c>
      <c r="E500">
        <f t="shared" si="91"/>
        <v>2</v>
      </c>
      <c r="F500">
        <f t="shared" si="92"/>
        <v>24</v>
      </c>
      <c r="G500" t="e">
        <f t="shared" si="93"/>
        <v>#N/A</v>
      </c>
      <c r="H500" t="e">
        <f t="shared" si="94"/>
        <v>#N/A</v>
      </c>
      <c r="I500">
        <f t="shared" si="95"/>
        <v>2024</v>
      </c>
      <c r="J500">
        <f t="shared" si="96"/>
        <v>2.552</v>
      </c>
      <c r="K500" t="e">
        <f t="shared" si="97"/>
        <v>#N/A</v>
      </c>
      <c r="L500" t="e">
        <f t="shared" si="98"/>
        <v>#N/A</v>
      </c>
      <c r="M500" t="e">
        <f t="shared" si="99"/>
        <v>#N/A</v>
      </c>
      <c r="N500" t="e">
        <f t="shared" si="100"/>
        <v>#N/A</v>
      </c>
      <c r="O500">
        <f t="shared" si="101"/>
        <v>5.0000000000000001E-4</v>
      </c>
      <c r="P500" t="str">
        <f>IF(OR($A500="",games!$H500=""),"",games!$H500)</f>
        <v>Yes</v>
      </c>
      <c r="Q500">
        <f t="shared" si="102"/>
        <v>5.0000000000000001E-4</v>
      </c>
      <c r="T500">
        <f>IF(connections!$A500="","",IFERROR(INDEX(games!$B$2:$B$950,MATCH(connections!$A500,games!$A$2:$A$950,0)),""))</f>
        <v>2011</v>
      </c>
      <c r="U500">
        <f>IF(connections!$A500="","",IFERROR(INDEX(games!$B$2:$B$950,MATCH(connections!$B500,games!$A$2:$A$950,0)),""))</f>
        <v>2013</v>
      </c>
      <c r="V500">
        <f t="shared" si="103"/>
        <v>2</v>
      </c>
    </row>
    <row r="501" spans="1:22" x14ac:dyDescent="0.25">
      <c r="A501" t="str">
        <f>IF(games!$A501="","",games!$A501)</f>
        <v>Necrosmith</v>
      </c>
      <c r="B501">
        <f>IF($A501="","",games!$B501)</f>
        <v>2022</v>
      </c>
      <c r="C501" t="str">
        <f>IF($A501="","",games!$C501)</f>
        <v>Action</v>
      </c>
      <c r="D501">
        <f>IF($A501="","",COUNTIF(connections!$A$2:$A$1473,$A501)+COUNTIF(connections!$B$2:$B$1473,$A501))</f>
        <v>2</v>
      </c>
      <c r="E501">
        <f t="shared" si="91"/>
        <v>1</v>
      </c>
      <c r="F501">
        <f t="shared" si="92"/>
        <v>25</v>
      </c>
      <c r="G501">
        <f t="shared" si="93"/>
        <v>2022</v>
      </c>
      <c r="H501">
        <f t="shared" si="94"/>
        <v>1.575</v>
      </c>
      <c r="I501" t="e">
        <f t="shared" si="95"/>
        <v>#N/A</v>
      </c>
      <c r="J501" t="e">
        <f t="shared" si="96"/>
        <v>#N/A</v>
      </c>
      <c r="K501" t="e">
        <f t="shared" si="97"/>
        <v>#N/A</v>
      </c>
      <c r="L501" t="e">
        <f t="shared" si="98"/>
        <v>#N/A</v>
      </c>
      <c r="M501" t="e">
        <f t="shared" si="99"/>
        <v>#N/A</v>
      </c>
      <c r="N501" t="e">
        <f t="shared" si="100"/>
        <v>#N/A</v>
      </c>
      <c r="O501">
        <f t="shared" si="101"/>
        <v>2.0005009999999999</v>
      </c>
      <c r="P501" t="str">
        <f>IF(OR($A501="",games!$H501=""),"",games!$H501)</f>
        <v>Yes</v>
      </c>
      <c r="Q501">
        <f t="shared" si="102"/>
        <v>2.0005009999999999</v>
      </c>
      <c r="T501">
        <f>IF(connections!$A501="","",IFERROR(INDEX(games!$B$2:$B$950,MATCH(connections!$A501,games!$A$2:$A$950,0)),""))</f>
        <v>2018</v>
      </c>
      <c r="U501">
        <f>IF(connections!$A501="","",IFERROR(INDEX(games!$B$2:$B$950,MATCH(connections!$B501,games!$A$2:$A$950,0)),""))</f>
        <v>2020</v>
      </c>
      <c r="V501">
        <f t="shared" si="103"/>
        <v>2</v>
      </c>
    </row>
    <row r="502" spans="1:22" x14ac:dyDescent="0.25">
      <c r="A502" t="str">
        <f>IF(games!$A502="","",games!$A502)</f>
        <v>Necrosmith 2</v>
      </c>
      <c r="B502">
        <f>IF($A502="","",games!$B502)</f>
        <v>2024</v>
      </c>
      <c r="C502" t="str">
        <f>IF($A502="","",games!$C502)</f>
        <v>Action</v>
      </c>
      <c r="D502">
        <f>IF($A502="","",COUNTIF(connections!$A$2:$A$1473,$A502)+COUNTIF(connections!$B$2:$B$1473,$A502))</f>
        <v>1</v>
      </c>
      <c r="E502">
        <f t="shared" si="91"/>
        <v>1</v>
      </c>
      <c r="F502">
        <f t="shared" si="92"/>
        <v>26</v>
      </c>
      <c r="G502">
        <f t="shared" si="93"/>
        <v>2024</v>
      </c>
      <c r="H502">
        <f t="shared" si="94"/>
        <v>1.5979999999999999</v>
      </c>
      <c r="I502" t="e">
        <f t="shared" si="95"/>
        <v>#N/A</v>
      </c>
      <c r="J502" t="e">
        <f t="shared" si="96"/>
        <v>#N/A</v>
      </c>
      <c r="K502" t="e">
        <f t="shared" si="97"/>
        <v>#N/A</v>
      </c>
      <c r="L502" t="e">
        <f t="shared" si="98"/>
        <v>#N/A</v>
      </c>
      <c r="M502" t="e">
        <f t="shared" si="99"/>
        <v>#N/A</v>
      </c>
      <c r="N502" t="e">
        <f t="shared" si="100"/>
        <v>#N/A</v>
      </c>
      <c r="O502">
        <f t="shared" si="101"/>
        <v>1.000502</v>
      </c>
      <c r="P502" t="str">
        <f>IF(OR($A502="",games!$H502=""),"",games!$H502)</f>
        <v>Yes</v>
      </c>
      <c r="Q502">
        <f t="shared" si="102"/>
        <v>1.000502</v>
      </c>
      <c r="T502">
        <f>IF(connections!$A502="","",IFERROR(INDEX(games!$B$2:$B$950,MATCH(connections!$A502,games!$A$2:$A$950,0)),""))</f>
        <v>2013</v>
      </c>
      <c r="U502">
        <f>IF(connections!$A502="","",IFERROR(INDEX(games!$B$2:$B$950,MATCH(connections!$B502,games!$A$2:$A$950,0)),""))</f>
        <v>2020</v>
      </c>
      <c r="V502">
        <f t="shared" si="103"/>
        <v>7</v>
      </c>
    </row>
    <row r="503" spans="1:22" x14ac:dyDescent="0.25">
      <c r="A503" t="str">
        <f>IF(games!$A503="","",games!$A503)</f>
        <v>Neon Abyss</v>
      </c>
      <c r="B503">
        <f>IF($A503="","",games!$B503)</f>
        <v>2019</v>
      </c>
      <c r="C503" t="str">
        <f>IF($A503="","",games!$C503)</f>
        <v>Action</v>
      </c>
      <c r="D503">
        <f>IF($A503="","",COUNTIF(connections!$A$2:$A$1473,$A503)+COUNTIF(connections!$B$2:$B$1473,$A503))</f>
        <v>4</v>
      </c>
      <c r="E503">
        <f t="shared" si="91"/>
        <v>1</v>
      </c>
      <c r="F503">
        <f t="shared" si="92"/>
        <v>27</v>
      </c>
      <c r="G503">
        <f t="shared" si="93"/>
        <v>2019</v>
      </c>
      <c r="H503">
        <f t="shared" si="94"/>
        <v>1.621</v>
      </c>
      <c r="I503" t="e">
        <f t="shared" si="95"/>
        <v>#N/A</v>
      </c>
      <c r="J503" t="e">
        <f t="shared" si="96"/>
        <v>#N/A</v>
      </c>
      <c r="K503" t="e">
        <f t="shared" si="97"/>
        <v>#N/A</v>
      </c>
      <c r="L503" t="e">
        <f t="shared" si="98"/>
        <v>#N/A</v>
      </c>
      <c r="M503" t="e">
        <f t="shared" si="99"/>
        <v>#N/A</v>
      </c>
      <c r="N503" t="e">
        <f t="shared" si="100"/>
        <v>#N/A</v>
      </c>
      <c r="O503">
        <f t="shared" si="101"/>
        <v>4.0005030000000001</v>
      </c>
      <c r="P503" t="str">
        <f>IF(OR($A503="",games!$H503=""),"",games!$H503)</f>
        <v>Yes</v>
      </c>
      <c r="Q503">
        <f t="shared" si="102"/>
        <v>4.0005030000000001</v>
      </c>
      <c r="T503">
        <f>IF(connections!$A503="","",IFERROR(INDEX(games!$B$2:$B$950,MATCH(connections!$A503,games!$A$2:$A$950,0)),""))</f>
        <v>1999</v>
      </c>
      <c r="U503">
        <f>IF(connections!$A503="","",IFERROR(INDEX(games!$B$2:$B$950,MATCH(connections!$B503,games!$A$2:$A$950,0)),""))</f>
        <v>2010</v>
      </c>
      <c r="V503">
        <f t="shared" si="103"/>
        <v>11</v>
      </c>
    </row>
    <row r="504" spans="1:22" x14ac:dyDescent="0.25">
      <c r="A504" t="str">
        <f>IF(games!$A504="","",games!$A504)</f>
        <v>Neon Abyss 2</v>
      </c>
      <c r="B504">
        <f>IF($A504="","",games!$B504)</f>
        <v>2025</v>
      </c>
      <c r="C504" t="str">
        <f>IF($A504="","",games!$C504)</f>
        <v>Action</v>
      </c>
      <c r="D504">
        <f>IF($A504="","",COUNTIF(connections!$A$2:$A$1473,$A504)+COUNTIF(connections!$B$2:$B$1473,$A504))</f>
        <v>1</v>
      </c>
      <c r="E504">
        <f t="shared" si="91"/>
        <v>1</v>
      </c>
      <c r="F504">
        <f t="shared" si="92"/>
        <v>28</v>
      </c>
      <c r="G504">
        <f t="shared" si="93"/>
        <v>2025</v>
      </c>
      <c r="H504">
        <f t="shared" si="94"/>
        <v>1.6440000000000001</v>
      </c>
      <c r="I504" t="e">
        <f t="shared" si="95"/>
        <v>#N/A</v>
      </c>
      <c r="J504" t="e">
        <f t="shared" si="96"/>
        <v>#N/A</v>
      </c>
      <c r="K504" t="e">
        <f t="shared" si="97"/>
        <v>#N/A</v>
      </c>
      <c r="L504" t="e">
        <f t="shared" si="98"/>
        <v>#N/A</v>
      </c>
      <c r="M504" t="e">
        <f t="shared" si="99"/>
        <v>#N/A</v>
      </c>
      <c r="N504" t="e">
        <f t="shared" si="100"/>
        <v>#N/A</v>
      </c>
      <c r="O504">
        <f t="shared" si="101"/>
        <v>1.0005040000000001</v>
      </c>
      <c r="P504" t="str">
        <f>IF(OR($A504="",games!$H504=""),"",games!$H504)</f>
        <v/>
      </c>
      <c r="Q504" t="str">
        <f t="shared" si="102"/>
        <v/>
      </c>
      <c r="T504">
        <f>IF(connections!$A504="","",IFERROR(INDEX(games!$B$2:$B$950,MATCH(connections!$A504,games!$A$2:$A$950,0)),""))</f>
        <v>2011</v>
      </c>
      <c r="U504">
        <f>IF(connections!$A504="","",IFERROR(INDEX(games!$B$2:$B$950,MATCH(connections!$B504,games!$A$2:$A$950,0)),""))</f>
        <v>2014</v>
      </c>
      <c r="V504">
        <f t="shared" si="103"/>
        <v>3</v>
      </c>
    </row>
    <row r="505" spans="1:22" x14ac:dyDescent="0.25">
      <c r="A505" t="str">
        <f>IF(games!$A505="","",games!$A505)</f>
        <v>Neophyte</v>
      </c>
      <c r="B505">
        <f>IF($A505="","",games!$B505)</f>
        <v>2022</v>
      </c>
      <c r="C505" t="str">
        <f>IF($A505="","",games!$C505)</f>
        <v>Action</v>
      </c>
      <c r="D505">
        <f>IF($A505="","",COUNTIF(connections!$A$2:$A$1473,$A505)+COUNTIF(connections!$B$2:$B$1473,$A505))</f>
        <v>1</v>
      </c>
      <c r="E505">
        <f t="shared" si="91"/>
        <v>1</v>
      </c>
      <c r="F505">
        <f t="shared" si="92"/>
        <v>29</v>
      </c>
      <c r="G505">
        <f t="shared" si="93"/>
        <v>2022</v>
      </c>
      <c r="H505">
        <f t="shared" si="94"/>
        <v>1.667</v>
      </c>
      <c r="I505" t="e">
        <f t="shared" si="95"/>
        <v>#N/A</v>
      </c>
      <c r="J505" t="e">
        <f t="shared" si="96"/>
        <v>#N/A</v>
      </c>
      <c r="K505" t="e">
        <f t="shared" si="97"/>
        <v>#N/A</v>
      </c>
      <c r="L505" t="e">
        <f t="shared" si="98"/>
        <v>#N/A</v>
      </c>
      <c r="M505" t="e">
        <f t="shared" si="99"/>
        <v>#N/A</v>
      </c>
      <c r="N505" t="e">
        <f t="shared" si="100"/>
        <v>#N/A</v>
      </c>
      <c r="O505">
        <f t="shared" si="101"/>
        <v>1.000505</v>
      </c>
      <c r="P505" t="str">
        <f>IF(OR($A505="",games!$H505=""),"",games!$H505)</f>
        <v/>
      </c>
      <c r="Q505" t="str">
        <f t="shared" si="102"/>
        <v/>
      </c>
      <c r="T505">
        <f>IF(connections!$A505="","",IFERROR(INDEX(games!$B$2:$B$950,MATCH(connections!$A505,games!$A$2:$A$950,0)),""))</f>
        <v>2011</v>
      </c>
      <c r="U505">
        <f>IF(connections!$A505="","",IFERROR(INDEX(games!$B$2:$B$950,MATCH(connections!$B505,games!$A$2:$A$950,0)),""))</f>
        <v>2014</v>
      </c>
      <c r="V505">
        <f t="shared" si="103"/>
        <v>3</v>
      </c>
    </row>
    <row r="506" spans="1:22" x14ac:dyDescent="0.25">
      <c r="A506" t="str">
        <f>IF(games!$A506="","",games!$A506)</f>
        <v>NetHack</v>
      </c>
      <c r="B506">
        <f>IF($A506="","",games!$B506)</f>
        <v>1987</v>
      </c>
      <c r="C506" t="str">
        <f>IF($A506="","",games!$C506)</f>
        <v>Traditional</v>
      </c>
      <c r="D506">
        <f>IF($A506="","",COUNTIF(connections!$A$2:$A$1473,$A506)+COUNTIF(connections!$B$2:$B$1473,$A506))</f>
        <v>36</v>
      </c>
      <c r="E506">
        <f t="shared" si="91"/>
        <v>4</v>
      </c>
      <c r="F506">
        <f t="shared" si="92"/>
        <v>30</v>
      </c>
      <c r="G506" t="e">
        <f t="shared" si="93"/>
        <v>#N/A</v>
      </c>
      <c r="H506" t="e">
        <f t="shared" si="94"/>
        <v>#N/A</v>
      </c>
      <c r="I506" t="e">
        <f t="shared" si="95"/>
        <v>#N/A</v>
      </c>
      <c r="J506" t="e">
        <f t="shared" si="96"/>
        <v>#N/A</v>
      </c>
      <c r="K506" t="e">
        <f t="shared" si="97"/>
        <v>#N/A</v>
      </c>
      <c r="L506" t="e">
        <f t="shared" si="98"/>
        <v>#N/A</v>
      </c>
      <c r="M506">
        <f t="shared" si="99"/>
        <v>1987</v>
      </c>
      <c r="N506">
        <f t="shared" si="100"/>
        <v>4.6899999999999995</v>
      </c>
      <c r="O506">
        <f t="shared" si="101"/>
        <v>36.000506000000001</v>
      </c>
      <c r="P506" t="str">
        <f>IF(OR($A506="",games!$H506=""),"",games!$H506)</f>
        <v>Yes</v>
      </c>
      <c r="Q506">
        <f t="shared" si="102"/>
        <v>36.000506000000001</v>
      </c>
      <c r="T506">
        <f>IF(connections!$A506="","",IFERROR(INDEX(games!$B$2:$B$950,MATCH(connections!$A506,games!$A$2:$A$950,0)),""))</f>
        <v>2018</v>
      </c>
      <c r="U506">
        <f>IF(connections!$A506="","",IFERROR(INDEX(games!$B$2:$B$950,MATCH(connections!$B506,games!$A$2:$A$950,0)),""))</f>
        <v>2024</v>
      </c>
      <c r="V506">
        <f t="shared" si="103"/>
        <v>6</v>
      </c>
    </row>
    <row r="507" spans="1:22" x14ac:dyDescent="0.25">
      <c r="A507" t="str">
        <f>IF(games!$A507="","",games!$A507)</f>
        <v>Netherworld Covenant</v>
      </c>
      <c r="B507">
        <f>IF($A507="","",games!$B507)</f>
        <v>2025</v>
      </c>
      <c r="C507" t="str">
        <f>IF($A507="","",games!$C507)</f>
        <v>Action</v>
      </c>
      <c r="D507">
        <f>IF($A507="","",COUNTIF(connections!$A$2:$A$1473,$A507)+COUNTIF(connections!$B$2:$B$1473,$A507))</f>
        <v>2</v>
      </c>
      <c r="E507">
        <f t="shared" si="91"/>
        <v>1</v>
      </c>
      <c r="F507">
        <f t="shared" si="92"/>
        <v>31</v>
      </c>
      <c r="G507">
        <f t="shared" si="93"/>
        <v>2025</v>
      </c>
      <c r="H507">
        <f t="shared" si="94"/>
        <v>1.7130000000000001</v>
      </c>
      <c r="I507" t="e">
        <f t="shared" si="95"/>
        <v>#N/A</v>
      </c>
      <c r="J507" t="e">
        <f t="shared" si="96"/>
        <v>#N/A</v>
      </c>
      <c r="K507" t="e">
        <f t="shared" si="97"/>
        <v>#N/A</v>
      </c>
      <c r="L507" t="e">
        <f t="shared" si="98"/>
        <v>#N/A</v>
      </c>
      <c r="M507" t="e">
        <f t="shared" si="99"/>
        <v>#N/A</v>
      </c>
      <c r="N507" t="e">
        <f t="shared" si="100"/>
        <v>#N/A</v>
      </c>
      <c r="O507">
        <f t="shared" si="101"/>
        <v>2.0005069999999998</v>
      </c>
      <c r="P507" t="str">
        <f>IF(OR($A507="",games!$H507=""),"",games!$H507)</f>
        <v/>
      </c>
      <c r="Q507" t="str">
        <f t="shared" si="102"/>
        <v/>
      </c>
      <c r="T507">
        <f>IF(connections!$A507="","",IFERROR(INDEX(games!$B$2:$B$950,MATCH(connections!$A507,games!$A$2:$A$950,0)),""))</f>
        <v>2016</v>
      </c>
      <c r="U507">
        <f>IF(connections!$A507="","",IFERROR(INDEX(games!$B$2:$B$950,MATCH(connections!$B507,games!$A$2:$A$950,0)),""))</f>
        <v>2024</v>
      </c>
      <c r="V507">
        <f t="shared" si="103"/>
        <v>8</v>
      </c>
    </row>
    <row r="508" spans="1:22" x14ac:dyDescent="0.25">
      <c r="A508" t="str">
        <f>IF(games!$A508="","",games!$A508)</f>
        <v>Nigate Tale</v>
      </c>
      <c r="B508">
        <f>IF($A508="","",games!$B508)</f>
        <v>2021</v>
      </c>
      <c r="C508" t="str">
        <f>IF($A508="","",games!$C508)</f>
        <v>Action</v>
      </c>
      <c r="D508">
        <f>IF($A508="","",COUNTIF(connections!$A$2:$A$1473,$A508)+COUNTIF(connections!$B$2:$B$1473,$A508))</f>
        <v>1</v>
      </c>
      <c r="E508">
        <f t="shared" si="91"/>
        <v>1</v>
      </c>
      <c r="F508">
        <f t="shared" si="92"/>
        <v>32</v>
      </c>
      <c r="G508">
        <f t="shared" si="93"/>
        <v>2021</v>
      </c>
      <c r="H508">
        <f t="shared" si="94"/>
        <v>1.736</v>
      </c>
      <c r="I508" t="e">
        <f t="shared" si="95"/>
        <v>#N/A</v>
      </c>
      <c r="J508" t="e">
        <f t="shared" si="96"/>
        <v>#N/A</v>
      </c>
      <c r="K508" t="e">
        <f t="shared" si="97"/>
        <v>#N/A</v>
      </c>
      <c r="L508" t="e">
        <f t="shared" si="98"/>
        <v>#N/A</v>
      </c>
      <c r="M508" t="e">
        <f t="shared" si="99"/>
        <v>#N/A</v>
      </c>
      <c r="N508" t="e">
        <f t="shared" si="100"/>
        <v>#N/A</v>
      </c>
      <c r="O508">
        <f t="shared" si="101"/>
        <v>1.000508</v>
      </c>
      <c r="P508" t="str">
        <f>IF(OR($A508="",games!$H508=""),"",games!$H508)</f>
        <v/>
      </c>
      <c r="Q508" t="str">
        <f t="shared" si="102"/>
        <v/>
      </c>
      <c r="T508">
        <f>IF(connections!$A508="","",IFERROR(INDEX(games!$B$2:$B$950,MATCH(connections!$A508,games!$A$2:$A$950,0)),""))</f>
        <v>2020</v>
      </c>
      <c r="U508">
        <f>IF(connections!$A508="","",IFERROR(INDEX(games!$B$2:$B$950,MATCH(connections!$B508,games!$A$2:$A$950,0)),""))</f>
        <v>2024</v>
      </c>
      <c r="V508">
        <f t="shared" si="103"/>
        <v>4</v>
      </c>
    </row>
    <row r="509" spans="1:22" x14ac:dyDescent="0.25">
      <c r="A509" t="str">
        <f>IF(games!$A509="","",games!$A509)</f>
        <v>Night Swarm</v>
      </c>
      <c r="B509">
        <f>IF($A509="","",games!$B509)</f>
        <v>2025</v>
      </c>
      <c r="C509" t="str">
        <f>IF($A509="","",games!$C509)</f>
        <v>Action</v>
      </c>
      <c r="D509">
        <f>IF($A509="","",COUNTIF(connections!$A$2:$A$1473,$A509)+COUNTIF(connections!$B$2:$B$1473,$A509))</f>
        <v>1</v>
      </c>
      <c r="E509">
        <f t="shared" si="91"/>
        <v>1</v>
      </c>
      <c r="F509">
        <f t="shared" si="92"/>
        <v>33</v>
      </c>
      <c r="G509">
        <f t="shared" si="93"/>
        <v>2025</v>
      </c>
      <c r="H509">
        <f t="shared" si="94"/>
        <v>1.7589999999999999</v>
      </c>
      <c r="I509" t="e">
        <f t="shared" si="95"/>
        <v>#N/A</v>
      </c>
      <c r="J509" t="e">
        <f t="shared" si="96"/>
        <v>#N/A</v>
      </c>
      <c r="K509" t="e">
        <f t="shared" si="97"/>
        <v>#N/A</v>
      </c>
      <c r="L509" t="e">
        <f t="shared" si="98"/>
        <v>#N/A</v>
      </c>
      <c r="M509" t="e">
        <f t="shared" si="99"/>
        <v>#N/A</v>
      </c>
      <c r="N509" t="e">
        <f t="shared" si="100"/>
        <v>#N/A</v>
      </c>
      <c r="O509">
        <f t="shared" si="101"/>
        <v>1.0005090000000001</v>
      </c>
      <c r="P509" t="str">
        <f>IF(OR($A509="",games!$H509=""),"",games!$H509)</f>
        <v>Yes</v>
      </c>
      <c r="Q509">
        <f t="shared" si="102"/>
        <v>1.0005090000000001</v>
      </c>
      <c r="T509">
        <f>IF(connections!$A509="","",IFERROR(INDEX(games!$B$2:$B$950,MATCH(connections!$A509,games!$A$2:$A$950,0)),""))</f>
        <v>2023</v>
      </c>
      <c r="U509">
        <f>IF(connections!$A509="","",IFERROR(INDEX(games!$B$2:$B$950,MATCH(connections!$B509,games!$A$2:$A$950,0)),""))</f>
        <v>2026</v>
      </c>
      <c r="V509">
        <f t="shared" si="103"/>
        <v>3</v>
      </c>
    </row>
    <row r="510" spans="1:22" x14ac:dyDescent="0.25">
      <c r="A510" t="str">
        <f>IF(games!$A510="","",games!$A510)</f>
        <v>Nimrods</v>
      </c>
      <c r="B510">
        <f>IF($A510="","",games!$B510)</f>
        <v>2024</v>
      </c>
      <c r="C510" t="str">
        <f>IF($A510="","",games!$C510)</f>
        <v>Action</v>
      </c>
      <c r="D510">
        <f>IF($A510="","",COUNTIF(connections!$A$2:$A$1473,$A510)+COUNTIF(connections!$B$2:$B$1473,$A510))</f>
        <v>1</v>
      </c>
      <c r="E510">
        <f t="shared" si="91"/>
        <v>1</v>
      </c>
      <c r="F510">
        <f t="shared" si="92"/>
        <v>0</v>
      </c>
      <c r="G510">
        <f t="shared" si="93"/>
        <v>2024</v>
      </c>
      <c r="H510">
        <f t="shared" si="94"/>
        <v>1</v>
      </c>
      <c r="I510" t="e">
        <f t="shared" si="95"/>
        <v>#N/A</v>
      </c>
      <c r="J510" t="e">
        <f t="shared" si="96"/>
        <v>#N/A</v>
      </c>
      <c r="K510" t="e">
        <f t="shared" si="97"/>
        <v>#N/A</v>
      </c>
      <c r="L510" t="e">
        <f t="shared" si="98"/>
        <v>#N/A</v>
      </c>
      <c r="M510" t="e">
        <f t="shared" si="99"/>
        <v>#N/A</v>
      </c>
      <c r="N510" t="e">
        <f t="shared" si="100"/>
        <v>#N/A</v>
      </c>
      <c r="O510">
        <f t="shared" si="101"/>
        <v>1.00051</v>
      </c>
      <c r="P510" t="str">
        <f>IF(OR($A510="",games!$H510=""),"",games!$H510)</f>
        <v/>
      </c>
      <c r="Q510" t="str">
        <f t="shared" si="102"/>
        <v/>
      </c>
      <c r="T510">
        <f>IF(connections!$A510="","",IFERROR(INDEX(games!$B$2:$B$950,MATCH(connections!$A510,games!$A$2:$A$950,0)),""))</f>
        <v>2022</v>
      </c>
      <c r="U510">
        <f>IF(connections!$A510="","",IFERROR(INDEX(games!$B$2:$B$950,MATCH(connections!$B510,games!$A$2:$A$950,0)),""))</f>
        <v>2025</v>
      </c>
      <c r="V510">
        <f t="shared" si="103"/>
        <v>3</v>
      </c>
    </row>
    <row r="511" spans="1:22" x14ac:dyDescent="0.25">
      <c r="A511" t="str">
        <f>IF(games!$A511="","",games!$A511)</f>
        <v>Node Crown</v>
      </c>
      <c r="B511">
        <f>IF($A511="","",games!$B511)</f>
        <v>2026</v>
      </c>
      <c r="C511" t="str">
        <f>IF($A511="","",games!$C511)</f>
        <v>Deckbuilder</v>
      </c>
      <c r="D511">
        <f>IF($A511="","",COUNTIF(connections!$A$2:$A$1473,$A511)+COUNTIF(connections!$B$2:$B$1473,$A511))</f>
        <v>5</v>
      </c>
      <c r="E511">
        <f t="shared" si="91"/>
        <v>3</v>
      </c>
      <c r="F511">
        <f t="shared" si="92"/>
        <v>1</v>
      </c>
      <c r="G511" t="e">
        <f t="shared" si="93"/>
        <v>#N/A</v>
      </c>
      <c r="H511" t="e">
        <f t="shared" si="94"/>
        <v>#N/A</v>
      </c>
      <c r="I511" t="e">
        <f t="shared" si="95"/>
        <v>#N/A</v>
      </c>
      <c r="J511" t="e">
        <f t="shared" si="96"/>
        <v>#N/A</v>
      </c>
      <c r="K511">
        <f t="shared" si="97"/>
        <v>2026</v>
      </c>
      <c r="L511">
        <f t="shared" si="98"/>
        <v>3.0230000000000001</v>
      </c>
      <c r="M511" t="e">
        <f t="shared" si="99"/>
        <v>#N/A</v>
      </c>
      <c r="N511" t="e">
        <f t="shared" si="100"/>
        <v>#N/A</v>
      </c>
      <c r="O511">
        <f t="shared" si="101"/>
        <v>5.0005110000000004</v>
      </c>
      <c r="P511" t="str">
        <f>IF(OR($A511="",games!$H511=""),"",games!$H511)</f>
        <v/>
      </c>
      <c r="Q511" t="str">
        <f t="shared" si="102"/>
        <v/>
      </c>
      <c r="T511">
        <f>IF(connections!$A511="","",IFERROR(INDEX(games!$B$2:$B$950,MATCH(connections!$A511,games!$A$2:$A$950,0)),""))</f>
        <v>2019</v>
      </c>
      <c r="U511">
        <f>IF(connections!$A511="","",IFERROR(INDEX(games!$B$2:$B$950,MATCH(connections!$B511,games!$A$2:$A$950,0)),""))</f>
        <v>2025</v>
      </c>
      <c r="V511">
        <f t="shared" si="103"/>
        <v>6</v>
      </c>
    </row>
    <row r="512" spans="1:22" x14ac:dyDescent="0.25">
      <c r="A512" t="str">
        <f>IF(games!$A512="","",games!$A512)</f>
        <v>Node Farm</v>
      </c>
      <c r="B512">
        <f>IF($A512="","",games!$B512)</f>
        <v>2024</v>
      </c>
      <c r="C512" t="str">
        <f>IF($A512="","",games!$C512)</f>
        <v>Strategy</v>
      </c>
      <c r="D512">
        <f>IF($A512="","",COUNTIF(connections!$A$2:$A$1473,$A512)+COUNTIF(connections!$B$2:$B$1473,$A512))</f>
        <v>1</v>
      </c>
      <c r="E512">
        <f t="shared" si="91"/>
        <v>2</v>
      </c>
      <c r="F512">
        <f t="shared" si="92"/>
        <v>2</v>
      </c>
      <c r="G512" t="e">
        <f t="shared" si="93"/>
        <v>#N/A</v>
      </c>
      <c r="H512" t="e">
        <f t="shared" si="94"/>
        <v>#N/A</v>
      </c>
      <c r="I512">
        <f t="shared" si="95"/>
        <v>2024</v>
      </c>
      <c r="J512">
        <f t="shared" si="96"/>
        <v>2.0459999999999998</v>
      </c>
      <c r="K512" t="e">
        <f t="shared" si="97"/>
        <v>#N/A</v>
      </c>
      <c r="L512" t="e">
        <f t="shared" si="98"/>
        <v>#N/A</v>
      </c>
      <c r="M512" t="e">
        <f t="shared" si="99"/>
        <v>#N/A</v>
      </c>
      <c r="N512" t="e">
        <f t="shared" si="100"/>
        <v>#N/A</v>
      </c>
      <c r="O512">
        <f t="shared" si="101"/>
        <v>1.0005120000000001</v>
      </c>
      <c r="P512" t="str">
        <f>IF(OR($A512="",games!$H512=""),"",games!$H512)</f>
        <v>Yes</v>
      </c>
      <c r="Q512">
        <f t="shared" si="102"/>
        <v>1.0005120000000001</v>
      </c>
      <c r="T512">
        <f>IF(connections!$A512="","",IFERROR(INDEX(games!$B$2:$B$950,MATCH(connections!$A512,games!$A$2:$A$950,0)),""))</f>
        <v>2020</v>
      </c>
      <c r="U512">
        <f>IF(connections!$A512="","",IFERROR(INDEX(games!$B$2:$B$950,MATCH(connections!$B512,games!$A$2:$A$950,0)),""))</f>
        <v>2024</v>
      </c>
      <c r="V512">
        <f t="shared" si="103"/>
        <v>4</v>
      </c>
    </row>
    <row r="513" spans="1:22" x14ac:dyDescent="0.25">
      <c r="A513" t="str">
        <f>IF(games!$A513="","",games!$A513)</f>
        <v>Noita</v>
      </c>
      <c r="B513">
        <f>IF($A513="","",games!$B513)</f>
        <v>2019</v>
      </c>
      <c r="C513" t="str">
        <f>IF($A513="","",games!$C513)</f>
        <v>Action</v>
      </c>
      <c r="D513">
        <f>IF($A513="","",COUNTIF(connections!$A$2:$A$1473,$A513)+COUNTIF(connections!$B$2:$B$1473,$A513))</f>
        <v>9</v>
      </c>
      <c r="E513">
        <f t="shared" si="91"/>
        <v>1</v>
      </c>
      <c r="F513">
        <f t="shared" si="92"/>
        <v>3</v>
      </c>
      <c r="G513">
        <f t="shared" si="93"/>
        <v>2019</v>
      </c>
      <c r="H513">
        <f t="shared" si="94"/>
        <v>1.069</v>
      </c>
      <c r="I513" t="e">
        <f t="shared" si="95"/>
        <v>#N/A</v>
      </c>
      <c r="J513" t="e">
        <f t="shared" si="96"/>
        <v>#N/A</v>
      </c>
      <c r="K513" t="e">
        <f t="shared" si="97"/>
        <v>#N/A</v>
      </c>
      <c r="L513" t="e">
        <f t="shared" si="98"/>
        <v>#N/A</v>
      </c>
      <c r="M513" t="e">
        <f t="shared" si="99"/>
        <v>#N/A</v>
      </c>
      <c r="N513" t="e">
        <f t="shared" si="100"/>
        <v>#N/A</v>
      </c>
      <c r="O513">
        <f t="shared" si="101"/>
        <v>9.0005129999999998</v>
      </c>
      <c r="P513" t="str">
        <f>IF(OR($A513="",games!$H513=""),"",games!$H513)</f>
        <v>Yes</v>
      </c>
      <c r="Q513">
        <f t="shared" si="102"/>
        <v>9.0005129999999998</v>
      </c>
      <c r="T513">
        <f>IF(connections!$A513="","",IFERROR(INDEX(games!$B$2:$B$950,MATCH(connections!$A513,games!$A$2:$A$950,0)),""))</f>
        <v>1994</v>
      </c>
      <c r="U513">
        <f>IF(connections!$A513="","",IFERROR(INDEX(games!$B$2:$B$950,MATCH(connections!$B513,games!$A$2:$A$950,0)),""))</f>
        <v>2002</v>
      </c>
      <c r="V513">
        <f t="shared" si="103"/>
        <v>8</v>
      </c>
    </row>
    <row r="514" spans="1:22" x14ac:dyDescent="0.25">
      <c r="A514" t="str">
        <f>IF(games!$A514="","",games!$A514)</f>
        <v>Nomad Survival</v>
      </c>
      <c r="B514">
        <f>IF($A514="","",games!$B514)</f>
        <v>2022</v>
      </c>
      <c r="C514" t="str">
        <f>IF($A514="","",games!$C514)</f>
        <v>Action</v>
      </c>
      <c r="D514">
        <f>IF($A514="","",COUNTIF(connections!$A$2:$A$1473,$A514)+COUNTIF(connections!$B$2:$B$1473,$A514))</f>
        <v>1</v>
      </c>
      <c r="E514">
        <f t="shared" ref="E514:E577" si="104">IF($A514="","",IFERROR(MATCH($C514,$R$2:$R$5,0),0))</f>
        <v>1</v>
      </c>
      <c r="F514">
        <f t="shared" ref="F514:F577" si="105">IF($A514="","",MOD(ROW(),34))</f>
        <v>4</v>
      </c>
      <c r="G514">
        <f t="shared" ref="G514:G577" si="106">IF($A514="",NA(),IF($C514="Action",$B514,NA()))</f>
        <v>2022</v>
      </c>
      <c r="H514">
        <f t="shared" ref="H514:H577" si="107">IF($A514="",NA(),IF($C514="Action",1+$F514*0.023,NA()))</f>
        <v>1.0920000000000001</v>
      </c>
      <c r="I514" t="e">
        <f t="shared" ref="I514:I577" si="108">IF($A514="",NA(),IF($C514="Strategy",$B514,NA()))</f>
        <v>#N/A</v>
      </c>
      <c r="J514" t="e">
        <f t="shared" ref="J514:J577" si="109">IF($A514="",NA(),IF($C514="Strategy",2+$F514*0.023,NA()))</f>
        <v>#N/A</v>
      </c>
      <c r="K514" t="e">
        <f t="shared" ref="K514:K577" si="110">IF($A514="",NA(),IF($C514="Deckbuilder",$B514,NA()))</f>
        <v>#N/A</v>
      </c>
      <c r="L514" t="e">
        <f t="shared" ref="L514:L577" si="111">IF($A514="",NA(),IF($C514="Deckbuilder",3+$F514*0.023,NA()))</f>
        <v>#N/A</v>
      </c>
      <c r="M514" t="e">
        <f t="shared" ref="M514:M577" si="112">IF($A514="",NA(),IF($C514="Traditional",$B514,NA()))</f>
        <v>#N/A</v>
      </c>
      <c r="N514" t="e">
        <f t="shared" ref="N514:N577" si="113">IF($A514="",NA(),IF($C514="Traditional",4+$F514*0.023,NA()))</f>
        <v>#N/A</v>
      </c>
      <c r="O514">
        <f t="shared" ref="O514:O577" si="114">IF($A514="","",$D514+ROW()/1000000)</f>
        <v>1.0005139999999999</v>
      </c>
      <c r="P514" t="str">
        <f>IF(OR($A514="",games!$H514=""),"",games!$H514)</f>
        <v>Yes</v>
      </c>
      <c r="Q514">
        <f t="shared" ref="Q514:Q577" si="115">IF(OR($A514="",$P514&lt;&gt;"Yes"),"",$D514+ROW()/1000000)</f>
        <v>1.0005139999999999</v>
      </c>
      <c r="T514">
        <f>IF(connections!$A514="","",IFERROR(INDEX(games!$B$2:$B$950,MATCH(connections!$A514,games!$A$2:$A$950,0)),""))</f>
        <v>1984</v>
      </c>
      <c r="U514">
        <f>IF(connections!$A514="","",IFERROR(INDEX(games!$B$2:$B$950,MATCH(connections!$B514,games!$A$2:$A$950,0)),""))</f>
        <v>2002</v>
      </c>
      <c r="V514">
        <f t="shared" ref="V514:V577" si="116">IF(OR($T514="",$U514=""),"",$U514-$T514)</f>
        <v>18</v>
      </c>
    </row>
    <row r="515" spans="1:22" x14ac:dyDescent="0.25">
      <c r="A515" t="str">
        <f>IF(games!$A515="","",games!$A515)</f>
        <v>Noobs Are Coming</v>
      </c>
      <c r="B515">
        <f>IF($A515="","",games!$B515)</f>
        <v>2025</v>
      </c>
      <c r="C515" t="str">
        <f>IF($A515="","",games!$C515)</f>
        <v>Action</v>
      </c>
      <c r="D515">
        <f>IF($A515="","",COUNTIF(connections!$A$2:$A$1473,$A515)+COUNTIF(connections!$B$2:$B$1473,$A515))</f>
        <v>2</v>
      </c>
      <c r="E515">
        <f t="shared" si="104"/>
        <v>1</v>
      </c>
      <c r="F515">
        <f t="shared" si="105"/>
        <v>5</v>
      </c>
      <c r="G515">
        <f t="shared" si="106"/>
        <v>2025</v>
      </c>
      <c r="H515">
        <f t="shared" si="107"/>
        <v>1.115</v>
      </c>
      <c r="I515" t="e">
        <f t="shared" si="108"/>
        <v>#N/A</v>
      </c>
      <c r="J515" t="e">
        <f t="shared" si="109"/>
        <v>#N/A</v>
      </c>
      <c r="K515" t="e">
        <f t="shared" si="110"/>
        <v>#N/A</v>
      </c>
      <c r="L515" t="e">
        <f t="shared" si="111"/>
        <v>#N/A</v>
      </c>
      <c r="M515" t="e">
        <f t="shared" si="112"/>
        <v>#N/A</v>
      </c>
      <c r="N515" t="e">
        <f t="shared" si="113"/>
        <v>#N/A</v>
      </c>
      <c r="O515">
        <f t="shared" si="114"/>
        <v>2.000515</v>
      </c>
      <c r="P515" t="str">
        <f>IF(OR($A515="",games!$H515=""),"",games!$H515)</f>
        <v>Yes</v>
      </c>
      <c r="Q515">
        <f t="shared" si="115"/>
        <v>2.000515</v>
      </c>
      <c r="T515">
        <f>IF(connections!$A515="","",IFERROR(INDEX(games!$B$2:$B$950,MATCH(connections!$A515,games!$A$2:$A$950,0)),""))</f>
        <v>2002</v>
      </c>
      <c r="U515">
        <f>IF(connections!$A515="","",IFERROR(INDEX(games!$B$2:$B$950,MATCH(connections!$B515,games!$A$2:$A$950,0)),""))</f>
        <v>2007</v>
      </c>
      <c r="V515">
        <f t="shared" si="116"/>
        <v>5</v>
      </c>
    </row>
    <row r="516" spans="1:22" x14ac:dyDescent="0.25">
      <c r="A516" t="str">
        <f>IF(games!$A516="","",games!$A516)</f>
        <v>Noobs Want to Live</v>
      </c>
      <c r="B516">
        <f>IF($A516="","",games!$B516)</f>
        <v>2023</v>
      </c>
      <c r="C516" t="str">
        <f>IF($A516="","",games!$C516)</f>
        <v>Action</v>
      </c>
      <c r="D516">
        <f>IF($A516="","",COUNTIF(connections!$A$2:$A$1473,$A516)+COUNTIF(connections!$B$2:$B$1473,$A516))</f>
        <v>1</v>
      </c>
      <c r="E516">
        <f t="shared" si="104"/>
        <v>1</v>
      </c>
      <c r="F516">
        <f t="shared" si="105"/>
        <v>6</v>
      </c>
      <c r="G516">
        <f t="shared" si="106"/>
        <v>2023</v>
      </c>
      <c r="H516">
        <f t="shared" si="107"/>
        <v>1.1379999999999999</v>
      </c>
      <c r="I516" t="e">
        <f t="shared" si="108"/>
        <v>#N/A</v>
      </c>
      <c r="J516" t="e">
        <f t="shared" si="109"/>
        <v>#N/A</v>
      </c>
      <c r="K516" t="e">
        <f t="shared" si="110"/>
        <v>#N/A</v>
      </c>
      <c r="L516" t="e">
        <f t="shared" si="111"/>
        <v>#N/A</v>
      </c>
      <c r="M516" t="e">
        <f t="shared" si="112"/>
        <v>#N/A</v>
      </c>
      <c r="N516" t="e">
        <f t="shared" si="113"/>
        <v>#N/A</v>
      </c>
      <c r="O516">
        <f t="shared" si="114"/>
        <v>1.000516</v>
      </c>
      <c r="P516" t="str">
        <f>IF(OR($A516="",games!$H516=""),"",games!$H516)</f>
        <v>Yes</v>
      </c>
      <c r="Q516">
        <f t="shared" si="115"/>
        <v>1.000516</v>
      </c>
      <c r="T516">
        <f>IF(connections!$A516="","",IFERROR(INDEX(games!$B$2:$B$950,MATCH(connections!$A516,games!$A$2:$A$950,0)),""))</f>
        <v>1994</v>
      </c>
      <c r="U516">
        <f>IF(connections!$A516="","",IFERROR(INDEX(games!$B$2:$B$950,MATCH(connections!$B516,games!$A$2:$A$950,0)),""))</f>
        <v>2022</v>
      </c>
      <c r="V516">
        <f t="shared" si="116"/>
        <v>28</v>
      </c>
    </row>
    <row r="517" spans="1:22" x14ac:dyDescent="0.25">
      <c r="A517" t="str">
        <f>IF(games!$A517="","",games!$A517)</f>
        <v>Nordhold</v>
      </c>
      <c r="B517">
        <f>IF($A517="","",games!$B517)</f>
        <v>2025</v>
      </c>
      <c r="C517" t="str">
        <f>IF($A517="","",games!$C517)</f>
        <v>Strategy</v>
      </c>
      <c r="D517">
        <f>IF($A517="","",COUNTIF(connections!$A$2:$A$1473,$A517)+COUNTIF(connections!$B$2:$B$1473,$A517))</f>
        <v>2</v>
      </c>
      <c r="E517">
        <f t="shared" si="104"/>
        <v>2</v>
      </c>
      <c r="F517">
        <f t="shared" si="105"/>
        <v>7</v>
      </c>
      <c r="G517" t="e">
        <f t="shared" si="106"/>
        <v>#N/A</v>
      </c>
      <c r="H517" t="e">
        <f t="shared" si="107"/>
        <v>#N/A</v>
      </c>
      <c r="I517">
        <f t="shared" si="108"/>
        <v>2025</v>
      </c>
      <c r="J517">
        <f t="shared" si="109"/>
        <v>2.161</v>
      </c>
      <c r="K517" t="e">
        <f t="shared" si="110"/>
        <v>#N/A</v>
      </c>
      <c r="L517" t="e">
        <f t="shared" si="111"/>
        <v>#N/A</v>
      </c>
      <c r="M517" t="e">
        <f t="shared" si="112"/>
        <v>#N/A</v>
      </c>
      <c r="N517" t="e">
        <f t="shared" si="113"/>
        <v>#N/A</v>
      </c>
      <c r="O517">
        <f t="shared" si="114"/>
        <v>2.0005169999999999</v>
      </c>
      <c r="P517" t="str">
        <f>IF(OR($A517="",games!$H517=""),"",games!$H517)</f>
        <v>Yes</v>
      </c>
      <c r="Q517">
        <f t="shared" si="115"/>
        <v>2.0005169999999999</v>
      </c>
      <c r="T517">
        <f>IF(connections!$A517="","",IFERROR(INDEX(games!$B$2:$B$950,MATCH(connections!$A517,games!$A$2:$A$950,0)),""))</f>
        <v>2007</v>
      </c>
      <c r="U517">
        <f>IF(connections!$A517="","",IFERROR(INDEX(games!$B$2:$B$950,MATCH(connections!$B517,games!$A$2:$A$950,0)),""))</f>
        <v>2022</v>
      </c>
      <c r="V517">
        <f t="shared" si="116"/>
        <v>15</v>
      </c>
    </row>
    <row r="518" spans="1:22" x14ac:dyDescent="0.25">
      <c r="A518" t="str">
        <f>IF(games!$A518="","",games!$A518)</f>
        <v>Nordic Ashes: Survivors of Ragnarok</v>
      </c>
      <c r="B518">
        <f>IF($A518="","",games!$B518)</f>
        <v>2022</v>
      </c>
      <c r="C518" t="str">
        <f>IF($A518="","",games!$C518)</f>
        <v>Action</v>
      </c>
      <c r="D518">
        <f>IF($A518="","",COUNTIF(connections!$A$2:$A$1473,$A518)+COUNTIF(connections!$B$2:$B$1473,$A518))</f>
        <v>3</v>
      </c>
      <c r="E518">
        <f t="shared" si="104"/>
        <v>1</v>
      </c>
      <c r="F518">
        <f t="shared" si="105"/>
        <v>8</v>
      </c>
      <c r="G518">
        <f t="shared" si="106"/>
        <v>2022</v>
      </c>
      <c r="H518">
        <f t="shared" si="107"/>
        <v>1.1839999999999999</v>
      </c>
      <c r="I518" t="e">
        <f t="shared" si="108"/>
        <v>#N/A</v>
      </c>
      <c r="J518" t="e">
        <f t="shared" si="109"/>
        <v>#N/A</v>
      </c>
      <c r="K518" t="e">
        <f t="shared" si="110"/>
        <v>#N/A</v>
      </c>
      <c r="L518" t="e">
        <f t="shared" si="111"/>
        <v>#N/A</v>
      </c>
      <c r="M518" t="e">
        <f t="shared" si="112"/>
        <v>#N/A</v>
      </c>
      <c r="N518" t="e">
        <f t="shared" si="113"/>
        <v>#N/A</v>
      </c>
      <c r="O518">
        <f t="shared" si="114"/>
        <v>3.000518</v>
      </c>
      <c r="P518" t="str">
        <f>IF(OR($A518="",games!$H518=""),"",games!$H518)</f>
        <v>Yes</v>
      </c>
      <c r="Q518">
        <f t="shared" si="115"/>
        <v>3.000518</v>
      </c>
      <c r="T518">
        <f>IF(connections!$A518="","",IFERROR(INDEX(games!$B$2:$B$950,MATCH(connections!$A518,games!$A$2:$A$950,0)),""))</f>
        <v>1984</v>
      </c>
      <c r="U518">
        <f>IF(connections!$A518="","",IFERROR(INDEX(games!$B$2:$B$950,MATCH(connections!$B518,games!$A$2:$A$950,0)),""))</f>
        <v>2022</v>
      </c>
      <c r="V518">
        <f t="shared" si="116"/>
        <v>38</v>
      </c>
    </row>
    <row r="519" spans="1:22" x14ac:dyDescent="0.25">
      <c r="A519" t="str">
        <f>IF(games!$A519="","",games!$A519)</f>
        <v>No-Skin</v>
      </c>
      <c r="B519">
        <f>IF($A519="","",games!$B519)</f>
        <v>2025</v>
      </c>
      <c r="C519" t="str">
        <f>IF($A519="","",games!$C519)</f>
        <v>Strategy</v>
      </c>
      <c r="D519">
        <f>IF($A519="","",COUNTIF(connections!$A$2:$A$1473,$A519)+COUNTIF(connections!$B$2:$B$1473,$A519))</f>
        <v>0</v>
      </c>
      <c r="E519">
        <f t="shared" si="104"/>
        <v>2</v>
      </c>
      <c r="F519">
        <f t="shared" si="105"/>
        <v>9</v>
      </c>
      <c r="G519" t="e">
        <f t="shared" si="106"/>
        <v>#N/A</v>
      </c>
      <c r="H519" t="e">
        <f t="shared" si="107"/>
        <v>#N/A</v>
      </c>
      <c r="I519">
        <f t="shared" si="108"/>
        <v>2025</v>
      </c>
      <c r="J519">
        <f t="shared" si="109"/>
        <v>2.2069999999999999</v>
      </c>
      <c r="K519" t="e">
        <f t="shared" si="110"/>
        <v>#N/A</v>
      </c>
      <c r="L519" t="e">
        <f t="shared" si="111"/>
        <v>#N/A</v>
      </c>
      <c r="M519" t="e">
        <f t="shared" si="112"/>
        <v>#N/A</v>
      </c>
      <c r="N519" t="e">
        <f t="shared" si="113"/>
        <v>#N/A</v>
      </c>
      <c r="O519">
        <f t="shared" si="114"/>
        <v>5.1900000000000004E-4</v>
      </c>
      <c r="P519" t="str">
        <f>IF(OR($A519="",games!$H519=""),"",games!$H519)</f>
        <v/>
      </c>
      <c r="Q519" t="str">
        <f t="shared" si="115"/>
        <v/>
      </c>
      <c r="T519">
        <f>IF(connections!$A519="","",IFERROR(INDEX(games!$B$2:$B$950,MATCH(connections!$A519,games!$A$2:$A$950,0)),""))</f>
        <v>2021</v>
      </c>
      <c r="U519">
        <f>IF(connections!$A519="","",IFERROR(INDEX(games!$B$2:$B$950,MATCH(connections!$B519,games!$A$2:$A$950,0)),""))</f>
        <v>2024</v>
      </c>
      <c r="V519">
        <f t="shared" si="116"/>
        <v>3</v>
      </c>
    </row>
    <row r="520" spans="1:22" x14ac:dyDescent="0.25">
      <c r="A520" t="str">
        <f>IF(games!$A520="","",games!$A520)</f>
        <v>Nova Drift</v>
      </c>
      <c r="B520">
        <f>IF($A520="","",games!$B520)</f>
        <v>2019</v>
      </c>
      <c r="C520" t="str">
        <f>IF($A520="","",games!$C520)</f>
        <v>Action</v>
      </c>
      <c r="D520">
        <f>IF($A520="","",COUNTIF(connections!$A$2:$A$1473,$A520)+COUNTIF(connections!$B$2:$B$1473,$A520))</f>
        <v>2</v>
      </c>
      <c r="E520">
        <f t="shared" si="104"/>
        <v>1</v>
      </c>
      <c r="F520">
        <f t="shared" si="105"/>
        <v>10</v>
      </c>
      <c r="G520">
        <f t="shared" si="106"/>
        <v>2019</v>
      </c>
      <c r="H520">
        <f t="shared" si="107"/>
        <v>1.23</v>
      </c>
      <c r="I520" t="e">
        <f t="shared" si="108"/>
        <v>#N/A</v>
      </c>
      <c r="J520" t="e">
        <f t="shared" si="109"/>
        <v>#N/A</v>
      </c>
      <c r="K520" t="e">
        <f t="shared" si="110"/>
        <v>#N/A</v>
      </c>
      <c r="L520" t="e">
        <f t="shared" si="111"/>
        <v>#N/A</v>
      </c>
      <c r="M520" t="e">
        <f t="shared" si="112"/>
        <v>#N/A</v>
      </c>
      <c r="N520" t="e">
        <f t="shared" si="113"/>
        <v>#N/A</v>
      </c>
      <c r="O520">
        <f t="shared" si="114"/>
        <v>2.0005199999999999</v>
      </c>
      <c r="P520" t="str">
        <f>IF(OR($A520="",games!$H520=""),"",games!$H520)</f>
        <v>Yes</v>
      </c>
      <c r="Q520">
        <f t="shared" si="115"/>
        <v>2.0005199999999999</v>
      </c>
      <c r="T520">
        <f>IF(connections!$A520="","",IFERROR(INDEX(games!$B$2:$B$950,MATCH(connections!$A520,games!$A$2:$A$950,0)),""))</f>
        <v>2024</v>
      </c>
      <c r="U520">
        <f>IF(connections!$A520="","",IFERROR(INDEX(games!$B$2:$B$950,MATCH(connections!$B520,games!$A$2:$A$950,0)),""))</f>
        <v>2026</v>
      </c>
      <c r="V520">
        <f t="shared" si="116"/>
        <v>2</v>
      </c>
    </row>
    <row r="521" spans="1:22" x14ac:dyDescent="0.25">
      <c r="A521" t="str">
        <f>IF(games!$A521="","",games!$A521)</f>
        <v>Nowhere Prophet</v>
      </c>
      <c r="B521">
        <f>IF($A521="","",games!$B521)</f>
        <v>2019</v>
      </c>
      <c r="C521" t="str">
        <f>IF($A521="","",games!$C521)</f>
        <v>Deckbuilder</v>
      </c>
      <c r="D521">
        <f>IF($A521="","",COUNTIF(connections!$A$2:$A$1473,$A521)+COUNTIF(connections!$B$2:$B$1473,$A521))</f>
        <v>2</v>
      </c>
      <c r="E521">
        <f t="shared" si="104"/>
        <v>3</v>
      </c>
      <c r="F521">
        <f t="shared" si="105"/>
        <v>11</v>
      </c>
      <c r="G521" t="e">
        <f t="shared" si="106"/>
        <v>#N/A</v>
      </c>
      <c r="H521" t="e">
        <f t="shared" si="107"/>
        <v>#N/A</v>
      </c>
      <c r="I521" t="e">
        <f t="shared" si="108"/>
        <v>#N/A</v>
      </c>
      <c r="J521" t="e">
        <f t="shared" si="109"/>
        <v>#N/A</v>
      </c>
      <c r="K521">
        <f t="shared" si="110"/>
        <v>2019</v>
      </c>
      <c r="L521">
        <f t="shared" si="111"/>
        <v>3.2530000000000001</v>
      </c>
      <c r="M521" t="e">
        <f t="shared" si="112"/>
        <v>#N/A</v>
      </c>
      <c r="N521" t="e">
        <f t="shared" si="113"/>
        <v>#N/A</v>
      </c>
      <c r="O521">
        <f t="shared" si="114"/>
        <v>2.000521</v>
      </c>
      <c r="P521" t="str">
        <f>IF(OR($A521="",games!$H521=""),"",games!$H521)</f>
        <v>Yes</v>
      </c>
      <c r="Q521">
        <f t="shared" si="115"/>
        <v>2.000521</v>
      </c>
      <c r="T521">
        <f>IF(connections!$A521="","",IFERROR(INDEX(games!$B$2:$B$950,MATCH(connections!$A521,games!$A$2:$A$950,0)),""))</f>
        <v>2020</v>
      </c>
      <c r="U521">
        <f>IF(connections!$A521="","",IFERROR(INDEX(games!$B$2:$B$950,MATCH(connections!$B521,games!$A$2:$A$950,0)),""))</f>
        <v>2023</v>
      </c>
      <c r="V521">
        <f t="shared" si="116"/>
        <v>3</v>
      </c>
    </row>
    <row r="522" spans="1:22" x14ac:dyDescent="0.25">
      <c r="A522" t="str">
        <f>IF(games!$A522="","",games!$A522)</f>
        <v>Nubby's Number Factory</v>
      </c>
      <c r="B522">
        <f>IF($A522="","",games!$B522)</f>
        <v>2024</v>
      </c>
      <c r="C522" t="str">
        <f>IF($A522="","",games!$C522)</f>
        <v>Strategy</v>
      </c>
      <c r="D522">
        <f>IF($A522="","",COUNTIF(connections!$A$2:$A$1473,$A522)+COUNTIF(connections!$B$2:$B$1473,$A522))</f>
        <v>6</v>
      </c>
      <c r="E522">
        <f t="shared" si="104"/>
        <v>2</v>
      </c>
      <c r="F522">
        <f t="shared" si="105"/>
        <v>12</v>
      </c>
      <c r="G522" t="e">
        <f t="shared" si="106"/>
        <v>#N/A</v>
      </c>
      <c r="H522" t="e">
        <f t="shared" si="107"/>
        <v>#N/A</v>
      </c>
      <c r="I522">
        <f t="shared" si="108"/>
        <v>2024</v>
      </c>
      <c r="J522">
        <f t="shared" si="109"/>
        <v>2.2759999999999998</v>
      </c>
      <c r="K522" t="e">
        <f t="shared" si="110"/>
        <v>#N/A</v>
      </c>
      <c r="L522" t="e">
        <f t="shared" si="111"/>
        <v>#N/A</v>
      </c>
      <c r="M522" t="e">
        <f t="shared" si="112"/>
        <v>#N/A</v>
      </c>
      <c r="N522" t="e">
        <f t="shared" si="113"/>
        <v>#N/A</v>
      </c>
      <c r="O522">
        <f t="shared" si="114"/>
        <v>6.0005220000000001</v>
      </c>
      <c r="P522" t="str">
        <f>IF(OR($A522="",games!$H522=""),"",games!$H522)</f>
        <v>Yes</v>
      </c>
      <c r="Q522">
        <f t="shared" si="115"/>
        <v>6.0005220000000001</v>
      </c>
      <c r="T522">
        <f>IF(connections!$A522="","",IFERROR(INDEX(games!$B$2:$B$950,MATCH(connections!$A522,games!$A$2:$A$950,0)),""))</f>
        <v>2023</v>
      </c>
      <c r="U522">
        <f>IF(connections!$A522="","",IFERROR(INDEX(games!$B$2:$B$950,MATCH(connections!$B522,games!$A$2:$A$950,0)),""))</f>
        <v>2024</v>
      </c>
      <c r="V522">
        <f t="shared" si="116"/>
        <v>1</v>
      </c>
    </row>
    <row r="523" spans="1:22" x14ac:dyDescent="0.25">
      <c r="A523" t="str">
        <f>IF(games!$A523="","",games!$A523)</f>
        <v>Nuclear Throne</v>
      </c>
      <c r="B523">
        <f>IF($A523="","",games!$B523)</f>
        <v>2015</v>
      </c>
      <c r="C523" t="str">
        <f>IF($A523="","",games!$C523)</f>
        <v>Action</v>
      </c>
      <c r="D523">
        <f>IF($A523="","",COUNTIF(connections!$A$2:$A$1473,$A523)+COUNTIF(connections!$B$2:$B$1473,$A523))</f>
        <v>30</v>
      </c>
      <c r="E523">
        <f t="shared" si="104"/>
        <v>1</v>
      </c>
      <c r="F523">
        <f t="shared" si="105"/>
        <v>13</v>
      </c>
      <c r="G523">
        <f t="shared" si="106"/>
        <v>2015</v>
      </c>
      <c r="H523">
        <f t="shared" si="107"/>
        <v>1.2989999999999999</v>
      </c>
      <c r="I523" t="e">
        <f t="shared" si="108"/>
        <v>#N/A</v>
      </c>
      <c r="J523" t="e">
        <f t="shared" si="109"/>
        <v>#N/A</v>
      </c>
      <c r="K523" t="e">
        <f t="shared" si="110"/>
        <v>#N/A</v>
      </c>
      <c r="L523" t="e">
        <f t="shared" si="111"/>
        <v>#N/A</v>
      </c>
      <c r="M523" t="e">
        <f t="shared" si="112"/>
        <v>#N/A</v>
      </c>
      <c r="N523" t="e">
        <f t="shared" si="113"/>
        <v>#N/A</v>
      </c>
      <c r="O523">
        <f t="shared" si="114"/>
        <v>30.000523000000001</v>
      </c>
      <c r="P523" t="str">
        <f>IF(OR($A523="",games!$H523=""),"",games!$H523)</f>
        <v>Yes</v>
      </c>
      <c r="Q523">
        <f t="shared" si="115"/>
        <v>30.000523000000001</v>
      </c>
      <c r="T523">
        <f>IF(connections!$A523="","",IFERROR(INDEX(games!$B$2:$B$950,MATCH(connections!$A523,games!$A$2:$A$950,0)),""))</f>
        <v>2021</v>
      </c>
      <c r="U523">
        <f>IF(connections!$A523="","",IFERROR(INDEX(games!$B$2:$B$950,MATCH(connections!$B523,games!$A$2:$A$950,0)),""))</f>
        <v>2024</v>
      </c>
      <c r="V523">
        <f t="shared" si="116"/>
        <v>3</v>
      </c>
    </row>
    <row r="524" spans="1:22" x14ac:dyDescent="0.25">
      <c r="A524" t="str">
        <f>IF(games!$A524="","",games!$A524)</f>
        <v>Nunholy</v>
      </c>
      <c r="B524">
        <f>IF($A524="","",games!$B524)</f>
        <v>2025</v>
      </c>
      <c r="C524" t="str">
        <f>IF($A524="","",games!$C524)</f>
        <v>Action</v>
      </c>
      <c r="D524">
        <f>IF($A524="","",COUNTIF(connections!$A$2:$A$1473,$A524)+COUNTIF(connections!$B$2:$B$1473,$A524))</f>
        <v>1</v>
      </c>
      <c r="E524">
        <f t="shared" si="104"/>
        <v>1</v>
      </c>
      <c r="F524">
        <f t="shared" si="105"/>
        <v>14</v>
      </c>
      <c r="G524">
        <f t="shared" si="106"/>
        <v>2025</v>
      </c>
      <c r="H524">
        <f t="shared" si="107"/>
        <v>1.3220000000000001</v>
      </c>
      <c r="I524" t="e">
        <f t="shared" si="108"/>
        <v>#N/A</v>
      </c>
      <c r="J524" t="e">
        <f t="shared" si="109"/>
        <v>#N/A</v>
      </c>
      <c r="K524" t="e">
        <f t="shared" si="110"/>
        <v>#N/A</v>
      </c>
      <c r="L524" t="e">
        <f t="shared" si="111"/>
        <v>#N/A</v>
      </c>
      <c r="M524" t="e">
        <f t="shared" si="112"/>
        <v>#N/A</v>
      </c>
      <c r="N524" t="e">
        <f t="shared" si="113"/>
        <v>#N/A</v>
      </c>
      <c r="O524">
        <f t="shared" si="114"/>
        <v>1.000524</v>
      </c>
      <c r="P524" t="str">
        <f>IF(OR($A524="",games!$H524=""),"",games!$H524)</f>
        <v>Yes</v>
      </c>
      <c r="Q524">
        <f t="shared" si="115"/>
        <v>1.000524</v>
      </c>
      <c r="T524">
        <f>IF(connections!$A524="","",IFERROR(INDEX(games!$B$2:$B$950,MATCH(connections!$A524,games!$A$2:$A$950,0)),""))</f>
        <v>1987</v>
      </c>
      <c r="U524">
        <f>IF(connections!$A524="","",IFERROR(INDEX(games!$B$2:$B$950,MATCH(connections!$B524,games!$A$2:$A$950,0)),""))</f>
        <v>2020</v>
      </c>
      <c r="V524">
        <f t="shared" si="116"/>
        <v>33</v>
      </c>
    </row>
    <row r="525" spans="1:22" x14ac:dyDescent="0.25">
      <c r="A525" t="str">
        <f>IF(games!$A525="","",games!$A525)</f>
        <v>Oaken Tower</v>
      </c>
      <c r="B525">
        <f>IF($A525="","",games!$B525)</f>
        <v>2026</v>
      </c>
      <c r="C525" t="str">
        <f>IF($A525="","",games!$C525)</f>
        <v>Strategy</v>
      </c>
      <c r="D525">
        <f>IF($A525="","",COUNTIF(connections!$A$2:$A$1473,$A525)+COUNTIF(connections!$B$2:$B$1473,$A525))</f>
        <v>4</v>
      </c>
      <c r="E525">
        <f t="shared" si="104"/>
        <v>2</v>
      </c>
      <c r="F525">
        <f t="shared" si="105"/>
        <v>15</v>
      </c>
      <c r="G525" t="e">
        <f t="shared" si="106"/>
        <v>#N/A</v>
      </c>
      <c r="H525" t="e">
        <f t="shared" si="107"/>
        <v>#N/A</v>
      </c>
      <c r="I525">
        <f t="shared" si="108"/>
        <v>2026</v>
      </c>
      <c r="J525">
        <f t="shared" si="109"/>
        <v>2.3449999999999998</v>
      </c>
      <c r="K525" t="e">
        <f t="shared" si="110"/>
        <v>#N/A</v>
      </c>
      <c r="L525" t="e">
        <f t="shared" si="111"/>
        <v>#N/A</v>
      </c>
      <c r="M525" t="e">
        <f t="shared" si="112"/>
        <v>#N/A</v>
      </c>
      <c r="N525" t="e">
        <f t="shared" si="113"/>
        <v>#N/A</v>
      </c>
      <c r="O525">
        <f t="shared" si="114"/>
        <v>4.0005249999999997</v>
      </c>
      <c r="P525" t="str">
        <f>IF(OR($A525="",games!$H525=""),"",games!$H525)</f>
        <v/>
      </c>
      <c r="Q525" t="str">
        <f t="shared" si="115"/>
        <v/>
      </c>
      <c r="T525">
        <f>IF(connections!$A525="","",IFERROR(INDEX(games!$B$2:$B$950,MATCH(connections!$A525,games!$A$2:$A$950,0)),""))</f>
        <v>2022</v>
      </c>
      <c r="U525">
        <f>IF(connections!$A525="","",IFERROR(INDEX(games!$B$2:$B$950,MATCH(connections!$B525,games!$A$2:$A$950,0)),""))</f>
        <v>2025</v>
      </c>
      <c r="V525">
        <f t="shared" si="116"/>
        <v>3</v>
      </c>
    </row>
    <row r="526" spans="1:22" x14ac:dyDescent="0.25">
      <c r="A526" t="str">
        <f>IF(games!$A526="","",games!$A526)</f>
        <v>Oblivion Override</v>
      </c>
      <c r="B526">
        <f>IF($A526="","",games!$B526)</f>
        <v>2023</v>
      </c>
      <c r="C526" t="str">
        <f>IF($A526="","",games!$C526)</f>
        <v>Action</v>
      </c>
      <c r="D526">
        <f>IF($A526="","",COUNTIF(connections!$A$2:$A$1473,$A526)+COUNTIF(connections!$B$2:$B$1473,$A526))</f>
        <v>1</v>
      </c>
      <c r="E526">
        <f t="shared" si="104"/>
        <v>1</v>
      </c>
      <c r="F526">
        <f t="shared" si="105"/>
        <v>16</v>
      </c>
      <c r="G526">
        <f t="shared" si="106"/>
        <v>2023</v>
      </c>
      <c r="H526">
        <f t="shared" si="107"/>
        <v>1.3679999999999999</v>
      </c>
      <c r="I526" t="e">
        <f t="shared" si="108"/>
        <v>#N/A</v>
      </c>
      <c r="J526" t="e">
        <f t="shared" si="109"/>
        <v>#N/A</v>
      </c>
      <c r="K526" t="e">
        <f t="shared" si="110"/>
        <v>#N/A</v>
      </c>
      <c r="L526" t="e">
        <f t="shared" si="111"/>
        <v>#N/A</v>
      </c>
      <c r="M526" t="e">
        <f t="shared" si="112"/>
        <v>#N/A</v>
      </c>
      <c r="N526" t="e">
        <f t="shared" si="113"/>
        <v>#N/A</v>
      </c>
      <c r="O526">
        <f t="shared" si="114"/>
        <v>1.000526</v>
      </c>
      <c r="P526" t="str">
        <f>IF(OR($A526="",games!$H526=""),"",games!$H526)</f>
        <v/>
      </c>
      <c r="Q526" t="str">
        <f t="shared" si="115"/>
        <v/>
      </c>
      <c r="T526">
        <f>IF(connections!$A526="","",IFERROR(INDEX(games!$B$2:$B$950,MATCH(connections!$A526,games!$A$2:$A$950,0)),""))</f>
        <v>2021</v>
      </c>
      <c r="U526">
        <f>IF(connections!$A526="","",IFERROR(INDEX(games!$B$2:$B$950,MATCH(connections!$B526,games!$A$2:$A$950,0)),""))</f>
        <v>2025</v>
      </c>
      <c r="V526">
        <f t="shared" si="116"/>
        <v>4</v>
      </c>
    </row>
    <row r="527" spans="1:22" x14ac:dyDescent="0.25">
      <c r="A527" t="str">
        <f>IF(games!$A527="","",games!$A527)</f>
        <v>Obsidian Prince</v>
      </c>
      <c r="B527">
        <f>IF($A527="","",games!$B527)</f>
        <v>2021</v>
      </c>
      <c r="C527" t="str">
        <f>IF($A527="","",games!$C527)</f>
        <v>Deckbuilder</v>
      </c>
      <c r="D527">
        <f>IF($A527="","",COUNTIF(connections!$A$2:$A$1473,$A527)+COUNTIF(connections!$B$2:$B$1473,$A527))</f>
        <v>2</v>
      </c>
      <c r="E527">
        <f t="shared" si="104"/>
        <v>3</v>
      </c>
      <c r="F527">
        <f t="shared" si="105"/>
        <v>17</v>
      </c>
      <c r="G527" t="e">
        <f t="shared" si="106"/>
        <v>#N/A</v>
      </c>
      <c r="H527" t="e">
        <f t="shared" si="107"/>
        <v>#N/A</v>
      </c>
      <c r="I527" t="e">
        <f t="shared" si="108"/>
        <v>#N/A</v>
      </c>
      <c r="J527" t="e">
        <f t="shared" si="109"/>
        <v>#N/A</v>
      </c>
      <c r="K527">
        <f t="shared" si="110"/>
        <v>2021</v>
      </c>
      <c r="L527">
        <f t="shared" si="111"/>
        <v>3.391</v>
      </c>
      <c r="M527" t="e">
        <f t="shared" si="112"/>
        <v>#N/A</v>
      </c>
      <c r="N527" t="e">
        <f t="shared" si="113"/>
        <v>#N/A</v>
      </c>
      <c r="O527">
        <f t="shared" si="114"/>
        <v>2.0005269999999999</v>
      </c>
      <c r="P527" t="str">
        <f>IF(OR($A527="",games!$H527=""),"",games!$H527)</f>
        <v>Yes</v>
      </c>
      <c r="Q527">
        <f t="shared" si="115"/>
        <v>2.0005269999999999</v>
      </c>
      <c r="T527">
        <f>IF(connections!$A527="","",IFERROR(INDEX(games!$B$2:$B$950,MATCH(connections!$A527,games!$A$2:$A$950,0)),""))</f>
        <v>2022</v>
      </c>
      <c r="U527">
        <f>IF(connections!$A527="","",IFERROR(INDEX(games!$B$2:$B$950,MATCH(connections!$B527,games!$A$2:$A$950,0)),""))</f>
        <v>2025</v>
      </c>
      <c r="V527">
        <f t="shared" si="116"/>
        <v>3</v>
      </c>
    </row>
    <row r="528" spans="1:22" x14ac:dyDescent="0.25">
      <c r="A528" t="str">
        <f>IF(games!$A528="","",games!$A528)</f>
        <v>Octogeddon</v>
      </c>
      <c r="B528">
        <f>IF($A528="","",games!$B528)</f>
        <v>2018</v>
      </c>
      <c r="C528" t="str">
        <f>IF($A528="","",games!$C528)</f>
        <v>Action</v>
      </c>
      <c r="D528">
        <f>IF($A528="","",COUNTIF(connections!$A$2:$A$1473,$A528)+COUNTIF(connections!$B$2:$B$1473,$A528))</f>
        <v>0</v>
      </c>
      <c r="E528">
        <f t="shared" si="104"/>
        <v>1</v>
      </c>
      <c r="F528">
        <f t="shared" si="105"/>
        <v>18</v>
      </c>
      <c r="G528">
        <f t="shared" si="106"/>
        <v>2018</v>
      </c>
      <c r="H528">
        <f t="shared" si="107"/>
        <v>1.4139999999999999</v>
      </c>
      <c r="I528" t="e">
        <f t="shared" si="108"/>
        <v>#N/A</v>
      </c>
      <c r="J528" t="e">
        <f t="shared" si="109"/>
        <v>#N/A</v>
      </c>
      <c r="K528" t="e">
        <f t="shared" si="110"/>
        <v>#N/A</v>
      </c>
      <c r="L528" t="e">
        <f t="shared" si="111"/>
        <v>#N/A</v>
      </c>
      <c r="M528" t="e">
        <f t="shared" si="112"/>
        <v>#N/A</v>
      </c>
      <c r="N528" t="e">
        <f t="shared" si="113"/>
        <v>#N/A</v>
      </c>
      <c r="O528">
        <f t="shared" si="114"/>
        <v>5.2800000000000004E-4</v>
      </c>
      <c r="P528" t="str">
        <f>IF(OR($A528="",games!$H528=""),"",games!$H528)</f>
        <v>Yes</v>
      </c>
      <c r="Q528">
        <f t="shared" si="115"/>
        <v>5.2800000000000004E-4</v>
      </c>
      <c r="T528">
        <f>IF(connections!$A528="","",IFERROR(INDEX(games!$B$2:$B$950,MATCH(connections!$A528,games!$A$2:$A$950,0)),""))</f>
        <v>2022</v>
      </c>
      <c r="U528">
        <f>IF(connections!$A528="","",IFERROR(INDEX(games!$B$2:$B$950,MATCH(connections!$B528,games!$A$2:$A$950,0)),""))</f>
        <v>2023</v>
      </c>
      <c r="V528">
        <f t="shared" si="116"/>
        <v>1</v>
      </c>
    </row>
    <row r="529" spans="1:22" x14ac:dyDescent="0.25">
      <c r="A529" t="str">
        <f>IF(games!$A529="","",games!$A529)</f>
        <v>Oddcore</v>
      </c>
      <c r="B529">
        <f>IF($A529="","",games!$B529)</f>
        <v>2026</v>
      </c>
      <c r="C529" t="str">
        <f>IF($A529="","",games!$C529)</f>
        <v>Action</v>
      </c>
      <c r="D529">
        <f>IF($A529="","",COUNTIF(connections!$A$2:$A$1473,$A529)+COUNTIF(connections!$B$2:$B$1473,$A529))</f>
        <v>1</v>
      </c>
      <c r="E529">
        <f t="shared" si="104"/>
        <v>1</v>
      </c>
      <c r="F529">
        <f t="shared" si="105"/>
        <v>19</v>
      </c>
      <c r="G529">
        <f t="shared" si="106"/>
        <v>2026</v>
      </c>
      <c r="H529">
        <f t="shared" si="107"/>
        <v>1.4370000000000001</v>
      </c>
      <c r="I529" t="e">
        <f t="shared" si="108"/>
        <v>#N/A</v>
      </c>
      <c r="J529" t="e">
        <f t="shared" si="109"/>
        <v>#N/A</v>
      </c>
      <c r="K529" t="e">
        <f t="shared" si="110"/>
        <v>#N/A</v>
      </c>
      <c r="L529" t="e">
        <f t="shared" si="111"/>
        <v>#N/A</v>
      </c>
      <c r="M529" t="e">
        <f t="shared" si="112"/>
        <v>#N/A</v>
      </c>
      <c r="N529" t="e">
        <f t="shared" si="113"/>
        <v>#N/A</v>
      </c>
      <c r="O529">
        <f t="shared" si="114"/>
        <v>1.000529</v>
      </c>
      <c r="P529" t="str">
        <f>IF(OR($A529="",games!$H529=""),"",games!$H529)</f>
        <v/>
      </c>
      <c r="Q529" t="str">
        <f t="shared" si="115"/>
        <v/>
      </c>
      <c r="T529">
        <f>IF(connections!$A529="","",IFERROR(INDEX(games!$B$2:$B$950,MATCH(connections!$A529,games!$A$2:$A$950,0)),""))</f>
        <v>1996</v>
      </c>
      <c r="U529">
        <f>IF(connections!$A529="","",IFERROR(INDEX(games!$B$2:$B$950,MATCH(connections!$B529,games!$A$2:$A$950,0)),""))</f>
        <v>2023</v>
      </c>
      <c r="V529">
        <f t="shared" si="116"/>
        <v>27</v>
      </c>
    </row>
    <row r="530" spans="1:22" x14ac:dyDescent="0.25">
      <c r="A530" t="str">
        <f>IF(games!$A530="","",games!$A530)</f>
        <v>Odinfall</v>
      </c>
      <c r="B530">
        <f>IF($A530="","",games!$B530)</f>
        <v>2025</v>
      </c>
      <c r="C530" t="str">
        <f>IF($A530="","",games!$C530)</f>
        <v>Action</v>
      </c>
      <c r="D530">
        <f>IF($A530="","",COUNTIF(connections!$A$2:$A$1473,$A530)+COUNTIF(connections!$B$2:$B$1473,$A530))</f>
        <v>2</v>
      </c>
      <c r="E530">
        <f t="shared" si="104"/>
        <v>1</v>
      </c>
      <c r="F530">
        <f t="shared" si="105"/>
        <v>20</v>
      </c>
      <c r="G530">
        <f t="shared" si="106"/>
        <v>2025</v>
      </c>
      <c r="H530">
        <f t="shared" si="107"/>
        <v>1.46</v>
      </c>
      <c r="I530" t="e">
        <f t="shared" si="108"/>
        <v>#N/A</v>
      </c>
      <c r="J530" t="e">
        <f t="shared" si="109"/>
        <v>#N/A</v>
      </c>
      <c r="K530" t="e">
        <f t="shared" si="110"/>
        <v>#N/A</v>
      </c>
      <c r="L530" t="e">
        <f t="shared" si="111"/>
        <v>#N/A</v>
      </c>
      <c r="M530" t="e">
        <f t="shared" si="112"/>
        <v>#N/A</v>
      </c>
      <c r="N530" t="e">
        <f t="shared" si="113"/>
        <v>#N/A</v>
      </c>
      <c r="O530">
        <f t="shared" si="114"/>
        <v>2.0005299999999999</v>
      </c>
      <c r="P530" t="str">
        <f>IF(OR($A530="",games!$H530=""),"",games!$H530)</f>
        <v/>
      </c>
      <c r="Q530" t="str">
        <f t="shared" si="115"/>
        <v/>
      </c>
      <c r="T530">
        <f>IF(connections!$A530="","",IFERROR(INDEX(games!$B$2:$B$950,MATCH(connections!$A530,games!$A$2:$A$950,0)),""))</f>
        <v>2021</v>
      </c>
      <c r="U530">
        <f>IF(connections!$A530="","",IFERROR(INDEX(games!$B$2:$B$950,MATCH(connections!$B530,games!$A$2:$A$950,0)),""))</f>
        <v>2023</v>
      </c>
      <c r="V530">
        <f t="shared" si="116"/>
        <v>2</v>
      </c>
    </row>
    <row r="531" spans="1:22" x14ac:dyDescent="0.25">
      <c r="A531" t="str">
        <f>IF(games!$A531="","",games!$A531)</f>
        <v>Ogre Chambers 2222</v>
      </c>
      <c r="B531">
        <f>IF($A531="","",games!$B531)</f>
        <v>2026</v>
      </c>
      <c r="C531" t="str">
        <f>IF($A531="","",games!$C531)</f>
        <v>Action</v>
      </c>
      <c r="D531">
        <f>IF($A531="","",COUNTIF(connections!$A$2:$A$1473,$A531)+COUNTIF(connections!$B$2:$B$1473,$A531))</f>
        <v>3</v>
      </c>
      <c r="E531">
        <f t="shared" si="104"/>
        <v>1</v>
      </c>
      <c r="F531">
        <f t="shared" si="105"/>
        <v>21</v>
      </c>
      <c r="G531">
        <f t="shared" si="106"/>
        <v>2026</v>
      </c>
      <c r="H531">
        <f t="shared" si="107"/>
        <v>1.4830000000000001</v>
      </c>
      <c r="I531" t="e">
        <f t="shared" si="108"/>
        <v>#N/A</v>
      </c>
      <c r="J531" t="e">
        <f t="shared" si="109"/>
        <v>#N/A</v>
      </c>
      <c r="K531" t="e">
        <f t="shared" si="110"/>
        <v>#N/A</v>
      </c>
      <c r="L531" t="e">
        <f t="shared" si="111"/>
        <v>#N/A</v>
      </c>
      <c r="M531" t="e">
        <f t="shared" si="112"/>
        <v>#N/A</v>
      </c>
      <c r="N531" t="e">
        <f t="shared" si="113"/>
        <v>#N/A</v>
      </c>
      <c r="O531">
        <f t="shared" si="114"/>
        <v>3.0005310000000001</v>
      </c>
      <c r="P531" t="str">
        <f>IF(OR($A531="",games!$H531=""),"",games!$H531)</f>
        <v/>
      </c>
      <c r="Q531" t="str">
        <f t="shared" si="115"/>
        <v/>
      </c>
      <c r="T531">
        <f>IF(connections!$A531="","",IFERROR(INDEX(games!$B$2:$B$950,MATCH(connections!$A531,games!$A$2:$A$950,0)),""))</f>
        <v>2016</v>
      </c>
      <c r="U531">
        <f>IF(connections!$A531="","",IFERROR(INDEX(games!$B$2:$B$950,MATCH(connections!$B531,games!$A$2:$A$950,0)),""))</f>
        <v>2020</v>
      </c>
      <c r="V531">
        <f t="shared" si="116"/>
        <v>4</v>
      </c>
    </row>
    <row r="532" spans="1:22" x14ac:dyDescent="0.25">
      <c r="A532" t="str">
        <f>IF(games!$A532="","",games!$A532)</f>
        <v>Omega</v>
      </c>
      <c r="B532">
        <f>IF($A532="","",games!$B532)</f>
        <v>1987</v>
      </c>
      <c r="C532" t="str">
        <f>IF($A532="","",games!$C532)</f>
        <v>Traditional</v>
      </c>
      <c r="D532">
        <f>IF($A532="","",COUNTIF(connections!$A$2:$A$1473,$A532)+COUNTIF(connections!$B$2:$B$1473,$A532))</f>
        <v>6</v>
      </c>
      <c r="E532">
        <f t="shared" si="104"/>
        <v>4</v>
      </c>
      <c r="F532">
        <f t="shared" si="105"/>
        <v>22</v>
      </c>
      <c r="G532" t="e">
        <f t="shared" si="106"/>
        <v>#N/A</v>
      </c>
      <c r="H532" t="e">
        <f t="shared" si="107"/>
        <v>#N/A</v>
      </c>
      <c r="I532" t="e">
        <f t="shared" si="108"/>
        <v>#N/A</v>
      </c>
      <c r="J532" t="e">
        <f t="shared" si="109"/>
        <v>#N/A</v>
      </c>
      <c r="K532" t="e">
        <f t="shared" si="110"/>
        <v>#N/A</v>
      </c>
      <c r="L532" t="e">
        <f t="shared" si="111"/>
        <v>#N/A</v>
      </c>
      <c r="M532">
        <f t="shared" si="112"/>
        <v>1987</v>
      </c>
      <c r="N532">
        <f t="shared" si="113"/>
        <v>4.5060000000000002</v>
      </c>
      <c r="O532">
        <f t="shared" si="114"/>
        <v>6.0005319999999998</v>
      </c>
      <c r="P532" t="str">
        <f>IF(OR($A532="",games!$H532=""),"",games!$H532)</f>
        <v>Yes</v>
      </c>
      <c r="Q532">
        <f t="shared" si="115"/>
        <v>6.0005319999999998</v>
      </c>
      <c r="T532">
        <f>IF(connections!$A532="","",IFERROR(INDEX(games!$B$2:$B$950,MATCH(connections!$A532,games!$A$2:$A$950,0)),""))</f>
        <v>2019</v>
      </c>
      <c r="U532">
        <f>IF(connections!$A532="","",IFERROR(INDEX(games!$B$2:$B$950,MATCH(connections!$B532,games!$A$2:$A$950,0)),""))</f>
        <v>2020</v>
      </c>
      <c r="V532">
        <f t="shared" si="116"/>
        <v>1</v>
      </c>
    </row>
    <row r="533" spans="1:22" x14ac:dyDescent="0.25">
      <c r="A533" t="str">
        <f>IF(games!$A533="","",games!$A533)</f>
        <v>Omega Labyrinth</v>
      </c>
      <c r="B533">
        <f>IF($A533="","",games!$B533)</f>
        <v>2015</v>
      </c>
      <c r="C533" t="str">
        <f>IF($A533="","",games!$C533)</f>
        <v>Traditional</v>
      </c>
      <c r="D533">
        <f>IF($A533="","",COUNTIF(connections!$A$2:$A$1473,$A533)+COUNTIF(connections!$B$2:$B$1473,$A533))</f>
        <v>2</v>
      </c>
      <c r="E533">
        <f t="shared" si="104"/>
        <v>4</v>
      </c>
      <c r="F533">
        <f t="shared" si="105"/>
        <v>23</v>
      </c>
      <c r="G533" t="e">
        <f t="shared" si="106"/>
        <v>#N/A</v>
      </c>
      <c r="H533" t="e">
        <f t="shared" si="107"/>
        <v>#N/A</v>
      </c>
      <c r="I533" t="e">
        <f t="shared" si="108"/>
        <v>#N/A</v>
      </c>
      <c r="J533" t="e">
        <f t="shared" si="109"/>
        <v>#N/A</v>
      </c>
      <c r="K533" t="e">
        <f t="shared" si="110"/>
        <v>#N/A</v>
      </c>
      <c r="L533" t="e">
        <f t="shared" si="111"/>
        <v>#N/A</v>
      </c>
      <c r="M533">
        <f t="shared" si="112"/>
        <v>2015</v>
      </c>
      <c r="N533">
        <f t="shared" si="113"/>
        <v>4.5289999999999999</v>
      </c>
      <c r="O533">
        <f t="shared" si="114"/>
        <v>2.0005329999999999</v>
      </c>
      <c r="P533" t="str">
        <f>IF(OR($A533="",games!$H533=""),"",games!$H533)</f>
        <v/>
      </c>
      <c r="Q533" t="str">
        <f t="shared" si="115"/>
        <v/>
      </c>
      <c r="T533">
        <f>IF(connections!$A533="","",IFERROR(INDEX(games!$B$2:$B$950,MATCH(connections!$A533,games!$A$2:$A$950,0)),""))</f>
        <v>2008</v>
      </c>
      <c r="U533">
        <f>IF(connections!$A533="","",IFERROR(INDEX(games!$B$2:$B$950,MATCH(connections!$B533,games!$A$2:$A$950,0)),""))</f>
        <v>2020</v>
      </c>
      <c r="V533">
        <f t="shared" si="116"/>
        <v>12</v>
      </c>
    </row>
    <row r="534" spans="1:22" x14ac:dyDescent="0.25">
      <c r="A534" t="str">
        <f>IF(games!$A534="","",games!$A534)</f>
        <v>Omega Labyrinth Life</v>
      </c>
      <c r="B534">
        <f>IF($A534="","",games!$B534)</f>
        <v>2019</v>
      </c>
      <c r="C534" t="str">
        <f>IF($A534="","",games!$C534)</f>
        <v>Traditional</v>
      </c>
      <c r="D534">
        <f>IF($A534="","",COUNTIF(connections!$A$2:$A$1473,$A534)+COUNTIF(connections!$B$2:$B$1473,$A534))</f>
        <v>1</v>
      </c>
      <c r="E534">
        <f t="shared" si="104"/>
        <v>4</v>
      </c>
      <c r="F534">
        <f t="shared" si="105"/>
        <v>24</v>
      </c>
      <c r="G534" t="e">
        <f t="shared" si="106"/>
        <v>#N/A</v>
      </c>
      <c r="H534" t="e">
        <f t="shared" si="107"/>
        <v>#N/A</v>
      </c>
      <c r="I534" t="e">
        <f t="shared" si="108"/>
        <v>#N/A</v>
      </c>
      <c r="J534" t="e">
        <f t="shared" si="109"/>
        <v>#N/A</v>
      </c>
      <c r="K534" t="e">
        <f t="shared" si="110"/>
        <v>#N/A</v>
      </c>
      <c r="L534" t="e">
        <f t="shared" si="111"/>
        <v>#N/A</v>
      </c>
      <c r="M534">
        <f t="shared" si="112"/>
        <v>2019</v>
      </c>
      <c r="N534">
        <f t="shared" si="113"/>
        <v>4.5519999999999996</v>
      </c>
      <c r="O534">
        <f t="shared" si="114"/>
        <v>1.000534</v>
      </c>
      <c r="P534" t="str">
        <f>IF(OR($A534="",games!$H534=""),"",games!$H534)</f>
        <v>Yes</v>
      </c>
      <c r="Q534">
        <f t="shared" si="115"/>
        <v>1.000534</v>
      </c>
      <c r="T534">
        <f>IF(connections!$A534="","",IFERROR(INDEX(games!$B$2:$B$950,MATCH(connections!$A534,games!$A$2:$A$950,0)),""))</f>
        <v>2011</v>
      </c>
      <c r="U534">
        <f>IF(connections!$A534="","",IFERROR(INDEX(games!$B$2:$B$950,MATCH(connections!$B534,games!$A$2:$A$950,0)),""))</f>
        <v>2020</v>
      </c>
      <c r="V534">
        <f t="shared" si="116"/>
        <v>9</v>
      </c>
    </row>
    <row r="535" spans="1:22" x14ac:dyDescent="0.25">
      <c r="A535" t="str">
        <f>IF(games!$A535="","",games!$A535)</f>
        <v>Omega Labyrinth Z</v>
      </c>
      <c r="B535">
        <f>IF($A535="","",games!$B535)</f>
        <v>2017</v>
      </c>
      <c r="C535" t="str">
        <f>IF($A535="","",games!$C535)</f>
        <v>Traditional</v>
      </c>
      <c r="D535">
        <f>IF($A535="","",COUNTIF(connections!$A$2:$A$1473,$A535)+COUNTIF(connections!$B$2:$B$1473,$A535))</f>
        <v>2</v>
      </c>
      <c r="E535">
        <f t="shared" si="104"/>
        <v>4</v>
      </c>
      <c r="F535">
        <f t="shared" si="105"/>
        <v>25</v>
      </c>
      <c r="G535" t="e">
        <f t="shared" si="106"/>
        <v>#N/A</v>
      </c>
      <c r="H535" t="e">
        <f t="shared" si="107"/>
        <v>#N/A</v>
      </c>
      <c r="I535" t="e">
        <f t="shared" si="108"/>
        <v>#N/A</v>
      </c>
      <c r="J535" t="e">
        <f t="shared" si="109"/>
        <v>#N/A</v>
      </c>
      <c r="K535" t="e">
        <f t="shared" si="110"/>
        <v>#N/A</v>
      </c>
      <c r="L535" t="e">
        <f t="shared" si="111"/>
        <v>#N/A</v>
      </c>
      <c r="M535">
        <f t="shared" si="112"/>
        <v>2017</v>
      </c>
      <c r="N535">
        <f t="shared" si="113"/>
        <v>4.5750000000000002</v>
      </c>
      <c r="O535">
        <f t="shared" si="114"/>
        <v>2.0005350000000002</v>
      </c>
      <c r="P535" t="str">
        <f>IF(OR($A535="",games!$H535=""),"",games!$H535)</f>
        <v/>
      </c>
      <c r="Q535" t="str">
        <f t="shared" si="115"/>
        <v/>
      </c>
      <c r="T535">
        <f>IF(connections!$A535="","",IFERROR(INDEX(games!$B$2:$B$950,MATCH(connections!$A535,games!$A$2:$A$950,0)),""))</f>
        <v>2006</v>
      </c>
      <c r="U535">
        <f>IF(connections!$A535="","",IFERROR(INDEX(games!$B$2:$B$950,MATCH(connections!$B535,games!$A$2:$A$950,0)),""))</f>
        <v>2014</v>
      </c>
      <c r="V535">
        <f t="shared" si="116"/>
        <v>8</v>
      </c>
    </row>
    <row r="536" spans="1:22" x14ac:dyDescent="0.25">
      <c r="A536" t="str">
        <f>IF(games!$A536="","",games!$A536)</f>
        <v>Omelet You Cook</v>
      </c>
      <c r="B536">
        <f>IF($A536="","",games!$B536)</f>
        <v>2025</v>
      </c>
      <c r="C536" t="str">
        <f>IF($A536="","",games!$C536)</f>
        <v>Deckbuilder</v>
      </c>
      <c r="D536">
        <f>IF($A536="","",COUNTIF(connections!$A$2:$A$1473,$A536)+COUNTIF(connections!$B$2:$B$1473,$A536))</f>
        <v>3</v>
      </c>
      <c r="E536">
        <f t="shared" si="104"/>
        <v>3</v>
      </c>
      <c r="F536">
        <f t="shared" si="105"/>
        <v>26</v>
      </c>
      <c r="G536" t="e">
        <f t="shared" si="106"/>
        <v>#N/A</v>
      </c>
      <c r="H536" t="e">
        <f t="shared" si="107"/>
        <v>#N/A</v>
      </c>
      <c r="I536" t="e">
        <f t="shared" si="108"/>
        <v>#N/A</v>
      </c>
      <c r="J536" t="e">
        <f t="shared" si="109"/>
        <v>#N/A</v>
      </c>
      <c r="K536">
        <f t="shared" si="110"/>
        <v>2025</v>
      </c>
      <c r="L536">
        <f t="shared" si="111"/>
        <v>3.5979999999999999</v>
      </c>
      <c r="M536" t="e">
        <f t="shared" si="112"/>
        <v>#N/A</v>
      </c>
      <c r="N536" t="e">
        <f t="shared" si="113"/>
        <v>#N/A</v>
      </c>
      <c r="O536">
        <f t="shared" si="114"/>
        <v>3.0005359999999999</v>
      </c>
      <c r="P536" t="str">
        <f>IF(OR($A536="",games!$H536=""),"",games!$H536)</f>
        <v/>
      </c>
      <c r="Q536" t="str">
        <f t="shared" si="115"/>
        <v/>
      </c>
      <c r="T536">
        <f>IF(connections!$A536="","",IFERROR(INDEX(games!$B$2:$B$950,MATCH(connections!$A536,games!$A$2:$A$950,0)),""))</f>
        <v>1980</v>
      </c>
      <c r="U536">
        <f>IF(connections!$A536="","",IFERROR(INDEX(games!$B$2:$B$950,MATCH(connections!$B536,games!$A$2:$A$950,0)),""))</f>
        <v>2020</v>
      </c>
      <c r="V536">
        <f t="shared" si="116"/>
        <v>40</v>
      </c>
    </row>
    <row r="537" spans="1:22" x14ac:dyDescent="0.25">
      <c r="A537" t="str">
        <f>IF(games!$A537="","",games!$A537)</f>
        <v>One Step From Eden</v>
      </c>
      <c r="B537">
        <f>IF($A537="","",games!$B537)</f>
        <v>2020</v>
      </c>
      <c r="C537" t="str">
        <f>IF($A537="","",games!$C537)</f>
        <v>Action</v>
      </c>
      <c r="D537">
        <f>IF($A537="","",COUNTIF(connections!$A$2:$A$1473,$A537)+COUNTIF(connections!$B$2:$B$1473,$A537))</f>
        <v>3</v>
      </c>
      <c r="E537">
        <f t="shared" si="104"/>
        <v>1</v>
      </c>
      <c r="F537">
        <f t="shared" si="105"/>
        <v>27</v>
      </c>
      <c r="G537">
        <f t="shared" si="106"/>
        <v>2020</v>
      </c>
      <c r="H537">
        <f t="shared" si="107"/>
        <v>1.621</v>
      </c>
      <c r="I537" t="e">
        <f t="shared" si="108"/>
        <v>#N/A</v>
      </c>
      <c r="J537" t="e">
        <f t="shared" si="109"/>
        <v>#N/A</v>
      </c>
      <c r="K537" t="e">
        <f t="shared" si="110"/>
        <v>#N/A</v>
      </c>
      <c r="L537" t="e">
        <f t="shared" si="111"/>
        <v>#N/A</v>
      </c>
      <c r="M537" t="e">
        <f t="shared" si="112"/>
        <v>#N/A</v>
      </c>
      <c r="N537" t="e">
        <f t="shared" si="113"/>
        <v>#N/A</v>
      </c>
      <c r="O537">
        <f t="shared" si="114"/>
        <v>3.000537</v>
      </c>
      <c r="P537" t="str">
        <f>IF(OR($A537="",games!$H537=""),"",games!$H537)</f>
        <v>Yes</v>
      </c>
      <c r="Q537">
        <f t="shared" si="115"/>
        <v>3.000537</v>
      </c>
      <c r="T537">
        <f>IF(connections!$A537="","",IFERROR(INDEX(games!$B$2:$B$950,MATCH(connections!$A537,games!$A$2:$A$950,0)),""))</f>
        <v>2011</v>
      </c>
      <c r="U537">
        <f>IF(connections!$A537="","",IFERROR(INDEX(games!$B$2:$B$950,MATCH(connections!$B537,games!$A$2:$A$950,0)),""))</f>
        <v>2020</v>
      </c>
      <c r="V537">
        <f t="shared" si="116"/>
        <v>9</v>
      </c>
    </row>
    <row r="538" spans="1:22" x14ac:dyDescent="0.25">
      <c r="A538" t="str">
        <f>IF(games!$A538="","",games!$A538)</f>
        <v>One Way Heroics</v>
      </c>
      <c r="B538">
        <f>IF($A538="","",games!$B538)</f>
        <v>2014</v>
      </c>
      <c r="C538" t="str">
        <f>IF($A538="","",games!$C538)</f>
        <v>Traditional</v>
      </c>
      <c r="D538">
        <f>IF($A538="","",COUNTIF(connections!$A$2:$A$1473,$A538)+COUNTIF(connections!$B$2:$B$1473,$A538))</f>
        <v>3</v>
      </c>
      <c r="E538">
        <f t="shared" si="104"/>
        <v>4</v>
      </c>
      <c r="F538">
        <f t="shared" si="105"/>
        <v>28</v>
      </c>
      <c r="G538" t="e">
        <f t="shared" si="106"/>
        <v>#N/A</v>
      </c>
      <c r="H538" t="e">
        <f t="shared" si="107"/>
        <v>#N/A</v>
      </c>
      <c r="I538" t="e">
        <f t="shared" si="108"/>
        <v>#N/A</v>
      </c>
      <c r="J538" t="e">
        <f t="shared" si="109"/>
        <v>#N/A</v>
      </c>
      <c r="K538" t="e">
        <f t="shared" si="110"/>
        <v>#N/A</v>
      </c>
      <c r="L538" t="e">
        <f t="shared" si="111"/>
        <v>#N/A</v>
      </c>
      <c r="M538">
        <f t="shared" si="112"/>
        <v>2014</v>
      </c>
      <c r="N538">
        <f t="shared" si="113"/>
        <v>4.6440000000000001</v>
      </c>
      <c r="O538">
        <f t="shared" si="114"/>
        <v>3.0005380000000001</v>
      </c>
      <c r="P538" t="str">
        <f>IF(OR($A538="",games!$H538=""),"",games!$H538)</f>
        <v>Yes</v>
      </c>
      <c r="Q538">
        <f t="shared" si="115"/>
        <v>3.0005380000000001</v>
      </c>
      <c r="T538">
        <f>IF(connections!$A538="","",IFERROR(INDEX(games!$B$2:$B$950,MATCH(connections!$A538,games!$A$2:$A$950,0)),""))</f>
        <v>2017</v>
      </c>
      <c r="U538">
        <f>IF(connections!$A538="","",IFERROR(INDEX(games!$B$2:$B$950,MATCH(connections!$B538,games!$A$2:$A$950,0)),""))</f>
        <v>2022</v>
      </c>
      <c r="V538">
        <f t="shared" si="116"/>
        <v>5</v>
      </c>
    </row>
    <row r="539" spans="1:22" x14ac:dyDescent="0.25">
      <c r="A539" t="str">
        <f>IF(games!$A539="","",games!$A539)</f>
        <v>OneBit Adventure</v>
      </c>
      <c r="B539">
        <f>IF($A539="","",games!$B539)</f>
        <v>2019</v>
      </c>
      <c r="C539" t="str">
        <f>IF($A539="","",games!$C539)</f>
        <v>Traditional</v>
      </c>
      <c r="D539">
        <f>IF($A539="","",COUNTIF(connections!$A$2:$A$1473,$A539)+COUNTIF(connections!$B$2:$B$1473,$A539))</f>
        <v>1</v>
      </c>
      <c r="E539">
        <f t="shared" si="104"/>
        <v>4</v>
      </c>
      <c r="F539">
        <f t="shared" si="105"/>
        <v>29</v>
      </c>
      <c r="G539" t="e">
        <f t="shared" si="106"/>
        <v>#N/A</v>
      </c>
      <c r="H539" t="e">
        <f t="shared" si="107"/>
        <v>#N/A</v>
      </c>
      <c r="I539" t="e">
        <f t="shared" si="108"/>
        <v>#N/A</v>
      </c>
      <c r="J539" t="e">
        <f t="shared" si="109"/>
        <v>#N/A</v>
      </c>
      <c r="K539" t="e">
        <f t="shared" si="110"/>
        <v>#N/A</v>
      </c>
      <c r="L539" t="e">
        <f t="shared" si="111"/>
        <v>#N/A</v>
      </c>
      <c r="M539">
        <f t="shared" si="112"/>
        <v>2019</v>
      </c>
      <c r="N539">
        <f t="shared" si="113"/>
        <v>4.6669999999999998</v>
      </c>
      <c r="O539">
        <f t="shared" si="114"/>
        <v>1.0005390000000001</v>
      </c>
      <c r="P539" t="str">
        <f>IF(OR($A539="",games!$H539=""),"",games!$H539)</f>
        <v>Yes</v>
      </c>
      <c r="Q539">
        <f t="shared" si="115"/>
        <v>1.0005390000000001</v>
      </c>
      <c r="T539">
        <f>IF(connections!$A539="","",IFERROR(INDEX(games!$B$2:$B$950,MATCH(connections!$A539,games!$A$2:$A$950,0)),""))</f>
        <v>2015</v>
      </c>
      <c r="U539">
        <f>IF(connections!$A539="","",IFERROR(INDEX(games!$B$2:$B$950,MATCH(connections!$B539,games!$A$2:$A$950,0)),""))</f>
        <v>2016</v>
      </c>
      <c r="V539">
        <f t="shared" si="116"/>
        <v>1</v>
      </c>
    </row>
    <row r="540" spans="1:22" x14ac:dyDescent="0.25">
      <c r="A540" t="str">
        <f>IF(games!$A540="","",games!$A540)</f>
        <v>Order Automatica</v>
      </c>
      <c r="B540">
        <f>IF($A540="","",games!$B540)</f>
        <v>2026</v>
      </c>
      <c r="C540" t="str">
        <f>IF($A540="","",games!$C540)</f>
        <v>Deckbuilder</v>
      </c>
      <c r="D540">
        <f>IF($A540="","",COUNTIF(connections!$A$2:$A$1473,$A540)+COUNTIF(connections!$B$2:$B$1473,$A540))</f>
        <v>5</v>
      </c>
      <c r="E540">
        <f t="shared" si="104"/>
        <v>3</v>
      </c>
      <c r="F540">
        <f t="shared" si="105"/>
        <v>30</v>
      </c>
      <c r="G540" t="e">
        <f t="shared" si="106"/>
        <v>#N/A</v>
      </c>
      <c r="H540" t="e">
        <f t="shared" si="107"/>
        <v>#N/A</v>
      </c>
      <c r="I540" t="e">
        <f t="shared" si="108"/>
        <v>#N/A</v>
      </c>
      <c r="J540" t="e">
        <f t="shared" si="109"/>
        <v>#N/A</v>
      </c>
      <c r="K540">
        <f t="shared" si="110"/>
        <v>2026</v>
      </c>
      <c r="L540">
        <f t="shared" si="111"/>
        <v>3.69</v>
      </c>
      <c r="M540" t="e">
        <f t="shared" si="112"/>
        <v>#N/A</v>
      </c>
      <c r="N540" t="e">
        <f t="shared" si="113"/>
        <v>#N/A</v>
      </c>
      <c r="O540">
        <f t="shared" si="114"/>
        <v>5.00054</v>
      </c>
      <c r="P540" t="str">
        <f>IF(OR($A540="",games!$H540=""),"",games!$H540)</f>
        <v/>
      </c>
      <c r="Q540" t="str">
        <f t="shared" si="115"/>
        <v/>
      </c>
      <c r="T540">
        <f>IF(connections!$A540="","",IFERROR(INDEX(games!$B$2:$B$950,MATCH(connections!$A540,games!$A$2:$A$950,0)),""))</f>
        <v>2015</v>
      </c>
      <c r="U540">
        <f>IF(connections!$A540="","",IFERROR(INDEX(games!$B$2:$B$950,MATCH(connections!$B540,games!$A$2:$A$950,0)),""))</f>
        <v>2016</v>
      </c>
      <c r="V540">
        <f t="shared" si="116"/>
        <v>1</v>
      </c>
    </row>
    <row r="541" spans="1:22" x14ac:dyDescent="0.25">
      <c r="A541" t="str">
        <f>IF(games!$A541="","",games!$A541)</f>
        <v>OTXO</v>
      </c>
      <c r="B541">
        <f>IF($A541="","",games!$B541)</f>
        <v>2023</v>
      </c>
      <c r="C541" t="str">
        <f>IF($A541="","",games!$C541)</f>
        <v>Action</v>
      </c>
      <c r="D541">
        <f>IF($A541="","",COUNTIF(connections!$A$2:$A$1473,$A541)+COUNTIF(connections!$B$2:$B$1473,$A541))</f>
        <v>0</v>
      </c>
      <c r="E541">
        <f t="shared" si="104"/>
        <v>1</v>
      </c>
      <c r="F541">
        <f t="shared" si="105"/>
        <v>31</v>
      </c>
      <c r="G541">
        <f t="shared" si="106"/>
        <v>2023</v>
      </c>
      <c r="H541">
        <f t="shared" si="107"/>
        <v>1.7130000000000001</v>
      </c>
      <c r="I541" t="e">
        <f t="shared" si="108"/>
        <v>#N/A</v>
      </c>
      <c r="J541" t="e">
        <f t="shared" si="109"/>
        <v>#N/A</v>
      </c>
      <c r="K541" t="e">
        <f t="shared" si="110"/>
        <v>#N/A</v>
      </c>
      <c r="L541" t="e">
        <f t="shared" si="111"/>
        <v>#N/A</v>
      </c>
      <c r="M541" t="e">
        <f t="shared" si="112"/>
        <v>#N/A</v>
      </c>
      <c r="N541" t="e">
        <f t="shared" si="113"/>
        <v>#N/A</v>
      </c>
      <c r="O541">
        <f t="shared" si="114"/>
        <v>5.4100000000000003E-4</v>
      </c>
      <c r="P541" t="str">
        <f>IF(OR($A541="",games!$H541=""),"",games!$H541)</f>
        <v>Yes</v>
      </c>
      <c r="Q541">
        <f t="shared" si="115"/>
        <v>5.4100000000000003E-4</v>
      </c>
      <c r="T541">
        <f>IF(connections!$A541="","",IFERROR(INDEX(games!$B$2:$B$950,MATCH(connections!$A541,games!$A$2:$A$950,0)),""))</f>
        <v>2008</v>
      </c>
      <c r="U541">
        <f>IF(connections!$A541="","",IFERROR(INDEX(games!$B$2:$B$950,MATCH(connections!$B541,games!$A$2:$A$950,0)),""))</f>
        <v>2016</v>
      </c>
      <c r="V541">
        <f t="shared" si="116"/>
        <v>8</v>
      </c>
    </row>
    <row r="542" spans="1:22" x14ac:dyDescent="0.25">
      <c r="A542" t="str">
        <f>IF(games!$A542="","",games!$A542)</f>
        <v>Our Darker Purpose</v>
      </c>
      <c r="B542">
        <f>IF($A542="","",games!$B542)</f>
        <v>2014</v>
      </c>
      <c r="C542" t="str">
        <f>IF($A542="","",games!$C542)</f>
        <v>Action</v>
      </c>
      <c r="D542">
        <f>IF($A542="","",COUNTIF(connections!$A$2:$A$1473,$A542)+COUNTIF(connections!$B$2:$B$1473,$A542))</f>
        <v>4</v>
      </c>
      <c r="E542">
        <f t="shared" si="104"/>
        <v>1</v>
      </c>
      <c r="F542">
        <f t="shared" si="105"/>
        <v>32</v>
      </c>
      <c r="G542">
        <f t="shared" si="106"/>
        <v>2014</v>
      </c>
      <c r="H542">
        <f t="shared" si="107"/>
        <v>1.736</v>
      </c>
      <c r="I542" t="e">
        <f t="shared" si="108"/>
        <v>#N/A</v>
      </c>
      <c r="J542" t="e">
        <f t="shared" si="109"/>
        <v>#N/A</v>
      </c>
      <c r="K542" t="e">
        <f t="shared" si="110"/>
        <v>#N/A</v>
      </c>
      <c r="L542" t="e">
        <f t="shared" si="111"/>
        <v>#N/A</v>
      </c>
      <c r="M542" t="e">
        <f t="shared" si="112"/>
        <v>#N/A</v>
      </c>
      <c r="N542" t="e">
        <f t="shared" si="113"/>
        <v>#N/A</v>
      </c>
      <c r="O542">
        <f t="shared" si="114"/>
        <v>4.0005420000000003</v>
      </c>
      <c r="P542" t="str">
        <f>IF(OR($A542="",games!$H542=""),"",games!$H542)</f>
        <v/>
      </c>
      <c r="Q542" t="str">
        <f t="shared" si="115"/>
        <v/>
      </c>
      <c r="T542">
        <f>IF(connections!$A542="","",IFERROR(INDEX(games!$B$2:$B$950,MATCH(connections!$A542,games!$A$2:$A$950,0)),""))</f>
        <v>2013</v>
      </c>
      <c r="U542">
        <f>IF(connections!$A542="","",IFERROR(INDEX(games!$B$2:$B$950,MATCH(connections!$B542,games!$A$2:$A$950,0)),""))</f>
        <v>2016</v>
      </c>
      <c r="V542">
        <f t="shared" si="116"/>
        <v>3</v>
      </c>
    </row>
    <row r="543" spans="1:22" x14ac:dyDescent="0.25">
      <c r="A543" t="str">
        <f>IF(games!$A543="","",games!$A543)</f>
        <v>Overlooting</v>
      </c>
      <c r="B543">
        <f>IF($A543="","",games!$B543)</f>
        <v>2025</v>
      </c>
      <c r="C543" t="str">
        <f>IF($A543="","",games!$C543)</f>
        <v>Strategy</v>
      </c>
      <c r="D543">
        <f>IF($A543="","",COUNTIF(connections!$A$2:$A$1473,$A543)+COUNTIF(connections!$B$2:$B$1473,$A543))</f>
        <v>0</v>
      </c>
      <c r="E543">
        <f t="shared" si="104"/>
        <v>2</v>
      </c>
      <c r="F543">
        <f t="shared" si="105"/>
        <v>33</v>
      </c>
      <c r="G543" t="e">
        <f t="shared" si="106"/>
        <v>#N/A</v>
      </c>
      <c r="H543" t="e">
        <f t="shared" si="107"/>
        <v>#N/A</v>
      </c>
      <c r="I543">
        <f t="shared" si="108"/>
        <v>2025</v>
      </c>
      <c r="J543">
        <f t="shared" si="109"/>
        <v>2.7589999999999999</v>
      </c>
      <c r="K543" t="e">
        <f t="shared" si="110"/>
        <v>#N/A</v>
      </c>
      <c r="L543" t="e">
        <f t="shared" si="111"/>
        <v>#N/A</v>
      </c>
      <c r="M543" t="e">
        <f t="shared" si="112"/>
        <v>#N/A</v>
      </c>
      <c r="N543" t="e">
        <f t="shared" si="113"/>
        <v>#N/A</v>
      </c>
      <c r="O543">
        <f t="shared" si="114"/>
        <v>5.4299999999999997E-4</v>
      </c>
      <c r="P543" t="str">
        <f>IF(OR($A543="",games!$H543=""),"",games!$H543)</f>
        <v>Yes</v>
      </c>
      <c r="Q543">
        <f t="shared" si="115"/>
        <v>5.4299999999999997E-4</v>
      </c>
      <c r="T543">
        <f>IF(connections!$A543="","",IFERROR(INDEX(games!$B$2:$B$950,MATCH(connections!$A543,games!$A$2:$A$950,0)),""))</f>
        <v>2016</v>
      </c>
      <c r="U543">
        <f>IF(connections!$A543="","",IFERROR(INDEX(games!$B$2:$B$950,MATCH(connections!$B543,games!$A$2:$A$950,0)),""))</f>
        <v>2020</v>
      </c>
      <c r="V543">
        <f t="shared" si="116"/>
        <v>4</v>
      </c>
    </row>
    <row r="544" spans="1:22" x14ac:dyDescent="0.25">
      <c r="A544" t="str">
        <f>IF(games!$A544="","",games!$A544)</f>
        <v>Overworld</v>
      </c>
      <c r="B544">
        <f>IF($A544="","",games!$B544)</f>
        <v>2022</v>
      </c>
      <c r="C544" t="str">
        <f>IF($A544="","",games!$C544)</f>
        <v>Traditional</v>
      </c>
      <c r="D544">
        <f>IF($A544="","",COUNTIF(connections!$A$2:$A$1473,$A544)+COUNTIF(connections!$B$2:$B$1473,$A544))</f>
        <v>1</v>
      </c>
      <c r="E544">
        <f t="shared" si="104"/>
        <v>4</v>
      </c>
      <c r="F544">
        <f t="shared" si="105"/>
        <v>0</v>
      </c>
      <c r="G544" t="e">
        <f t="shared" si="106"/>
        <v>#N/A</v>
      </c>
      <c r="H544" t="e">
        <f t="shared" si="107"/>
        <v>#N/A</v>
      </c>
      <c r="I544" t="e">
        <f t="shared" si="108"/>
        <v>#N/A</v>
      </c>
      <c r="J544" t="e">
        <f t="shared" si="109"/>
        <v>#N/A</v>
      </c>
      <c r="K544" t="e">
        <f t="shared" si="110"/>
        <v>#N/A</v>
      </c>
      <c r="L544" t="e">
        <f t="shared" si="111"/>
        <v>#N/A</v>
      </c>
      <c r="M544">
        <f t="shared" si="112"/>
        <v>2022</v>
      </c>
      <c r="N544">
        <f t="shared" si="113"/>
        <v>4</v>
      </c>
      <c r="O544">
        <f t="shared" si="114"/>
        <v>1.0005440000000001</v>
      </c>
      <c r="P544" t="str">
        <f>IF(OR($A544="",games!$H544=""),"",games!$H544)</f>
        <v>Yes</v>
      </c>
      <c r="Q544">
        <f t="shared" si="115"/>
        <v>1.0005440000000001</v>
      </c>
      <c r="T544">
        <f>IF(connections!$A544="","",IFERROR(INDEX(games!$B$2:$B$950,MATCH(connections!$A544,games!$A$2:$A$950,0)),""))</f>
        <v>2021</v>
      </c>
      <c r="U544">
        <f>IF(connections!$A544="","",IFERROR(INDEX(games!$B$2:$B$950,MATCH(connections!$B544,games!$A$2:$A$950,0)),""))</f>
        <v>2023</v>
      </c>
      <c r="V544">
        <f t="shared" si="116"/>
        <v>2</v>
      </c>
    </row>
    <row r="545" spans="1:22" x14ac:dyDescent="0.25">
      <c r="A545" t="str">
        <f>IF(games!$A545="","",games!$A545)</f>
        <v>Pairs &amp; Perils</v>
      </c>
      <c r="B545">
        <f>IF($A545="","",games!$B545)</f>
        <v>2025</v>
      </c>
      <c r="C545" t="str">
        <f>IF($A545="","",games!$C545)</f>
        <v>Deckbuilder</v>
      </c>
      <c r="D545">
        <f>IF($A545="","",COUNTIF(connections!$A$2:$A$1473,$A545)+COUNTIF(connections!$B$2:$B$1473,$A545))</f>
        <v>1</v>
      </c>
      <c r="E545">
        <f t="shared" si="104"/>
        <v>3</v>
      </c>
      <c r="F545">
        <f t="shared" si="105"/>
        <v>1</v>
      </c>
      <c r="G545" t="e">
        <f t="shared" si="106"/>
        <v>#N/A</v>
      </c>
      <c r="H545" t="e">
        <f t="shared" si="107"/>
        <v>#N/A</v>
      </c>
      <c r="I545" t="e">
        <f t="shared" si="108"/>
        <v>#N/A</v>
      </c>
      <c r="J545" t="e">
        <f t="shared" si="109"/>
        <v>#N/A</v>
      </c>
      <c r="K545">
        <f t="shared" si="110"/>
        <v>2025</v>
      </c>
      <c r="L545">
        <f t="shared" si="111"/>
        <v>3.0230000000000001</v>
      </c>
      <c r="M545" t="e">
        <f t="shared" si="112"/>
        <v>#N/A</v>
      </c>
      <c r="N545" t="e">
        <f t="shared" si="113"/>
        <v>#N/A</v>
      </c>
      <c r="O545">
        <f t="shared" si="114"/>
        <v>1.000545</v>
      </c>
      <c r="P545" t="str">
        <f>IF(OR($A545="",games!$H545=""),"",games!$H545)</f>
        <v>Yes</v>
      </c>
      <c r="Q545">
        <f t="shared" si="115"/>
        <v>1.000545</v>
      </c>
      <c r="T545">
        <f>IF(connections!$A545="","",IFERROR(INDEX(games!$B$2:$B$950,MATCH(connections!$A545,games!$A$2:$A$950,0)),""))</f>
        <v>2015</v>
      </c>
      <c r="U545">
        <f>IF(connections!$A545="","",IFERROR(INDEX(games!$B$2:$B$950,MATCH(connections!$B545,games!$A$2:$A$950,0)),""))</f>
        <v>2020</v>
      </c>
      <c r="V545">
        <f t="shared" si="116"/>
        <v>5</v>
      </c>
    </row>
    <row r="546" spans="1:22" x14ac:dyDescent="0.25">
      <c r="A546" t="str">
        <f>IF(games!$A546="","",games!$A546)</f>
        <v>Paper Animal Adventure</v>
      </c>
      <c r="B546">
        <f>IF($A546="","",games!$B546)</f>
        <v>2025</v>
      </c>
      <c r="C546" t="str">
        <f>IF($A546="","",games!$C546)</f>
        <v>Traditional</v>
      </c>
      <c r="D546">
        <f>IF($A546="","",COUNTIF(connections!$A$2:$A$1473,$A546)+COUNTIF(connections!$B$2:$B$1473,$A546))</f>
        <v>1</v>
      </c>
      <c r="E546">
        <f t="shared" si="104"/>
        <v>4</v>
      </c>
      <c r="F546">
        <f t="shared" si="105"/>
        <v>2</v>
      </c>
      <c r="G546" t="e">
        <f t="shared" si="106"/>
        <v>#N/A</v>
      </c>
      <c r="H546" t="e">
        <f t="shared" si="107"/>
        <v>#N/A</v>
      </c>
      <c r="I546" t="e">
        <f t="shared" si="108"/>
        <v>#N/A</v>
      </c>
      <c r="J546" t="e">
        <f t="shared" si="109"/>
        <v>#N/A</v>
      </c>
      <c r="K546" t="e">
        <f t="shared" si="110"/>
        <v>#N/A</v>
      </c>
      <c r="L546" t="e">
        <f t="shared" si="111"/>
        <v>#N/A</v>
      </c>
      <c r="M546">
        <f t="shared" si="112"/>
        <v>2025</v>
      </c>
      <c r="N546">
        <f t="shared" si="113"/>
        <v>4.0460000000000003</v>
      </c>
      <c r="O546">
        <f t="shared" si="114"/>
        <v>1.0005459999999999</v>
      </c>
      <c r="P546" t="str">
        <f>IF(OR($A546="",games!$H546=""),"",games!$H546)</f>
        <v/>
      </c>
      <c r="Q546" t="str">
        <f t="shared" si="115"/>
        <v/>
      </c>
      <c r="T546">
        <f>IF(connections!$A546="","",IFERROR(INDEX(games!$B$2:$B$950,MATCH(connections!$A546,games!$A$2:$A$950,0)),""))</f>
        <v>1996</v>
      </c>
      <c r="U546">
        <f>IF(connections!$A546="","",IFERROR(INDEX(games!$B$2:$B$950,MATCH(connections!$B546,games!$A$2:$A$950,0)),""))</f>
        <v>2020</v>
      </c>
      <c r="V546">
        <f t="shared" si="116"/>
        <v>24</v>
      </c>
    </row>
    <row r="547" spans="1:22" x14ac:dyDescent="0.25">
      <c r="A547" t="str">
        <f>IF(games!$A547="","",games!$A547)</f>
        <v>Paper Planet</v>
      </c>
      <c r="B547">
        <f>IF($A547="","",games!$B547)</f>
        <v>2023</v>
      </c>
      <c r="C547" t="str">
        <f>IF($A547="","",games!$C547)</f>
        <v>Action</v>
      </c>
      <c r="D547">
        <f>IF($A547="","",COUNTIF(connections!$A$2:$A$1473,$A547)+COUNTIF(connections!$B$2:$B$1473,$A547))</f>
        <v>1</v>
      </c>
      <c r="E547">
        <f t="shared" si="104"/>
        <v>1</v>
      </c>
      <c r="F547">
        <f t="shared" si="105"/>
        <v>3</v>
      </c>
      <c r="G547">
        <f t="shared" si="106"/>
        <v>2023</v>
      </c>
      <c r="H547">
        <f t="shared" si="107"/>
        <v>1.069</v>
      </c>
      <c r="I547" t="e">
        <f t="shared" si="108"/>
        <v>#N/A</v>
      </c>
      <c r="J547" t="e">
        <f t="shared" si="109"/>
        <v>#N/A</v>
      </c>
      <c r="K547" t="e">
        <f t="shared" si="110"/>
        <v>#N/A</v>
      </c>
      <c r="L547" t="e">
        <f t="shared" si="111"/>
        <v>#N/A</v>
      </c>
      <c r="M547" t="e">
        <f t="shared" si="112"/>
        <v>#N/A</v>
      </c>
      <c r="N547" t="e">
        <f t="shared" si="113"/>
        <v>#N/A</v>
      </c>
      <c r="O547">
        <f t="shared" si="114"/>
        <v>1.0005470000000001</v>
      </c>
      <c r="P547" t="str">
        <f>IF(OR($A547="",games!$H547=""),"",games!$H547)</f>
        <v>Yes</v>
      </c>
      <c r="Q547">
        <f t="shared" si="115"/>
        <v>1.0005470000000001</v>
      </c>
      <c r="T547">
        <f>IF(connections!$A547="","",IFERROR(INDEX(games!$B$2:$B$950,MATCH(connections!$A547,games!$A$2:$A$950,0)),""))</f>
        <v>2017</v>
      </c>
      <c r="U547">
        <f>IF(connections!$A547="","",IFERROR(INDEX(games!$B$2:$B$950,MATCH(connections!$B547,games!$A$2:$A$950,0)),""))</f>
        <v>2020</v>
      </c>
      <c r="V547">
        <f t="shared" si="116"/>
        <v>3</v>
      </c>
    </row>
    <row r="548" spans="1:22" x14ac:dyDescent="0.25">
      <c r="A548" t="str">
        <f>IF(games!$A548="","",games!$A548)</f>
        <v>Pass the Fear</v>
      </c>
      <c r="B548">
        <f>IF($A548="","",games!$B548)</f>
        <v>2026</v>
      </c>
      <c r="C548" t="str">
        <f>IF($A548="","",games!$C548)</f>
        <v>Action</v>
      </c>
      <c r="D548">
        <f>IF($A548="","",COUNTIF(connections!$A$2:$A$1473,$A548)+COUNTIF(connections!$B$2:$B$1473,$A548))</f>
        <v>1</v>
      </c>
      <c r="E548">
        <f t="shared" si="104"/>
        <v>1</v>
      </c>
      <c r="F548">
        <f t="shared" si="105"/>
        <v>4</v>
      </c>
      <c r="G548">
        <f t="shared" si="106"/>
        <v>2026</v>
      </c>
      <c r="H548">
        <f t="shared" si="107"/>
        <v>1.0920000000000001</v>
      </c>
      <c r="I548" t="e">
        <f t="shared" si="108"/>
        <v>#N/A</v>
      </c>
      <c r="J548" t="e">
        <f t="shared" si="109"/>
        <v>#N/A</v>
      </c>
      <c r="K548" t="e">
        <f t="shared" si="110"/>
        <v>#N/A</v>
      </c>
      <c r="L548" t="e">
        <f t="shared" si="111"/>
        <v>#N/A</v>
      </c>
      <c r="M548" t="e">
        <f t="shared" si="112"/>
        <v>#N/A</v>
      </c>
      <c r="N548" t="e">
        <f t="shared" si="113"/>
        <v>#N/A</v>
      </c>
      <c r="O548">
        <f t="shared" si="114"/>
        <v>1.000548</v>
      </c>
      <c r="P548" t="str">
        <f>IF(OR($A548="",games!$H548=""),"",games!$H548)</f>
        <v/>
      </c>
      <c r="Q548" t="str">
        <f t="shared" si="115"/>
        <v/>
      </c>
      <c r="T548">
        <f>IF(connections!$A548="","",IFERROR(INDEX(games!$B$2:$B$950,MATCH(connections!$A548,games!$A$2:$A$950,0)),""))</f>
        <v>2021</v>
      </c>
      <c r="U548">
        <f>IF(connections!$A548="","",IFERROR(INDEX(games!$B$2:$B$950,MATCH(connections!$B548,games!$A$2:$A$950,0)),""))</f>
        <v>2023</v>
      </c>
      <c r="V548">
        <f t="shared" si="116"/>
        <v>2</v>
      </c>
    </row>
    <row r="549" spans="1:22" x14ac:dyDescent="0.25">
      <c r="A549" t="str">
        <f>IF(games!$A549="","",games!$A549)</f>
        <v>Passant: A Chess Roguelike</v>
      </c>
      <c r="B549">
        <f>IF($A549="","",games!$B549)</f>
        <v>2025</v>
      </c>
      <c r="C549" t="str">
        <f>IF($A549="","",games!$C549)</f>
        <v>Strategy</v>
      </c>
      <c r="D549">
        <f>IF($A549="","",COUNTIF(connections!$A$2:$A$1473,$A549)+COUNTIF(connections!$B$2:$B$1473,$A549))</f>
        <v>1</v>
      </c>
      <c r="E549">
        <f t="shared" si="104"/>
        <v>2</v>
      </c>
      <c r="F549">
        <f t="shared" si="105"/>
        <v>5</v>
      </c>
      <c r="G549" t="e">
        <f t="shared" si="106"/>
        <v>#N/A</v>
      </c>
      <c r="H549" t="e">
        <f t="shared" si="107"/>
        <v>#N/A</v>
      </c>
      <c r="I549">
        <f t="shared" si="108"/>
        <v>2025</v>
      </c>
      <c r="J549">
        <f t="shared" si="109"/>
        <v>2.1150000000000002</v>
      </c>
      <c r="K549" t="e">
        <f t="shared" si="110"/>
        <v>#N/A</v>
      </c>
      <c r="L549" t="e">
        <f t="shared" si="111"/>
        <v>#N/A</v>
      </c>
      <c r="M549" t="e">
        <f t="shared" si="112"/>
        <v>#N/A</v>
      </c>
      <c r="N549" t="e">
        <f t="shared" si="113"/>
        <v>#N/A</v>
      </c>
      <c r="O549">
        <f t="shared" si="114"/>
        <v>1.0005489999999999</v>
      </c>
      <c r="P549" t="str">
        <f>IF(OR($A549="",games!$H549=""),"",games!$H549)</f>
        <v/>
      </c>
      <c r="Q549" t="str">
        <f t="shared" si="115"/>
        <v/>
      </c>
      <c r="T549">
        <f>IF(connections!$A549="","",IFERROR(INDEX(games!$B$2:$B$950,MATCH(connections!$A549,games!$A$2:$A$950,0)),""))</f>
        <v>2017</v>
      </c>
      <c r="U549">
        <f>IF(connections!$A549="","",IFERROR(INDEX(games!$B$2:$B$950,MATCH(connections!$B549,games!$A$2:$A$950,0)),""))</f>
        <v>2020</v>
      </c>
      <c r="V549">
        <f t="shared" si="116"/>
        <v>3</v>
      </c>
    </row>
    <row r="550" spans="1:22" x14ac:dyDescent="0.25">
      <c r="A550" t="str">
        <f>IF(games!$A550="","",games!$A550)</f>
        <v>Patch Quest</v>
      </c>
      <c r="B550">
        <f>IF($A550="","",games!$B550)</f>
        <v>2021</v>
      </c>
      <c r="C550" t="str">
        <f>IF($A550="","",games!$C550)</f>
        <v>Action</v>
      </c>
      <c r="D550">
        <f>IF($A550="","",COUNTIF(connections!$A$2:$A$1473,$A550)+COUNTIF(connections!$B$2:$B$1473,$A550))</f>
        <v>3</v>
      </c>
      <c r="E550">
        <f t="shared" si="104"/>
        <v>1</v>
      </c>
      <c r="F550">
        <f t="shared" si="105"/>
        <v>6</v>
      </c>
      <c r="G550">
        <f t="shared" si="106"/>
        <v>2021</v>
      </c>
      <c r="H550">
        <f t="shared" si="107"/>
        <v>1.1379999999999999</v>
      </c>
      <c r="I550" t="e">
        <f t="shared" si="108"/>
        <v>#N/A</v>
      </c>
      <c r="J550" t="e">
        <f t="shared" si="109"/>
        <v>#N/A</v>
      </c>
      <c r="K550" t="e">
        <f t="shared" si="110"/>
        <v>#N/A</v>
      </c>
      <c r="L550" t="e">
        <f t="shared" si="111"/>
        <v>#N/A</v>
      </c>
      <c r="M550" t="e">
        <f t="shared" si="112"/>
        <v>#N/A</v>
      </c>
      <c r="N550" t="e">
        <f t="shared" si="113"/>
        <v>#N/A</v>
      </c>
      <c r="O550">
        <f t="shared" si="114"/>
        <v>3.0005500000000001</v>
      </c>
      <c r="P550" t="str">
        <f>IF(OR($A550="",games!$H550=""),"",games!$H550)</f>
        <v>Yes</v>
      </c>
      <c r="Q550">
        <f t="shared" si="115"/>
        <v>3.0005500000000001</v>
      </c>
      <c r="T550">
        <f>IF(connections!$A550="","",IFERROR(INDEX(games!$B$2:$B$950,MATCH(connections!$A550,games!$A$2:$A$950,0)),""))</f>
        <v>2015</v>
      </c>
      <c r="U550">
        <f>IF(connections!$A550="","",IFERROR(INDEX(games!$B$2:$B$950,MATCH(connections!$B550,games!$A$2:$A$950,0)),""))</f>
        <v>2021</v>
      </c>
      <c r="V550">
        <f t="shared" si="116"/>
        <v>6</v>
      </c>
    </row>
    <row r="551" spans="1:22" x14ac:dyDescent="0.25">
      <c r="A551" t="str">
        <f>IF(games!$A551="","",games!$A551)</f>
        <v>Path of Achra</v>
      </c>
      <c r="B551">
        <f>IF($A551="","",games!$B551)</f>
        <v>2023</v>
      </c>
      <c r="C551" t="str">
        <f>IF($A551="","",games!$C551)</f>
        <v>Traditional</v>
      </c>
      <c r="D551">
        <f>IF($A551="","",COUNTIF(connections!$A$2:$A$1473,$A551)+COUNTIF(connections!$B$2:$B$1473,$A551))</f>
        <v>3</v>
      </c>
      <c r="E551">
        <f t="shared" si="104"/>
        <v>4</v>
      </c>
      <c r="F551">
        <f t="shared" si="105"/>
        <v>7</v>
      </c>
      <c r="G551" t="e">
        <f t="shared" si="106"/>
        <v>#N/A</v>
      </c>
      <c r="H551" t="e">
        <f t="shared" si="107"/>
        <v>#N/A</v>
      </c>
      <c r="I551" t="e">
        <f t="shared" si="108"/>
        <v>#N/A</v>
      </c>
      <c r="J551" t="e">
        <f t="shared" si="109"/>
        <v>#N/A</v>
      </c>
      <c r="K551" t="e">
        <f t="shared" si="110"/>
        <v>#N/A</v>
      </c>
      <c r="L551" t="e">
        <f t="shared" si="111"/>
        <v>#N/A</v>
      </c>
      <c r="M551">
        <f t="shared" si="112"/>
        <v>2023</v>
      </c>
      <c r="N551">
        <f t="shared" si="113"/>
        <v>4.1609999999999996</v>
      </c>
      <c r="O551">
        <f t="shared" si="114"/>
        <v>3.0005510000000002</v>
      </c>
      <c r="P551" t="str">
        <f>IF(OR($A551="",games!$H551=""),"",games!$H551)</f>
        <v>Yes</v>
      </c>
      <c r="Q551">
        <f t="shared" si="115"/>
        <v>3.0005510000000002</v>
      </c>
      <c r="T551">
        <f>IF(connections!$A551="","",IFERROR(INDEX(games!$B$2:$B$950,MATCH(connections!$A551,games!$A$2:$A$950,0)),""))</f>
        <v>2021</v>
      </c>
      <c r="U551">
        <f>IF(connections!$A551="","",IFERROR(INDEX(games!$B$2:$B$950,MATCH(connections!$B551,games!$A$2:$A$950,0)),""))</f>
        <v>2024</v>
      </c>
      <c r="V551">
        <f t="shared" si="116"/>
        <v>3</v>
      </c>
    </row>
    <row r="552" spans="1:22" x14ac:dyDescent="0.25">
      <c r="A552" t="str">
        <f>IF(games!$A552="","",games!$A552)</f>
        <v>Pathogenic</v>
      </c>
      <c r="B552">
        <f>IF($A552="","",games!$B552)</f>
        <v>2026</v>
      </c>
      <c r="C552" t="str">
        <f>IF($A552="","",games!$C552)</f>
        <v>Action</v>
      </c>
      <c r="D552">
        <f>IF($A552="","",COUNTIF(connections!$A$2:$A$1473,$A552)+COUNTIF(connections!$B$2:$B$1473,$A552))</f>
        <v>3</v>
      </c>
      <c r="E552">
        <f t="shared" si="104"/>
        <v>1</v>
      </c>
      <c r="F552">
        <f t="shared" si="105"/>
        <v>8</v>
      </c>
      <c r="G552">
        <f t="shared" si="106"/>
        <v>2026</v>
      </c>
      <c r="H552">
        <f t="shared" si="107"/>
        <v>1.1839999999999999</v>
      </c>
      <c r="I552" t="e">
        <f t="shared" si="108"/>
        <v>#N/A</v>
      </c>
      <c r="J552" t="e">
        <f t="shared" si="109"/>
        <v>#N/A</v>
      </c>
      <c r="K552" t="e">
        <f t="shared" si="110"/>
        <v>#N/A</v>
      </c>
      <c r="L552" t="e">
        <f t="shared" si="111"/>
        <v>#N/A</v>
      </c>
      <c r="M552" t="e">
        <f t="shared" si="112"/>
        <v>#N/A</v>
      </c>
      <c r="N552" t="e">
        <f t="shared" si="113"/>
        <v>#N/A</v>
      </c>
      <c r="O552">
        <f t="shared" si="114"/>
        <v>3.0005519999999999</v>
      </c>
      <c r="P552" t="str">
        <f>IF(OR($A552="",games!$H552=""),"",games!$H552)</f>
        <v/>
      </c>
      <c r="Q552" t="str">
        <f t="shared" si="115"/>
        <v/>
      </c>
      <c r="T552">
        <f>IF(connections!$A552="","",IFERROR(INDEX(games!$B$2:$B$950,MATCH(connections!$A552,games!$A$2:$A$950,0)),""))</f>
        <v>2012</v>
      </c>
      <c r="U552">
        <f>IF(connections!$A552="","",IFERROR(INDEX(games!$B$2:$B$950,MATCH(connections!$B552,games!$A$2:$A$950,0)),""))</f>
        <v>2015</v>
      </c>
      <c r="V552">
        <f t="shared" si="116"/>
        <v>3</v>
      </c>
    </row>
    <row r="553" spans="1:22" x14ac:dyDescent="0.25">
      <c r="A553" t="str">
        <f>IF(games!$A553="","",games!$A553)</f>
        <v>Pathos: Nethack Codex</v>
      </c>
      <c r="B553">
        <f>IF($A553="","",games!$B553)</f>
        <v>2015</v>
      </c>
      <c r="C553" t="str">
        <f>IF($A553="","",games!$C553)</f>
        <v>Traditional</v>
      </c>
      <c r="D553">
        <f>IF($A553="","",COUNTIF(connections!$A$2:$A$1473,$A553)+COUNTIF(connections!$B$2:$B$1473,$A553))</f>
        <v>1</v>
      </c>
      <c r="E553">
        <f t="shared" si="104"/>
        <v>4</v>
      </c>
      <c r="F553">
        <f t="shared" si="105"/>
        <v>9</v>
      </c>
      <c r="G553" t="e">
        <f t="shared" si="106"/>
        <v>#N/A</v>
      </c>
      <c r="H553" t="e">
        <f t="shared" si="107"/>
        <v>#N/A</v>
      </c>
      <c r="I553" t="e">
        <f t="shared" si="108"/>
        <v>#N/A</v>
      </c>
      <c r="J553" t="e">
        <f t="shared" si="109"/>
        <v>#N/A</v>
      </c>
      <c r="K553" t="e">
        <f t="shared" si="110"/>
        <v>#N/A</v>
      </c>
      <c r="L553" t="e">
        <f t="shared" si="111"/>
        <v>#N/A</v>
      </c>
      <c r="M553">
        <f t="shared" si="112"/>
        <v>2015</v>
      </c>
      <c r="N553">
        <f t="shared" si="113"/>
        <v>4.2069999999999999</v>
      </c>
      <c r="O553">
        <f t="shared" si="114"/>
        <v>1.000553</v>
      </c>
      <c r="P553" t="str">
        <f>IF(OR($A553="",games!$H553=""),"",games!$H553)</f>
        <v>Yes</v>
      </c>
      <c r="Q553">
        <f t="shared" si="115"/>
        <v>1.000553</v>
      </c>
      <c r="T553">
        <f>IF(connections!$A553="","",IFERROR(INDEX(games!$B$2:$B$950,MATCH(connections!$A553,games!$A$2:$A$950,0)),""))</f>
        <v>2008</v>
      </c>
      <c r="U553">
        <f>IF(connections!$A553="","",IFERROR(INDEX(games!$B$2:$B$950,MATCH(connections!$B553,games!$A$2:$A$950,0)),""))</f>
        <v>2015</v>
      </c>
      <c r="V553">
        <f t="shared" si="116"/>
        <v>7</v>
      </c>
    </row>
    <row r="554" spans="1:22" x14ac:dyDescent="0.25">
      <c r="A554" t="str">
        <f>IF(games!$A554="","",games!$A554)</f>
        <v>Pawnbarian</v>
      </c>
      <c r="B554">
        <f>IF($A554="","",games!$B554)</f>
        <v>2021</v>
      </c>
      <c r="C554" t="str">
        <f>IF($A554="","",games!$C554)</f>
        <v>Strategy</v>
      </c>
      <c r="D554">
        <f>IF($A554="","",COUNTIF(connections!$A$2:$A$1473,$A554)+COUNTIF(connections!$B$2:$B$1473,$A554))</f>
        <v>3</v>
      </c>
      <c r="E554">
        <f t="shared" si="104"/>
        <v>2</v>
      </c>
      <c r="F554">
        <f t="shared" si="105"/>
        <v>10</v>
      </c>
      <c r="G554" t="e">
        <f t="shared" si="106"/>
        <v>#N/A</v>
      </c>
      <c r="H554" t="e">
        <f t="shared" si="107"/>
        <v>#N/A</v>
      </c>
      <c r="I554">
        <f t="shared" si="108"/>
        <v>2021</v>
      </c>
      <c r="J554">
        <f t="shared" si="109"/>
        <v>2.23</v>
      </c>
      <c r="K554" t="e">
        <f t="shared" si="110"/>
        <v>#N/A</v>
      </c>
      <c r="L554" t="e">
        <f t="shared" si="111"/>
        <v>#N/A</v>
      </c>
      <c r="M554" t="e">
        <f t="shared" si="112"/>
        <v>#N/A</v>
      </c>
      <c r="N554" t="e">
        <f t="shared" si="113"/>
        <v>#N/A</v>
      </c>
      <c r="O554">
        <f t="shared" si="114"/>
        <v>3.0005540000000002</v>
      </c>
      <c r="P554" t="str">
        <f>IF(OR($A554="",games!$H554=""),"",games!$H554)</f>
        <v>Yes</v>
      </c>
      <c r="Q554">
        <f t="shared" si="115"/>
        <v>3.0005540000000002</v>
      </c>
      <c r="T554">
        <f>IF(connections!$A554="","",IFERROR(INDEX(games!$B$2:$B$950,MATCH(connections!$A554,games!$A$2:$A$950,0)),""))</f>
        <v>2016</v>
      </c>
      <c r="U554">
        <f>IF(connections!$A554="","",IFERROR(INDEX(games!$B$2:$B$950,MATCH(connections!$B554,games!$A$2:$A$950,0)),""))</f>
        <v>2020</v>
      </c>
      <c r="V554">
        <f t="shared" si="116"/>
        <v>4</v>
      </c>
    </row>
    <row r="555" spans="1:22" x14ac:dyDescent="0.25">
      <c r="A555" t="str">
        <f>IF(games!$A555="","",games!$A555)</f>
        <v>Pebble Knights</v>
      </c>
      <c r="B555">
        <f>IF($A555="","",games!$B555)</f>
        <v>2026</v>
      </c>
      <c r="C555" t="str">
        <f>IF($A555="","",games!$C555)</f>
        <v>Action</v>
      </c>
      <c r="D555">
        <f>IF($A555="","",COUNTIF(connections!$A$2:$A$1473,$A555)+COUNTIF(connections!$B$2:$B$1473,$A555))</f>
        <v>2</v>
      </c>
      <c r="E555">
        <f t="shared" si="104"/>
        <v>1</v>
      </c>
      <c r="F555">
        <f t="shared" si="105"/>
        <v>11</v>
      </c>
      <c r="G555">
        <f t="shared" si="106"/>
        <v>2026</v>
      </c>
      <c r="H555">
        <f t="shared" si="107"/>
        <v>1.2530000000000001</v>
      </c>
      <c r="I555" t="e">
        <f t="shared" si="108"/>
        <v>#N/A</v>
      </c>
      <c r="J555" t="e">
        <f t="shared" si="109"/>
        <v>#N/A</v>
      </c>
      <c r="K555" t="e">
        <f t="shared" si="110"/>
        <v>#N/A</v>
      </c>
      <c r="L555" t="e">
        <f t="shared" si="111"/>
        <v>#N/A</v>
      </c>
      <c r="M555" t="e">
        <f t="shared" si="112"/>
        <v>#N/A</v>
      </c>
      <c r="N555" t="e">
        <f t="shared" si="113"/>
        <v>#N/A</v>
      </c>
      <c r="O555">
        <f t="shared" si="114"/>
        <v>2.0005549999999999</v>
      </c>
      <c r="P555" t="str">
        <f>IF(OR($A555="",games!$H555=""),"",games!$H555)</f>
        <v/>
      </c>
      <c r="Q555" t="str">
        <f t="shared" si="115"/>
        <v/>
      </c>
      <c r="T555">
        <f>IF(connections!$A555="","",IFERROR(INDEX(games!$B$2:$B$950,MATCH(connections!$A555,games!$A$2:$A$950,0)),""))</f>
        <v>2021</v>
      </c>
      <c r="U555">
        <f>IF(connections!$A555="","",IFERROR(INDEX(games!$B$2:$B$950,MATCH(connections!$B555,games!$A$2:$A$950,0)),""))</f>
        <v>2022</v>
      </c>
      <c r="V555">
        <f t="shared" si="116"/>
        <v>1</v>
      </c>
    </row>
    <row r="556" spans="1:22" x14ac:dyDescent="0.25">
      <c r="A556" t="str">
        <f>IF(games!$A556="","",games!$A556)</f>
        <v>Peglin</v>
      </c>
      <c r="B556">
        <f>IF($A556="","",games!$B556)</f>
        <v>2022</v>
      </c>
      <c r="C556" t="str">
        <f>IF($A556="","",games!$C556)</f>
        <v>Deckbuilder</v>
      </c>
      <c r="D556">
        <f>IF($A556="","",COUNTIF(connections!$A$2:$A$1473,$A556)+COUNTIF(connections!$B$2:$B$1473,$A556))</f>
        <v>10</v>
      </c>
      <c r="E556">
        <f t="shared" si="104"/>
        <v>3</v>
      </c>
      <c r="F556">
        <f t="shared" si="105"/>
        <v>12</v>
      </c>
      <c r="G556" t="e">
        <f t="shared" si="106"/>
        <v>#N/A</v>
      </c>
      <c r="H556" t="e">
        <f t="shared" si="107"/>
        <v>#N/A</v>
      </c>
      <c r="I556" t="e">
        <f t="shared" si="108"/>
        <v>#N/A</v>
      </c>
      <c r="J556" t="e">
        <f t="shared" si="109"/>
        <v>#N/A</v>
      </c>
      <c r="K556">
        <f t="shared" si="110"/>
        <v>2022</v>
      </c>
      <c r="L556">
        <f t="shared" si="111"/>
        <v>3.2759999999999998</v>
      </c>
      <c r="M556" t="e">
        <f t="shared" si="112"/>
        <v>#N/A</v>
      </c>
      <c r="N556" t="e">
        <f t="shared" si="113"/>
        <v>#N/A</v>
      </c>
      <c r="O556">
        <f t="shared" si="114"/>
        <v>10.000556</v>
      </c>
      <c r="P556" t="str">
        <f>IF(OR($A556="",games!$H556=""),"",games!$H556)</f>
        <v>Yes</v>
      </c>
      <c r="Q556">
        <f t="shared" si="115"/>
        <v>10.000556</v>
      </c>
      <c r="T556">
        <f>IF(connections!$A556="","",IFERROR(INDEX(games!$B$2:$B$950,MATCH(connections!$A556,games!$A$2:$A$950,0)),""))</f>
        <v>2022</v>
      </c>
      <c r="U556">
        <f>IF(connections!$A556="","",IFERROR(INDEX(games!$B$2:$B$950,MATCH(connections!$B556,games!$A$2:$A$950,0)),""))</f>
        <v>2025</v>
      </c>
      <c r="V556">
        <f t="shared" si="116"/>
        <v>3</v>
      </c>
    </row>
    <row r="557" spans="1:22" x14ac:dyDescent="0.25">
      <c r="A557" t="str">
        <f>IF(games!$A557="","",games!$A557)</f>
        <v>Pegs X Stickers</v>
      </c>
      <c r="B557">
        <f>IF($A557="","",games!$B557)</f>
        <v>2026</v>
      </c>
      <c r="C557" t="str">
        <f>IF($A557="","",games!$C557)</f>
        <v>Deckbuilder</v>
      </c>
      <c r="D557">
        <f>IF($A557="","",COUNTIF(connections!$A$2:$A$1473,$A557)+COUNTIF(connections!$B$2:$B$1473,$A557))</f>
        <v>3</v>
      </c>
      <c r="E557">
        <f t="shared" si="104"/>
        <v>3</v>
      </c>
      <c r="F557">
        <f t="shared" si="105"/>
        <v>13</v>
      </c>
      <c r="G557" t="e">
        <f t="shared" si="106"/>
        <v>#N/A</v>
      </c>
      <c r="H557" t="e">
        <f t="shared" si="107"/>
        <v>#N/A</v>
      </c>
      <c r="I557" t="e">
        <f t="shared" si="108"/>
        <v>#N/A</v>
      </c>
      <c r="J557" t="e">
        <f t="shared" si="109"/>
        <v>#N/A</v>
      </c>
      <c r="K557">
        <f t="shared" si="110"/>
        <v>2026</v>
      </c>
      <c r="L557">
        <f t="shared" si="111"/>
        <v>3.2989999999999999</v>
      </c>
      <c r="M557" t="e">
        <f t="shared" si="112"/>
        <v>#N/A</v>
      </c>
      <c r="N557" t="e">
        <f t="shared" si="113"/>
        <v>#N/A</v>
      </c>
      <c r="O557">
        <f t="shared" si="114"/>
        <v>3.0005570000000001</v>
      </c>
      <c r="P557" t="str">
        <f>IF(OR($A557="",games!$H557=""),"",games!$H557)</f>
        <v/>
      </c>
      <c r="Q557" t="str">
        <f t="shared" si="115"/>
        <v/>
      </c>
      <c r="T557">
        <f>IF(connections!$A557="","",IFERROR(INDEX(games!$B$2:$B$950,MATCH(connections!$A557,games!$A$2:$A$950,0)),""))</f>
        <v>2015</v>
      </c>
      <c r="U557">
        <f>IF(connections!$A557="","",IFERROR(INDEX(games!$B$2:$B$950,MATCH(connections!$B557,games!$A$2:$A$950,0)),""))</f>
        <v>2025</v>
      </c>
      <c r="V557">
        <f t="shared" si="116"/>
        <v>10</v>
      </c>
    </row>
    <row r="558" spans="1:22" x14ac:dyDescent="0.25">
      <c r="A558" t="str">
        <f>IF(games!$A558="","",games!$A558)</f>
        <v>PengPong</v>
      </c>
      <c r="B558">
        <f>IF($A558="","",games!$B558)</f>
        <v>2026</v>
      </c>
      <c r="C558" t="str">
        <f>IF($A558="","",games!$C558)</f>
        <v>Action</v>
      </c>
      <c r="D558">
        <f>IF($A558="","",COUNTIF(connections!$A$2:$A$1473,$A558)+COUNTIF(connections!$B$2:$B$1473,$A558))</f>
        <v>7</v>
      </c>
      <c r="E558">
        <f t="shared" si="104"/>
        <v>1</v>
      </c>
      <c r="F558">
        <f t="shared" si="105"/>
        <v>14</v>
      </c>
      <c r="G558">
        <f t="shared" si="106"/>
        <v>2026</v>
      </c>
      <c r="H558">
        <f t="shared" si="107"/>
        <v>1.3220000000000001</v>
      </c>
      <c r="I558" t="e">
        <f t="shared" si="108"/>
        <v>#N/A</v>
      </c>
      <c r="J558" t="e">
        <f t="shared" si="109"/>
        <v>#N/A</v>
      </c>
      <c r="K558" t="e">
        <f t="shared" si="110"/>
        <v>#N/A</v>
      </c>
      <c r="L558" t="e">
        <f t="shared" si="111"/>
        <v>#N/A</v>
      </c>
      <c r="M558" t="e">
        <f t="shared" si="112"/>
        <v>#N/A</v>
      </c>
      <c r="N558" t="e">
        <f t="shared" si="113"/>
        <v>#N/A</v>
      </c>
      <c r="O558">
        <f t="shared" si="114"/>
        <v>7.0005579999999998</v>
      </c>
      <c r="P558" t="str">
        <f>IF(OR($A558="",games!$H558=""),"",games!$H558)</f>
        <v/>
      </c>
      <c r="Q558" t="str">
        <f t="shared" si="115"/>
        <v/>
      </c>
      <c r="T558">
        <f>IF(connections!$A558="","",IFERROR(INDEX(games!$B$2:$B$950,MATCH(connections!$A558,games!$A$2:$A$950,0)),""))</f>
        <v>1980</v>
      </c>
      <c r="U558">
        <f>IF(connections!$A558="","",IFERROR(INDEX(games!$B$2:$B$950,MATCH(connections!$B558,games!$A$2:$A$950,0)),""))</f>
        <v>1984</v>
      </c>
      <c r="V558">
        <f t="shared" si="116"/>
        <v>4</v>
      </c>
    </row>
    <row r="559" spans="1:22" x14ac:dyDescent="0.25">
      <c r="A559" t="str">
        <f>IF(games!$A559="","",games!$A559)</f>
        <v>Pesticide Not Required</v>
      </c>
      <c r="B559">
        <f>IF($A559="","",games!$B559)</f>
        <v>2024</v>
      </c>
      <c r="C559" t="str">
        <f>IF($A559="","",games!$C559)</f>
        <v>Action</v>
      </c>
      <c r="D559">
        <f>IF($A559="","",COUNTIF(connections!$A$2:$A$1473,$A559)+COUNTIF(connections!$B$2:$B$1473,$A559))</f>
        <v>3</v>
      </c>
      <c r="E559">
        <f t="shared" si="104"/>
        <v>1</v>
      </c>
      <c r="F559">
        <f t="shared" si="105"/>
        <v>15</v>
      </c>
      <c r="G559">
        <f t="shared" si="106"/>
        <v>2024</v>
      </c>
      <c r="H559">
        <f t="shared" si="107"/>
        <v>1.345</v>
      </c>
      <c r="I559" t="e">
        <f t="shared" si="108"/>
        <v>#N/A</v>
      </c>
      <c r="J559" t="e">
        <f t="shared" si="109"/>
        <v>#N/A</v>
      </c>
      <c r="K559" t="e">
        <f t="shared" si="110"/>
        <v>#N/A</v>
      </c>
      <c r="L559" t="e">
        <f t="shared" si="111"/>
        <v>#N/A</v>
      </c>
      <c r="M559" t="e">
        <f t="shared" si="112"/>
        <v>#N/A</v>
      </c>
      <c r="N559" t="e">
        <f t="shared" si="113"/>
        <v>#N/A</v>
      </c>
      <c r="O559">
        <f t="shared" si="114"/>
        <v>3.000559</v>
      </c>
      <c r="P559" t="str">
        <f>IF(OR($A559="",games!$H559=""),"",games!$H559)</f>
        <v>Yes</v>
      </c>
      <c r="Q559">
        <f t="shared" si="115"/>
        <v>3.000559</v>
      </c>
      <c r="T559">
        <f>IF(connections!$A559="","",IFERROR(INDEX(games!$B$2:$B$950,MATCH(connections!$A559,games!$A$2:$A$950,0)),""))</f>
        <v>2006</v>
      </c>
      <c r="U559">
        <f>IF(connections!$A559="","",IFERROR(INDEX(games!$B$2:$B$950,MATCH(connections!$B559,games!$A$2:$A$950,0)),""))</f>
        <v>2022</v>
      </c>
      <c r="V559">
        <f t="shared" si="116"/>
        <v>16</v>
      </c>
    </row>
    <row r="560" spans="1:22" x14ac:dyDescent="0.25">
      <c r="A560" t="str">
        <f>IF(games!$A560="","",games!$A560)</f>
        <v>Picayune Dreams</v>
      </c>
      <c r="B560">
        <f>IF($A560="","",games!$B560)</f>
        <v>2023</v>
      </c>
      <c r="C560" t="str">
        <f>IF($A560="","",games!$C560)</f>
        <v>Action</v>
      </c>
      <c r="D560">
        <f>IF($A560="","",COUNTIF(connections!$A$2:$A$1473,$A560)+COUNTIF(connections!$B$2:$B$1473,$A560))</f>
        <v>2</v>
      </c>
      <c r="E560">
        <f t="shared" si="104"/>
        <v>1</v>
      </c>
      <c r="F560">
        <f t="shared" si="105"/>
        <v>16</v>
      </c>
      <c r="G560">
        <f t="shared" si="106"/>
        <v>2023</v>
      </c>
      <c r="H560">
        <f t="shared" si="107"/>
        <v>1.3679999999999999</v>
      </c>
      <c r="I560" t="e">
        <f t="shared" si="108"/>
        <v>#N/A</v>
      </c>
      <c r="J560" t="e">
        <f t="shared" si="109"/>
        <v>#N/A</v>
      </c>
      <c r="K560" t="e">
        <f t="shared" si="110"/>
        <v>#N/A</v>
      </c>
      <c r="L560" t="e">
        <f t="shared" si="111"/>
        <v>#N/A</v>
      </c>
      <c r="M560" t="e">
        <f t="shared" si="112"/>
        <v>#N/A</v>
      </c>
      <c r="N560" t="e">
        <f t="shared" si="113"/>
        <v>#N/A</v>
      </c>
      <c r="O560">
        <f t="shared" si="114"/>
        <v>2.0005600000000001</v>
      </c>
      <c r="P560" t="str">
        <f>IF(OR($A560="",games!$H560=""),"",games!$H560)</f>
        <v>Yes</v>
      </c>
      <c r="Q560">
        <f t="shared" si="115"/>
        <v>2.0005600000000001</v>
      </c>
      <c r="T560">
        <f>IF(connections!$A560="","",IFERROR(INDEX(games!$B$2:$B$950,MATCH(connections!$A560,games!$A$2:$A$950,0)),""))</f>
        <v>2017</v>
      </c>
      <c r="U560">
        <f>IF(connections!$A560="","",IFERROR(INDEX(games!$B$2:$B$950,MATCH(connections!$B560,games!$A$2:$A$950,0)),""))</f>
        <v>2021</v>
      </c>
      <c r="V560">
        <f t="shared" si="116"/>
        <v>4</v>
      </c>
    </row>
    <row r="561" spans="1:22" x14ac:dyDescent="0.25">
      <c r="A561" t="str">
        <f>IF(games!$A561="","",games!$A561)</f>
        <v>Pip My Dice</v>
      </c>
      <c r="B561">
        <f>IF($A561="","",games!$B561)</f>
        <v>2025</v>
      </c>
      <c r="C561" t="str">
        <f>IF($A561="","",games!$C561)</f>
        <v>Deckbuilder</v>
      </c>
      <c r="D561">
        <f>IF($A561="","",COUNTIF(connections!$A$2:$A$1473,$A561)+COUNTIF(connections!$B$2:$B$1473,$A561))</f>
        <v>1</v>
      </c>
      <c r="E561">
        <f t="shared" si="104"/>
        <v>3</v>
      </c>
      <c r="F561">
        <f t="shared" si="105"/>
        <v>17</v>
      </c>
      <c r="G561" t="e">
        <f t="shared" si="106"/>
        <v>#N/A</v>
      </c>
      <c r="H561" t="e">
        <f t="shared" si="107"/>
        <v>#N/A</v>
      </c>
      <c r="I561" t="e">
        <f t="shared" si="108"/>
        <v>#N/A</v>
      </c>
      <c r="J561" t="e">
        <f t="shared" si="109"/>
        <v>#N/A</v>
      </c>
      <c r="K561">
        <f t="shared" si="110"/>
        <v>2025</v>
      </c>
      <c r="L561">
        <f t="shared" si="111"/>
        <v>3.391</v>
      </c>
      <c r="M561" t="e">
        <f t="shared" si="112"/>
        <v>#N/A</v>
      </c>
      <c r="N561" t="e">
        <f t="shared" si="113"/>
        <v>#N/A</v>
      </c>
      <c r="O561">
        <f t="shared" si="114"/>
        <v>1.000561</v>
      </c>
      <c r="P561" t="str">
        <f>IF(OR($A561="",games!$H561=""),"",games!$H561)</f>
        <v>Yes</v>
      </c>
      <c r="Q561">
        <f t="shared" si="115"/>
        <v>1.000561</v>
      </c>
      <c r="T561">
        <f>IF(connections!$A561="","",IFERROR(INDEX(games!$B$2:$B$950,MATCH(connections!$A561,games!$A$2:$A$950,0)),""))</f>
        <v>2015</v>
      </c>
      <c r="U561">
        <f>IF(connections!$A561="","",IFERROR(INDEX(games!$B$2:$B$950,MATCH(connections!$B561,games!$A$2:$A$950,0)),""))</f>
        <v>2019</v>
      </c>
      <c r="V561">
        <f t="shared" si="116"/>
        <v>4</v>
      </c>
    </row>
    <row r="562" spans="1:22" x14ac:dyDescent="0.25">
      <c r="A562" t="str">
        <f>IF(games!$A562="","",games!$A562)</f>
        <v>Pixel Dungeon</v>
      </c>
      <c r="B562">
        <f>IF($A562="","",games!$B562)</f>
        <v>2012</v>
      </c>
      <c r="C562" t="str">
        <f>IF($A562="","",games!$C562)</f>
        <v>Traditional</v>
      </c>
      <c r="D562">
        <f>IF($A562="","",COUNTIF(connections!$A$2:$A$1473,$A562)+COUNTIF(connections!$B$2:$B$1473,$A562))</f>
        <v>3</v>
      </c>
      <c r="E562">
        <f t="shared" si="104"/>
        <v>4</v>
      </c>
      <c r="F562">
        <f t="shared" si="105"/>
        <v>18</v>
      </c>
      <c r="G562" t="e">
        <f t="shared" si="106"/>
        <v>#N/A</v>
      </c>
      <c r="H562" t="e">
        <f t="shared" si="107"/>
        <v>#N/A</v>
      </c>
      <c r="I562" t="e">
        <f t="shared" si="108"/>
        <v>#N/A</v>
      </c>
      <c r="J562" t="e">
        <f t="shared" si="109"/>
        <v>#N/A</v>
      </c>
      <c r="K562" t="e">
        <f t="shared" si="110"/>
        <v>#N/A</v>
      </c>
      <c r="L562" t="e">
        <f t="shared" si="111"/>
        <v>#N/A</v>
      </c>
      <c r="M562">
        <f t="shared" si="112"/>
        <v>2012</v>
      </c>
      <c r="N562">
        <f t="shared" si="113"/>
        <v>4.4139999999999997</v>
      </c>
      <c r="O562">
        <f t="shared" si="114"/>
        <v>3.000562</v>
      </c>
      <c r="P562" t="str">
        <f>IF(OR($A562="",games!$H562=""),"",games!$H562)</f>
        <v>Yes</v>
      </c>
      <c r="Q562">
        <f t="shared" si="115"/>
        <v>3.000562</v>
      </c>
      <c r="T562">
        <f>IF(connections!$A562="","",IFERROR(INDEX(games!$B$2:$B$950,MATCH(connections!$A562,games!$A$2:$A$950,0)),""))</f>
        <v>2018</v>
      </c>
      <c r="U562">
        <f>IF(connections!$A562="","",IFERROR(INDEX(games!$B$2:$B$950,MATCH(connections!$B562,games!$A$2:$A$950,0)),""))</f>
        <v>2019</v>
      </c>
      <c r="V562">
        <f t="shared" si="116"/>
        <v>1</v>
      </c>
    </row>
    <row r="563" spans="1:22" x14ac:dyDescent="0.25">
      <c r="A563" t="str">
        <f>IF(games!$A563="","",games!$A563)</f>
        <v>PlateUp!</v>
      </c>
      <c r="B563">
        <f>IF($A563="","",games!$B563)</f>
        <v>2022</v>
      </c>
      <c r="C563" t="str">
        <f>IF($A563="","",games!$C563)</f>
        <v>Strategy</v>
      </c>
      <c r="D563">
        <f>IF($A563="","",COUNTIF(connections!$A$2:$A$1473,$A563)+COUNTIF(connections!$B$2:$B$1473,$A563))</f>
        <v>0</v>
      </c>
      <c r="E563">
        <f t="shared" si="104"/>
        <v>2</v>
      </c>
      <c r="F563">
        <f t="shared" si="105"/>
        <v>19</v>
      </c>
      <c r="G563" t="e">
        <f t="shared" si="106"/>
        <v>#N/A</v>
      </c>
      <c r="H563" t="e">
        <f t="shared" si="107"/>
        <v>#N/A</v>
      </c>
      <c r="I563">
        <f t="shared" si="108"/>
        <v>2022</v>
      </c>
      <c r="J563">
        <f t="shared" si="109"/>
        <v>2.4369999999999998</v>
      </c>
      <c r="K563" t="e">
        <f t="shared" si="110"/>
        <v>#N/A</v>
      </c>
      <c r="L563" t="e">
        <f t="shared" si="111"/>
        <v>#N/A</v>
      </c>
      <c r="M563" t="e">
        <f t="shared" si="112"/>
        <v>#N/A</v>
      </c>
      <c r="N563" t="e">
        <f t="shared" si="113"/>
        <v>#N/A</v>
      </c>
      <c r="O563">
        <f t="shared" si="114"/>
        <v>5.6300000000000002E-4</v>
      </c>
      <c r="P563" t="str">
        <f>IF(OR($A563="",games!$H563=""),"",games!$H563)</f>
        <v>Yes</v>
      </c>
      <c r="Q563">
        <f t="shared" si="115"/>
        <v>5.6300000000000002E-4</v>
      </c>
      <c r="T563">
        <f>IF(connections!$A563="","",IFERROR(INDEX(games!$B$2:$B$950,MATCH(connections!$A563,games!$A$2:$A$950,0)),""))</f>
        <v>2016</v>
      </c>
      <c r="U563">
        <f>IF(connections!$A563="","",IFERROR(INDEX(games!$B$2:$B$950,MATCH(connections!$B563,games!$A$2:$A$950,0)),""))</f>
        <v>2019</v>
      </c>
      <c r="V563">
        <f t="shared" si="116"/>
        <v>3</v>
      </c>
    </row>
    <row r="564" spans="1:22" x14ac:dyDescent="0.25">
      <c r="A564" t="str">
        <f>IF(games!$A564="","",games!$A564)</f>
        <v>Plinbo</v>
      </c>
      <c r="B564">
        <f>IF($A564="","",games!$B564)</f>
        <v>2026</v>
      </c>
      <c r="C564" t="str">
        <f>IF($A564="","",games!$C564)</f>
        <v>Deckbuilder</v>
      </c>
      <c r="D564">
        <f>IF($A564="","",COUNTIF(connections!$A$2:$A$1473,$A564)+COUNTIF(connections!$B$2:$B$1473,$A564))</f>
        <v>1</v>
      </c>
      <c r="E564">
        <f t="shared" si="104"/>
        <v>3</v>
      </c>
      <c r="F564">
        <f t="shared" si="105"/>
        <v>20</v>
      </c>
      <c r="G564" t="e">
        <f t="shared" si="106"/>
        <v>#N/A</v>
      </c>
      <c r="H564" t="e">
        <f t="shared" si="107"/>
        <v>#N/A</v>
      </c>
      <c r="I564" t="e">
        <f t="shared" si="108"/>
        <v>#N/A</v>
      </c>
      <c r="J564" t="e">
        <f t="shared" si="109"/>
        <v>#N/A</v>
      </c>
      <c r="K564">
        <f t="shared" si="110"/>
        <v>2026</v>
      </c>
      <c r="L564">
        <f t="shared" si="111"/>
        <v>3.46</v>
      </c>
      <c r="M564" t="e">
        <f t="shared" si="112"/>
        <v>#N/A</v>
      </c>
      <c r="N564" t="e">
        <f t="shared" si="113"/>
        <v>#N/A</v>
      </c>
      <c r="O564">
        <f t="shared" si="114"/>
        <v>1.000564</v>
      </c>
      <c r="P564" t="str">
        <f>IF(OR($A564="",games!$H564=""),"",games!$H564)</f>
        <v>Yes</v>
      </c>
      <c r="Q564">
        <f t="shared" si="115"/>
        <v>1.000564</v>
      </c>
      <c r="T564">
        <f>IF(connections!$A564="","",IFERROR(INDEX(games!$B$2:$B$950,MATCH(connections!$A564,games!$A$2:$A$950,0)),""))</f>
        <v>2013</v>
      </c>
      <c r="U564">
        <f>IF(connections!$A564="","",IFERROR(INDEX(games!$B$2:$B$950,MATCH(connections!$B564,games!$A$2:$A$950,0)),""))</f>
        <v>2019</v>
      </c>
      <c r="V564">
        <f t="shared" si="116"/>
        <v>6</v>
      </c>
    </row>
    <row r="565" spans="1:22" x14ac:dyDescent="0.25">
      <c r="A565" t="str">
        <f>IF(games!$A565="","",games!$A565)</f>
        <v>Plinko Panic!</v>
      </c>
      <c r="B565">
        <f>IF($A565="","",games!$B565)</f>
        <v>2021</v>
      </c>
      <c r="C565" t="str">
        <f>IF($A565="","",games!$C565)</f>
        <v>Deckbuilder</v>
      </c>
      <c r="D565">
        <f>IF($A565="","",COUNTIF(connections!$A$2:$A$1473,$A565)+COUNTIF(connections!$B$2:$B$1473,$A565))</f>
        <v>1</v>
      </c>
      <c r="E565">
        <f t="shared" si="104"/>
        <v>3</v>
      </c>
      <c r="F565">
        <f t="shared" si="105"/>
        <v>21</v>
      </c>
      <c r="G565" t="e">
        <f t="shared" si="106"/>
        <v>#N/A</v>
      </c>
      <c r="H565" t="e">
        <f t="shared" si="107"/>
        <v>#N/A</v>
      </c>
      <c r="I565" t="e">
        <f t="shared" si="108"/>
        <v>#N/A</v>
      </c>
      <c r="J565" t="e">
        <f t="shared" si="109"/>
        <v>#N/A</v>
      </c>
      <c r="K565">
        <f t="shared" si="110"/>
        <v>2021</v>
      </c>
      <c r="L565">
        <f t="shared" si="111"/>
        <v>3.4830000000000001</v>
      </c>
      <c r="M565" t="e">
        <f t="shared" si="112"/>
        <v>#N/A</v>
      </c>
      <c r="N565" t="e">
        <f t="shared" si="113"/>
        <v>#N/A</v>
      </c>
      <c r="O565">
        <f t="shared" si="114"/>
        <v>1.0005649999999999</v>
      </c>
      <c r="P565" t="str">
        <f>IF(OR($A565="",games!$H565=""),"",games!$H565)</f>
        <v/>
      </c>
      <c r="Q565" t="str">
        <f t="shared" si="115"/>
        <v/>
      </c>
      <c r="T565">
        <f>IF(connections!$A565="","",IFERROR(INDEX(games!$B$2:$B$950,MATCH(connections!$A565,games!$A$2:$A$950,0)),""))</f>
        <v>2017</v>
      </c>
      <c r="U565">
        <f>IF(connections!$A565="","",IFERROR(INDEX(games!$B$2:$B$950,MATCH(connections!$B565,games!$A$2:$A$950,0)),""))</f>
        <v>2019</v>
      </c>
      <c r="V565">
        <f t="shared" si="116"/>
        <v>2</v>
      </c>
    </row>
    <row r="566" spans="1:22" x14ac:dyDescent="0.25">
      <c r="A566" t="str">
        <f>IF(games!$A566="","",games!$A566)</f>
        <v>Pluto</v>
      </c>
      <c r="B566">
        <f>IF($A566="","",games!$B566)</f>
        <v>2026</v>
      </c>
      <c r="C566" t="str">
        <f>IF($A566="","",games!$C566)</f>
        <v>Deckbuilder</v>
      </c>
      <c r="D566">
        <f>IF($A566="","",COUNTIF(connections!$A$2:$A$1473,$A566)+COUNTIF(connections!$B$2:$B$1473,$A566))</f>
        <v>1</v>
      </c>
      <c r="E566">
        <f t="shared" si="104"/>
        <v>3</v>
      </c>
      <c r="F566">
        <f t="shared" si="105"/>
        <v>22</v>
      </c>
      <c r="G566" t="e">
        <f t="shared" si="106"/>
        <v>#N/A</v>
      </c>
      <c r="H566" t="e">
        <f t="shared" si="107"/>
        <v>#N/A</v>
      </c>
      <c r="I566" t="e">
        <f t="shared" si="108"/>
        <v>#N/A</v>
      </c>
      <c r="J566" t="e">
        <f t="shared" si="109"/>
        <v>#N/A</v>
      </c>
      <c r="K566">
        <f t="shared" si="110"/>
        <v>2026</v>
      </c>
      <c r="L566">
        <f t="shared" si="111"/>
        <v>3.5060000000000002</v>
      </c>
      <c r="M566" t="e">
        <f t="shared" si="112"/>
        <v>#N/A</v>
      </c>
      <c r="N566" t="e">
        <f t="shared" si="113"/>
        <v>#N/A</v>
      </c>
      <c r="O566">
        <f t="shared" si="114"/>
        <v>1.0005660000000001</v>
      </c>
      <c r="P566" t="str">
        <f>IF(OR($A566="",games!$H566=""),"",games!$H566)</f>
        <v/>
      </c>
      <c r="Q566" t="str">
        <f t="shared" si="115"/>
        <v/>
      </c>
      <c r="T566">
        <f>IF(connections!$A566="","",IFERROR(INDEX(games!$B$2:$B$950,MATCH(connections!$A566,games!$A$2:$A$950,0)),""))</f>
        <v>2008</v>
      </c>
      <c r="U566">
        <f>IF(connections!$A566="","",IFERROR(INDEX(games!$B$2:$B$950,MATCH(connections!$B566,games!$A$2:$A$950,0)),""))</f>
        <v>2019</v>
      </c>
      <c r="V566">
        <f t="shared" si="116"/>
        <v>11</v>
      </c>
    </row>
    <row r="567" spans="1:22" x14ac:dyDescent="0.25">
      <c r="A567" t="str">
        <f>IF(games!$A567="","",games!$A567)</f>
        <v>Pocket Crystal League</v>
      </c>
      <c r="B567">
        <f>IF($A567="","",games!$B567)</f>
        <v>2022</v>
      </c>
      <c r="C567" t="str">
        <f>IF($A567="","",games!$C567)</f>
        <v>Deckbuilder</v>
      </c>
      <c r="D567">
        <f>IF($A567="","",COUNTIF(connections!$A$2:$A$1473,$A567)+COUNTIF(connections!$B$2:$B$1473,$A567))</f>
        <v>1</v>
      </c>
      <c r="E567">
        <f t="shared" si="104"/>
        <v>3</v>
      </c>
      <c r="F567">
        <f t="shared" si="105"/>
        <v>23</v>
      </c>
      <c r="G567" t="e">
        <f t="shared" si="106"/>
        <v>#N/A</v>
      </c>
      <c r="H567" t="e">
        <f t="shared" si="107"/>
        <v>#N/A</v>
      </c>
      <c r="I567" t="e">
        <f t="shared" si="108"/>
        <v>#N/A</v>
      </c>
      <c r="J567" t="e">
        <f t="shared" si="109"/>
        <v>#N/A</v>
      </c>
      <c r="K567">
        <f t="shared" si="110"/>
        <v>2022</v>
      </c>
      <c r="L567">
        <f t="shared" si="111"/>
        <v>3.5289999999999999</v>
      </c>
      <c r="M567" t="e">
        <f t="shared" si="112"/>
        <v>#N/A</v>
      </c>
      <c r="N567" t="e">
        <f t="shared" si="113"/>
        <v>#N/A</v>
      </c>
      <c r="O567">
        <f t="shared" si="114"/>
        <v>1.000567</v>
      </c>
      <c r="P567" t="str">
        <f>IF(OR($A567="",games!$H567=""),"",games!$H567)</f>
        <v>Yes</v>
      </c>
      <c r="Q567">
        <f t="shared" si="115"/>
        <v>1.000567</v>
      </c>
      <c r="T567">
        <f>IF(connections!$A567="","",IFERROR(INDEX(games!$B$2:$B$950,MATCH(connections!$A567,games!$A$2:$A$950,0)),""))</f>
        <v>2011</v>
      </c>
      <c r="U567">
        <f>IF(connections!$A567="","",IFERROR(INDEX(games!$B$2:$B$950,MATCH(connections!$B567,games!$A$2:$A$950,0)),""))</f>
        <v>2019</v>
      </c>
      <c r="V567">
        <f t="shared" si="116"/>
        <v>8</v>
      </c>
    </row>
    <row r="568" spans="1:22" x14ac:dyDescent="0.25">
      <c r="A568" t="str">
        <f>IF(games!$A568="","",games!$A568)</f>
        <v>Pogo Rogue</v>
      </c>
      <c r="B568">
        <f>IF($A568="","",games!$B568)</f>
        <v>2024</v>
      </c>
      <c r="C568" t="str">
        <f>IF($A568="","",games!$C568)</f>
        <v>Action</v>
      </c>
      <c r="D568">
        <f>IF($A568="","",COUNTIF(connections!$A$2:$A$1473,$A568)+COUNTIF(connections!$B$2:$B$1473,$A568))</f>
        <v>0</v>
      </c>
      <c r="E568">
        <f t="shared" si="104"/>
        <v>1</v>
      </c>
      <c r="F568">
        <f t="shared" si="105"/>
        <v>24</v>
      </c>
      <c r="G568">
        <f t="shared" si="106"/>
        <v>2024</v>
      </c>
      <c r="H568">
        <f t="shared" si="107"/>
        <v>1.552</v>
      </c>
      <c r="I568" t="e">
        <f t="shared" si="108"/>
        <v>#N/A</v>
      </c>
      <c r="J568" t="e">
        <f t="shared" si="109"/>
        <v>#N/A</v>
      </c>
      <c r="K568" t="e">
        <f t="shared" si="110"/>
        <v>#N/A</v>
      </c>
      <c r="L568" t="e">
        <f t="shared" si="111"/>
        <v>#N/A</v>
      </c>
      <c r="M568" t="e">
        <f t="shared" si="112"/>
        <v>#N/A</v>
      </c>
      <c r="N568" t="e">
        <f t="shared" si="113"/>
        <v>#N/A</v>
      </c>
      <c r="O568">
        <f t="shared" si="114"/>
        <v>5.6800000000000004E-4</v>
      </c>
      <c r="P568" t="str">
        <f>IF(OR($A568="",games!$H568=""),"",games!$H568)</f>
        <v>Yes</v>
      </c>
      <c r="Q568">
        <f t="shared" si="115"/>
        <v>5.6800000000000004E-4</v>
      </c>
      <c r="T568">
        <f>IF(connections!$A568="","",IFERROR(INDEX(games!$B$2:$B$950,MATCH(connections!$A568,games!$A$2:$A$950,0)),""))</f>
        <v>2018</v>
      </c>
      <c r="U568">
        <f>IF(connections!$A568="","",IFERROR(INDEX(games!$B$2:$B$950,MATCH(connections!$B568,games!$A$2:$A$950,0)),""))</f>
        <v>2019</v>
      </c>
      <c r="V568">
        <f t="shared" si="116"/>
        <v>1</v>
      </c>
    </row>
    <row r="569" spans="1:22" x14ac:dyDescent="0.25">
      <c r="A569" t="str">
        <f>IF(games!$A569="","",games!$A569)</f>
        <v>Pokelike</v>
      </c>
      <c r="B569">
        <f>IF($A569="","",games!$B569)</f>
        <v>2026</v>
      </c>
      <c r="C569" t="str">
        <f>IF($A569="","",games!$C569)</f>
        <v>Strategy</v>
      </c>
      <c r="D569">
        <f>IF($A569="","",COUNTIF(connections!$A$2:$A$1473,$A569)+COUNTIF(connections!$B$2:$B$1473,$A569))</f>
        <v>1</v>
      </c>
      <c r="E569">
        <f t="shared" si="104"/>
        <v>2</v>
      </c>
      <c r="F569">
        <f t="shared" si="105"/>
        <v>25</v>
      </c>
      <c r="G569" t="e">
        <f t="shared" si="106"/>
        <v>#N/A</v>
      </c>
      <c r="H569" t="e">
        <f t="shared" si="107"/>
        <v>#N/A</v>
      </c>
      <c r="I569">
        <f t="shared" si="108"/>
        <v>2026</v>
      </c>
      <c r="J569">
        <f t="shared" si="109"/>
        <v>2.5750000000000002</v>
      </c>
      <c r="K569" t="e">
        <f t="shared" si="110"/>
        <v>#N/A</v>
      </c>
      <c r="L569" t="e">
        <f t="shared" si="111"/>
        <v>#N/A</v>
      </c>
      <c r="M569" t="e">
        <f t="shared" si="112"/>
        <v>#N/A</v>
      </c>
      <c r="N569" t="e">
        <f t="shared" si="113"/>
        <v>#N/A</v>
      </c>
      <c r="O569">
        <f t="shared" si="114"/>
        <v>1.000569</v>
      </c>
      <c r="P569" t="str">
        <f>IF(OR($A569="",games!$H569=""),"",games!$H569)</f>
        <v>Yes</v>
      </c>
      <c r="Q569">
        <f t="shared" si="115"/>
        <v>1.000569</v>
      </c>
      <c r="T569">
        <f>IF(connections!$A569="","",IFERROR(INDEX(games!$B$2:$B$950,MATCH(connections!$A569,games!$A$2:$A$950,0)),""))</f>
        <v>2019</v>
      </c>
      <c r="U569">
        <f>IF(connections!$A569="","",IFERROR(INDEX(games!$B$2:$B$950,MATCH(connections!$B569,games!$A$2:$A$950,0)),""))</f>
        <v>2024</v>
      </c>
      <c r="V569">
        <f t="shared" si="116"/>
        <v>5</v>
      </c>
    </row>
    <row r="570" spans="1:22" x14ac:dyDescent="0.25">
      <c r="A570" t="str">
        <f>IF(games!$A570="","",games!$A570)</f>
        <v>Pokémon Auto Chess</v>
      </c>
      <c r="B570">
        <f>IF($A570="","",games!$B570)</f>
        <v>2021</v>
      </c>
      <c r="C570" t="str">
        <f>IF($A570="","",games!$C570)</f>
        <v>Strategy</v>
      </c>
      <c r="D570">
        <f>IF($A570="","",COUNTIF(connections!$A$2:$A$1473,$A570)+COUNTIF(connections!$B$2:$B$1473,$A570))</f>
        <v>2</v>
      </c>
      <c r="E570">
        <f t="shared" si="104"/>
        <v>2</v>
      </c>
      <c r="F570">
        <f t="shared" si="105"/>
        <v>26</v>
      </c>
      <c r="G570" t="e">
        <f t="shared" si="106"/>
        <v>#N/A</v>
      </c>
      <c r="H570" t="e">
        <f t="shared" si="107"/>
        <v>#N/A</v>
      </c>
      <c r="I570">
        <f t="shared" si="108"/>
        <v>2021</v>
      </c>
      <c r="J570">
        <f t="shared" si="109"/>
        <v>2.5979999999999999</v>
      </c>
      <c r="K570" t="e">
        <f t="shared" si="110"/>
        <v>#N/A</v>
      </c>
      <c r="L570" t="e">
        <f t="shared" si="111"/>
        <v>#N/A</v>
      </c>
      <c r="M570" t="e">
        <f t="shared" si="112"/>
        <v>#N/A</v>
      </c>
      <c r="N570" t="e">
        <f t="shared" si="113"/>
        <v>#N/A</v>
      </c>
      <c r="O570">
        <f t="shared" si="114"/>
        <v>2.0005700000000002</v>
      </c>
      <c r="P570" t="str">
        <f>IF(OR($A570="",games!$H570=""),"",games!$H570)</f>
        <v>Yes</v>
      </c>
      <c r="Q570">
        <f t="shared" si="115"/>
        <v>2.0005700000000002</v>
      </c>
      <c r="T570">
        <f>IF(connections!$A570="","",IFERROR(INDEX(games!$B$2:$B$950,MATCH(connections!$A570,games!$A$2:$A$950,0)),""))</f>
        <v>1996</v>
      </c>
      <c r="U570">
        <f>IF(connections!$A570="","",IFERROR(INDEX(games!$B$2:$B$950,MATCH(connections!$B570,games!$A$2:$A$950,0)),""))</f>
        <v>2023</v>
      </c>
      <c r="V570">
        <f t="shared" si="116"/>
        <v>27</v>
      </c>
    </row>
    <row r="571" spans="1:22" x14ac:dyDescent="0.25">
      <c r="A571" t="str">
        <f>IF(games!$A571="","",games!$A571)</f>
        <v>Pokémon Auto Spire</v>
      </c>
      <c r="B571">
        <f>IF($A571="","",games!$B571)</f>
        <v>2026</v>
      </c>
      <c r="C571" t="str">
        <f>IF($A571="","",games!$C571)</f>
        <v>Strategy</v>
      </c>
      <c r="D571">
        <f>IF($A571="","",COUNTIF(connections!$A$2:$A$1473,$A571)+COUNTIF(connections!$B$2:$B$1473,$A571))</f>
        <v>2</v>
      </c>
      <c r="E571">
        <f t="shared" si="104"/>
        <v>2</v>
      </c>
      <c r="F571">
        <f t="shared" si="105"/>
        <v>27</v>
      </c>
      <c r="G571" t="e">
        <f t="shared" si="106"/>
        <v>#N/A</v>
      </c>
      <c r="H571" t="e">
        <f t="shared" si="107"/>
        <v>#N/A</v>
      </c>
      <c r="I571">
        <f t="shared" si="108"/>
        <v>2026</v>
      </c>
      <c r="J571">
        <f t="shared" si="109"/>
        <v>2.621</v>
      </c>
      <c r="K571" t="e">
        <f t="shared" si="110"/>
        <v>#N/A</v>
      </c>
      <c r="L571" t="e">
        <f t="shared" si="111"/>
        <v>#N/A</v>
      </c>
      <c r="M571" t="e">
        <f t="shared" si="112"/>
        <v>#N/A</v>
      </c>
      <c r="N571" t="e">
        <f t="shared" si="113"/>
        <v>#N/A</v>
      </c>
      <c r="O571">
        <f t="shared" si="114"/>
        <v>2.0005709999999999</v>
      </c>
      <c r="P571" t="str">
        <f>IF(OR($A571="",games!$H571=""),"",games!$H571)</f>
        <v>Yes</v>
      </c>
      <c r="Q571">
        <f t="shared" si="115"/>
        <v>2.0005709999999999</v>
      </c>
      <c r="T571">
        <f>IF(connections!$A571="","",IFERROR(INDEX(games!$B$2:$B$950,MATCH(connections!$A571,games!$A$2:$A$950,0)),""))</f>
        <v>2021</v>
      </c>
      <c r="U571">
        <f>IF(connections!$A571="","",IFERROR(INDEX(games!$B$2:$B$950,MATCH(connections!$B571,games!$A$2:$A$950,0)),""))</f>
        <v>2023</v>
      </c>
      <c r="V571">
        <f t="shared" si="116"/>
        <v>2</v>
      </c>
    </row>
    <row r="572" spans="1:22" x14ac:dyDescent="0.25">
      <c r="A572" t="str">
        <f>IF(games!$A572="","",games!$A572)</f>
        <v>Pokémon Mystery Dungeon: Explorers of Sky</v>
      </c>
      <c r="B572">
        <f>IF($A572="","",games!$B572)</f>
        <v>2009</v>
      </c>
      <c r="C572" t="str">
        <f>IF($A572="","",games!$C572)</f>
        <v>Traditional</v>
      </c>
      <c r="D572">
        <f>IF($A572="","",COUNTIF(connections!$A$2:$A$1473,$A572)+COUNTIF(connections!$B$2:$B$1473,$A572))</f>
        <v>1</v>
      </c>
      <c r="E572">
        <f t="shared" si="104"/>
        <v>4</v>
      </c>
      <c r="F572">
        <f t="shared" si="105"/>
        <v>28</v>
      </c>
      <c r="G572" t="e">
        <f t="shared" si="106"/>
        <v>#N/A</v>
      </c>
      <c r="H572" t="e">
        <f t="shared" si="107"/>
        <v>#N/A</v>
      </c>
      <c r="I572" t="e">
        <f t="shared" si="108"/>
        <v>#N/A</v>
      </c>
      <c r="J572" t="e">
        <f t="shared" si="109"/>
        <v>#N/A</v>
      </c>
      <c r="K572" t="e">
        <f t="shared" si="110"/>
        <v>#N/A</v>
      </c>
      <c r="L572" t="e">
        <f t="shared" si="111"/>
        <v>#N/A</v>
      </c>
      <c r="M572">
        <f t="shared" si="112"/>
        <v>2009</v>
      </c>
      <c r="N572">
        <f t="shared" si="113"/>
        <v>4.6440000000000001</v>
      </c>
      <c r="O572">
        <f t="shared" si="114"/>
        <v>1.000572</v>
      </c>
      <c r="P572" t="str">
        <f>IF(OR($A572="",games!$H572=""),"",games!$H572)</f>
        <v>Yes</v>
      </c>
      <c r="Q572">
        <f t="shared" si="115"/>
        <v>1.000572</v>
      </c>
      <c r="T572">
        <f>IF(connections!$A572="","",IFERROR(INDEX(games!$B$2:$B$950,MATCH(connections!$A572,games!$A$2:$A$950,0)),""))</f>
        <v>2012</v>
      </c>
      <c r="U572">
        <f>IF(connections!$A572="","",IFERROR(INDEX(games!$B$2:$B$950,MATCH(connections!$B572,games!$A$2:$A$950,0)),""))</f>
        <v>2014</v>
      </c>
      <c r="V572">
        <f t="shared" si="116"/>
        <v>2</v>
      </c>
    </row>
    <row r="573" spans="1:22" x14ac:dyDescent="0.25">
      <c r="A573" t="str">
        <f>IF(games!$A573="","",games!$A573)</f>
        <v>Pokémon Mystery Dungeon: Explorers of Time and Explorers of Darkness</v>
      </c>
      <c r="B573">
        <f>IF($A573="","",games!$B573)</f>
        <v>2007</v>
      </c>
      <c r="C573" t="str">
        <f>IF($A573="","",games!$C573)</f>
        <v>Traditional</v>
      </c>
      <c r="D573">
        <f>IF($A573="","",COUNTIF(connections!$A$2:$A$1473,$A573)+COUNTIF(connections!$B$2:$B$1473,$A573))</f>
        <v>2</v>
      </c>
      <c r="E573">
        <f t="shared" si="104"/>
        <v>4</v>
      </c>
      <c r="F573">
        <f t="shared" si="105"/>
        <v>29</v>
      </c>
      <c r="G573" t="e">
        <f t="shared" si="106"/>
        <v>#N/A</v>
      </c>
      <c r="H573" t="e">
        <f t="shared" si="107"/>
        <v>#N/A</v>
      </c>
      <c r="I573" t="e">
        <f t="shared" si="108"/>
        <v>#N/A</v>
      </c>
      <c r="J573" t="e">
        <f t="shared" si="109"/>
        <v>#N/A</v>
      </c>
      <c r="K573" t="e">
        <f t="shared" si="110"/>
        <v>#N/A</v>
      </c>
      <c r="L573" t="e">
        <f t="shared" si="111"/>
        <v>#N/A</v>
      </c>
      <c r="M573">
        <f t="shared" si="112"/>
        <v>2007</v>
      </c>
      <c r="N573">
        <f t="shared" si="113"/>
        <v>4.6669999999999998</v>
      </c>
      <c r="O573">
        <f t="shared" si="114"/>
        <v>2.0005730000000002</v>
      </c>
      <c r="P573" t="str">
        <f>IF(OR($A573="",games!$H573=""),"",games!$H573)</f>
        <v>Yes</v>
      </c>
      <c r="Q573">
        <f t="shared" si="115"/>
        <v>2.0005730000000002</v>
      </c>
      <c r="T573">
        <f>IF(connections!$A573="","",IFERROR(INDEX(games!$B$2:$B$950,MATCH(connections!$A573,games!$A$2:$A$950,0)),""))</f>
        <v>2014</v>
      </c>
      <c r="U573">
        <f>IF(connections!$A573="","",IFERROR(INDEX(games!$B$2:$B$950,MATCH(connections!$B573,games!$A$2:$A$950,0)),""))</f>
        <v>2017</v>
      </c>
      <c r="V573">
        <f t="shared" si="116"/>
        <v>3</v>
      </c>
    </row>
    <row r="574" spans="1:22" x14ac:dyDescent="0.25">
      <c r="A574" t="str">
        <f>IF(games!$A574="","",games!$A574)</f>
        <v>Pokémon Mystery Dungeon: Gates to Infinity</v>
      </c>
      <c r="B574">
        <f>IF($A574="","",games!$B574)</f>
        <v>2012</v>
      </c>
      <c r="C574" t="str">
        <f>IF($A574="","",games!$C574)</f>
        <v>Traditional</v>
      </c>
      <c r="D574">
        <f>IF($A574="","",COUNTIF(connections!$A$2:$A$1473,$A574)+COUNTIF(connections!$B$2:$B$1473,$A574))</f>
        <v>1</v>
      </c>
      <c r="E574">
        <f t="shared" si="104"/>
        <v>4</v>
      </c>
      <c r="F574">
        <f t="shared" si="105"/>
        <v>30</v>
      </c>
      <c r="G574" t="e">
        <f t="shared" si="106"/>
        <v>#N/A</v>
      </c>
      <c r="H574" t="e">
        <f t="shared" si="107"/>
        <v>#N/A</v>
      </c>
      <c r="I574" t="e">
        <f t="shared" si="108"/>
        <v>#N/A</v>
      </c>
      <c r="J574" t="e">
        <f t="shared" si="109"/>
        <v>#N/A</v>
      </c>
      <c r="K574" t="e">
        <f t="shared" si="110"/>
        <v>#N/A</v>
      </c>
      <c r="L574" t="e">
        <f t="shared" si="111"/>
        <v>#N/A</v>
      </c>
      <c r="M574">
        <f t="shared" si="112"/>
        <v>2012</v>
      </c>
      <c r="N574">
        <f t="shared" si="113"/>
        <v>4.6899999999999995</v>
      </c>
      <c r="O574">
        <f t="shared" si="114"/>
        <v>1.0005740000000001</v>
      </c>
      <c r="P574" t="str">
        <f>IF(OR($A574="",games!$H574=""),"",games!$H574)</f>
        <v/>
      </c>
      <c r="Q574" t="str">
        <f t="shared" si="115"/>
        <v/>
      </c>
      <c r="T574">
        <f>IF(connections!$A574="","",IFERROR(INDEX(games!$B$2:$B$950,MATCH(connections!$A574,games!$A$2:$A$950,0)),""))</f>
        <v>2024</v>
      </c>
      <c r="U574">
        <f>IF(connections!$A574="","",IFERROR(INDEX(games!$B$2:$B$950,MATCH(connections!$B574,games!$A$2:$A$950,0)),""))</f>
        <v>2026</v>
      </c>
      <c r="V574">
        <f t="shared" si="116"/>
        <v>2</v>
      </c>
    </row>
    <row r="575" spans="1:22" x14ac:dyDescent="0.25">
      <c r="A575" t="str">
        <f>IF(games!$A575="","",games!$A575)</f>
        <v>Pokémon Mystery Dungeon: Red and Blue Rescue Team</v>
      </c>
      <c r="B575">
        <f>IF($A575="","",games!$B575)</f>
        <v>2005</v>
      </c>
      <c r="C575" t="str">
        <f>IF($A575="","",games!$C575)</f>
        <v>Traditional</v>
      </c>
      <c r="D575">
        <f>IF($A575="","",COUNTIF(connections!$A$2:$A$1473,$A575)+COUNTIF(connections!$B$2:$B$1473,$A575))</f>
        <v>6</v>
      </c>
      <c r="E575">
        <f t="shared" si="104"/>
        <v>4</v>
      </c>
      <c r="F575">
        <f t="shared" si="105"/>
        <v>31</v>
      </c>
      <c r="G575" t="e">
        <f t="shared" si="106"/>
        <v>#N/A</v>
      </c>
      <c r="H575" t="e">
        <f t="shared" si="107"/>
        <v>#N/A</v>
      </c>
      <c r="I575" t="e">
        <f t="shared" si="108"/>
        <v>#N/A</v>
      </c>
      <c r="J575" t="e">
        <f t="shared" si="109"/>
        <v>#N/A</v>
      </c>
      <c r="K575" t="e">
        <f t="shared" si="110"/>
        <v>#N/A</v>
      </c>
      <c r="L575" t="e">
        <f t="shared" si="111"/>
        <v>#N/A</v>
      </c>
      <c r="M575">
        <f t="shared" si="112"/>
        <v>2005</v>
      </c>
      <c r="N575">
        <f t="shared" si="113"/>
        <v>4.7130000000000001</v>
      </c>
      <c r="O575">
        <f t="shared" si="114"/>
        <v>6.0005750000000004</v>
      </c>
      <c r="P575" t="str">
        <f>IF(OR($A575="",games!$H575=""),"",games!$H575)</f>
        <v>Yes</v>
      </c>
      <c r="Q575">
        <f t="shared" si="115"/>
        <v>6.0005750000000004</v>
      </c>
      <c r="T575">
        <f>IF(connections!$A575="","",IFERROR(INDEX(games!$B$2:$B$950,MATCH(connections!$A575,games!$A$2:$A$950,0)),""))</f>
        <v>2014</v>
      </c>
      <c r="U575">
        <f>IF(connections!$A575="","",IFERROR(INDEX(games!$B$2:$B$950,MATCH(connections!$B575,games!$A$2:$A$950,0)),""))</f>
        <v>2026</v>
      </c>
      <c r="V575">
        <f t="shared" si="116"/>
        <v>12</v>
      </c>
    </row>
    <row r="576" spans="1:22" x14ac:dyDescent="0.25">
      <c r="A576" t="str">
        <f>IF(games!$A576="","",games!$A576)</f>
        <v>Pokémon Mystery Dungeon: Rescue Team DX</v>
      </c>
      <c r="B576">
        <f>IF($A576="","",games!$B576)</f>
        <v>2020</v>
      </c>
      <c r="C576" t="str">
        <f>IF($A576="","",games!$C576)</f>
        <v>Traditional</v>
      </c>
      <c r="D576">
        <f>IF($A576="","",COUNTIF(connections!$A$2:$A$1473,$A576)+COUNTIF(connections!$B$2:$B$1473,$A576))</f>
        <v>1</v>
      </c>
      <c r="E576">
        <f t="shared" si="104"/>
        <v>4</v>
      </c>
      <c r="F576">
        <f t="shared" si="105"/>
        <v>32</v>
      </c>
      <c r="G576" t="e">
        <f t="shared" si="106"/>
        <v>#N/A</v>
      </c>
      <c r="H576" t="e">
        <f t="shared" si="107"/>
        <v>#N/A</v>
      </c>
      <c r="I576" t="e">
        <f t="shared" si="108"/>
        <v>#N/A</v>
      </c>
      <c r="J576" t="e">
        <f t="shared" si="109"/>
        <v>#N/A</v>
      </c>
      <c r="K576" t="e">
        <f t="shared" si="110"/>
        <v>#N/A</v>
      </c>
      <c r="L576" t="e">
        <f t="shared" si="111"/>
        <v>#N/A</v>
      </c>
      <c r="M576">
        <f t="shared" si="112"/>
        <v>2020</v>
      </c>
      <c r="N576">
        <f t="shared" si="113"/>
        <v>4.7359999999999998</v>
      </c>
      <c r="O576">
        <f t="shared" si="114"/>
        <v>1.0005759999999999</v>
      </c>
      <c r="P576" t="str">
        <f>IF(OR($A576="",games!$H576=""),"",games!$H576)</f>
        <v/>
      </c>
      <c r="Q576" t="str">
        <f t="shared" si="115"/>
        <v/>
      </c>
      <c r="T576">
        <f>IF(connections!$A576="","",IFERROR(INDEX(games!$B$2:$B$950,MATCH(connections!$A576,games!$A$2:$A$950,0)),""))</f>
        <v>2017</v>
      </c>
      <c r="U576">
        <f>IF(connections!$A576="","",IFERROR(INDEX(games!$B$2:$B$950,MATCH(connections!$B576,games!$A$2:$A$950,0)),""))</f>
        <v>2026</v>
      </c>
      <c r="V576">
        <f t="shared" si="116"/>
        <v>9</v>
      </c>
    </row>
    <row r="577" spans="1:22" x14ac:dyDescent="0.25">
      <c r="A577" t="str">
        <f>IF(games!$A577="","",games!$A577)</f>
        <v>Pokémon Super Mystery Dungeon</v>
      </c>
      <c r="B577">
        <f>IF($A577="","",games!$B577)</f>
        <v>2015</v>
      </c>
      <c r="C577" t="str">
        <f>IF($A577="","",games!$C577)</f>
        <v>Traditional</v>
      </c>
      <c r="D577">
        <f>IF($A577="","",COUNTIF(connections!$A$2:$A$1473,$A577)+COUNTIF(connections!$B$2:$B$1473,$A577))</f>
        <v>1</v>
      </c>
      <c r="E577">
        <f t="shared" si="104"/>
        <v>4</v>
      </c>
      <c r="F577">
        <f t="shared" si="105"/>
        <v>33</v>
      </c>
      <c r="G577" t="e">
        <f t="shared" si="106"/>
        <v>#N/A</v>
      </c>
      <c r="H577" t="e">
        <f t="shared" si="107"/>
        <v>#N/A</v>
      </c>
      <c r="I577" t="e">
        <f t="shared" si="108"/>
        <v>#N/A</v>
      </c>
      <c r="J577" t="e">
        <f t="shared" si="109"/>
        <v>#N/A</v>
      </c>
      <c r="K577" t="e">
        <f t="shared" si="110"/>
        <v>#N/A</v>
      </c>
      <c r="L577" t="e">
        <f t="shared" si="111"/>
        <v>#N/A</v>
      </c>
      <c r="M577">
        <f t="shared" si="112"/>
        <v>2015</v>
      </c>
      <c r="N577">
        <f t="shared" si="113"/>
        <v>4.7590000000000003</v>
      </c>
      <c r="O577">
        <f t="shared" si="114"/>
        <v>1.000577</v>
      </c>
      <c r="P577" t="str">
        <f>IF(OR($A577="",games!$H577=""),"",games!$H577)</f>
        <v/>
      </c>
      <c r="Q577" t="str">
        <f t="shared" si="115"/>
        <v/>
      </c>
      <c r="T577">
        <f>IF(connections!$A577="","",IFERROR(INDEX(games!$B$2:$B$950,MATCH(connections!$A577,games!$A$2:$A$950,0)),""))</f>
        <v>1997</v>
      </c>
      <c r="U577">
        <f>IF(connections!$A577="","",IFERROR(INDEX(games!$B$2:$B$950,MATCH(connections!$B577,games!$A$2:$A$950,0)),""))</f>
        <v>2017</v>
      </c>
      <c r="V577">
        <f t="shared" si="116"/>
        <v>20</v>
      </c>
    </row>
    <row r="578" spans="1:22" x14ac:dyDescent="0.25">
      <c r="A578" t="str">
        <f>IF(games!$A578="","",games!$A578)</f>
        <v>Pokémon Survivor Burst</v>
      </c>
      <c r="B578">
        <f>IF($A578="","",games!$B578)</f>
        <v>2026</v>
      </c>
      <c r="C578" t="str">
        <f>IF($A578="","",games!$C578)</f>
        <v>Action</v>
      </c>
      <c r="D578">
        <f>IF($A578="","",COUNTIF(connections!$A$2:$A$1473,$A578)+COUNTIF(connections!$B$2:$B$1473,$A578))</f>
        <v>1</v>
      </c>
      <c r="E578">
        <f t="shared" ref="E578:E641" si="117">IF($A578="","",IFERROR(MATCH($C578,$R$2:$R$5,0),0))</f>
        <v>1</v>
      </c>
      <c r="F578">
        <f t="shared" ref="F578:F641" si="118">IF($A578="","",MOD(ROW(),34))</f>
        <v>0</v>
      </c>
      <c r="G578">
        <f t="shared" ref="G578:G641" si="119">IF($A578="",NA(),IF($C578="Action",$B578,NA()))</f>
        <v>2026</v>
      </c>
      <c r="H578">
        <f t="shared" ref="H578:H641" si="120">IF($A578="",NA(),IF($C578="Action",1+$F578*0.023,NA()))</f>
        <v>1</v>
      </c>
      <c r="I578" t="e">
        <f t="shared" ref="I578:I641" si="121">IF($A578="",NA(),IF($C578="Strategy",$B578,NA()))</f>
        <v>#N/A</v>
      </c>
      <c r="J578" t="e">
        <f t="shared" ref="J578:J641" si="122">IF($A578="",NA(),IF($C578="Strategy",2+$F578*0.023,NA()))</f>
        <v>#N/A</v>
      </c>
      <c r="K578" t="e">
        <f t="shared" ref="K578:K641" si="123">IF($A578="",NA(),IF($C578="Deckbuilder",$B578,NA()))</f>
        <v>#N/A</v>
      </c>
      <c r="L578" t="e">
        <f t="shared" ref="L578:L641" si="124">IF($A578="",NA(),IF($C578="Deckbuilder",3+$F578*0.023,NA()))</f>
        <v>#N/A</v>
      </c>
      <c r="M578" t="e">
        <f t="shared" ref="M578:M641" si="125">IF($A578="",NA(),IF($C578="Traditional",$B578,NA()))</f>
        <v>#N/A</v>
      </c>
      <c r="N578" t="e">
        <f t="shared" ref="N578:N641" si="126">IF($A578="",NA(),IF($C578="Traditional",4+$F578*0.023,NA()))</f>
        <v>#N/A</v>
      </c>
      <c r="O578">
        <f t="shared" ref="O578:O641" si="127">IF($A578="","",$D578+ROW()/1000000)</f>
        <v>1.000578</v>
      </c>
      <c r="P578" t="str">
        <f>IF(OR($A578="",games!$H578=""),"",games!$H578)</f>
        <v>Yes</v>
      </c>
      <c r="Q578">
        <f t="shared" ref="Q578:Q641" si="128">IF(OR($A578="",$P578&lt;&gt;"Yes"),"",$D578+ROW()/1000000)</f>
        <v>1.000578</v>
      </c>
      <c r="T578">
        <f>IF(connections!$A578="","",IFERROR(INDEX(games!$B$2:$B$950,MATCH(connections!$A578,games!$A$2:$A$950,0)),""))</f>
        <v>1987</v>
      </c>
      <c r="U578">
        <f>IF(connections!$A578="","",IFERROR(INDEX(games!$B$2:$B$950,MATCH(connections!$B578,games!$A$2:$A$950,0)),""))</f>
        <v>2017</v>
      </c>
      <c r="V578">
        <f t="shared" ref="V578:V641" si="129">IF(OR($T578="",$U578=""),"",$U578-$T578)</f>
        <v>30</v>
      </c>
    </row>
    <row r="579" spans="1:22" x14ac:dyDescent="0.25">
      <c r="A579" t="str">
        <f>IF(games!$A579="","",games!$A579)</f>
        <v>PokéRogue</v>
      </c>
      <c r="B579">
        <f>IF($A579="","",games!$B579)</f>
        <v>2024</v>
      </c>
      <c r="C579" t="str">
        <f>IF($A579="","",games!$C579)</f>
        <v>Strategy</v>
      </c>
      <c r="D579">
        <f>IF($A579="","",COUNTIF(connections!$A$2:$A$1473,$A579)+COUNTIF(connections!$B$2:$B$1473,$A579))</f>
        <v>3</v>
      </c>
      <c r="E579">
        <f t="shared" si="117"/>
        <v>2</v>
      </c>
      <c r="F579">
        <f t="shared" si="118"/>
        <v>1</v>
      </c>
      <c r="G579" t="e">
        <f t="shared" si="119"/>
        <v>#N/A</v>
      </c>
      <c r="H579" t="e">
        <f t="shared" si="120"/>
        <v>#N/A</v>
      </c>
      <c r="I579">
        <f t="shared" si="121"/>
        <v>2024</v>
      </c>
      <c r="J579">
        <f t="shared" si="122"/>
        <v>2.0230000000000001</v>
      </c>
      <c r="K579" t="e">
        <f t="shared" si="123"/>
        <v>#N/A</v>
      </c>
      <c r="L579" t="e">
        <f t="shared" si="124"/>
        <v>#N/A</v>
      </c>
      <c r="M579" t="e">
        <f t="shared" si="125"/>
        <v>#N/A</v>
      </c>
      <c r="N579" t="e">
        <f t="shared" si="126"/>
        <v>#N/A</v>
      </c>
      <c r="O579">
        <f t="shared" si="127"/>
        <v>3.0005790000000001</v>
      </c>
      <c r="P579" t="str">
        <f>IF(OR($A579="",games!$H579=""),"",games!$H579)</f>
        <v/>
      </c>
      <c r="Q579" t="str">
        <f t="shared" si="128"/>
        <v/>
      </c>
      <c r="T579">
        <f>IF(connections!$A579="","",IFERROR(INDEX(games!$B$2:$B$950,MATCH(connections!$A579,games!$A$2:$A$950,0)),""))</f>
        <v>2015</v>
      </c>
      <c r="U579">
        <f>IF(connections!$A579="","",IFERROR(INDEX(games!$B$2:$B$950,MATCH(connections!$B579,games!$A$2:$A$950,0)),""))</f>
        <v>2017</v>
      </c>
      <c r="V579">
        <f t="shared" si="129"/>
        <v>2</v>
      </c>
    </row>
    <row r="580" spans="1:22" x14ac:dyDescent="0.25">
      <c r="A580" t="str">
        <f>IF(games!$A580="","",games!$A580)</f>
        <v>PokeVoid</v>
      </c>
      <c r="B580">
        <f>IF($A580="","",games!$B580)</f>
        <v>2025</v>
      </c>
      <c r="C580" t="str">
        <f>IF($A580="","",games!$C580)</f>
        <v>Strategy</v>
      </c>
      <c r="D580">
        <f>IF($A580="","",COUNTIF(connections!$A$2:$A$1473,$A580)+COUNTIF(connections!$B$2:$B$1473,$A580))</f>
        <v>3</v>
      </c>
      <c r="E580">
        <f t="shared" si="117"/>
        <v>2</v>
      </c>
      <c r="F580">
        <f t="shared" si="118"/>
        <v>2</v>
      </c>
      <c r="G580" t="e">
        <f t="shared" si="119"/>
        <v>#N/A</v>
      </c>
      <c r="H580" t="e">
        <f t="shared" si="120"/>
        <v>#N/A</v>
      </c>
      <c r="I580">
        <f t="shared" si="121"/>
        <v>2025</v>
      </c>
      <c r="J580">
        <f t="shared" si="122"/>
        <v>2.0459999999999998</v>
      </c>
      <c r="K580" t="e">
        <f t="shared" si="123"/>
        <v>#N/A</v>
      </c>
      <c r="L580" t="e">
        <f t="shared" si="124"/>
        <v>#N/A</v>
      </c>
      <c r="M580" t="e">
        <f t="shared" si="125"/>
        <v>#N/A</v>
      </c>
      <c r="N580" t="e">
        <f t="shared" si="126"/>
        <v>#N/A</v>
      </c>
      <c r="O580">
        <f t="shared" si="127"/>
        <v>3.0005799999999998</v>
      </c>
      <c r="P580" t="str">
        <f>IF(OR($A580="",games!$H580=""),"",games!$H580)</f>
        <v>Yes</v>
      </c>
      <c r="Q580">
        <f t="shared" si="128"/>
        <v>3.0005799999999998</v>
      </c>
      <c r="T580">
        <f>IF(connections!$A580="","",IFERROR(INDEX(games!$B$2:$B$950,MATCH(connections!$A580,games!$A$2:$A$950,0)),""))</f>
        <v>2003</v>
      </c>
      <c r="U580">
        <f>IF(connections!$A580="","",IFERROR(INDEX(games!$B$2:$B$950,MATCH(connections!$B580,games!$A$2:$A$950,0)),""))</f>
        <v>2017</v>
      </c>
      <c r="V580">
        <f t="shared" si="129"/>
        <v>14</v>
      </c>
    </row>
    <row r="581" spans="1:22" x14ac:dyDescent="0.25">
      <c r="A581" t="str">
        <f>IF(games!$A581="","",games!$A581)</f>
        <v>Popup Dungeon</v>
      </c>
      <c r="B581">
        <f>IF($A581="","",games!$B581)</f>
        <v>2020</v>
      </c>
      <c r="C581" t="str">
        <f>IF($A581="","",games!$C581)</f>
        <v>Strategy</v>
      </c>
      <c r="D581">
        <f>IF($A581="","",COUNTIF(connections!$A$2:$A$1473,$A581)+COUNTIF(connections!$B$2:$B$1473,$A581))</f>
        <v>1</v>
      </c>
      <c r="E581">
        <f t="shared" si="117"/>
        <v>2</v>
      </c>
      <c r="F581">
        <f t="shared" si="118"/>
        <v>3</v>
      </c>
      <c r="G581" t="e">
        <f t="shared" si="119"/>
        <v>#N/A</v>
      </c>
      <c r="H581" t="e">
        <f t="shared" si="120"/>
        <v>#N/A</v>
      </c>
      <c r="I581">
        <f t="shared" si="121"/>
        <v>2020</v>
      </c>
      <c r="J581">
        <f t="shared" si="122"/>
        <v>2.069</v>
      </c>
      <c r="K581" t="e">
        <f t="shared" si="123"/>
        <v>#N/A</v>
      </c>
      <c r="L581" t="e">
        <f t="shared" si="124"/>
        <v>#N/A</v>
      </c>
      <c r="M581" t="e">
        <f t="shared" si="125"/>
        <v>#N/A</v>
      </c>
      <c r="N581" t="e">
        <f t="shared" si="126"/>
        <v>#N/A</v>
      </c>
      <c r="O581">
        <f t="shared" si="127"/>
        <v>1.0005809999999999</v>
      </c>
      <c r="P581" t="str">
        <f>IF(OR($A581="",games!$H581=""),"",games!$H581)</f>
        <v/>
      </c>
      <c r="Q581" t="str">
        <f t="shared" si="128"/>
        <v/>
      </c>
      <c r="T581">
        <f>IF(connections!$A581="","",IFERROR(INDEX(games!$B$2:$B$950,MATCH(connections!$A581,games!$A$2:$A$950,0)),""))</f>
        <v>2012</v>
      </c>
      <c r="U581">
        <f>IF(connections!$A581="","",IFERROR(INDEX(games!$B$2:$B$950,MATCH(connections!$B581,games!$A$2:$A$950,0)),""))</f>
        <v>2017</v>
      </c>
      <c r="V581">
        <f t="shared" si="129"/>
        <v>5</v>
      </c>
    </row>
    <row r="582" spans="1:22" x14ac:dyDescent="0.25">
      <c r="A582" t="str">
        <f>IF(games!$A582="","",games!$A582)</f>
        <v>Powder</v>
      </c>
      <c r="B582">
        <f>IF($A582="","",games!$B582)</f>
        <v>2003</v>
      </c>
      <c r="C582" t="str">
        <f>IF($A582="","",games!$C582)</f>
        <v>Traditional</v>
      </c>
      <c r="D582">
        <f>IF($A582="","",COUNTIF(connections!$A$2:$A$1473,$A582)+COUNTIF(connections!$B$2:$B$1473,$A582))</f>
        <v>11</v>
      </c>
      <c r="E582">
        <f t="shared" si="117"/>
        <v>4</v>
      </c>
      <c r="F582">
        <f t="shared" si="118"/>
        <v>4</v>
      </c>
      <c r="G582" t="e">
        <f t="shared" si="119"/>
        <v>#N/A</v>
      </c>
      <c r="H582" t="e">
        <f t="shared" si="120"/>
        <v>#N/A</v>
      </c>
      <c r="I582" t="e">
        <f t="shared" si="121"/>
        <v>#N/A</v>
      </c>
      <c r="J582" t="e">
        <f t="shared" si="122"/>
        <v>#N/A</v>
      </c>
      <c r="K582" t="e">
        <f t="shared" si="123"/>
        <v>#N/A</v>
      </c>
      <c r="L582" t="e">
        <f t="shared" si="124"/>
        <v>#N/A</v>
      </c>
      <c r="M582">
        <f t="shared" si="125"/>
        <v>2003</v>
      </c>
      <c r="N582">
        <f t="shared" si="126"/>
        <v>4.0919999999999996</v>
      </c>
      <c r="O582">
        <f t="shared" si="127"/>
        <v>11.000582</v>
      </c>
      <c r="P582" t="str">
        <f>IF(OR($A582="",games!$H582=""),"",games!$H582)</f>
        <v>Yes</v>
      </c>
      <c r="Q582">
        <f t="shared" si="128"/>
        <v>11.000582</v>
      </c>
      <c r="T582">
        <f>IF(connections!$A582="","",IFERROR(INDEX(games!$B$2:$B$950,MATCH(connections!$A582,games!$A$2:$A$950,0)),""))</f>
        <v>2011</v>
      </c>
      <c r="U582">
        <f>IF(connections!$A582="","",IFERROR(INDEX(games!$B$2:$B$950,MATCH(connections!$B582,games!$A$2:$A$950,0)),""))</f>
        <v>2017</v>
      </c>
      <c r="V582">
        <f t="shared" si="129"/>
        <v>6</v>
      </c>
    </row>
    <row r="583" spans="1:22" x14ac:dyDescent="0.25">
      <c r="A583" t="str">
        <f>IF(games!$A583="","",games!$A583)</f>
        <v>Primordialis</v>
      </c>
      <c r="B583">
        <f>IF($A583="","",games!$B583)</f>
        <v>2024</v>
      </c>
      <c r="C583" t="str">
        <f>IF($A583="","",games!$C583)</f>
        <v>Action</v>
      </c>
      <c r="D583">
        <f>IF($A583="","",COUNTIF(connections!$A$2:$A$1473,$A583)+COUNTIF(connections!$B$2:$B$1473,$A583))</f>
        <v>1</v>
      </c>
      <c r="E583">
        <f t="shared" si="117"/>
        <v>1</v>
      </c>
      <c r="F583">
        <f t="shared" si="118"/>
        <v>5</v>
      </c>
      <c r="G583">
        <f t="shared" si="119"/>
        <v>2024</v>
      </c>
      <c r="H583">
        <f t="shared" si="120"/>
        <v>1.115</v>
      </c>
      <c r="I583" t="e">
        <f t="shared" si="121"/>
        <v>#N/A</v>
      </c>
      <c r="J583" t="e">
        <f t="shared" si="122"/>
        <v>#N/A</v>
      </c>
      <c r="K583" t="e">
        <f t="shared" si="123"/>
        <v>#N/A</v>
      </c>
      <c r="L583" t="e">
        <f t="shared" si="124"/>
        <v>#N/A</v>
      </c>
      <c r="M583" t="e">
        <f t="shared" si="125"/>
        <v>#N/A</v>
      </c>
      <c r="N583" t="e">
        <f t="shared" si="126"/>
        <v>#N/A</v>
      </c>
      <c r="O583">
        <f t="shared" si="127"/>
        <v>1.000583</v>
      </c>
      <c r="P583" t="str">
        <f>IF(OR($A583="",games!$H583=""),"",games!$H583)</f>
        <v/>
      </c>
      <c r="Q583" t="str">
        <f t="shared" si="128"/>
        <v/>
      </c>
      <c r="T583">
        <f>IF(connections!$A583="","",IFERROR(INDEX(games!$B$2:$B$950,MATCH(connections!$A583,games!$A$2:$A$950,0)),""))</f>
        <v>2019</v>
      </c>
      <c r="U583">
        <f>IF(connections!$A583="","",IFERROR(INDEX(games!$B$2:$B$950,MATCH(connections!$B583,games!$A$2:$A$950,0)),""))</f>
        <v>2022</v>
      </c>
      <c r="V583">
        <f t="shared" si="129"/>
        <v>3</v>
      </c>
    </row>
    <row r="584" spans="1:22" x14ac:dyDescent="0.25">
      <c r="A584" t="str">
        <f>IF(games!$A584="","",games!$A584)</f>
        <v>Pronoun Palace</v>
      </c>
      <c r="B584">
        <f>IF($A584="","",games!$B584)</f>
        <v>2026</v>
      </c>
      <c r="C584" t="str">
        <f>IF($A584="","",games!$C584)</f>
        <v>Strategy</v>
      </c>
      <c r="D584">
        <f>IF($A584="","",COUNTIF(connections!$A$2:$A$1473,$A584)+COUNTIF(connections!$B$2:$B$1473,$A584))</f>
        <v>2</v>
      </c>
      <c r="E584">
        <f t="shared" si="117"/>
        <v>2</v>
      </c>
      <c r="F584">
        <f t="shared" si="118"/>
        <v>6</v>
      </c>
      <c r="G584" t="e">
        <f t="shared" si="119"/>
        <v>#N/A</v>
      </c>
      <c r="H584" t="e">
        <f t="shared" si="120"/>
        <v>#N/A</v>
      </c>
      <c r="I584">
        <f t="shared" si="121"/>
        <v>2026</v>
      </c>
      <c r="J584">
        <f t="shared" si="122"/>
        <v>2.1379999999999999</v>
      </c>
      <c r="K584" t="e">
        <f t="shared" si="123"/>
        <v>#N/A</v>
      </c>
      <c r="L584" t="e">
        <f t="shared" si="124"/>
        <v>#N/A</v>
      </c>
      <c r="M584" t="e">
        <f t="shared" si="125"/>
        <v>#N/A</v>
      </c>
      <c r="N584" t="e">
        <f t="shared" si="126"/>
        <v>#N/A</v>
      </c>
      <c r="O584">
        <f t="shared" si="127"/>
        <v>2.0005839999999999</v>
      </c>
      <c r="P584" t="str">
        <f>IF(OR($A584="",games!$H584=""),"",games!$H584)</f>
        <v/>
      </c>
      <c r="Q584" t="str">
        <f t="shared" si="128"/>
        <v/>
      </c>
      <c r="T584">
        <f>IF(connections!$A584="","",IFERROR(INDEX(games!$B$2:$B$950,MATCH(connections!$A584,games!$A$2:$A$950,0)),""))</f>
        <v>2023</v>
      </c>
      <c r="U584">
        <f>IF(connections!$A584="","",IFERROR(INDEX(games!$B$2:$B$950,MATCH(connections!$B584,games!$A$2:$A$950,0)),""))</f>
        <v>2025</v>
      </c>
      <c r="V584">
        <f t="shared" si="129"/>
        <v>2</v>
      </c>
    </row>
    <row r="585" spans="1:22" x14ac:dyDescent="0.25">
      <c r="A585" t="str">
        <f>IF(games!$A585="","",games!$A585)</f>
        <v>Putrid Shot Ultra</v>
      </c>
      <c r="B585">
        <f>IF($A585="","",games!$B585)</f>
        <v>2022</v>
      </c>
      <c r="C585" t="str">
        <f>IF($A585="","",games!$C585)</f>
        <v>Action</v>
      </c>
      <c r="D585">
        <f>IF($A585="","",COUNTIF(connections!$A$2:$A$1473,$A585)+COUNTIF(connections!$B$2:$B$1473,$A585))</f>
        <v>3</v>
      </c>
      <c r="E585">
        <f t="shared" si="117"/>
        <v>1</v>
      </c>
      <c r="F585">
        <f t="shared" si="118"/>
        <v>7</v>
      </c>
      <c r="G585">
        <f t="shared" si="119"/>
        <v>2022</v>
      </c>
      <c r="H585">
        <f t="shared" si="120"/>
        <v>1.161</v>
      </c>
      <c r="I585" t="e">
        <f t="shared" si="121"/>
        <v>#N/A</v>
      </c>
      <c r="J585" t="e">
        <f t="shared" si="122"/>
        <v>#N/A</v>
      </c>
      <c r="K585" t="e">
        <f t="shared" si="123"/>
        <v>#N/A</v>
      </c>
      <c r="L585" t="e">
        <f t="shared" si="124"/>
        <v>#N/A</v>
      </c>
      <c r="M585" t="e">
        <f t="shared" si="125"/>
        <v>#N/A</v>
      </c>
      <c r="N585" t="e">
        <f t="shared" si="126"/>
        <v>#N/A</v>
      </c>
      <c r="O585">
        <f t="shared" si="127"/>
        <v>3.0005850000000001</v>
      </c>
      <c r="P585" t="str">
        <f>IF(OR($A585="",games!$H585=""),"",games!$H585)</f>
        <v>Yes</v>
      </c>
      <c r="Q585">
        <f t="shared" si="128"/>
        <v>3.0005850000000001</v>
      </c>
      <c r="T585">
        <f>IF(connections!$A585="","",IFERROR(INDEX(games!$B$2:$B$950,MATCH(connections!$A585,games!$A$2:$A$950,0)),""))</f>
        <v>2012</v>
      </c>
      <c r="U585">
        <f>IF(connections!$A585="","",IFERROR(INDEX(games!$B$2:$B$950,MATCH(connections!$B585,games!$A$2:$A$950,0)),""))</f>
        <v>2023</v>
      </c>
      <c r="V585">
        <f t="shared" si="129"/>
        <v>11</v>
      </c>
    </row>
    <row r="586" spans="1:22" x14ac:dyDescent="0.25">
      <c r="A586" t="str">
        <f>IF(games!$A586="","",games!$A586)</f>
        <v>Pyrene</v>
      </c>
      <c r="B586">
        <f>IF($A586="","",games!$B586)</f>
        <v>2024</v>
      </c>
      <c r="C586" t="str">
        <f>IF($A586="","",games!$C586)</f>
        <v>Deckbuilder</v>
      </c>
      <c r="D586">
        <f>IF($A586="","",COUNTIF(connections!$A$2:$A$1473,$A586)+COUNTIF(connections!$B$2:$B$1473,$A586))</f>
        <v>1</v>
      </c>
      <c r="E586">
        <f t="shared" si="117"/>
        <v>3</v>
      </c>
      <c r="F586">
        <f t="shared" si="118"/>
        <v>8</v>
      </c>
      <c r="G586" t="e">
        <f t="shared" si="119"/>
        <v>#N/A</v>
      </c>
      <c r="H586" t="e">
        <f t="shared" si="120"/>
        <v>#N/A</v>
      </c>
      <c r="I586" t="e">
        <f t="shared" si="121"/>
        <v>#N/A</v>
      </c>
      <c r="J586" t="e">
        <f t="shared" si="122"/>
        <v>#N/A</v>
      </c>
      <c r="K586">
        <f t="shared" si="123"/>
        <v>2024</v>
      </c>
      <c r="L586">
        <f t="shared" si="124"/>
        <v>3.1840000000000002</v>
      </c>
      <c r="M586" t="e">
        <f t="shared" si="125"/>
        <v>#N/A</v>
      </c>
      <c r="N586" t="e">
        <f t="shared" si="126"/>
        <v>#N/A</v>
      </c>
      <c r="O586">
        <f t="shared" si="127"/>
        <v>1.000586</v>
      </c>
      <c r="P586" t="str">
        <f>IF(OR($A586="",games!$H586=""),"",games!$H586)</f>
        <v/>
      </c>
      <c r="Q586" t="str">
        <f t="shared" si="128"/>
        <v/>
      </c>
      <c r="T586">
        <f>IF(connections!$A586="","",IFERROR(INDEX(games!$B$2:$B$950,MATCH(connections!$A586,games!$A$2:$A$950,0)),""))</f>
        <v>2012</v>
      </c>
      <c r="U586">
        <f>IF(connections!$A586="","",IFERROR(INDEX(games!$B$2:$B$950,MATCH(connections!$B586,games!$A$2:$A$950,0)),""))</f>
        <v>2017</v>
      </c>
      <c r="V586">
        <f t="shared" si="129"/>
        <v>5</v>
      </c>
    </row>
    <row r="587" spans="1:22" x14ac:dyDescent="0.25">
      <c r="A587" t="str">
        <f>IF(games!$A587="","",games!$A587)</f>
        <v>Quasimorph</v>
      </c>
      <c r="B587">
        <f>IF($A587="","",games!$B587)</f>
        <v>2023</v>
      </c>
      <c r="C587" t="str">
        <f>IF($A587="","",games!$C587)</f>
        <v>Traditional</v>
      </c>
      <c r="D587">
        <f>IF($A587="","",COUNTIF(connections!$A$2:$A$1473,$A587)+COUNTIF(connections!$B$2:$B$1473,$A587))</f>
        <v>2</v>
      </c>
      <c r="E587">
        <f t="shared" si="117"/>
        <v>4</v>
      </c>
      <c r="F587">
        <f t="shared" si="118"/>
        <v>9</v>
      </c>
      <c r="G587" t="e">
        <f t="shared" si="119"/>
        <v>#N/A</v>
      </c>
      <c r="H587" t="e">
        <f t="shared" si="120"/>
        <v>#N/A</v>
      </c>
      <c r="I587" t="e">
        <f t="shared" si="121"/>
        <v>#N/A</v>
      </c>
      <c r="J587" t="e">
        <f t="shared" si="122"/>
        <v>#N/A</v>
      </c>
      <c r="K587" t="e">
        <f t="shared" si="123"/>
        <v>#N/A</v>
      </c>
      <c r="L587" t="e">
        <f t="shared" si="124"/>
        <v>#N/A</v>
      </c>
      <c r="M587">
        <f t="shared" si="125"/>
        <v>2023</v>
      </c>
      <c r="N587">
        <f t="shared" si="126"/>
        <v>4.2069999999999999</v>
      </c>
      <c r="O587">
        <f t="shared" si="127"/>
        <v>2.0005869999999999</v>
      </c>
      <c r="P587" t="str">
        <f>IF(OR($A587="",games!$H587=""),"",games!$H587)</f>
        <v>Yes</v>
      </c>
      <c r="Q587">
        <f t="shared" si="128"/>
        <v>2.0005869999999999</v>
      </c>
      <c r="T587">
        <f>IF(connections!$A587="","",IFERROR(INDEX(games!$B$2:$B$950,MATCH(connections!$A587,games!$A$2:$A$950,0)),""))</f>
        <v>2008</v>
      </c>
      <c r="U587">
        <f>IF(connections!$A587="","",IFERROR(INDEX(games!$B$2:$B$950,MATCH(connections!$B587,games!$A$2:$A$950,0)),""))</f>
        <v>2014</v>
      </c>
      <c r="V587">
        <f t="shared" si="129"/>
        <v>6</v>
      </c>
    </row>
    <row r="588" spans="1:22" x14ac:dyDescent="0.25">
      <c r="A588" t="str">
        <f>IF(games!$A588="","",games!$A588)</f>
        <v>Quest of Dungeons</v>
      </c>
      <c r="B588">
        <f>IF($A588="","",games!$B588)</f>
        <v>2014</v>
      </c>
      <c r="C588" t="str">
        <f>IF($A588="","",games!$C588)</f>
        <v>Traditional</v>
      </c>
      <c r="D588">
        <f>IF($A588="","",COUNTIF(connections!$A$2:$A$1473,$A588)+COUNTIF(connections!$B$2:$B$1473,$A588))</f>
        <v>2</v>
      </c>
      <c r="E588">
        <f t="shared" si="117"/>
        <v>4</v>
      </c>
      <c r="F588">
        <f t="shared" si="118"/>
        <v>10</v>
      </c>
      <c r="G588" t="e">
        <f t="shared" si="119"/>
        <v>#N/A</v>
      </c>
      <c r="H588" t="e">
        <f t="shared" si="120"/>
        <v>#N/A</v>
      </c>
      <c r="I588" t="e">
        <f t="shared" si="121"/>
        <v>#N/A</v>
      </c>
      <c r="J588" t="e">
        <f t="shared" si="122"/>
        <v>#N/A</v>
      </c>
      <c r="K588" t="e">
        <f t="shared" si="123"/>
        <v>#N/A</v>
      </c>
      <c r="L588" t="e">
        <f t="shared" si="124"/>
        <v>#N/A</v>
      </c>
      <c r="M588">
        <f t="shared" si="125"/>
        <v>2014</v>
      </c>
      <c r="N588">
        <f t="shared" si="126"/>
        <v>4.2300000000000004</v>
      </c>
      <c r="O588">
        <f t="shared" si="127"/>
        <v>2.000588</v>
      </c>
      <c r="P588" t="str">
        <f>IF(OR($A588="",games!$H588=""),"",games!$H588)</f>
        <v>Yes</v>
      </c>
      <c r="Q588">
        <f t="shared" si="128"/>
        <v>2.000588</v>
      </c>
      <c r="T588">
        <f>IF(connections!$A588="","",IFERROR(INDEX(games!$B$2:$B$950,MATCH(connections!$A588,games!$A$2:$A$950,0)),""))</f>
        <v>2015</v>
      </c>
      <c r="U588">
        <f>IF(connections!$A588="","",IFERROR(INDEX(games!$B$2:$B$950,MATCH(connections!$B588,games!$A$2:$A$950,0)),""))</f>
        <v>2025</v>
      </c>
      <c r="V588">
        <f t="shared" si="129"/>
        <v>10</v>
      </c>
    </row>
    <row r="589" spans="1:22" x14ac:dyDescent="0.25">
      <c r="A589" t="str">
        <f>IF(games!$A589="","",games!$A589)</f>
        <v>Rabbit and Steel</v>
      </c>
      <c r="B589">
        <f>IF($A589="","",games!$B589)</f>
        <v>2024</v>
      </c>
      <c r="C589" t="str">
        <f>IF($A589="","",games!$C589)</f>
        <v>Action</v>
      </c>
      <c r="D589">
        <f>IF($A589="","",COUNTIF(connections!$A$2:$A$1473,$A589)+COUNTIF(connections!$B$2:$B$1473,$A589))</f>
        <v>1</v>
      </c>
      <c r="E589">
        <f t="shared" si="117"/>
        <v>1</v>
      </c>
      <c r="F589">
        <f t="shared" si="118"/>
        <v>11</v>
      </c>
      <c r="G589">
        <f t="shared" si="119"/>
        <v>2024</v>
      </c>
      <c r="H589">
        <f t="shared" si="120"/>
        <v>1.2530000000000001</v>
      </c>
      <c r="I589" t="e">
        <f t="shared" si="121"/>
        <v>#N/A</v>
      </c>
      <c r="J589" t="e">
        <f t="shared" si="122"/>
        <v>#N/A</v>
      </c>
      <c r="K589" t="e">
        <f t="shared" si="123"/>
        <v>#N/A</v>
      </c>
      <c r="L589" t="e">
        <f t="shared" si="124"/>
        <v>#N/A</v>
      </c>
      <c r="M589" t="e">
        <f t="shared" si="125"/>
        <v>#N/A</v>
      </c>
      <c r="N589" t="e">
        <f t="shared" si="126"/>
        <v>#N/A</v>
      </c>
      <c r="O589">
        <f t="shared" si="127"/>
        <v>1.000589</v>
      </c>
      <c r="P589" t="str">
        <f>IF(OR($A589="",games!$H589=""),"",games!$H589)</f>
        <v>Yes</v>
      </c>
      <c r="Q589">
        <f t="shared" si="128"/>
        <v>1.000589</v>
      </c>
      <c r="T589">
        <f>IF(connections!$A589="","",IFERROR(INDEX(games!$B$2:$B$950,MATCH(connections!$A589,games!$A$2:$A$950,0)),""))</f>
        <v>1996</v>
      </c>
      <c r="U589">
        <f>IF(connections!$A589="","",IFERROR(INDEX(games!$B$2:$B$950,MATCH(connections!$B589,games!$A$2:$A$950,0)),""))</f>
        <v>2025</v>
      </c>
      <c r="V589">
        <f t="shared" si="129"/>
        <v>29</v>
      </c>
    </row>
    <row r="590" spans="1:22" x14ac:dyDescent="0.25">
      <c r="A590" t="str">
        <f>IF(games!$A590="","",games!$A590)</f>
        <v>Raccoin: Coin Pusher Roguelike</v>
      </c>
      <c r="B590">
        <f>IF($A590="","",games!$B590)</f>
        <v>2026</v>
      </c>
      <c r="C590" t="str">
        <f>IF($A590="","",games!$C590)</f>
        <v>Deckbuilder</v>
      </c>
      <c r="D590">
        <f>IF($A590="","",COUNTIF(connections!$A$2:$A$1473,$A590)+COUNTIF(connections!$B$2:$B$1473,$A590))</f>
        <v>2</v>
      </c>
      <c r="E590">
        <f t="shared" si="117"/>
        <v>3</v>
      </c>
      <c r="F590">
        <f t="shared" si="118"/>
        <v>12</v>
      </c>
      <c r="G590" t="e">
        <f t="shared" si="119"/>
        <v>#N/A</v>
      </c>
      <c r="H590" t="e">
        <f t="shared" si="120"/>
        <v>#N/A</v>
      </c>
      <c r="I590" t="e">
        <f t="shared" si="121"/>
        <v>#N/A</v>
      </c>
      <c r="J590" t="e">
        <f t="shared" si="122"/>
        <v>#N/A</v>
      </c>
      <c r="K590">
        <f t="shared" si="123"/>
        <v>2026</v>
      </c>
      <c r="L590">
        <f t="shared" si="124"/>
        <v>3.2759999999999998</v>
      </c>
      <c r="M590" t="e">
        <f t="shared" si="125"/>
        <v>#N/A</v>
      </c>
      <c r="N590" t="e">
        <f t="shared" si="126"/>
        <v>#N/A</v>
      </c>
      <c r="O590">
        <f t="shared" si="127"/>
        <v>2.0005899999999999</v>
      </c>
      <c r="P590" t="str">
        <f>IF(OR($A590="",games!$H590=""),"",games!$H590)</f>
        <v>Yes</v>
      </c>
      <c r="Q590">
        <f t="shared" si="128"/>
        <v>2.0005899999999999</v>
      </c>
      <c r="T590">
        <f>IF(connections!$A590="","",IFERROR(INDEX(games!$B$2:$B$950,MATCH(connections!$A590,games!$A$2:$A$950,0)),""))</f>
        <v>2019</v>
      </c>
      <c r="U590">
        <f>IF(connections!$A590="","",IFERROR(INDEX(games!$B$2:$B$950,MATCH(connections!$B590,games!$A$2:$A$950,0)),""))</f>
        <v>2025</v>
      </c>
      <c r="V590">
        <f t="shared" si="129"/>
        <v>6</v>
      </c>
    </row>
    <row r="591" spans="1:22" x14ac:dyDescent="0.25">
      <c r="A591" t="str">
        <f>IF(games!$A591="","",games!$A591)</f>
        <v>Rack and Slay</v>
      </c>
      <c r="B591">
        <f>IF($A591="","",games!$B591)</f>
        <v>2024</v>
      </c>
      <c r="C591" t="str">
        <f>IF($A591="","",games!$C591)</f>
        <v>Strategy</v>
      </c>
      <c r="D591">
        <f>IF($A591="","",COUNTIF(connections!$A$2:$A$1473,$A591)+COUNTIF(connections!$B$2:$B$1473,$A591))</f>
        <v>2</v>
      </c>
      <c r="E591">
        <f t="shared" si="117"/>
        <v>2</v>
      </c>
      <c r="F591">
        <f t="shared" si="118"/>
        <v>13</v>
      </c>
      <c r="G591" t="e">
        <f t="shared" si="119"/>
        <v>#N/A</v>
      </c>
      <c r="H591" t="e">
        <f t="shared" si="120"/>
        <v>#N/A</v>
      </c>
      <c r="I591">
        <f t="shared" si="121"/>
        <v>2024</v>
      </c>
      <c r="J591">
        <f t="shared" si="122"/>
        <v>2.2989999999999999</v>
      </c>
      <c r="K591" t="e">
        <f t="shared" si="123"/>
        <v>#N/A</v>
      </c>
      <c r="L591" t="e">
        <f t="shared" si="124"/>
        <v>#N/A</v>
      </c>
      <c r="M591" t="e">
        <f t="shared" si="125"/>
        <v>#N/A</v>
      </c>
      <c r="N591" t="e">
        <f t="shared" si="126"/>
        <v>#N/A</v>
      </c>
      <c r="O591">
        <f t="shared" si="127"/>
        <v>2.000591</v>
      </c>
      <c r="P591" t="str">
        <f>IF(OR($A591="",games!$H591=""),"",games!$H591)</f>
        <v>Yes</v>
      </c>
      <c r="Q591">
        <f t="shared" si="128"/>
        <v>2.000591</v>
      </c>
      <c r="T591">
        <f>IF(connections!$A591="","",IFERROR(INDEX(games!$B$2:$B$950,MATCH(connections!$A591,games!$A$2:$A$950,0)),""))</f>
        <v>2019</v>
      </c>
      <c r="U591">
        <f>IF(connections!$A591="","",IFERROR(INDEX(games!$B$2:$B$950,MATCH(connections!$B591,games!$A$2:$A$950,0)),""))</f>
        <v>2026</v>
      </c>
      <c r="V591">
        <f t="shared" si="129"/>
        <v>7</v>
      </c>
    </row>
    <row r="592" spans="1:22" x14ac:dyDescent="0.25">
      <c r="A592" t="str">
        <f>IF(games!$A592="","",games!$A592)</f>
        <v>Ragnarok</v>
      </c>
      <c r="B592">
        <f>IF($A592="","",games!$B592)</f>
        <v>1992</v>
      </c>
      <c r="C592" t="str">
        <f>IF($A592="","",games!$C592)</f>
        <v>Traditional</v>
      </c>
      <c r="D592">
        <f>IF($A592="","",COUNTIF(connections!$A$2:$A$1473,$A592)+COUNTIF(connections!$B$2:$B$1473,$A592))</f>
        <v>3</v>
      </c>
      <c r="E592">
        <f t="shared" si="117"/>
        <v>4</v>
      </c>
      <c r="F592">
        <f t="shared" si="118"/>
        <v>14</v>
      </c>
      <c r="G592" t="e">
        <f t="shared" si="119"/>
        <v>#N/A</v>
      </c>
      <c r="H592" t="e">
        <f t="shared" si="120"/>
        <v>#N/A</v>
      </c>
      <c r="I592" t="e">
        <f t="shared" si="121"/>
        <v>#N/A</v>
      </c>
      <c r="J592" t="e">
        <f t="shared" si="122"/>
        <v>#N/A</v>
      </c>
      <c r="K592" t="e">
        <f t="shared" si="123"/>
        <v>#N/A</v>
      </c>
      <c r="L592" t="e">
        <f t="shared" si="124"/>
        <v>#N/A</v>
      </c>
      <c r="M592">
        <f t="shared" si="125"/>
        <v>1992</v>
      </c>
      <c r="N592">
        <f t="shared" si="126"/>
        <v>4.3220000000000001</v>
      </c>
      <c r="O592">
        <f t="shared" si="127"/>
        <v>3.0005920000000001</v>
      </c>
      <c r="P592" t="str">
        <f>IF(OR($A592="",games!$H592=""),"",games!$H592)</f>
        <v>Yes</v>
      </c>
      <c r="Q592">
        <f t="shared" si="128"/>
        <v>3.0005920000000001</v>
      </c>
      <c r="T592">
        <f>IF(connections!$A592="","",IFERROR(INDEX(games!$B$2:$B$950,MATCH(connections!$A592,games!$A$2:$A$950,0)),""))</f>
        <v>2023</v>
      </c>
      <c r="U592">
        <f>IF(connections!$A592="","",IFERROR(INDEX(games!$B$2:$B$950,MATCH(connections!$B592,games!$A$2:$A$950,0)),""))</f>
        <v>2026</v>
      </c>
      <c r="V592">
        <f t="shared" si="129"/>
        <v>3</v>
      </c>
    </row>
    <row r="593" spans="1:22" x14ac:dyDescent="0.25">
      <c r="A593" t="str">
        <f>IF(games!$A593="","",games!$A593)</f>
        <v>RAM: Random Access Mayhem</v>
      </c>
      <c r="B593">
        <f>IF($A593="","",games!$B593)</f>
        <v>2024</v>
      </c>
      <c r="C593" t="str">
        <f>IF($A593="","",games!$C593)</f>
        <v>Action</v>
      </c>
      <c r="D593">
        <f>IF($A593="","",COUNTIF(connections!$A$2:$A$1473,$A593)+COUNTIF(connections!$B$2:$B$1473,$A593))</f>
        <v>2</v>
      </c>
      <c r="E593">
        <f t="shared" si="117"/>
        <v>1</v>
      </c>
      <c r="F593">
        <f t="shared" si="118"/>
        <v>15</v>
      </c>
      <c r="G593">
        <f t="shared" si="119"/>
        <v>2024</v>
      </c>
      <c r="H593">
        <f t="shared" si="120"/>
        <v>1.345</v>
      </c>
      <c r="I593" t="e">
        <f t="shared" si="121"/>
        <v>#N/A</v>
      </c>
      <c r="J593" t="e">
        <f t="shared" si="122"/>
        <v>#N/A</v>
      </c>
      <c r="K593" t="e">
        <f t="shared" si="123"/>
        <v>#N/A</v>
      </c>
      <c r="L593" t="e">
        <f t="shared" si="124"/>
        <v>#N/A</v>
      </c>
      <c r="M593" t="e">
        <f t="shared" si="125"/>
        <v>#N/A</v>
      </c>
      <c r="N593" t="e">
        <f t="shared" si="126"/>
        <v>#N/A</v>
      </c>
      <c r="O593">
        <f t="shared" si="127"/>
        <v>2.0005929999999998</v>
      </c>
      <c r="P593" t="str">
        <f>IF(OR($A593="",games!$H593=""),"",games!$H593)</f>
        <v/>
      </c>
      <c r="Q593" t="str">
        <f t="shared" si="128"/>
        <v/>
      </c>
      <c r="T593">
        <f>IF(connections!$A593="","",IFERROR(INDEX(games!$B$2:$B$950,MATCH(connections!$A593,games!$A$2:$A$950,0)),""))</f>
        <v>2017</v>
      </c>
      <c r="U593">
        <f>IF(connections!$A593="","",IFERROR(INDEX(games!$B$2:$B$950,MATCH(connections!$B593,games!$A$2:$A$950,0)),""))</f>
        <v>2026</v>
      </c>
      <c r="V593">
        <f t="shared" si="129"/>
        <v>9</v>
      </c>
    </row>
    <row r="594" spans="1:22" x14ac:dyDescent="0.25">
      <c r="A594" t="str">
        <f>IF(games!$A594="","",games!$A594)</f>
        <v>Rampage Knights</v>
      </c>
      <c r="B594">
        <f>IF($A594="","",games!$B594)</f>
        <v>2015</v>
      </c>
      <c r="C594" t="str">
        <f>IF($A594="","",games!$C594)</f>
        <v>Action</v>
      </c>
      <c r="D594">
        <f>IF($A594="","",COUNTIF(connections!$A$2:$A$1473,$A594)+COUNTIF(connections!$B$2:$B$1473,$A594))</f>
        <v>1</v>
      </c>
      <c r="E594">
        <f t="shared" si="117"/>
        <v>1</v>
      </c>
      <c r="F594">
        <f t="shared" si="118"/>
        <v>16</v>
      </c>
      <c r="G594">
        <f t="shared" si="119"/>
        <v>2015</v>
      </c>
      <c r="H594">
        <f t="shared" si="120"/>
        <v>1.3679999999999999</v>
      </c>
      <c r="I594" t="e">
        <f t="shared" si="121"/>
        <v>#N/A</v>
      </c>
      <c r="J594" t="e">
        <f t="shared" si="122"/>
        <v>#N/A</v>
      </c>
      <c r="K594" t="e">
        <f t="shared" si="123"/>
        <v>#N/A</v>
      </c>
      <c r="L594" t="e">
        <f t="shared" si="124"/>
        <v>#N/A</v>
      </c>
      <c r="M594" t="e">
        <f t="shared" si="125"/>
        <v>#N/A</v>
      </c>
      <c r="N594" t="e">
        <f t="shared" si="126"/>
        <v>#N/A</v>
      </c>
      <c r="O594">
        <f t="shared" si="127"/>
        <v>1.000594</v>
      </c>
      <c r="P594" t="str">
        <f>IF(OR($A594="",games!$H594=""),"",games!$H594)</f>
        <v/>
      </c>
      <c r="Q594" t="str">
        <f t="shared" si="128"/>
        <v/>
      </c>
      <c r="T594">
        <f>IF(connections!$A594="","",IFERROR(INDEX(games!$B$2:$B$950,MATCH(connections!$A594,games!$A$2:$A$950,0)),""))</f>
        <v>2021</v>
      </c>
      <c r="U594">
        <f>IF(connections!$A594="","",IFERROR(INDEX(games!$B$2:$B$950,MATCH(connections!$B594,games!$A$2:$A$950,0)),""))</f>
        <v>2026</v>
      </c>
      <c r="V594">
        <f t="shared" si="129"/>
        <v>5</v>
      </c>
    </row>
    <row r="595" spans="1:22" x14ac:dyDescent="0.25">
      <c r="A595" t="str">
        <f>IF(games!$A595="","",games!$A595)</f>
        <v>Rangedrifter</v>
      </c>
      <c r="B595">
        <f>IF($A595="","",games!$B595)</f>
        <v>2026</v>
      </c>
      <c r="C595" t="str">
        <f>IF($A595="","",games!$C595)</f>
        <v>Traditional</v>
      </c>
      <c r="D595">
        <f>IF($A595="","",COUNTIF(connections!$A$2:$A$1473,$A595)+COUNTIF(connections!$B$2:$B$1473,$A595))</f>
        <v>1</v>
      </c>
      <c r="E595">
        <f t="shared" si="117"/>
        <v>4</v>
      </c>
      <c r="F595">
        <f t="shared" si="118"/>
        <v>17</v>
      </c>
      <c r="G595" t="e">
        <f t="shared" si="119"/>
        <v>#N/A</v>
      </c>
      <c r="H595" t="e">
        <f t="shared" si="120"/>
        <v>#N/A</v>
      </c>
      <c r="I595" t="e">
        <f t="shared" si="121"/>
        <v>#N/A</v>
      </c>
      <c r="J595" t="e">
        <f t="shared" si="122"/>
        <v>#N/A</v>
      </c>
      <c r="K595" t="e">
        <f t="shared" si="123"/>
        <v>#N/A</v>
      </c>
      <c r="L595" t="e">
        <f t="shared" si="124"/>
        <v>#N/A</v>
      </c>
      <c r="M595">
        <f t="shared" si="125"/>
        <v>2026</v>
      </c>
      <c r="N595">
        <f t="shared" si="126"/>
        <v>4.391</v>
      </c>
      <c r="O595">
        <f t="shared" si="127"/>
        <v>1.0005949999999999</v>
      </c>
      <c r="P595" t="str">
        <f>IF(OR($A595="",games!$H595=""),"",games!$H595)</f>
        <v/>
      </c>
      <c r="Q595" t="str">
        <f t="shared" si="128"/>
        <v/>
      </c>
      <c r="T595">
        <f>IF(connections!$A595="","",IFERROR(INDEX(games!$B$2:$B$950,MATCH(connections!$A595,games!$A$2:$A$950,0)),""))</f>
        <v>2020</v>
      </c>
      <c r="U595">
        <f>IF(connections!$A595="","",IFERROR(INDEX(games!$B$2:$B$950,MATCH(connections!$B595,games!$A$2:$A$950,0)),""))</f>
        <v>2023</v>
      </c>
      <c r="V595">
        <f t="shared" si="129"/>
        <v>3</v>
      </c>
    </row>
    <row r="596" spans="1:22" x14ac:dyDescent="0.25">
      <c r="A596" t="str">
        <f>IF(games!$A596="","",games!$A596)</f>
        <v>Ratropolis</v>
      </c>
      <c r="B596">
        <f>IF($A596="","",games!$B596)</f>
        <v>2019</v>
      </c>
      <c r="C596" t="str">
        <f>IF($A596="","",games!$C596)</f>
        <v>Deckbuilder</v>
      </c>
      <c r="D596">
        <f>IF($A596="","",COUNTIF(connections!$A$2:$A$1473,$A596)+COUNTIF(connections!$B$2:$B$1473,$A596))</f>
        <v>2</v>
      </c>
      <c r="E596">
        <f t="shared" si="117"/>
        <v>3</v>
      </c>
      <c r="F596">
        <f t="shared" si="118"/>
        <v>18</v>
      </c>
      <c r="G596" t="e">
        <f t="shared" si="119"/>
        <v>#N/A</v>
      </c>
      <c r="H596" t="e">
        <f t="shared" si="120"/>
        <v>#N/A</v>
      </c>
      <c r="I596" t="e">
        <f t="shared" si="121"/>
        <v>#N/A</v>
      </c>
      <c r="J596" t="e">
        <f t="shared" si="122"/>
        <v>#N/A</v>
      </c>
      <c r="K596">
        <f t="shared" si="123"/>
        <v>2019</v>
      </c>
      <c r="L596">
        <f t="shared" si="124"/>
        <v>3.4140000000000001</v>
      </c>
      <c r="M596" t="e">
        <f t="shared" si="125"/>
        <v>#N/A</v>
      </c>
      <c r="N596" t="e">
        <f t="shared" si="126"/>
        <v>#N/A</v>
      </c>
      <c r="O596">
        <f t="shared" si="127"/>
        <v>2.0005959999999998</v>
      </c>
      <c r="P596" t="str">
        <f>IF(OR($A596="",games!$H596=""),"",games!$H596)</f>
        <v>Yes</v>
      </c>
      <c r="Q596">
        <f t="shared" si="128"/>
        <v>2.0005959999999998</v>
      </c>
      <c r="T596">
        <f>IF(connections!$A596="","",IFERROR(INDEX(games!$B$2:$B$950,MATCH(connections!$A596,games!$A$2:$A$950,0)),""))</f>
        <v>2018</v>
      </c>
      <c r="U596">
        <f>IF(connections!$A596="","",IFERROR(INDEX(games!$B$2:$B$950,MATCH(connections!$B596,games!$A$2:$A$950,0)),""))</f>
        <v>2023</v>
      </c>
      <c r="V596">
        <f t="shared" si="129"/>
        <v>5</v>
      </c>
    </row>
    <row r="597" spans="1:22" x14ac:dyDescent="0.25">
      <c r="A597" t="str">
        <f>IF(games!$A597="","",games!$A597)</f>
        <v>Ravenswatch</v>
      </c>
      <c r="B597">
        <f>IF($A597="","",games!$B597)</f>
        <v>2023</v>
      </c>
      <c r="C597" t="str">
        <f>IF($A597="","",games!$C597)</f>
        <v>Action</v>
      </c>
      <c r="D597">
        <f>IF($A597="","",COUNTIF(connections!$A$2:$A$1473,$A597)+COUNTIF(connections!$B$2:$B$1473,$A597))</f>
        <v>2</v>
      </c>
      <c r="E597">
        <f t="shared" si="117"/>
        <v>1</v>
      </c>
      <c r="F597">
        <f t="shared" si="118"/>
        <v>19</v>
      </c>
      <c r="G597">
        <f t="shared" si="119"/>
        <v>2023</v>
      </c>
      <c r="H597">
        <f t="shared" si="120"/>
        <v>1.4370000000000001</v>
      </c>
      <c r="I597" t="e">
        <f t="shared" si="121"/>
        <v>#N/A</v>
      </c>
      <c r="J597" t="e">
        <f t="shared" si="122"/>
        <v>#N/A</v>
      </c>
      <c r="K597" t="e">
        <f t="shared" si="123"/>
        <v>#N/A</v>
      </c>
      <c r="L597" t="e">
        <f t="shared" si="124"/>
        <v>#N/A</v>
      </c>
      <c r="M597" t="e">
        <f t="shared" si="125"/>
        <v>#N/A</v>
      </c>
      <c r="N597" t="e">
        <f t="shared" si="126"/>
        <v>#N/A</v>
      </c>
      <c r="O597">
        <f t="shared" si="127"/>
        <v>2.000597</v>
      </c>
      <c r="P597" t="str">
        <f>IF(OR($A597="",games!$H597=""),"",games!$H597)</f>
        <v>Yes</v>
      </c>
      <c r="Q597">
        <f t="shared" si="128"/>
        <v>2.000597</v>
      </c>
      <c r="T597">
        <f>IF(connections!$A597="","",IFERROR(INDEX(games!$B$2:$B$950,MATCH(connections!$A597,games!$A$2:$A$950,0)),""))</f>
        <v>2017</v>
      </c>
      <c r="U597">
        <f>IF(connections!$A597="","",IFERROR(INDEX(games!$B$2:$B$950,MATCH(connections!$B597,games!$A$2:$A$950,0)),""))</f>
        <v>2023</v>
      </c>
      <c r="V597">
        <f t="shared" si="129"/>
        <v>6</v>
      </c>
    </row>
    <row r="598" spans="1:22" x14ac:dyDescent="0.25">
      <c r="A598" t="str">
        <f>IF(games!$A598="","",games!$A598)</f>
        <v>Reality Break</v>
      </c>
      <c r="B598">
        <f>IF($A598="","",games!$B598)</f>
        <v>2025</v>
      </c>
      <c r="C598" t="str">
        <f>IF($A598="","",games!$C598)</f>
        <v>Action</v>
      </c>
      <c r="D598">
        <f>IF($A598="","",COUNTIF(connections!$A$2:$A$1473,$A598)+COUNTIF(connections!$B$2:$B$1473,$A598))</f>
        <v>2</v>
      </c>
      <c r="E598">
        <f t="shared" si="117"/>
        <v>1</v>
      </c>
      <c r="F598">
        <f t="shared" si="118"/>
        <v>20</v>
      </c>
      <c r="G598">
        <f t="shared" si="119"/>
        <v>2025</v>
      </c>
      <c r="H598">
        <f t="shared" si="120"/>
        <v>1.46</v>
      </c>
      <c r="I598" t="e">
        <f t="shared" si="121"/>
        <v>#N/A</v>
      </c>
      <c r="J598" t="e">
        <f t="shared" si="122"/>
        <v>#N/A</v>
      </c>
      <c r="K598" t="e">
        <f t="shared" si="123"/>
        <v>#N/A</v>
      </c>
      <c r="L598" t="e">
        <f t="shared" si="124"/>
        <v>#N/A</v>
      </c>
      <c r="M598" t="e">
        <f t="shared" si="125"/>
        <v>#N/A</v>
      </c>
      <c r="N598" t="e">
        <f t="shared" si="126"/>
        <v>#N/A</v>
      </c>
      <c r="O598">
        <f t="shared" si="127"/>
        <v>2.0005980000000001</v>
      </c>
      <c r="P598" t="str">
        <f>IF(OR($A598="",games!$H598=""),"",games!$H598)</f>
        <v/>
      </c>
      <c r="Q598" t="str">
        <f t="shared" si="128"/>
        <v/>
      </c>
      <c r="T598">
        <f>IF(connections!$A598="","",IFERROR(INDEX(games!$B$2:$B$950,MATCH(connections!$A598,games!$A$2:$A$950,0)),""))</f>
        <v>2019</v>
      </c>
      <c r="U598">
        <f>IF(connections!$A598="","",IFERROR(INDEX(games!$B$2:$B$950,MATCH(connections!$B598,games!$A$2:$A$950,0)),""))</f>
        <v>2025</v>
      </c>
      <c r="V598">
        <f t="shared" si="129"/>
        <v>6</v>
      </c>
    </row>
    <row r="599" spans="1:22" x14ac:dyDescent="0.25">
      <c r="A599" t="str">
        <f>IF(games!$A599="","",games!$A599)</f>
        <v>Realm of Ink</v>
      </c>
      <c r="B599">
        <f>IF($A599="","",games!$B599)</f>
        <v>2024</v>
      </c>
      <c r="C599" t="str">
        <f>IF($A599="","",games!$C599)</f>
        <v>Action</v>
      </c>
      <c r="D599">
        <f>IF($A599="","",COUNTIF(connections!$A$2:$A$1473,$A599)+COUNTIF(connections!$B$2:$B$1473,$A599))</f>
        <v>2</v>
      </c>
      <c r="E599">
        <f t="shared" si="117"/>
        <v>1</v>
      </c>
      <c r="F599">
        <f t="shared" si="118"/>
        <v>21</v>
      </c>
      <c r="G599">
        <f t="shared" si="119"/>
        <v>2024</v>
      </c>
      <c r="H599">
        <f t="shared" si="120"/>
        <v>1.4830000000000001</v>
      </c>
      <c r="I599" t="e">
        <f t="shared" si="121"/>
        <v>#N/A</v>
      </c>
      <c r="J599" t="e">
        <f t="shared" si="122"/>
        <v>#N/A</v>
      </c>
      <c r="K599" t="e">
        <f t="shared" si="123"/>
        <v>#N/A</v>
      </c>
      <c r="L599" t="e">
        <f t="shared" si="124"/>
        <v>#N/A</v>
      </c>
      <c r="M599" t="e">
        <f t="shared" si="125"/>
        <v>#N/A</v>
      </c>
      <c r="N599" t="e">
        <f t="shared" si="126"/>
        <v>#N/A</v>
      </c>
      <c r="O599">
        <f t="shared" si="127"/>
        <v>2.0005989999999998</v>
      </c>
      <c r="P599" t="str">
        <f>IF(OR($A599="",games!$H599=""),"",games!$H599)</f>
        <v/>
      </c>
      <c r="Q599" t="str">
        <f t="shared" si="128"/>
        <v/>
      </c>
      <c r="T599">
        <f>IF(connections!$A599="","",IFERROR(INDEX(games!$B$2:$B$950,MATCH(connections!$A599,games!$A$2:$A$950,0)),""))</f>
        <v>2022</v>
      </c>
      <c r="U599">
        <f>IF(connections!$A599="","",IFERROR(INDEX(games!$B$2:$B$950,MATCH(connections!$B599,games!$A$2:$A$950,0)),""))</f>
        <v>2023</v>
      </c>
      <c r="V599">
        <f t="shared" si="129"/>
        <v>1</v>
      </c>
    </row>
    <row r="600" spans="1:22" x14ac:dyDescent="0.25">
      <c r="A600" t="str">
        <f>IF(games!$A600="","",games!$A600)</f>
        <v>Realm of the Mad God</v>
      </c>
      <c r="B600">
        <f>IF($A600="","",games!$B600)</f>
        <v>2010</v>
      </c>
      <c r="C600" t="str">
        <f>IF($A600="","",games!$C600)</f>
        <v>Action</v>
      </c>
      <c r="D600">
        <f>IF($A600="","",COUNTIF(connections!$A$2:$A$1473,$A600)+COUNTIF(connections!$B$2:$B$1473,$A600))</f>
        <v>4</v>
      </c>
      <c r="E600">
        <f t="shared" si="117"/>
        <v>1</v>
      </c>
      <c r="F600">
        <f t="shared" si="118"/>
        <v>22</v>
      </c>
      <c r="G600">
        <f t="shared" si="119"/>
        <v>2010</v>
      </c>
      <c r="H600">
        <f t="shared" si="120"/>
        <v>1.506</v>
      </c>
      <c r="I600" t="e">
        <f t="shared" si="121"/>
        <v>#N/A</v>
      </c>
      <c r="J600" t="e">
        <f t="shared" si="122"/>
        <v>#N/A</v>
      </c>
      <c r="K600" t="e">
        <f t="shared" si="123"/>
        <v>#N/A</v>
      </c>
      <c r="L600" t="e">
        <f t="shared" si="124"/>
        <v>#N/A</v>
      </c>
      <c r="M600" t="e">
        <f t="shared" si="125"/>
        <v>#N/A</v>
      </c>
      <c r="N600" t="e">
        <f t="shared" si="126"/>
        <v>#N/A</v>
      </c>
      <c r="O600">
        <f t="shared" si="127"/>
        <v>4.0006000000000004</v>
      </c>
      <c r="P600" t="str">
        <f>IF(OR($A600="",games!$H600=""),"",games!$H600)</f>
        <v>Yes</v>
      </c>
      <c r="Q600">
        <f t="shared" si="128"/>
        <v>4.0006000000000004</v>
      </c>
      <c r="T600">
        <f>IF(connections!$A600="","",IFERROR(INDEX(games!$B$2:$B$950,MATCH(connections!$A600,games!$A$2:$A$950,0)),""))</f>
        <v>2021</v>
      </c>
      <c r="U600">
        <f>IF(connections!$A600="","",IFERROR(INDEX(games!$B$2:$B$950,MATCH(connections!$B600,games!$A$2:$A$950,0)),""))</f>
        <v>2023</v>
      </c>
      <c r="V600">
        <f t="shared" si="129"/>
        <v>2</v>
      </c>
    </row>
    <row r="601" spans="1:22" x14ac:dyDescent="0.25">
      <c r="A601" t="str">
        <f>IF(games!$A601="","",games!$A601)</f>
        <v>Red Rogue</v>
      </c>
      <c r="B601">
        <f>IF($A601="","",games!$B601)</f>
        <v>2012</v>
      </c>
      <c r="C601" t="str">
        <f>IF($A601="","",games!$C601)</f>
        <v>Action</v>
      </c>
      <c r="D601">
        <f>IF($A601="","",COUNTIF(connections!$A$2:$A$1473,$A601)+COUNTIF(connections!$B$2:$B$1473,$A601))</f>
        <v>3</v>
      </c>
      <c r="E601">
        <f t="shared" si="117"/>
        <v>1</v>
      </c>
      <c r="F601">
        <f t="shared" si="118"/>
        <v>23</v>
      </c>
      <c r="G601">
        <f t="shared" si="119"/>
        <v>2012</v>
      </c>
      <c r="H601">
        <f t="shared" si="120"/>
        <v>1.5289999999999999</v>
      </c>
      <c r="I601" t="e">
        <f t="shared" si="121"/>
        <v>#N/A</v>
      </c>
      <c r="J601" t="e">
        <f t="shared" si="122"/>
        <v>#N/A</v>
      </c>
      <c r="K601" t="e">
        <f t="shared" si="123"/>
        <v>#N/A</v>
      </c>
      <c r="L601" t="e">
        <f t="shared" si="124"/>
        <v>#N/A</v>
      </c>
      <c r="M601" t="e">
        <f t="shared" si="125"/>
        <v>#N/A</v>
      </c>
      <c r="N601" t="e">
        <f t="shared" si="126"/>
        <v>#N/A</v>
      </c>
      <c r="O601">
        <f t="shared" si="127"/>
        <v>3.0006010000000001</v>
      </c>
      <c r="P601" t="str">
        <f>IF(OR($A601="",games!$H601=""),"",games!$H601)</f>
        <v>Yes</v>
      </c>
      <c r="Q601">
        <f t="shared" si="128"/>
        <v>3.0006010000000001</v>
      </c>
      <c r="T601">
        <f>IF(connections!$A601="","",IFERROR(INDEX(games!$B$2:$B$950,MATCH(connections!$A601,games!$A$2:$A$950,0)),""))</f>
        <v>2018</v>
      </c>
      <c r="U601">
        <f>IF(connections!$A601="","",IFERROR(INDEX(games!$B$2:$B$950,MATCH(connections!$B601,games!$A$2:$A$950,0)),""))</f>
        <v>2025</v>
      </c>
      <c r="V601">
        <f t="shared" si="129"/>
        <v>7</v>
      </c>
    </row>
    <row r="602" spans="1:22" x14ac:dyDescent="0.25">
      <c r="A602" t="str">
        <f>IF(games!$A602="","",games!$A602)</f>
        <v>Reignbreaker</v>
      </c>
      <c r="B602">
        <f>IF($A602="","",games!$B602)</f>
        <v>2025</v>
      </c>
      <c r="C602" t="str">
        <f>IF($A602="","",games!$C602)</f>
        <v>Action</v>
      </c>
      <c r="D602">
        <f>IF($A602="","",COUNTIF(connections!$A$2:$A$1473,$A602)+COUNTIF(connections!$B$2:$B$1473,$A602))</f>
        <v>2</v>
      </c>
      <c r="E602">
        <f t="shared" si="117"/>
        <v>1</v>
      </c>
      <c r="F602">
        <f t="shared" si="118"/>
        <v>24</v>
      </c>
      <c r="G602">
        <f t="shared" si="119"/>
        <v>2025</v>
      </c>
      <c r="H602">
        <f t="shared" si="120"/>
        <v>1.552</v>
      </c>
      <c r="I602" t="e">
        <f t="shared" si="121"/>
        <v>#N/A</v>
      </c>
      <c r="J602" t="e">
        <f t="shared" si="122"/>
        <v>#N/A</v>
      </c>
      <c r="K602" t="e">
        <f t="shared" si="123"/>
        <v>#N/A</v>
      </c>
      <c r="L602" t="e">
        <f t="shared" si="124"/>
        <v>#N/A</v>
      </c>
      <c r="M602" t="e">
        <f t="shared" si="125"/>
        <v>#N/A</v>
      </c>
      <c r="N602" t="e">
        <f t="shared" si="126"/>
        <v>#N/A</v>
      </c>
      <c r="O602">
        <f t="shared" si="127"/>
        <v>2.0006020000000002</v>
      </c>
      <c r="P602" t="str">
        <f>IF(OR($A602="",games!$H602=""),"",games!$H602)</f>
        <v>Yes</v>
      </c>
      <c r="Q602">
        <f t="shared" si="128"/>
        <v>2.0006020000000002</v>
      </c>
      <c r="T602">
        <f>IF(connections!$A602="","",IFERROR(INDEX(games!$B$2:$B$950,MATCH(connections!$A602,games!$A$2:$A$950,0)),""))</f>
        <v>2022</v>
      </c>
      <c r="U602">
        <f>IF(connections!$A602="","",IFERROR(INDEX(games!$B$2:$B$950,MATCH(connections!$B602,games!$A$2:$A$950,0)),""))</f>
        <v>2025</v>
      </c>
      <c r="V602">
        <f t="shared" si="129"/>
        <v>3</v>
      </c>
    </row>
    <row r="603" spans="1:22" x14ac:dyDescent="0.25">
      <c r="A603" t="str">
        <f>IF(games!$A603="","",games!$A603)</f>
        <v>Renowned Explorers: International Society</v>
      </c>
      <c r="B603">
        <f>IF($A603="","",games!$B603)</f>
        <v>2015</v>
      </c>
      <c r="C603" t="str">
        <f>IF($A603="","",games!$C603)</f>
        <v>Strategy</v>
      </c>
      <c r="D603">
        <f>IF($A603="","",COUNTIF(connections!$A$2:$A$1473,$A603)+COUNTIF(connections!$B$2:$B$1473,$A603))</f>
        <v>2</v>
      </c>
      <c r="E603">
        <f t="shared" si="117"/>
        <v>2</v>
      </c>
      <c r="F603">
        <f t="shared" si="118"/>
        <v>25</v>
      </c>
      <c r="G603" t="e">
        <f t="shared" si="119"/>
        <v>#N/A</v>
      </c>
      <c r="H603" t="e">
        <f t="shared" si="120"/>
        <v>#N/A</v>
      </c>
      <c r="I603">
        <f t="shared" si="121"/>
        <v>2015</v>
      </c>
      <c r="J603">
        <f t="shared" si="122"/>
        <v>2.5750000000000002</v>
      </c>
      <c r="K603" t="e">
        <f t="shared" si="123"/>
        <v>#N/A</v>
      </c>
      <c r="L603" t="e">
        <f t="shared" si="124"/>
        <v>#N/A</v>
      </c>
      <c r="M603" t="e">
        <f t="shared" si="125"/>
        <v>#N/A</v>
      </c>
      <c r="N603" t="e">
        <f t="shared" si="126"/>
        <v>#N/A</v>
      </c>
      <c r="O603">
        <f t="shared" si="127"/>
        <v>2.0006029999999999</v>
      </c>
      <c r="P603" t="str">
        <f>IF(OR($A603="",games!$H603=""),"",games!$H603)</f>
        <v>Yes</v>
      </c>
      <c r="Q603">
        <f t="shared" si="128"/>
        <v>2.0006029999999999</v>
      </c>
      <c r="T603">
        <f>IF(connections!$A603="","",IFERROR(INDEX(games!$B$2:$B$950,MATCH(connections!$A603,games!$A$2:$A$950,0)),""))</f>
        <v>2022</v>
      </c>
      <c r="U603">
        <f>IF(connections!$A603="","",IFERROR(INDEX(games!$B$2:$B$950,MATCH(connections!$B603,games!$A$2:$A$950,0)),""))</f>
        <v>2026</v>
      </c>
      <c r="V603">
        <f t="shared" si="129"/>
        <v>4</v>
      </c>
    </row>
    <row r="604" spans="1:22" x14ac:dyDescent="0.25">
      <c r="A604" t="str">
        <f>IF(games!$A604="","",games!$A604)</f>
        <v>Repetendium</v>
      </c>
      <c r="B604">
        <f>IF($A604="","",games!$B604)</f>
        <v>2022</v>
      </c>
      <c r="C604" t="str">
        <f>IF($A604="","",games!$C604)</f>
        <v>Action</v>
      </c>
      <c r="D604">
        <f>IF($A604="","",COUNTIF(connections!$A$2:$A$1473,$A604)+COUNTIF(connections!$B$2:$B$1473,$A604))</f>
        <v>1</v>
      </c>
      <c r="E604">
        <f t="shared" si="117"/>
        <v>1</v>
      </c>
      <c r="F604">
        <f t="shared" si="118"/>
        <v>26</v>
      </c>
      <c r="G604">
        <f t="shared" si="119"/>
        <v>2022</v>
      </c>
      <c r="H604">
        <f t="shared" si="120"/>
        <v>1.5979999999999999</v>
      </c>
      <c r="I604" t="e">
        <f t="shared" si="121"/>
        <v>#N/A</v>
      </c>
      <c r="J604" t="e">
        <f t="shared" si="122"/>
        <v>#N/A</v>
      </c>
      <c r="K604" t="e">
        <f t="shared" si="123"/>
        <v>#N/A</v>
      </c>
      <c r="L604" t="e">
        <f t="shared" si="124"/>
        <v>#N/A</v>
      </c>
      <c r="M604" t="e">
        <f t="shared" si="125"/>
        <v>#N/A</v>
      </c>
      <c r="N604" t="e">
        <f t="shared" si="126"/>
        <v>#N/A</v>
      </c>
      <c r="O604">
        <f t="shared" si="127"/>
        <v>1.000604</v>
      </c>
      <c r="P604" t="str">
        <f>IF(OR($A604="",games!$H604=""),"",games!$H604)</f>
        <v>Yes</v>
      </c>
      <c r="Q604">
        <f t="shared" si="128"/>
        <v>1.000604</v>
      </c>
      <c r="T604">
        <f>IF(connections!$A604="","",IFERROR(INDEX(games!$B$2:$B$950,MATCH(connections!$A604,games!$A$2:$A$950,0)),""))</f>
        <v>2017</v>
      </c>
      <c r="U604">
        <f>IF(connections!$A604="","",IFERROR(INDEX(games!$B$2:$B$950,MATCH(connections!$B604,games!$A$2:$A$950,0)),""))</f>
        <v>2026</v>
      </c>
      <c r="V604">
        <f t="shared" si="129"/>
        <v>9</v>
      </c>
    </row>
    <row r="605" spans="1:22" x14ac:dyDescent="0.25">
      <c r="A605" t="str">
        <f>IF(games!$A605="","",games!$A605)</f>
        <v>Replicat</v>
      </c>
      <c r="B605">
        <f>IF($A605="","",games!$B605)</f>
        <v>2025</v>
      </c>
      <c r="C605" t="str">
        <f>IF($A605="","",games!$C605)</f>
        <v>Deckbuilder</v>
      </c>
      <c r="D605">
        <f>IF($A605="","",COUNTIF(connections!$A$2:$A$1473,$A605)+COUNTIF(connections!$B$2:$B$1473,$A605))</f>
        <v>2</v>
      </c>
      <c r="E605">
        <f t="shared" si="117"/>
        <v>3</v>
      </c>
      <c r="F605">
        <f t="shared" si="118"/>
        <v>27</v>
      </c>
      <c r="G605" t="e">
        <f t="shared" si="119"/>
        <v>#N/A</v>
      </c>
      <c r="H605" t="e">
        <f t="shared" si="120"/>
        <v>#N/A</v>
      </c>
      <c r="I605" t="e">
        <f t="shared" si="121"/>
        <v>#N/A</v>
      </c>
      <c r="J605" t="e">
        <f t="shared" si="122"/>
        <v>#N/A</v>
      </c>
      <c r="K605">
        <f t="shared" si="123"/>
        <v>2025</v>
      </c>
      <c r="L605">
        <f t="shared" si="124"/>
        <v>3.621</v>
      </c>
      <c r="M605" t="e">
        <f t="shared" si="125"/>
        <v>#N/A</v>
      </c>
      <c r="N605" t="e">
        <f t="shared" si="126"/>
        <v>#N/A</v>
      </c>
      <c r="O605">
        <f t="shared" si="127"/>
        <v>2.0006050000000002</v>
      </c>
      <c r="P605" t="str">
        <f>IF(OR($A605="",games!$H605=""),"",games!$H605)</f>
        <v/>
      </c>
      <c r="Q605" t="str">
        <f t="shared" si="128"/>
        <v/>
      </c>
      <c r="T605">
        <f>IF(connections!$A605="","",IFERROR(INDEX(games!$B$2:$B$950,MATCH(connections!$A605,games!$A$2:$A$950,0)),""))</f>
        <v>2019</v>
      </c>
      <c r="U605">
        <f>IF(connections!$A605="","",IFERROR(INDEX(games!$B$2:$B$950,MATCH(connections!$B605,games!$A$2:$A$950,0)),""))</f>
        <v>2023</v>
      </c>
      <c r="V605">
        <f t="shared" si="129"/>
        <v>4</v>
      </c>
    </row>
    <row r="606" spans="1:22" x14ac:dyDescent="0.25">
      <c r="A606" t="str">
        <f>IF(games!$A606="","",games!$A606)</f>
        <v>Return to Abyss</v>
      </c>
      <c r="B606">
        <f>IF($A606="","",games!$B606)</f>
        <v>2023</v>
      </c>
      <c r="C606" t="str">
        <f>IF($A606="","",games!$C606)</f>
        <v>Action</v>
      </c>
      <c r="D606">
        <f>IF($A606="","",COUNTIF(connections!$A$2:$A$1473,$A606)+COUNTIF(connections!$B$2:$B$1473,$A606))</f>
        <v>1</v>
      </c>
      <c r="E606">
        <f t="shared" si="117"/>
        <v>1</v>
      </c>
      <c r="F606">
        <f t="shared" si="118"/>
        <v>28</v>
      </c>
      <c r="G606">
        <f t="shared" si="119"/>
        <v>2023</v>
      </c>
      <c r="H606">
        <f t="shared" si="120"/>
        <v>1.6440000000000001</v>
      </c>
      <c r="I606" t="e">
        <f t="shared" si="121"/>
        <v>#N/A</v>
      </c>
      <c r="J606" t="e">
        <f t="shared" si="122"/>
        <v>#N/A</v>
      </c>
      <c r="K606" t="e">
        <f t="shared" si="123"/>
        <v>#N/A</v>
      </c>
      <c r="L606" t="e">
        <f t="shared" si="124"/>
        <v>#N/A</v>
      </c>
      <c r="M606" t="e">
        <f t="shared" si="125"/>
        <v>#N/A</v>
      </c>
      <c r="N606" t="e">
        <f t="shared" si="126"/>
        <v>#N/A</v>
      </c>
      <c r="O606">
        <f t="shared" si="127"/>
        <v>1.0006060000000001</v>
      </c>
      <c r="P606" t="str">
        <f>IF(OR($A606="",games!$H606=""),"",games!$H606)</f>
        <v>Yes</v>
      </c>
      <c r="Q606">
        <f t="shared" si="128"/>
        <v>1.0006060000000001</v>
      </c>
      <c r="T606">
        <f>IF(connections!$A606="","",IFERROR(INDEX(games!$B$2:$B$950,MATCH(connections!$A606,games!$A$2:$A$950,0)),""))</f>
        <v>2021</v>
      </c>
      <c r="U606">
        <f>IF(connections!$A606="","",IFERROR(INDEX(games!$B$2:$B$950,MATCH(connections!$B606,games!$A$2:$A$950,0)),""))</f>
        <v>2023</v>
      </c>
      <c r="V606">
        <f t="shared" si="129"/>
        <v>2</v>
      </c>
    </row>
    <row r="607" spans="1:22" x14ac:dyDescent="0.25">
      <c r="A607" t="str">
        <f>IF(games!$A607="","",games!$A607)</f>
        <v>Returnal</v>
      </c>
      <c r="B607">
        <f>IF($A607="","",games!$B607)</f>
        <v>2023</v>
      </c>
      <c r="C607" t="str">
        <f>IF($A607="","",games!$C607)</f>
        <v>Action</v>
      </c>
      <c r="D607">
        <f>IF($A607="","",COUNTIF(connections!$A$2:$A$1473,$A607)+COUNTIF(connections!$B$2:$B$1473,$A607))</f>
        <v>4</v>
      </c>
      <c r="E607">
        <f t="shared" si="117"/>
        <v>1</v>
      </c>
      <c r="F607">
        <f t="shared" si="118"/>
        <v>29</v>
      </c>
      <c r="G607">
        <f t="shared" si="119"/>
        <v>2023</v>
      </c>
      <c r="H607">
        <f t="shared" si="120"/>
        <v>1.667</v>
      </c>
      <c r="I607" t="e">
        <f t="shared" si="121"/>
        <v>#N/A</v>
      </c>
      <c r="J607" t="e">
        <f t="shared" si="122"/>
        <v>#N/A</v>
      </c>
      <c r="K607" t="e">
        <f t="shared" si="123"/>
        <v>#N/A</v>
      </c>
      <c r="L607" t="e">
        <f t="shared" si="124"/>
        <v>#N/A</v>
      </c>
      <c r="M607" t="e">
        <f t="shared" si="125"/>
        <v>#N/A</v>
      </c>
      <c r="N607" t="e">
        <f t="shared" si="126"/>
        <v>#N/A</v>
      </c>
      <c r="O607">
        <f t="shared" si="127"/>
        <v>4.0006069999999996</v>
      </c>
      <c r="P607" t="str">
        <f>IF(OR($A607="",games!$H607=""),"",games!$H607)</f>
        <v>Yes</v>
      </c>
      <c r="Q607">
        <f t="shared" si="128"/>
        <v>4.0006069999999996</v>
      </c>
      <c r="T607">
        <f>IF(connections!$A607="","",IFERROR(INDEX(games!$B$2:$B$950,MATCH(connections!$A607,games!$A$2:$A$950,0)),""))</f>
        <v>1993</v>
      </c>
      <c r="U607">
        <f>IF(connections!$A607="","",IFERROR(INDEX(games!$B$2:$B$950,MATCH(connections!$B607,games!$A$2:$A$950,0)),""))</f>
        <v>2026</v>
      </c>
      <c r="V607">
        <f t="shared" si="129"/>
        <v>33</v>
      </c>
    </row>
    <row r="608" spans="1:22" x14ac:dyDescent="0.25">
      <c r="A608" t="str">
        <f>IF(games!$A608="","",games!$A608)</f>
        <v>Revita</v>
      </c>
      <c r="B608">
        <f>IF($A608="","",games!$B608)</f>
        <v>2021</v>
      </c>
      <c r="C608" t="str">
        <f>IF($A608="","",games!$C608)</f>
        <v>Action</v>
      </c>
      <c r="D608">
        <f>IF($A608="","",COUNTIF(connections!$A$2:$A$1473,$A608)+COUNTIF(connections!$B$2:$B$1473,$A608))</f>
        <v>2</v>
      </c>
      <c r="E608">
        <f t="shared" si="117"/>
        <v>1</v>
      </c>
      <c r="F608">
        <f t="shared" si="118"/>
        <v>30</v>
      </c>
      <c r="G608">
        <f t="shared" si="119"/>
        <v>2021</v>
      </c>
      <c r="H608">
        <f t="shared" si="120"/>
        <v>1.69</v>
      </c>
      <c r="I608" t="e">
        <f t="shared" si="121"/>
        <v>#N/A</v>
      </c>
      <c r="J608" t="e">
        <f t="shared" si="122"/>
        <v>#N/A</v>
      </c>
      <c r="K608" t="e">
        <f t="shared" si="123"/>
        <v>#N/A</v>
      </c>
      <c r="L608" t="e">
        <f t="shared" si="124"/>
        <v>#N/A</v>
      </c>
      <c r="M608" t="e">
        <f t="shared" si="125"/>
        <v>#N/A</v>
      </c>
      <c r="N608" t="e">
        <f t="shared" si="126"/>
        <v>#N/A</v>
      </c>
      <c r="O608">
        <f t="shared" si="127"/>
        <v>2.0006080000000002</v>
      </c>
      <c r="P608" t="str">
        <f>IF(OR($A608="",games!$H608=""),"",games!$H608)</f>
        <v>Yes</v>
      </c>
      <c r="Q608">
        <f t="shared" si="128"/>
        <v>2.0006080000000002</v>
      </c>
      <c r="T608">
        <f>IF(connections!$A608="","",IFERROR(INDEX(games!$B$2:$B$950,MATCH(connections!$A608,games!$A$2:$A$950,0)),""))</f>
        <v>1995</v>
      </c>
      <c r="U608">
        <f>IF(connections!$A608="","",IFERROR(INDEX(games!$B$2:$B$950,MATCH(connections!$B608,games!$A$2:$A$950,0)),""))</f>
        <v>2025</v>
      </c>
      <c r="V608">
        <f t="shared" si="129"/>
        <v>30</v>
      </c>
    </row>
    <row r="609" spans="1:22" x14ac:dyDescent="0.25">
      <c r="A609" t="str">
        <f>IF(games!$A609="","",games!$A609)</f>
        <v>Rhythm Witch: Beat Death</v>
      </c>
      <c r="B609">
        <f>IF($A609="","",games!$B609)</f>
        <v>2025</v>
      </c>
      <c r="C609" t="str">
        <f>IF($A609="","",games!$C609)</f>
        <v>Action</v>
      </c>
      <c r="D609">
        <f>IF($A609="","",COUNTIF(connections!$A$2:$A$1473,$A609)+COUNTIF(connections!$B$2:$B$1473,$A609))</f>
        <v>2</v>
      </c>
      <c r="E609">
        <f t="shared" si="117"/>
        <v>1</v>
      </c>
      <c r="F609">
        <f t="shared" si="118"/>
        <v>31</v>
      </c>
      <c r="G609">
        <f t="shared" si="119"/>
        <v>2025</v>
      </c>
      <c r="H609">
        <f t="shared" si="120"/>
        <v>1.7130000000000001</v>
      </c>
      <c r="I609" t="e">
        <f t="shared" si="121"/>
        <v>#N/A</v>
      </c>
      <c r="J609" t="e">
        <f t="shared" si="122"/>
        <v>#N/A</v>
      </c>
      <c r="K609" t="e">
        <f t="shared" si="123"/>
        <v>#N/A</v>
      </c>
      <c r="L609" t="e">
        <f t="shared" si="124"/>
        <v>#N/A</v>
      </c>
      <c r="M609" t="e">
        <f t="shared" si="125"/>
        <v>#N/A</v>
      </c>
      <c r="N609" t="e">
        <f t="shared" si="126"/>
        <v>#N/A</v>
      </c>
      <c r="O609">
        <f t="shared" si="127"/>
        <v>2.0006089999999999</v>
      </c>
      <c r="P609" t="str">
        <f>IF(OR($A609="",games!$H609=""),"",games!$H609)</f>
        <v>Yes</v>
      </c>
      <c r="Q609">
        <f t="shared" si="128"/>
        <v>2.0006089999999999</v>
      </c>
      <c r="T609">
        <f>IF(connections!$A609="","",IFERROR(INDEX(games!$B$2:$B$950,MATCH(connections!$A609,games!$A$2:$A$950,0)),""))</f>
        <v>1993</v>
      </c>
      <c r="U609">
        <f>IF(connections!$A609="","",IFERROR(INDEX(games!$B$2:$B$950,MATCH(connections!$B609,games!$A$2:$A$950,0)),""))</f>
        <v>2025</v>
      </c>
      <c r="V609">
        <f t="shared" si="129"/>
        <v>32</v>
      </c>
    </row>
    <row r="610" spans="1:22" x14ac:dyDescent="0.25">
      <c r="A610" t="str">
        <f>IF(games!$A610="","",games!$A610)</f>
        <v>Rift Wizard</v>
      </c>
      <c r="B610">
        <f>IF($A610="","",games!$B610)</f>
        <v>2020</v>
      </c>
      <c r="C610" t="str">
        <f>IF($A610="","",games!$C610)</f>
        <v>Traditional</v>
      </c>
      <c r="D610">
        <f>IF($A610="","",COUNTIF(connections!$A$2:$A$1473,$A610)+COUNTIF(connections!$B$2:$B$1473,$A610))</f>
        <v>7</v>
      </c>
      <c r="E610">
        <f t="shared" si="117"/>
        <v>4</v>
      </c>
      <c r="F610">
        <f t="shared" si="118"/>
        <v>32</v>
      </c>
      <c r="G610" t="e">
        <f t="shared" si="119"/>
        <v>#N/A</v>
      </c>
      <c r="H610" t="e">
        <f t="shared" si="120"/>
        <v>#N/A</v>
      </c>
      <c r="I610" t="e">
        <f t="shared" si="121"/>
        <v>#N/A</v>
      </c>
      <c r="J610" t="e">
        <f t="shared" si="122"/>
        <v>#N/A</v>
      </c>
      <c r="K610" t="e">
        <f t="shared" si="123"/>
        <v>#N/A</v>
      </c>
      <c r="L610" t="e">
        <f t="shared" si="124"/>
        <v>#N/A</v>
      </c>
      <c r="M610">
        <f t="shared" si="125"/>
        <v>2020</v>
      </c>
      <c r="N610">
        <f t="shared" si="126"/>
        <v>4.7359999999999998</v>
      </c>
      <c r="O610">
        <f t="shared" si="127"/>
        <v>7.00061</v>
      </c>
      <c r="P610" t="str">
        <f>IF(OR($A610="",games!$H610=""),"",games!$H610)</f>
        <v>Yes</v>
      </c>
      <c r="Q610">
        <f t="shared" si="128"/>
        <v>7.00061</v>
      </c>
      <c r="T610">
        <f>IF(connections!$A610="","",IFERROR(INDEX(games!$B$2:$B$950,MATCH(connections!$A610,games!$A$2:$A$950,0)),""))</f>
        <v>2023</v>
      </c>
      <c r="U610">
        <f>IF(connections!$A610="","",IFERROR(INDEX(games!$B$2:$B$950,MATCH(connections!$B610,games!$A$2:$A$950,0)),""))</f>
        <v>2026</v>
      </c>
      <c r="V610">
        <f t="shared" si="129"/>
        <v>3</v>
      </c>
    </row>
    <row r="611" spans="1:22" x14ac:dyDescent="0.25">
      <c r="A611" t="str">
        <f>IF(games!$A611="","",games!$A611)</f>
        <v>Rift Wizard 2</v>
      </c>
      <c r="B611">
        <f>IF($A611="","",games!$B611)</f>
        <v>2024</v>
      </c>
      <c r="C611" t="str">
        <f>IF($A611="","",games!$C611)</f>
        <v>Traditional</v>
      </c>
      <c r="D611">
        <f>IF($A611="","",COUNTIF(connections!$A$2:$A$1473,$A611)+COUNTIF(connections!$B$2:$B$1473,$A611))</f>
        <v>2</v>
      </c>
      <c r="E611">
        <f t="shared" si="117"/>
        <v>4</v>
      </c>
      <c r="F611">
        <f t="shared" si="118"/>
        <v>33</v>
      </c>
      <c r="G611" t="e">
        <f t="shared" si="119"/>
        <v>#N/A</v>
      </c>
      <c r="H611" t="e">
        <f t="shared" si="120"/>
        <v>#N/A</v>
      </c>
      <c r="I611" t="e">
        <f t="shared" si="121"/>
        <v>#N/A</v>
      </c>
      <c r="J611" t="e">
        <f t="shared" si="122"/>
        <v>#N/A</v>
      </c>
      <c r="K611" t="e">
        <f t="shared" si="123"/>
        <v>#N/A</v>
      </c>
      <c r="L611" t="e">
        <f t="shared" si="124"/>
        <v>#N/A</v>
      </c>
      <c r="M611">
        <f t="shared" si="125"/>
        <v>2024</v>
      </c>
      <c r="N611">
        <f t="shared" si="126"/>
        <v>4.7590000000000003</v>
      </c>
      <c r="O611">
        <f t="shared" si="127"/>
        <v>2.0006110000000001</v>
      </c>
      <c r="P611" t="str">
        <f>IF(OR($A611="",games!$H611=""),"",games!$H611)</f>
        <v>Yes</v>
      </c>
      <c r="Q611">
        <f t="shared" si="128"/>
        <v>2.0006110000000001</v>
      </c>
      <c r="T611">
        <f>IF(connections!$A611="","",IFERROR(INDEX(games!$B$2:$B$950,MATCH(connections!$A611,games!$A$2:$A$950,0)),""))</f>
        <v>2022</v>
      </c>
      <c r="U611">
        <f>IF(connections!$A611="","",IFERROR(INDEX(games!$B$2:$B$950,MATCH(connections!$B611,games!$A$2:$A$950,0)),""))</f>
        <v>2026</v>
      </c>
      <c r="V611">
        <f t="shared" si="129"/>
        <v>4</v>
      </c>
    </row>
    <row r="612" spans="1:22" x14ac:dyDescent="0.25">
      <c r="A612" t="str">
        <f>IF(games!$A612="","",games!$A612)</f>
        <v>Rift Wizard 3</v>
      </c>
      <c r="B612">
        <f>IF($A612="","",games!$B612)</f>
        <v>2026</v>
      </c>
      <c r="C612" t="str">
        <f>IF($A612="","",games!$C612)</f>
        <v>Traditional</v>
      </c>
      <c r="D612">
        <f>IF($A612="","",COUNTIF(connections!$A$2:$A$1473,$A612)+COUNTIF(connections!$B$2:$B$1473,$A612))</f>
        <v>1</v>
      </c>
      <c r="E612">
        <f t="shared" si="117"/>
        <v>4</v>
      </c>
      <c r="F612">
        <f t="shared" si="118"/>
        <v>0</v>
      </c>
      <c r="G612" t="e">
        <f t="shared" si="119"/>
        <v>#N/A</v>
      </c>
      <c r="H612" t="e">
        <f t="shared" si="120"/>
        <v>#N/A</v>
      </c>
      <c r="I612" t="e">
        <f t="shared" si="121"/>
        <v>#N/A</v>
      </c>
      <c r="J612" t="e">
        <f t="shared" si="122"/>
        <v>#N/A</v>
      </c>
      <c r="K612" t="e">
        <f t="shared" si="123"/>
        <v>#N/A</v>
      </c>
      <c r="L612" t="e">
        <f t="shared" si="124"/>
        <v>#N/A</v>
      </c>
      <c r="M612">
        <f t="shared" si="125"/>
        <v>2026</v>
      </c>
      <c r="N612">
        <f t="shared" si="126"/>
        <v>4</v>
      </c>
      <c r="O612">
        <f t="shared" si="127"/>
        <v>1.0006120000000001</v>
      </c>
      <c r="P612" t="str">
        <f>IF(OR($A612="",games!$H612=""),"",games!$H612)</f>
        <v/>
      </c>
      <c r="Q612" t="str">
        <f t="shared" si="128"/>
        <v/>
      </c>
      <c r="T612">
        <f>IF(connections!$A612="","",IFERROR(INDEX(games!$B$2:$B$950,MATCH(connections!$A612,games!$A$2:$A$950,0)),""))</f>
        <v>2023</v>
      </c>
      <c r="U612">
        <f>IF(connections!$A612="","",IFERROR(INDEX(games!$B$2:$B$950,MATCH(connections!$B612,games!$A$2:$A$950,0)),""))</f>
        <v>2026</v>
      </c>
      <c r="V612">
        <f t="shared" si="129"/>
        <v>3</v>
      </c>
    </row>
    <row r="613" spans="1:22" x14ac:dyDescent="0.25">
      <c r="A613" t="str">
        <f>IF(games!$A613="","",games!$A613)</f>
        <v>Rig Riot</v>
      </c>
      <c r="B613">
        <f>IF($A613="","",games!$B613)</f>
        <v>2026</v>
      </c>
      <c r="C613" t="str">
        <f>IF($A613="","",games!$C613)</f>
        <v>Action</v>
      </c>
      <c r="D613">
        <f>IF($A613="","",COUNTIF(connections!$A$2:$A$1473,$A613)+COUNTIF(connections!$B$2:$B$1473,$A613))</f>
        <v>2</v>
      </c>
      <c r="E613">
        <f t="shared" si="117"/>
        <v>1</v>
      </c>
      <c r="F613">
        <f t="shared" si="118"/>
        <v>1</v>
      </c>
      <c r="G613">
        <f t="shared" si="119"/>
        <v>2026</v>
      </c>
      <c r="H613">
        <f t="shared" si="120"/>
        <v>1.0229999999999999</v>
      </c>
      <c r="I613" t="e">
        <f t="shared" si="121"/>
        <v>#N/A</v>
      </c>
      <c r="J613" t="e">
        <f t="shared" si="122"/>
        <v>#N/A</v>
      </c>
      <c r="K613" t="e">
        <f t="shared" si="123"/>
        <v>#N/A</v>
      </c>
      <c r="L613" t="e">
        <f t="shared" si="124"/>
        <v>#N/A</v>
      </c>
      <c r="M613" t="e">
        <f t="shared" si="125"/>
        <v>#N/A</v>
      </c>
      <c r="N613" t="e">
        <f t="shared" si="126"/>
        <v>#N/A</v>
      </c>
      <c r="O613">
        <f t="shared" si="127"/>
        <v>2.000613</v>
      </c>
      <c r="P613" t="str">
        <f>IF(OR($A613="",games!$H613=""),"",games!$H613)</f>
        <v/>
      </c>
      <c r="Q613" t="str">
        <f t="shared" si="128"/>
        <v/>
      </c>
      <c r="T613">
        <f>IF(connections!$A613="","",IFERROR(INDEX(games!$B$2:$B$950,MATCH(connections!$A613,games!$A$2:$A$950,0)),""))</f>
        <v>2014</v>
      </c>
      <c r="U613">
        <f>IF(connections!$A613="","",IFERROR(INDEX(games!$B$2:$B$950,MATCH(connections!$B613,games!$A$2:$A$950,0)),""))</f>
        <v>2026</v>
      </c>
      <c r="V613">
        <f t="shared" si="129"/>
        <v>12</v>
      </c>
    </row>
    <row r="614" spans="1:22" x14ac:dyDescent="0.25">
      <c r="A614" t="str">
        <f>IF(games!$A614="","",games!$A614)</f>
        <v>Right and Down</v>
      </c>
      <c r="B614">
        <f>IF($A614="","",games!$B614)</f>
        <v>2022</v>
      </c>
      <c r="C614" t="str">
        <f>IF($A614="","",games!$C614)</f>
        <v>Deckbuilder</v>
      </c>
      <c r="D614">
        <f>IF($A614="","",COUNTIF(connections!$A$2:$A$1473,$A614)+COUNTIF(connections!$B$2:$B$1473,$A614))</f>
        <v>1</v>
      </c>
      <c r="E614">
        <f t="shared" si="117"/>
        <v>3</v>
      </c>
      <c r="F614">
        <f t="shared" si="118"/>
        <v>2</v>
      </c>
      <c r="G614" t="e">
        <f t="shared" si="119"/>
        <v>#N/A</v>
      </c>
      <c r="H614" t="e">
        <f t="shared" si="120"/>
        <v>#N/A</v>
      </c>
      <c r="I614" t="e">
        <f t="shared" si="121"/>
        <v>#N/A</v>
      </c>
      <c r="J614" t="e">
        <f t="shared" si="122"/>
        <v>#N/A</v>
      </c>
      <c r="K614">
        <f t="shared" si="123"/>
        <v>2022</v>
      </c>
      <c r="L614">
        <f t="shared" si="124"/>
        <v>3.0459999999999998</v>
      </c>
      <c r="M614" t="e">
        <f t="shared" si="125"/>
        <v>#N/A</v>
      </c>
      <c r="N614" t="e">
        <f t="shared" si="126"/>
        <v>#N/A</v>
      </c>
      <c r="O614">
        <f t="shared" si="127"/>
        <v>1.0006139999999999</v>
      </c>
      <c r="P614" t="str">
        <f>IF(OR($A614="",games!$H614=""),"",games!$H614)</f>
        <v>Yes</v>
      </c>
      <c r="Q614">
        <f t="shared" si="128"/>
        <v>1.0006139999999999</v>
      </c>
      <c r="T614">
        <f>IF(connections!$A614="","",IFERROR(INDEX(games!$B$2:$B$950,MATCH(connections!$A614,games!$A$2:$A$950,0)),""))</f>
        <v>2017</v>
      </c>
      <c r="U614">
        <f>IF(connections!$A614="","",IFERROR(INDEX(games!$B$2:$B$950,MATCH(connections!$B614,games!$A$2:$A$950,0)),""))</f>
        <v>2026</v>
      </c>
      <c r="V614">
        <f t="shared" si="129"/>
        <v>9</v>
      </c>
    </row>
    <row r="615" spans="1:22" x14ac:dyDescent="0.25">
      <c r="A615" t="str">
        <f>IF(games!$A615="","",games!$A615)</f>
        <v>Ring of Pain</v>
      </c>
      <c r="B615">
        <f>IF($A615="","",games!$B615)</f>
        <v>2020</v>
      </c>
      <c r="C615" t="str">
        <f>IF($A615="","",games!$C615)</f>
        <v>Strategy</v>
      </c>
      <c r="D615">
        <f>IF($A615="","",COUNTIF(connections!$A$2:$A$1473,$A615)+COUNTIF(connections!$B$2:$B$1473,$A615))</f>
        <v>2</v>
      </c>
      <c r="E615">
        <f t="shared" si="117"/>
        <v>2</v>
      </c>
      <c r="F615">
        <f t="shared" si="118"/>
        <v>3</v>
      </c>
      <c r="G615" t="e">
        <f t="shared" si="119"/>
        <v>#N/A</v>
      </c>
      <c r="H615" t="e">
        <f t="shared" si="120"/>
        <v>#N/A</v>
      </c>
      <c r="I615">
        <f t="shared" si="121"/>
        <v>2020</v>
      </c>
      <c r="J615">
        <f t="shared" si="122"/>
        <v>2.069</v>
      </c>
      <c r="K615" t="e">
        <f t="shared" si="123"/>
        <v>#N/A</v>
      </c>
      <c r="L615" t="e">
        <f t="shared" si="124"/>
        <v>#N/A</v>
      </c>
      <c r="M615" t="e">
        <f t="shared" si="125"/>
        <v>#N/A</v>
      </c>
      <c r="N615" t="e">
        <f t="shared" si="126"/>
        <v>#N/A</v>
      </c>
      <c r="O615">
        <f t="shared" si="127"/>
        <v>2.0006149999999998</v>
      </c>
      <c r="P615" t="str">
        <f>IF(OR($A615="",games!$H615=""),"",games!$H615)</f>
        <v>Yes</v>
      </c>
      <c r="Q615">
        <f t="shared" si="128"/>
        <v>2.0006149999999998</v>
      </c>
      <c r="T615">
        <f>IF(connections!$A615="","",IFERROR(INDEX(games!$B$2:$B$950,MATCH(connections!$A615,games!$A$2:$A$950,0)),""))</f>
        <v>2023</v>
      </c>
      <c r="U615">
        <f>IF(connections!$A615="","",IFERROR(INDEX(games!$B$2:$B$950,MATCH(connections!$B615,games!$A$2:$A$950,0)),""))</f>
        <v>2026</v>
      </c>
      <c r="V615">
        <f t="shared" si="129"/>
        <v>3</v>
      </c>
    </row>
    <row r="616" spans="1:22" x14ac:dyDescent="0.25">
      <c r="A616" t="str">
        <f>IF(games!$A616="","",games!$A616)</f>
        <v>Ringer</v>
      </c>
      <c r="B616">
        <f>IF($A616="","",games!$B616)</f>
        <v>2025</v>
      </c>
      <c r="C616" t="str">
        <f>IF($A616="","",games!$C616)</f>
        <v>Deckbuilder</v>
      </c>
      <c r="D616">
        <f>IF($A616="","",COUNTIF(connections!$A$2:$A$1473,$A616)+COUNTIF(connections!$B$2:$B$1473,$A616))</f>
        <v>0</v>
      </c>
      <c r="E616">
        <f t="shared" si="117"/>
        <v>3</v>
      </c>
      <c r="F616">
        <f t="shared" si="118"/>
        <v>4</v>
      </c>
      <c r="G616" t="e">
        <f t="shared" si="119"/>
        <v>#N/A</v>
      </c>
      <c r="H616" t="e">
        <f t="shared" si="120"/>
        <v>#N/A</v>
      </c>
      <c r="I616" t="e">
        <f t="shared" si="121"/>
        <v>#N/A</v>
      </c>
      <c r="J616" t="e">
        <f t="shared" si="122"/>
        <v>#N/A</v>
      </c>
      <c r="K616">
        <f t="shared" si="123"/>
        <v>2025</v>
      </c>
      <c r="L616">
        <f t="shared" si="124"/>
        <v>3.0920000000000001</v>
      </c>
      <c r="M616" t="e">
        <f t="shared" si="125"/>
        <v>#N/A</v>
      </c>
      <c r="N616" t="e">
        <f t="shared" si="126"/>
        <v>#N/A</v>
      </c>
      <c r="O616">
        <f t="shared" si="127"/>
        <v>6.1600000000000001E-4</v>
      </c>
      <c r="P616" t="str">
        <f>IF(OR($A616="",games!$H616=""),"",games!$H616)</f>
        <v>Yes</v>
      </c>
      <c r="Q616">
        <f t="shared" si="128"/>
        <v>6.1600000000000001E-4</v>
      </c>
      <c r="T616">
        <f>IF(connections!$A616="","",IFERROR(INDEX(games!$B$2:$B$950,MATCH(connections!$A616,games!$A$2:$A$950,0)),""))</f>
        <v>2021</v>
      </c>
      <c r="U616">
        <f>IF(connections!$A616="","",IFERROR(INDEX(games!$B$2:$B$950,MATCH(connections!$B616,games!$A$2:$A$950,0)),""))</f>
        <v>2026</v>
      </c>
      <c r="V616">
        <f t="shared" si="129"/>
        <v>5</v>
      </c>
    </row>
    <row r="617" spans="1:22" x14ac:dyDescent="0.25">
      <c r="A617" t="str">
        <f>IF(games!$A617="","",games!$A617)</f>
        <v>Riptale</v>
      </c>
      <c r="B617">
        <f>IF($A617="","",games!$B617)</f>
        <v>2017</v>
      </c>
      <c r="C617" t="str">
        <f>IF($A617="","",games!$C617)</f>
        <v>Action</v>
      </c>
      <c r="D617">
        <f>IF($A617="","",COUNTIF(connections!$A$2:$A$1473,$A617)+COUNTIF(connections!$B$2:$B$1473,$A617))</f>
        <v>2</v>
      </c>
      <c r="E617">
        <f t="shared" si="117"/>
        <v>1</v>
      </c>
      <c r="F617">
        <f t="shared" si="118"/>
        <v>5</v>
      </c>
      <c r="G617">
        <f t="shared" si="119"/>
        <v>2017</v>
      </c>
      <c r="H617">
        <f t="shared" si="120"/>
        <v>1.115</v>
      </c>
      <c r="I617" t="e">
        <f t="shared" si="121"/>
        <v>#N/A</v>
      </c>
      <c r="J617" t="e">
        <f t="shared" si="122"/>
        <v>#N/A</v>
      </c>
      <c r="K617" t="e">
        <f t="shared" si="123"/>
        <v>#N/A</v>
      </c>
      <c r="L617" t="e">
        <f t="shared" si="124"/>
        <v>#N/A</v>
      </c>
      <c r="M617" t="e">
        <f t="shared" si="125"/>
        <v>#N/A</v>
      </c>
      <c r="N617" t="e">
        <f t="shared" si="126"/>
        <v>#N/A</v>
      </c>
      <c r="O617">
        <f t="shared" si="127"/>
        <v>2.0006170000000001</v>
      </c>
      <c r="P617" t="str">
        <f>IF(OR($A617="",games!$H617=""),"",games!$H617)</f>
        <v/>
      </c>
      <c r="Q617" t="str">
        <f t="shared" si="128"/>
        <v/>
      </c>
      <c r="T617">
        <f>IF(connections!$A617="","",IFERROR(INDEX(games!$B$2:$B$950,MATCH(connections!$A617,games!$A$2:$A$950,0)),""))</f>
        <v>1994</v>
      </c>
      <c r="U617">
        <f>IF(connections!$A617="","",IFERROR(INDEX(games!$B$2:$B$950,MATCH(connections!$B617,games!$A$2:$A$950,0)),""))</f>
        <v>2012</v>
      </c>
      <c r="V617">
        <f t="shared" si="129"/>
        <v>18</v>
      </c>
    </row>
    <row r="618" spans="1:22" x14ac:dyDescent="0.25">
      <c r="A618" t="str">
        <f>IF(games!$A618="","",games!$A618)</f>
        <v>Risk of Rain</v>
      </c>
      <c r="B618">
        <f>IF($A618="","",games!$B618)</f>
        <v>2013</v>
      </c>
      <c r="C618" t="str">
        <f>IF($A618="","",games!$C618)</f>
        <v>Action</v>
      </c>
      <c r="D618">
        <f>IF($A618="","",COUNTIF(connections!$A$2:$A$1473,$A618)+COUNTIF(connections!$B$2:$B$1473,$A618))</f>
        <v>8</v>
      </c>
      <c r="E618">
        <f t="shared" si="117"/>
        <v>1</v>
      </c>
      <c r="F618">
        <f t="shared" si="118"/>
        <v>6</v>
      </c>
      <c r="G618">
        <f t="shared" si="119"/>
        <v>2013</v>
      </c>
      <c r="H618">
        <f t="shared" si="120"/>
        <v>1.1379999999999999</v>
      </c>
      <c r="I618" t="e">
        <f t="shared" si="121"/>
        <v>#N/A</v>
      </c>
      <c r="J618" t="e">
        <f t="shared" si="122"/>
        <v>#N/A</v>
      </c>
      <c r="K618" t="e">
        <f t="shared" si="123"/>
        <v>#N/A</v>
      </c>
      <c r="L618" t="e">
        <f t="shared" si="124"/>
        <v>#N/A</v>
      </c>
      <c r="M618" t="e">
        <f t="shared" si="125"/>
        <v>#N/A</v>
      </c>
      <c r="N618" t="e">
        <f t="shared" si="126"/>
        <v>#N/A</v>
      </c>
      <c r="O618">
        <f t="shared" si="127"/>
        <v>8.0006179999999993</v>
      </c>
      <c r="P618" t="str">
        <f>IF(OR($A618="",games!$H618=""),"",games!$H618)</f>
        <v>Yes</v>
      </c>
      <c r="Q618">
        <f t="shared" si="128"/>
        <v>8.0006179999999993</v>
      </c>
      <c r="T618">
        <f>IF(connections!$A618="","",IFERROR(INDEX(games!$B$2:$B$950,MATCH(connections!$A618,games!$A$2:$A$950,0)),""))</f>
        <v>2015</v>
      </c>
      <c r="U618">
        <f>IF(connections!$A618="","",IFERROR(INDEX(games!$B$2:$B$950,MATCH(connections!$B618,games!$A$2:$A$950,0)),""))</f>
        <v>2012</v>
      </c>
      <c r="V618">
        <f t="shared" si="129"/>
        <v>-3</v>
      </c>
    </row>
    <row r="619" spans="1:22" x14ac:dyDescent="0.25">
      <c r="A619" t="str">
        <f>IF(games!$A619="","",games!$A619)</f>
        <v>Risk of Rain 2</v>
      </c>
      <c r="B619">
        <f>IF($A619="","",games!$B619)</f>
        <v>2020</v>
      </c>
      <c r="C619" t="str">
        <f>IF($A619="","",games!$C619)</f>
        <v>Action</v>
      </c>
      <c r="D619">
        <f>IF($A619="","",COUNTIF(connections!$A$2:$A$1473,$A619)+COUNTIF(connections!$B$2:$B$1473,$A619))</f>
        <v>20</v>
      </c>
      <c r="E619">
        <f t="shared" si="117"/>
        <v>1</v>
      </c>
      <c r="F619">
        <f t="shared" si="118"/>
        <v>7</v>
      </c>
      <c r="G619">
        <f t="shared" si="119"/>
        <v>2020</v>
      </c>
      <c r="H619">
        <f t="shared" si="120"/>
        <v>1.161</v>
      </c>
      <c r="I619" t="e">
        <f t="shared" si="121"/>
        <v>#N/A</v>
      </c>
      <c r="J619" t="e">
        <f t="shared" si="122"/>
        <v>#N/A</v>
      </c>
      <c r="K619" t="e">
        <f t="shared" si="123"/>
        <v>#N/A</v>
      </c>
      <c r="L619" t="e">
        <f t="shared" si="124"/>
        <v>#N/A</v>
      </c>
      <c r="M619" t="e">
        <f t="shared" si="125"/>
        <v>#N/A</v>
      </c>
      <c r="N619" t="e">
        <f t="shared" si="126"/>
        <v>#N/A</v>
      </c>
      <c r="O619">
        <f t="shared" si="127"/>
        <v>20.000619</v>
      </c>
      <c r="P619" t="str">
        <f>IF(OR($A619="",games!$H619=""),"",games!$H619)</f>
        <v>Yes</v>
      </c>
      <c r="Q619">
        <f t="shared" si="128"/>
        <v>20.000619</v>
      </c>
      <c r="T619">
        <f>IF(connections!$A619="","",IFERROR(INDEX(games!$B$2:$B$950,MATCH(connections!$A619,games!$A$2:$A$950,0)),""))</f>
        <v>2013</v>
      </c>
      <c r="U619">
        <f>IF(connections!$A619="","",IFERROR(INDEX(games!$B$2:$B$950,MATCH(connections!$B619,games!$A$2:$A$950,0)),""))</f>
        <v>2012</v>
      </c>
      <c r="V619">
        <f t="shared" si="129"/>
        <v>-1</v>
      </c>
    </row>
    <row r="620" spans="1:22" x14ac:dyDescent="0.25">
      <c r="A620" t="str">
        <f>IF(games!$A620="","",games!$A620)</f>
        <v>Risk of Rain Returns</v>
      </c>
      <c r="B620">
        <f>IF($A620="","",games!$B620)</f>
        <v>2023</v>
      </c>
      <c r="C620" t="str">
        <f>IF($A620="","",games!$C620)</f>
        <v>Action</v>
      </c>
      <c r="D620">
        <f>IF($A620="","",COUNTIF(connections!$A$2:$A$1473,$A620)+COUNTIF(connections!$B$2:$B$1473,$A620))</f>
        <v>1</v>
      </c>
      <c r="E620">
        <f t="shared" si="117"/>
        <v>1</v>
      </c>
      <c r="F620">
        <f t="shared" si="118"/>
        <v>8</v>
      </c>
      <c r="G620">
        <f t="shared" si="119"/>
        <v>2023</v>
      </c>
      <c r="H620">
        <f t="shared" si="120"/>
        <v>1.1839999999999999</v>
      </c>
      <c r="I620" t="e">
        <f t="shared" si="121"/>
        <v>#N/A</v>
      </c>
      <c r="J620" t="e">
        <f t="shared" si="122"/>
        <v>#N/A</v>
      </c>
      <c r="K620" t="e">
        <f t="shared" si="123"/>
        <v>#N/A</v>
      </c>
      <c r="L620" t="e">
        <f t="shared" si="124"/>
        <v>#N/A</v>
      </c>
      <c r="M620" t="e">
        <f t="shared" si="125"/>
        <v>#N/A</v>
      </c>
      <c r="N620" t="e">
        <f t="shared" si="126"/>
        <v>#N/A</v>
      </c>
      <c r="O620">
        <f t="shared" si="127"/>
        <v>1.0006200000000001</v>
      </c>
      <c r="P620" t="str">
        <f>IF(OR($A620="",games!$H620=""),"",games!$H620)</f>
        <v>Yes</v>
      </c>
      <c r="Q620">
        <f t="shared" si="128"/>
        <v>1.0006200000000001</v>
      </c>
      <c r="T620">
        <f>IF(connections!$A620="","",IFERROR(INDEX(games!$B$2:$B$950,MATCH(connections!$A620,games!$A$2:$A$950,0)),""))</f>
        <v>1987</v>
      </c>
      <c r="U620">
        <f>IF(connections!$A620="","",IFERROR(INDEX(games!$B$2:$B$950,MATCH(connections!$B620,games!$A$2:$A$950,0)),""))</f>
        <v>2012</v>
      </c>
      <c r="V620">
        <f t="shared" si="129"/>
        <v>25</v>
      </c>
    </row>
    <row r="621" spans="1:22" x14ac:dyDescent="0.25">
      <c r="A621" t="str">
        <f>IF(games!$A621="","",games!$A621)</f>
        <v>Road Not Taken</v>
      </c>
      <c r="B621">
        <f>IF($A621="","",games!$B621)</f>
        <v>2014</v>
      </c>
      <c r="C621" t="str">
        <f>IF($A621="","",games!$C621)</f>
        <v>Strategy</v>
      </c>
      <c r="D621">
        <f>IF($A621="","",COUNTIF(connections!$A$2:$A$1473,$A621)+COUNTIF(connections!$B$2:$B$1473,$A621))</f>
        <v>2</v>
      </c>
      <c r="E621">
        <f t="shared" si="117"/>
        <v>2</v>
      </c>
      <c r="F621">
        <f t="shared" si="118"/>
        <v>9</v>
      </c>
      <c r="G621" t="e">
        <f t="shared" si="119"/>
        <v>#N/A</v>
      </c>
      <c r="H621" t="e">
        <f t="shared" si="120"/>
        <v>#N/A</v>
      </c>
      <c r="I621">
        <f t="shared" si="121"/>
        <v>2014</v>
      </c>
      <c r="J621">
        <f t="shared" si="122"/>
        <v>2.2069999999999999</v>
      </c>
      <c r="K621" t="e">
        <f t="shared" si="123"/>
        <v>#N/A</v>
      </c>
      <c r="L621" t="e">
        <f t="shared" si="124"/>
        <v>#N/A</v>
      </c>
      <c r="M621" t="e">
        <f t="shared" si="125"/>
        <v>#N/A</v>
      </c>
      <c r="N621" t="e">
        <f t="shared" si="126"/>
        <v>#N/A</v>
      </c>
      <c r="O621">
        <f t="shared" si="127"/>
        <v>2.0006210000000002</v>
      </c>
      <c r="P621" t="str">
        <f>IF(OR($A621="",games!$H621=""),"",games!$H621)</f>
        <v/>
      </c>
      <c r="Q621" t="str">
        <f t="shared" si="128"/>
        <v/>
      </c>
      <c r="T621">
        <f>IF(connections!$A621="","",IFERROR(INDEX(games!$B$2:$B$950,MATCH(connections!$A621,games!$A$2:$A$950,0)),""))</f>
        <v>1992</v>
      </c>
      <c r="U621">
        <f>IF(connections!$A621="","",IFERROR(INDEX(games!$B$2:$B$950,MATCH(connections!$B621,games!$A$2:$A$950,0)),""))</f>
        <v>2012</v>
      </c>
      <c r="V621">
        <f t="shared" si="129"/>
        <v>20</v>
      </c>
    </row>
    <row r="622" spans="1:22" x14ac:dyDescent="0.25">
      <c r="A622" t="str">
        <f>IF(games!$A622="","",games!$A622)</f>
        <v>Roboquest</v>
      </c>
      <c r="B622">
        <f>IF($A622="","",games!$B622)</f>
        <v>2020</v>
      </c>
      <c r="C622" t="str">
        <f>IF($A622="","",games!$C622)</f>
        <v>Action</v>
      </c>
      <c r="D622">
        <f>IF($A622="","",COUNTIF(connections!$A$2:$A$1473,$A622)+COUNTIF(connections!$B$2:$B$1473,$A622))</f>
        <v>9</v>
      </c>
      <c r="E622">
        <f t="shared" si="117"/>
        <v>1</v>
      </c>
      <c r="F622">
        <f t="shared" si="118"/>
        <v>10</v>
      </c>
      <c r="G622">
        <f t="shared" si="119"/>
        <v>2020</v>
      </c>
      <c r="H622">
        <f t="shared" si="120"/>
        <v>1.23</v>
      </c>
      <c r="I622" t="e">
        <f t="shared" si="121"/>
        <v>#N/A</v>
      </c>
      <c r="J622" t="e">
        <f t="shared" si="122"/>
        <v>#N/A</v>
      </c>
      <c r="K622" t="e">
        <f t="shared" si="123"/>
        <v>#N/A</v>
      </c>
      <c r="L622" t="e">
        <f t="shared" si="124"/>
        <v>#N/A</v>
      </c>
      <c r="M622" t="e">
        <f t="shared" si="125"/>
        <v>#N/A</v>
      </c>
      <c r="N622" t="e">
        <f t="shared" si="126"/>
        <v>#N/A</v>
      </c>
      <c r="O622">
        <f t="shared" si="127"/>
        <v>9.0006219999999999</v>
      </c>
      <c r="P622" t="str">
        <f>IF(OR($A622="",games!$H622=""),"",games!$H622)</f>
        <v>Yes</v>
      </c>
      <c r="Q622">
        <f t="shared" si="128"/>
        <v>9.0006219999999999</v>
      </c>
      <c r="T622">
        <f>IF(connections!$A622="","",IFERROR(INDEX(games!$B$2:$B$950,MATCH(connections!$A622,games!$A$2:$A$950,0)),""))</f>
        <v>1980</v>
      </c>
      <c r="U622">
        <f>IF(connections!$A622="","",IFERROR(INDEX(games!$B$2:$B$950,MATCH(connections!$B622,games!$A$2:$A$950,0)),""))</f>
        <v>2012</v>
      </c>
      <c r="V622">
        <f t="shared" si="129"/>
        <v>32</v>
      </c>
    </row>
    <row r="623" spans="1:22" x14ac:dyDescent="0.25">
      <c r="A623" t="str">
        <f>IF(games!$A623="","",games!$A623)</f>
        <v>Rocket Rats</v>
      </c>
      <c r="B623">
        <f>IF($A623="","",games!$B623)</f>
        <v>2024</v>
      </c>
      <c r="C623" t="str">
        <f>IF($A623="","",games!$C623)</f>
        <v>Action</v>
      </c>
      <c r="D623">
        <f>IF($A623="","",COUNTIF(connections!$A$2:$A$1473,$A623)+COUNTIF(connections!$B$2:$B$1473,$A623))</f>
        <v>1</v>
      </c>
      <c r="E623">
        <f t="shared" si="117"/>
        <v>1</v>
      </c>
      <c r="F623">
        <f t="shared" si="118"/>
        <v>11</v>
      </c>
      <c r="G623">
        <f t="shared" si="119"/>
        <v>2024</v>
      </c>
      <c r="H623">
        <f t="shared" si="120"/>
        <v>1.2530000000000001</v>
      </c>
      <c r="I623" t="e">
        <f t="shared" si="121"/>
        <v>#N/A</v>
      </c>
      <c r="J623" t="e">
        <f t="shared" si="122"/>
        <v>#N/A</v>
      </c>
      <c r="K623" t="e">
        <f t="shared" si="123"/>
        <v>#N/A</v>
      </c>
      <c r="L623" t="e">
        <f t="shared" si="124"/>
        <v>#N/A</v>
      </c>
      <c r="M623" t="e">
        <f t="shared" si="125"/>
        <v>#N/A</v>
      </c>
      <c r="N623" t="e">
        <f t="shared" si="126"/>
        <v>#N/A</v>
      </c>
      <c r="O623">
        <f t="shared" si="127"/>
        <v>1.000623</v>
      </c>
      <c r="P623" t="str">
        <f>IF(OR($A623="",games!$H623=""),"",games!$H623)</f>
        <v>Yes</v>
      </c>
      <c r="Q623">
        <f t="shared" si="128"/>
        <v>1.000623</v>
      </c>
      <c r="T623">
        <f>IF(connections!$A623="","",IFERROR(INDEX(games!$B$2:$B$950,MATCH(connections!$A623,games!$A$2:$A$950,0)),""))</f>
        <v>2021</v>
      </c>
      <c r="U623">
        <f>IF(connections!$A623="","",IFERROR(INDEX(games!$B$2:$B$950,MATCH(connections!$B623,games!$A$2:$A$950,0)),""))</f>
        <v>2025</v>
      </c>
      <c r="V623">
        <f t="shared" si="129"/>
        <v>4</v>
      </c>
    </row>
    <row r="624" spans="1:22" x14ac:dyDescent="0.25">
      <c r="A624" t="str">
        <f>IF(games!$A624="","",games!$A624)</f>
        <v>Rogue</v>
      </c>
      <c r="B624">
        <f>IF($A624="","",games!$B624)</f>
        <v>1980</v>
      </c>
      <c r="C624" t="str">
        <f>IF($A624="","",games!$C624)</f>
        <v>Traditional</v>
      </c>
      <c r="D624">
        <f>IF($A624="","",COUNTIF(connections!$A$2:$A$1473,$A624)+COUNTIF(connections!$B$2:$B$1473,$A624))</f>
        <v>29</v>
      </c>
      <c r="E624">
        <f t="shared" si="117"/>
        <v>4</v>
      </c>
      <c r="F624">
        <f t="shared" si="118"/>
        <v>12</v>
      </c>
      <c r="G624" t="e">
        <f t="shared" si="119"/>
        <v>#N/A</v>
      </c>
      <c r="H624" t="e">
        <f t="shared" si="120"/>
        <v>#N/A</v>
      </c>
      <c r="I624" t="e">
        <f t="shared" si="121"/>
        <v>#N/A</v>
      </c>
      <c r="J624" t="e">
        <f t="shared" si="122"/>
        <v>#N/A</v>
      </c>
      <c r="K624" t="e">
        <f t="shared" si="123"/>
        <v>#N/A</v>
      </c>
      <c r="L624" t="e">
        <f t="shared" si="124"/>
        <v>#N/A</v>
      </c>
      <c r="M624">
        <f t="shared" si="125"/>
        <v>1980</v>
      </c>
      <c r="N624">
        <f t="shared" si="126"/>
        <v>4.2759999999999998</v>
      </c>
      <c r="O624">
        <f t="shared" si="127"/>
        <v>29.000623999999998</v>
      </c>
      <c r="P624" t="str">
        <f>IF(OR($A624="",games!$H624=""),"",games!$H624)</f>
        <v>Yes</v>
      </c>
      <c r="Q624">
        <f t="shared" si="128"/>
        <v>29.000623999999998</v>
      </c>
      <c r="T624">
        <f>IF(connections!$A624="","",IFERROR(INDEX(games!$B$2:$B$950,MATCH(connections!$A624,games!$A$2:$A$950,0)),""))</f>
        <v>2010</v>
      </c>
      <c r="U624">
        <f>IF(connections!$A624="","",IFERROR(INDEX(games!$B$2:$B$950,MATCH(connections!$B624,games!$A$2:$A$950,0)),""))</f>
        <v>2017</v>
      </c>
      <c r="V624">
        <f t="shared" si="129"/>
        <v>7</v>
      </c>
    </row>
    <row r="625" spans="1:22" x14ac:dyDescent="0.25">
      <c r="A625" t="str">
        <f>IF(games!$A625="","",games!$A625)</f>
        <v>Rogue Command</v>
      </c>
      <c r="B625">
        <f>IF($A625="","",games!$B625)</f>
        <v>2024</v>
      </c>
      <c r="C625" t="str">
        <f>IF($A625="","",games!$C625)</f>
        <v>Strategy</v>
      </c>
      <c r="D625">
        <f>IF($A625="","",COUNTIF(connections!$A$2:$A$1473,$A625)+COUNTIF(connections!$B$2:$B$1473,$A625))</f>
        <v>3</v>
      </c>
      <c r="E625">
        <f t="shared" si="117"/>
        <v>2</v>
      </c>
      <c r="F625">
        <f t="shared" si="118"/>
        <v>13</v>
      </c>
      <c r="G625" t="e">
        <f t="shared" si="119"/>
        <v>#N/A</v>
      </c>
      <c r="H625" t="e">
        <f t="shared" si="120"/>
        <v>#N/A</v>
      </c>
      <c r="I625">
        <f t="shared" si="121"/>
        <v>2024</v>
      </c>
      <c r="J625">
        <f t="shared" si="122"/>
        <v>2.2989999999999999</v>
      </c>
      <c r="K625" t="e">
        <f t="shared" si="123"/>
        <v>#N/A</v>
      </c>
      <c r="L625" t="e">
        <f t="shared" si="124"/>
        <v>#N/A</v>
      </c>
      <c r="M625" t="e">
        <f t="shared" si="125"/>
        <v>#N/A</v>
      </c>
      <c r="N625" t="e">
        <f t="shared" si="126"/>
        <v>#N/A</v>
      </c>
      <c r="O625">
        <f t="shared" si="127"/>
        <v>3.0006249999999999</v>
      </c>
      <c r="P625" t="str">
        <f>IF(OR($A625="",games!$H625=""),"",games!$H625)</f>
        <v/>
      </c>
      <c r="Q625" t="str">
        <f t="shared" si="128"/>
        <v/>
      </c>
      <c r="T625">
        <f>IF(connections!$A625="","",IFERROR(INDEX(games!$B$2:$B$950,MATCH(connections!$A625,games!$A$2:$A$950,0)),""))</f>
        <v>2011</v>
      </c>
      <c r="U625">
        <f>IF(connections!$A625="","",IFERROR(INDEX(games!$B$2:$B$950,MATCH(connections!$B625,games!$A$2:$A$950,0)),""))</f>
        <v>2017</v>
      </c>
      <c r="V625">
        <f t="shared" si="129"/>
        <v>6</v>
      </c>
    </row>
    <row r="626" spans="1:22" x14ac:dyDescent="0.25">
      <c r="A626" t="str">
        <f>IF(games!$A626="","",games!$A626)</f>
        <v>Rogue Empire</v>
      </c>
      <c r="B626">
        <f>IF($A626="","",games!$B626)</f>
        <v>2019</v>
      </c>
      <c r="C626" t="str">
        <f>IF($A626="","",games!$C626)</f>
        <v>Traditional</v>
      </c>
      <c r="D626">
        <f>IF($A626="","",COUNTIF(connections!$A$2:$A$1473,$A626)+COUNTIF(connections!$B$2:$B$1473,$A626))</f>
        <v>2</v>
      </c>
      <c r="E626">
        <f t="shared" si="117"/>
        <v>4</v>
      </c>
      <c r="F626">
        <f t="shared" si="118"/>
        <v>14</v>
      </c>
      <c r="G626" t="e">
        <f t="shared" si="119"/>
        <v>#N/A</v>
      </c>
      <c r="H626" t="e">
        <f t="shared" si="120"/>
        <v>#N/A</v>
      </c>
      <c r="I626" t="e">
        <f t="shared" si="121"/>
        <v>#N/A</v>
      </c>
      <c r="J626" t="e">
        <f t="shared" si="122"/>
        <v>#N/A</v>
      </c>
      <c r="K626" t="e">
        <f t="shared" si="123"/>
        <v>#N/A</v>
      </c>
      <c r="L626" t="e">
        <f t="shared" si="124"/>
        <v>#N/A</v>
      </c>
      <c r="M626">
        <f t="shared" si="125"/>
        <v>2019</v>
      </c>
      <c r="N626">
        <f t="shared" si="126"/>
        <v>4.3220000000000001</v>
      </c>
      <c r="O626">
        <f t="shared" si="127"/>
        <v>2.000626</v>
      </c>
      <c r="P626" t="str">
        <f>IF(OR($A626="",games!$H626=""),"",games!$H626)</f>
        <v/>
      </c>
      <c r="Q626" t="str">
        <f t="shared" si="128"/>
        <v/>
      </c>
      <c r="T626">
        <f>IF(connections!$A626="","",IFERROR(INDEX(games!$B$2:$B$950,MATCH(connections!$A626,games!$A$2:$A$950,0)),""))</f>
        <v>2001</v>
      </c>
      <c r="U626">
        <f>IF(connections!$A626="","",IFERROR(INDEX(games!$B$2:$B$950,MATCH(connections!$B626,games!$A$2:$A$950,0)),""))</f>
        <v>2017</v>
      </c>
      <c r="V626">
        <f t="shared" si="129"/>
        <v>16</v>
      </c>
    </row>
    <row r="627" spans="1:22" x14ac:dyDescent="0.25">
      <c r="A627" t="str">
        <f>IF(games!$A627="","",games!$A627)</f>
        <v>Rogue Factory</v>
      </c>
      <c r="B627">
        <f>IF($A627="","",games!$B627)</f>
        <v>2026</v>
      </c>
      <c r="C627" t="str">
        <f>IF($A627="","",games!$C627)</f>
        <v>Action</v>
      </c>
      <c r="D627">
        <f>IF($A627="","",COUNTIF(connections!$A$2:$A$1473,$A627)+COUNTIF(connections!$B$2:$B$1473,$A627))</f>
        <v>2</v>
      </c>
      <c r="E627">
        <f t="shared" si="117"/>
        <v>1</v>
      </c>
      <c r="F627">
        <f t="shared" si="118"/>
        <v>15</v>
      </c>
      <c r="G627">
        <f t="shared" si="119"/>
        <v>2026</v>
      </c>
      <c r="H627">
        <f t="shared" si="120"/>
        <v>1.345</v>
      </c>
      <c r="I627" t="e">
        <f t="shared" si="121"/>
        <v>#N/A</v>
      </c>
      <c r="J627" t="e">
        <f t="shared" si="122"/>
        <v>#N/A</v>
      </c>
      <c r="K627" t="e">
        <f t="shared" si="123"/>
        <v>#N/A</v>
      </c>
      <c r="L627" t="e">
        <f t="shared" si="124"/>
        <v>#N/A</v>
      </c>
      <c r="M627" t="e">
        <f t="shared" si="125"/>
        <v>#N/A</v>
      </c>
      <c r="N627" t="e">
        <f t="shared" si="126"/>
        <v>#N/A</v>
      </c>
      <c r="O627">
        <f t="shared" si="127"/>
        <v>2.0006270000000002</v>
      </c>
      <c r="P627" t="str">
        <f>IF(OR($A627="",games!$H627=""),"",games!$H627)</f>
        <v/>
      </c>
      <c r="Q627" t="str">
        <f t="shared" si="128"/>
        <v/>
      </c>
      <c r="T627">
        <f>IF(connections!$A627="","",IFERROR(INDEX(games!$B$2:$B$950,MATCH(connections!$A627,games!$A$2:$A$950,0)),""))</f>
        <v>2021</v>
      </c>
      <c r="U627">
        <f>IF(connections!$A627="","",IFERROR(INDEX(games!$B$2:$B$950,MATCH(connections!$B627,games!$A$2:$A$950,0)),""))</f>
        <v>2022</v>
      </c>
      <c r="V627">
        <f t="shared" si="129"/>
        <v>1</v>
      </c>
    </row>
    <row r="628" spans="1:22" x14ac:dyDescent="0.25">
      <c r="A628" t="str">
        <f>IF(games!$A628="","",games!$A628)</f>
        <v>Rogue Flight</v>
      </c>
      <c r="B628">
        <f>IF($A628="","",games!$B628)</f>
        <v>2024</v>
      </c>
      <c r="C628" t="str">
        <f>IF($A628="","",games!$C628)</f>
        <v>Action</v>
      </c>
      <c r="D628">
        <f>IF($A628="","",COUNTIF(connections!$A$2:$A$1473,$A628)+COUNTIF(connections!$B$2:$B$1473,$A628))</f>
        <v>0</v>
      </c>
      <c r="E628">
        <f t="shared" si="117"/>
        <v>1</v>
      </c>
      <c r="F628">
        <f t="shared" si="118"/>
        <v>16</v>
      </c>
      <c r="G628">
        <f t="shared" si="119"/>
        <v>2024</v>
      </c>
      <c r="H628">
        <f t="shared" si="120"/>
        <v>1.3679999999999999</v>
      </c>
      <c r="I628" t="e">
        <f t="shared" si="121"/>
        <v>#N/A</v>
      </c>
      <c r="J628" t="e">
        <f t="shared" si="122"/>
        <v>#N/A</v>
      </c>
      <c r="K628" t="e">
        <f t="shared" si="123"/>
        <v>#N/A</v>
      </c>
      <c r="L628" t="e">
        <f t="shared" si="124"/>
        <v>#N/A</v>
      </c>
      <c r="M628" t="e">
        <f t="shared" si="125"/>
        <v>#N/A</v>
      </c>
      <c r="N628" t="e">
        <f t="shared" si="126"/>
        <v>#N/A</v>
      </c>
      <c r="O628">
        <f t="shared" si="127"/>
        <v>6.2799999999999998E-4</v>
      </c>
      <c r="P628" t="str">
        <f>IF(OR($A628="",games!$H628=""),"",games!$H628)</f>
        <v/>
      </c>
      <c r="Q628" t="str">
        <f t="shared" si="128"/>
        <v/>
      </c>
      <c r="T628">
        <f>IF(connections!$A628="","",IFERROR(INDEX(games!$B$2:$B$950,MATCH(connections!$A628,games!$A$2:$A$950,0)),""))</f>
        <v>2016</v>
      </c>
      <c r="U628">
        <f>IF(connections!$A628="","",IFERROR(INDEX(games!$B$2:$B$950,MATCH(connections!$B628,games!$A$2:$A$950,0)),""))</f>
        <v>2017</v>
      </c>
      <c r="V628">
        <f t="shared" si="129"/>
        <v>1</v>
      </c>
    </row>
    <row r="629" spans="1:22" x14ac:dyDescent="0.25">
      <c r="A629" t="str">
        <f>IF(games!$A629="","",games!$A629)</f>
        <v>Rogue Hearts Dungeon</v>
      </c>
      <c r="B629">
        <f>IF($A629="","",games!$B629)</f>
        <v>2007</v>
      </c>
      <c r="C629" t="str">
        <f>IF($A629="","",games!$C629)</f>
        <v>Traditional</v>
      </c>
      <c r="D629">
        <f>IF($A629="","",COUNTIF(connections!$A$2:$A$1473,$A629)+COUNTIF(connections!$B$2:$B$1473,$A629))</f>
        <v>2</v>
      </c>
      <c r="E629">
        <f t="shared" si="117"/>
        <v>4</v>
      </c>
      <c r="F629">
        <f t="shared" si="118"/>
        <v>17</v>
      </c>
      <c r="G629" t="e">
        <f t="shared" si="119"/>
        <v>#N/A</v>
      </c>
      <c r="H629" t="e">
        <f t="shared" si="120"/>
        <v>#N/A</v>
      </c>
      <c r="I629" t="e">
        <f t="shared" si="121"/>
        <v>#N/A</v>
      </c>
      <c r="J629" t="e">
        <f t="shared" si="122"/>
        <v>#N/A</v>
      </c>
      <c r="K629" t="e">
        <f t="shared" si="123"/>
        <v>#N/A</v>
      </c>
      <c r="L629" t="e">
        <f t="shared" si="124"/>
        <v>#N/A</v>
      </c>
      <c r="M629">
        <f t="shared" si="125"/>
        <v>2007</v>
      </c>
      <c r="N629">
        <f t="shared" si="126"/>
        <v>4.391</v>
      </c>
      <c r="O629">
        <f t="shared" si="127"/>
        <v>2.000629</v>
      </c>
      <c r="P629" t="str">
        <f>IF(OR($A629="",games!$H629=""),"",games!$H629)</f>
        <v>Yes</v>
      </c>
      <c r="Q629">
        <f t="shared" si="128"/>
        <v>2.000629</v>
      </c>
      <c r="T629">
        <f>IF(connections!$A629="","",IFERROR(INDEX(games!$B$2:$B$950,MATCH(connections!$A629,games!$A$2:$A$950,0)),""))</f>
        <v>2013</v>
      </c>
      <c r="U629">
        <f>IF(connections!$A629="","",IFERROR(INDEX(games!$B$2:$B$950,MATCH(connections!$B629,games!$A$2:$A$950,0)),""))</f>
        <v>2017</v>
      </c>
      <c r="V629">
        <f t="shared" si="129"/>
        <v>4</v>
      </c>
    </row>
    <row r="630" spans="1:22" x14ac:dyDescent="0.25">
      <c r="A630" t="str">
        <f>IF(games!$A630="","",games!$A630)</f>
        <v>Rogue Heroes: Ruins of Tasos</v>
      </c>
      <c r="B630">
        <f>IF($A630="","",games!$B630)</f>
        <v>2021</v>
      </c>
      <c r="C630" t="str">
        <f>IF($A630="","",games!$C630)</f>
        <v>Action</v>
      </c>
      <c r="D630">
        <f>IF($A630="","",COUNTIF(connections!$A$2:$A$1473,$A630)+COUNTIF(connections!$B$2:$B$1473,$A630))</f>
        <v>1</v>
      </c>
      <c r="E630">
        <f t="shared" si="117"/>
        <v>1</v>
      </c>
      <c r="F630">
        <f t="shared" si="118"/>
        <v>18</v>
      </c>
      <c r="G630">
        <f t="shared" si="119"/>
        <v>2021</v>
      </c>
      <c r="H630">
        <f t="shared" si="120"/>
        <v>1.4139999999999999</v>
      </c>
      <c r="I630" t="e">
        <f t="shared" si="121"/>
        <v>#N/A</v>
      </c>
      <c r="J630" t="e">
        <f t="shared" si="122"/>
        <v>#N/A</v>
      </c>
      <c r="K630" t="e">
        <f t="shared" si="123"/>
        <v>#N/A</v>
      </c>
      <c r="L630" t="e">
        <f t="shared" si="124"/>
        <v>#N/A</v>
      </c>
      <c r="M630" t="e">
        <f t="shared" si="125"/>
        <v>#N/A</v>
      </c>
      <c r="N630" t="e">
        <f t="shared" si="126"/>
        <v>#N/A</v>
      </c>
      <c r="O630">
        <f t="shared" si="127"/>
        <v>1.0006299999999999</v>
      </c>
      <c r="P630" t="str">
        <f>IF(OR($A630="",games!$H630=""),"",games!$H630)</f>
        <v>Yes</v>
      </c>
      <c r="Q630">
        <f t="shared" si="128"/>
        <v>1.0006299999999999</v>
      </c>
      <c r="T630">
        <f>IF(connections!$A630="","",IFERROR(INDEX(games!$B$2:$B$950,MATCH(connections!$A630,games!$A$2:$A$950,0)),""))</f>
        <v>2008</v>
      </c>
      <c r="U630">
        <f>IF(connections!$A630="","",IFERROR(INDEX(games!$B$2:$B$950,MATCH(connections!$B630,games!$A$2:$A$950,0)),""))</f>
        <v>2017</v>
      </c>
      <c r="V630">
        <f t="shared" si="129"/>
        <v>9</v>
      </c>
    </row>
    <row r="631" spans="1:22" x14ac:dyDescent="0.25">
      <c r="A631" t="str">
        <f>IF(games!$A631="","",games!$A631)</f>
        <v>Rogue Legacy</v>
      </c>
      <c r="B631">
        <f>IF($A631="","",games!$B631)</f>
        <v>2013</v>
      </c>
      <c r="C631" t="str">
        <f>IF($A631="","",games!$C631)</f>
        <v>Action</v>
      </c>
      <c r="D631">
        <f>IF($A631="","",COUNTIF(connections!$A$2:$A$1473,$A631)+COUNTIF(connections!$B$2:$B$1473,$A631))</f>
        <v>19</v>
      </c>
      <c r="E631">
        <f t="shared" si="117"/>
        <v>1</v>
      </c>
      <c r="F631">
        <f t="shared" si="118"/>
        <v>19</v>
      </c>
      <c r="G631">
        <f t="shared" si="119"/>
        <v>2013</v>
      </c>
      <c r="H631">
        <f t="shared" si="120"/>
        <v>1.4370000000000001</v>
      </c>
      <c r="I631" t="e">
        <f t="shared" si="121"/>
        <v>#N/A</v>
      </c>
      <c r="J631" t="e">
        <f t="shared" si="122"/>
        <v>#N/A</v>
      </c>
      <c r="K631" t="e">
        <f t="shared" si="123"/>
        <v>#N/A</v>
      </c>
      <c r="L631" t="e">
        <f t="shared" si="124"/>
        <v>#N/A</v>
      </c>
      <c r="M631" t="e">
        <f t="shared" si="125"/>
        <v>#N/A</v>
      </c>
      <c r="N631" t="e">
        <f t="shared" si="126"/>
        <v>#N/A</v>
      </c>
      <c r="O631">
        <f t="shared" si="127"/>
        <v>19.000630999999998</v>
      </c>
      <c r="P631" t="str">
        <f>IF(OR($A631="",games!$H631=""),"",games!$H631)</f>
        <v>Yes</v>
      </c>
      <c r="Q631">
        <f t="shared" si="128"/>
        <v>19.000630999999998</v>
      </c>
      <c r="T631">
        <f>IF(connections!$A631="","",IFERROR(INDEX(games!$B$2:$B$950,MATCH(connections!$A631,games!$A$2:$A$950,0)),""))</f>
        <v>2014</v>
      </c>
      <c r="U631">
        <f>IF(connections!$A631="","",IFERROR(INDEX(games!$B$2:$B$950,MATCH(connections!$B631,games!$A$2:$A$950,0)),""))</f>
        <v>2017</v>
      </c>
      <c r="V631">
        <f t="shared" si="129"/>
        <v>3</v>
      </c>
    </row>
    <row r="632" spans="1:22" x14ac:dyDescent="0.25">
      <c r="A632" t="str">
        <f>IF(games!$A632="","",games!$A632)</f>
        <v>Rogue Legacy 2</v>
      </c>
      <c r="B632">
        <f>IF($A632="","",games!$B632)</f>
        <v>2020</v>
      </c>
      <c r="C632" t="str">
        <f>IF($A632="","",games!$C632)</f>
        <v>Action</v>
      </c>
      <c r="D632">
        <f>IF($A632="","",COUNTIF(connections!$A$2:$A$1473,$A632)+COUNTIF(connections!$B$2:$B$1473,$A632))</f>
        <v>1</v>
      </c>
      <c r="E632">
        <f t="shared" si="117"/>
        <v>1</v>
      </c>
      <c r="F632">
        <f t="shared" si="118"/>
        <v>20</v>
      </c>
      <c r="G632">
        <f t="shared" si="119"/>
        <v>2020</v>
      </c>
      <c r="H632">
        <f t="shared" si="120"/>
        <v>1.46</v>
      </c>
      <c r="I632" t="e">
        <f t="shared" si="121"/>
        <v>#N/A</v>
      </c>
      <c r="J632" t="e">
        <f t="shared" si="122"/>
        <v>#N/A</v>
      </c>
      <c r="K632" t="e">
        <f t="shared" si="123"/>
        <v>#N/A</v>
      </c>
      <c r="L632" t="e">
        <f t="shared" si="124"/>
        <v>#N/A</v>
      </c>
      <c r="M632" t="e">
        <f t="shared" si="125"/>
        <v>#N/A</v>
      </c>
      <c r="N632" t="e">
        <f t="shared" si="126"/>
        <v>#N/A</v>
      </c>
      <c r="O632">
        <f t="shared" si="127"/>
        <v>1.000632</v>
      </c>
      <c r="P632" t="str">
        <f>IF(OR($A632="",games!$H632=""),"",games!$H632)</f>
        <v>Yes</v>
      </c>
      <c r="Q632">
        <f t="shared" si="128"/>
        <v>1.000632</v>
      </c>
      <c r="T632">
        <f>IF(connections!$A632="","",IFERROR(INDEX(games!$B$2:$B$950,MATCH(connections!$A632,games!$A$2:$A$950,0)),""))</f>
        <v>2013</v>
      </c>
      <c r="U632">
        <f>IF(connections!$A632="","",IFERROR(INDEX(games!$B$2:$B$950,MATCH(connections!$B632,games!$A$2:$A$950,0)),""))</f>
        <v>2016</v>
      </c>
      <c r="V632">
        <f t="shared" si="129"/>
        <v>3</v>
      </c>
    </row>
    <row r="633" spans="1:22" x14ac:dyDescent="0.25">
      <c r="A633" t="str">
        <f>IF(games!$A633="","",games!$A633)</f>
        <v>Rogue Lords</v>
      </c>
      <c r="B633">
        <f>IF($A633="","",games!$B633)</f>
        <v>2021</v>
      </c>
      <c r="C633" t="str">
        <f>IF($A633="","",games!$C633)</f>
        <v>Strategy</v>
      </c>
      <c r="D633">
        <f>IF($A633="","",COUNTIF(connections!$A$2:$A$1473,$A633)+COUNTIF(connections!$B$2:$B$1473,$A633))</f>
        <v>1</v>
      </c>
      <c r="E633">
        <f t="shared" si="117"/>
        <v>2</v>
      </c>
      <c r="F633">
        <f t="shared" si="118"/>
        <v>21</v>
      </c>
      <c r="G633" t="e">
        <f t="shared" si="119"/>
        <v>#N/A</v>
      </c>
      <c r="H633" t="e">
        <f t="shared" si="120"/>
        <v>#N/A</v>
      </c>
      <c r="I633">
        <f t="shared" si="121"/>
        <v>2021</v>
      </c>
      <c r="J633">
        <f t="shared" si="122"/>
        <v>2.4830000000000001</v>
      </c>
      <c r="K633" t="e">
        <f t="shared" si="123"/>
        <v>#N/A</v>
      </c>
      <c r="L633" t="e">
        <f t="shared" si="124"/>
        <v>#N/A</v>
      </c>
      <c r="M633" t="e">
        <f t="shared" si="125"/>
        <v>#N/A</v>
      </c>
      <c r="N633" t="e">
        <f t="shared" si="126"/>
        <v>#N/A</v>
      </c>
      <c r="O633">
        <f t="shared" si="127"/>
        <v>1.0006330000000001</v>
      </c>
      <c r="P633" t="str">
        <f>IF(OR($A633="",games!$H633=""),"",games!$H633)</f>
        <v>Yes</v>
      </c>
      <c r="Q633">
        <f t="shared" si="128"/>
        <v>1.0006330000000001</v>
      </c>
      <c r="T633">
        <f>IF(connections!$A633="","",IFERROR(INDEX(games!$B$2:$B$950,MATCH(connections!$A633,games!$A$2:$A$950,0)),""))</f>
        <v>1994</v>
      </c>
      <c r="U633">
        <f>IF(connections!$A633="","",IFERROR(INDEX(games!$B$2:$B$950,MATCH(connections!$B633,games!$A$2:$A$950,0)),""))</f>
        <v>2007</v>
      </c>
      <c r="V633">
        <f t="shared" si="129"/>
        <v>13</v>
      </c>
    </row>
    <row r="634" spans="1:22" x14ac:dyDescent="0.25">
      <c r="A634" t="str">
        <f>IF(games!$A634="","",games!$A634)</f>
        <v>Rogue Tower</v>
      </c>
      <c r="B634">
        <f>IF($A634="","",games!$B634)</f>
        <v>2022</v>
      </c>
      <c r="C634" t="str">
        <f>IF($A634="","",games!$C634)</f>
        <v>Strategy</v>
      </c>
      <c r="D634">
        <f>IF($A634="","",COUNTIF(connections!$A$2:$A$1473,$A634)+COUNTIF(connections!$B$2:$B$1473,$A634))</f>
        <v>2</v>
      </c>
      <c r="E634">
        <f t="shared" si="117"/>
        <v>2</v>
      </c>
      <c r="F634">
        <f t="shared" si="118"/>
        <v>22</v>
      </c>
      <c r="G634" t="e">
        <f t="shared" si="119"/>
        <v>#N/A</v>
      </c>
      <c r="H634" t="e">
        <f t="shared" si="120"/>
        <v>#N/A</v>
      </c>
      <c r="I634">
        <f t="shared" si="121"/>
        <v>2022</v>
      </c>
      <c r="J634">
        <f t="shared" si="122"/>
        <v>2.5060000000000002</v>
      </c>
      <c r="K634" t="e">
        <f t="shared" si="123"/>
        <v>#N/A</v>
      </c>
      <c r="L634" t="e">
        <f t="shared" si="124"/>
        <v>#N/A</v>
      </c>
      <c r="M634" t="e">
        <f t="shared" si="125"/>
        <v>#N/A</v>
      </c>
      <c r="N634" t="e">
        <f t="shared" si="126"/>
        <v>#N/A</v>
      </c>
      <c r="O634">
        <f t="shared" si="127"/>
        <v>2.0006339999999998</v>
      </c>
      <c r="P634" t="str">
        <f>IF(OR($A634="",games!$H634=""),"",games!$H634)</f>
        <v/>
      </c>
      <c r="Q634" t="str">
        <f t="shared" si="128"/>
        <v/>
      </c>
      <c r="T634">
        <f>IF(connections!$A634="","",IFERROR(INDEX(games!$B$2:$B$950,MATCH(connections!$A634,games!$A$2:$A$950,0)),""))</f>
        <v>1990</v>
      </c>
      <c r="U634">
        <f>IF(connections!$A634="","",IFERROR(INDEX(games!$B$2:$B$950,MATCH(connections!$B634,games!$A$2:$A$950,0)),""))</f>
        <v>2007</v>
      </c>
      <c r="V634">
        <f t="shared" si="129"/>
        <v>17</v>
      </c>
    </row>
    <row r="635" spans="1:22" x14ac:dyDescent="0.25">
      <c r="A635" t="str">
        <f>IF(games!$A635="","",games!$A635)</f>
        <v>Rogue Voltage</v>
      </c>
      <c r="B635">
        <f>IF($A635="","",games!$B635)</f>
        <v>2024</v>
      </c>
      <c r="C635" t="str">
        <f>IF($A635="","",games!$C635)</f>
        <v>Deckbuilder</v>
      </c>
      <c r="D635">
        <f>IF($A635="","",COUNTIF(connections!$A$2:$A$1473,$A635)+COUNTIF(connections!$B$2:$B$1473,$A635))</f>
        <v>6</v>
      </c>
      <c r="E635">
        <f t="shared" si="117"/>
        <v>3</v>
      </c>
      <c r="F635">
        <f t="shared" si="118"/>
        <v>23</v>
      </c>
      <c r="G635" t="e">
        <f t="shared" si="119"/>
        <v>#N/A</v>
      </c>
      <c r="H635" t="e">
        <f t="shared" si="120"/>
        <v>#N/A</v>
      </c>
      <c r="I635" t="e">
        <f t="shared" si="121"/>
        <v>#N/A</v>
      </c>
      <c r="J635" t="e">
        <f t="shared" si="122"/>
        <v>#N/A</v>
      </c>
      <c r="K635">
        <f t="shared" si="123"/>
        <v>2024</v>
      </c>
      <c r="L635">
        <f t="shared" si="124"/>
        <v>3.5289999999999999</v>
      </c>
      <c r="M635" t="e">
        <f t="shared" si="125"/>
        <v>#N/A</v>
      </c>
      <c r="N635" t="e">
        <f t="shared" si="126"/>
        <v>#N/A</v>
      </c>
      <c r="O635">
        <f t="shared" si="127"/>
        <v>6.0006349999999999</v>
      </c>
      <c r="P635" t="str">
        <f>IF(OR($A635="",games!$H635=""),"",games!$H635)</f>
        <v/>
      </c>
      <c r="Q635" t="str">
        <f t="shared" si="128"/>
        <v/>
      </c>
      <c r="T635">
        <f>IF(connections!$A635="","",IFERROR(INDEX(games!$B$2:$B$950,MATCH(connections!$A635,games!$A$2:$A$950,0)),""))</f>
        <v>1987</v>
      </c>
      <c r="U635">
        <f>IF(connections!$A635="","",IFERROR(INDEX(games!$B$2:$B$950,MATCH(connections!$B635,games!$A$2:$A$950,0)),""))</f>
        <v>2007</v>
      </c>
      <c r="V635">
        <f t="shared" si="129"/>
        <v>20</v>
      </c>
    </row>
    <row r="636" spans="1:22" x14ac:dyDescent="0.25">
      <c r="A636" t="str">
        <f>IF(games!$A636="","",games!$A636)</f>
        <v>Rogue Wizards</v>
      </c>
      <c r="B636">
        <f>IF($A636="","",games!$B636)</f>
        <v>2016</v>
      </c>
      <c r="C636" t="str">
        <f>IF($A636="","",games!$C636)</f>
        <v>Strategy</v>
      </c>
      <c r="D636">
        <f>IF($A636="","",COUNTIF(connections!$A$2:$A$1473,$A636)+COUNTIF(connections!$B$2:$B$1473,$A636))</f>
        <v>2</v>
      </c>
      <c r="E636">
        <f t="shared" si="117"/>
        <v>2</v>
      </c>
      <c r="F636">
        <f t="shared" si="118"/>
        <v>24</v>
      </c>
      <c r="G636" t="e">
        <f t="shared" si="119"/>
        <v>#N/A</v>
      </c>
      <c r="H636" t="e">
        <f t="shared" si="120"/>
        <v>#N/A</v>
      </c>
      <c r="I636">
        <f t="shared" si="121"/>
        <v>2016</v>
      </c>
      <c r="J636">
        <f t="shared" si="122"/>
        <v>2.552</v>
      </c>
      <c r="K636" t="e">
        <f t="shared" si="123"/>
        <v>#N/A</v>
      </c>
      <c r="L636" t="e">
        <f t="shared" si="124"/>
        <v>#N/A</v>
      </c>
      <c r="M636" t="e">
        <f t="shared" si="125"/>
        <v>#N/A</v>
      </c>
      <c r="N636" t="e">
        <f t="shared" si="126"/>
        <v>#N/A</v>
      </c>
      <c r="O636">
        <f t="shared" si="127"/>
        <v>2.0006360000000001</v>
      </c>
      <c r="P636" t="str">
        <f>IF(OR($A636="",games!$H636=""),"",games!$H636)</f>
        <v/>
      </c>
      <c r="Q636" t="str">
        <f t="shared" si="128"/>
        <v/>
      </c>
      <c r="T636">
        <f>IF(connections!$A636="","",IFERROR(INDEX(games!$B$2:$B$950,MATCH(connections!$A636,games!$A$2:$A$950,0)),""))</f>
        <v>1987</v>
      </c>
      <c r="U636">
        <f>IF(connections!$A636="","",IFERROR(INDEX(games!$B$2:$B$950,MATCH(connections!$B636,games!$A$2:$A$950,0)),""))</f>
        <v>2007</v>
      </c>
      <c r="V636">
        <f t="shared" si="129"/>
        <v>20</v>
      </c>
    </row>
    <row r="637" spans="1:22" x14ac:dyDescent="0.25">
      <c r="A637" t="str">
        <f>IF(games!$A637="","",games!$A637)</f>
        <v>Rogue: Genesia</v>
      </c>
      <c r="B637">
        <f>IF($A637="","",games!$B637)</f>
        <v>2022</v>
      </c>
      <c r="C637" t="str">
        <f>IF($A637="","",games!$C637)</f>
        <v>Action</v>
      </c>
      <c r="D637">
        <f>IF($A637="","",COUNTIF(connections!$A$2:$A$1473,$A637)+COUNTIF(connections!$B$2:$B$1473,$A637))</f>
        <v>3</v>
      </c>
      <c r="E637">
        <f t="shared" si="117"/>
        <v>1</v>
      </c>
      <c r="F637">
        <f t="shared" si="118"/>
        <v>25</v>
      </c>
      <c r="G637">
        <f t="shared" si="119"/>
        <v>2022</v>
      </c>
      <c r="H637">
        <f t="shared" si="120"/>
        <v>1.575</v>
      </c>
      <c r="I637" t="e">
        <f t="shared" si="121"/>
        <v>#N/A</v>
      </c>
      <c r="J637" t="e">
        <f t="shared" si="122"/>
        <v>#N/A</v>
      </c>
      <c r="K637" t="e">
        <f t="shared" si="123"/>
        <v>#N/A</v>
      </c>
      <c r="L637" t="e">
        <f t="shared" si="124"/>
        <v>#N/A</v>
      </c>
      <c r="M637" t="e">
        <f t="shared" si="125"/>
        <v>#N/A</v>
      </c>
      <c r="N637" t="e">
        <f t="shared" si="126"/>
        <v>#N/A</v>
      </c>
      <c r="O637">
        <f t="shared" si="127"/>
        <v>3.0006370000000002</v>
      </c>
      <c r="P637" t="str">
        <f>IF(OR($A637="",games!$H637=""),"",games!$H637)</f>
        <v>Yes</v>
      </c>
      <c r="Q637">
        <f t="shared" si="128"/>
        <v>3.0006370000000002</v>
      </c>
      <c r="T637">
        <f>IF(connections!$A637="","",IFERROR(INDEX(games!$B$2:$B$950,MATCH(connections!$A637,games!$A$2:$A$950,0)),""))</f>
        <v>1998</v>
      </c>
      <c r="U637">
        <f>IF(connections!$A637="","",IFERROR(INDEX(games!$B$2:$B$950,MATCH(connections!$B637,games!$A$2:$A$950,0)),""))</f>
        <v>2007</v>
      </c>
      <c r="V637">
        <f t="shared" si="129"/>
        <v>9</v>
      </c>
    </row>
    <row r="638" spans="1:22" x14ac:dyDescent="0.25">
      <c r="A638" t="str">
        <f>IF(games!$A638="","",games!$A638)</f>
        <v>Roguebook</v>
      </c>
      <c r="B638">
        <f>IF($A638="","",games!$B638)</f>
        <v>2021</v>
      </c>
      <c r="C638" t="str">
        <f>IF($A638="","",games!$C638)</f>
        <v>Deckbuilder</v>
      </c>
      <c r="D638">
        <f>IF($A638="","",COUNTIF(connections!$A$2:$A$1473,$A638)+COUNTIF(connections!$B$2:$B$1473,$A638))</f>
        <v>3</v>
      </c>
      <c r="E638">
        <f t="shared" si="117"/>
        <v>3</v>
      </c>
      <c r="F638">
        <f t="shared" si="118"/>
        <v>26</v>
      </c>
      <c r="G638" t="e">
        <f t="shared" si="119"/>
        <v>#N/A</v>
      </c>
      <c r="H638" t="e">
        <f t="shared" si="120"/>
        <v>#N/A</v>
      </c>
      <c r="I638" t="e">
        <f t="shared" si="121"/>
        <v>#N/A</v>
      </c>
      <c r="J638" t="e">
        <f t="shared" si="122"/>
        <v>#N/A</v>
      </c>
      <c r="K638">
        <f t="shared" si="123"/>
        <v>2021</v>
      </c>
      <c r="L638">
        <f t="shared" si="124"/>
        <v>3.5979999999999999</v>
      </c>
      <c r="M638" t="e">
        <f t="shared" si="125"/>
        <v>#N/A</v>
      </c>
      <c r="N638" t="e">
        <f t="shared" si="126"/>
        <v>#N/A</v>
      </c>
      <c r="O638">
        <f t="shared" si="127"/>
        <v>3.0006379999999999</v>
      </c>
      <c r="P638" t="str">
        <f>IF(OR($A638="",games!$H638=""),"",games!$H638)</f>
        <v>Yes</v>
      </c>
      <c r="Q638">
        <f t="shared" si="128"/>
        <v>3.0006379999999999</v>
      </c>
      <c r="T638">
        <f>IF(connections!$A638="","",IFERROR(INDEX(games!$B$2:$B$950,MATCH(connections!$A638,games!$A$2:$A$950,0)),""))</f>
        <v>2005</v>
      </c>
      <c r="U638">
        <f>IF(connections!$A638="","",IFERROR(INDEX(games!$B$2:$B$950,MATCH(connections!$B638,games!$A$2:$A$950,0)),""))</f>
        <v>2015</v>
      </c>
      <c r="V638">
        <f t="shared" si="129"/>
        <v>10</v>
      </c>
    </row>
    <row r="639" spans="1:22" x14ac:dyDescent="0.25">
      <c r="A639" t="str">
        <f>IF(games!$A639="","",games!$A639)</f>
        <v>Rogue-Fp</v>
      </c>
      <c r="B639">
        <f>IF($A639="","",games!$B639)</f>
        <v>2023</v>
      </c>
      <c r="C639" t="str">
        <f>IF($A639="","",games!$C639)</f>
        <v>Traditional</v>
      </c>
      <c r="D639">
        <f>IF($A639="","",COUNTIF(connections!$A$2:$A$1473,$A639)+COUNTIF(connections!$B$2:$B$1473,$A639))</f>
        <v>2</v>
      </c>
      <c r="E639">
        <f t="shared" si="117"/>
        <v>4</v>
      </c>
      <c r="F639">
        <f t="shared" si="118"/>
        <v>27</v>
      </c>
      <c r="G639" t="e">
        <f t="shared" si="119"/>
        <v>#N/A</v>
      </c>
      <c r="H639" t="e">
        <f t="shared" si="120"/>
        <v>#N/A</v>
      </c>
      <c r="I639" t="e">
        <f t="shared" si="121"/>
        <v>#N/A</v>
      </c>
      <c r="J639" t="e">
        <f t="shared" si="122"/>
        <v>#N/A</v>
      </c>
      <c r="K639" t="e">
        <f t="shared" si="123"/>
        <v>#N/A</v>
      </c>
      <c r="L639" t="e">
        <f t="shared" si="124"/>
        <v>#N/A</v>
      </c>
      <c r="M639">
        <f t="shared" si="125"/>
        <v>2023</v>
      </c>
      <c r="N639">
        <f t="shared" si="126"/>
        <v>4.6210000000000004</v>
      </c>
      <c r="O639">
        <f t="shared" si="127"/>
        <v>2.0006390000000001</v>
      </c>
      <c r="P639" t="str">
        <f>IF(OR($A639="",games!$H639=""),"",games!$H639)</f>
        <v/>
      </c>
      <c r="Q639" t="str">
        <f t="shared" si="128"/>
        <v/>
      </c>
      <c r="T639">
        <f>IF(connections!$A639="","",IFERROR(INDEX(games!$B$2:$B$950,MATCH(connections!$A639,games!$A$2:$A$950,0)),""))</f>
        <v>1990</v>
      </c>
      <c r="U639">
        <f>IF(connections!$A639="","",IFERROR(INDEX(games!$B$2:$B$950,MATCH(connections!$B639,games!$A$2:$A$950,0)),""))</f>
        <v>2011</v>
      </c>
      <c r="V639">
        <f t="shared" si="129"/>
        <v>21</v>
      </c>
    </row>
    <row r="640" spans="1:22" x14ac:dyDescent="0.25">
      <c r="A640" t="str">
        <f>IF(games!$A640="","",games!$A640)</f>
        <v>RogueJack21</v>
      </c>
      <c r="B640">
        <f>IF($A640="","",games!$B640)</f>
        <v>2026</v>
      </c>
      <c r="C640" t="str">
        <f>IF($A640="","",games!$C640)</f>
        <v>Deckbuilder</v>
      </c>
      <c r="D640">
        <f>IF($A640="","",COUNTIF(connections!$A$2:$A$1473,$A640)+COUNTIF(connections!$B$2:$B$1473,$A640))</f>
        <v>2</v>
      </c>
      <c r="E640">
        <f t="shared" si="117"/>
        <v>3</v>
      </c>
      <c r="F640">
        <f t="shared" si="118"/>
        <v>28</v>
      </c>
      <c r="G640" t="e">
        <f t="shared" si="119"/>
        <v>#N/A</v>
      </c>
      <c r="H640" t="e">
        <f t="shared" si="120"/>
        <v>#N/A</v>
      </c>
      <c r="I640" t="e">
        <f t="shared" si="121"/>
        <v>#N/A</v>
      </c>
      <c r="J640" t="e">
        <f t="shared" si="122"/>
        <v>#N/A</v>
      </c>
      <c r="K640">
        <f t="shared" si="123"/>
        <v>2026</v>
      </c>
      <c r="L640">
        <f t="shared" si="124"/>
        <v>3.6440000000000001</v>
      </c>
      <c r="M640" t="e">
        <f t="shared" si="125"/>
        <v>#N/A</v>
      </c>
      <c r="N640" t="e">
        <f t="shared" si="126"/>
        <v>#N/A</v>
      </c>
      <c r="O640">
        <f t="shared" si="127"/>
        <v>2.0006400000000002</v>
      </c>
      <c r="P640" t="str">
        <f>IF(OR($A640="",games!$H640=""),"",games!$H640)</f>
        <v/>
      </c>
      <c r="Q640" t="str">
        <f t="shared" si="128"/>
        <v/>
      </c>
      <c r="T640">
        <f>IF(connections!$A640="","",IFERROR(INDEX(games!$B$2:$B$950,MATCH(connections!$A640,games!$A$2:$A$950,0)),""))</f>
        <v>2002</v>
      </c>
      <c r="U640">
        <f>IF(connections!$A640="","",IFERROR(INDEX(games!$B$2:$B$950,MATCH(connections!$B640,games!$A$2:$A$950,0)),""))</f>
        <v>2011</v>
      </c>
      <c r="V640">
        <f t="shared" si="129"/>
        <v>9</v>
      </c>
    </row>
    <row r="641" spans="1:22" x14ac:dyDescent="0.25">
      <c r="A641" t="str">
        <f>IF(games!$A641="","",games!$A641)</f>
        <v>Rogue's Tale</v>
      </c>
      <c r="B641">
        <f>IF($A641="","",games!$B641)</f>
        <v>2014</v>
      </c>
      <c r="C641" t="str">
        <f>IF($A641="","",games!$C641)</f>
        <v>Traditional</v>
      </c>
      <c r="D641">
        <f>IF($A641="","",COUNTIF(connections!$A$2:$A$1473,$A641)+COUNTIF(connections!$B$2:$B$1473,$A641))</f>
        <v>1</v>
      </c>
      <c r="E641">
        <f t="shared" si="117"/>
        <v>4</v>
      </c>
      <c r="F641">
        <f t="shared" si="118"/>
        <v>29</v>
      </c>
      <c r="G641" t="e">
        <f t="shared" si="119"/>
        <v>#N/A</v>
      </c>
      <c r="H641" t="e">
        <f t="shared" si="120"/>
        <v>#N/A</v>
      </c>
      <c r="I641" t="e">
        <f t="shared" si="121"/>
        <v>#N/A</v>
      </c>
      <c r="J641" t="e">
        <f t="shared" si="122"/>
        <v>#N/A</v>
      </c>
      <c r="K641" t="e">
        <f t="shared" si="123"/>
        <v>#N/A</v>
      </c>
      <c r="L641" t="e">
        <f t="shared" si="124"/>
        <v>#N/A</v>
      </c>
      <c r="M641">
        <f t="shared" si="125"/>
        <v>2014</v>
      </c>
      <c r="N641">
        <f t="shared" si="126"/>
        <v>4.6669999999999998</v>
      </c>
      <c r="O641">
        <f t="shared" si="127"/>
        <v>1.0006409999999999</v>
      </c>
      <c r="P641" t="str">
        <f>IF(OR($A641="",games!$H641=""),"",games!$H641)</f>
        <v/>
      </c>
      <c r="Q641" t="str">
        <f t="shared" si="128"/>
        <v/>
      </c>
      <c r="T641">
        <f>IF(connections!$A641="","",IFERROR(INDEX(games!$B$2:$B$950,MATCH(connections!$A641,games!$A$2:$A$950,0)),""))</f>
        <v>1980</v>
      </c>
      <c r="U641">
        <f>IF(connections!$A641="","",IFERROR(INDEX(games!$B$2:$B$950,MATCH(connections!$B641,games!$A$2:$A$950,0)),""))</f>
        <v>2011</v>
      </c>
      <c r="V641">
        <f t="shared" si="129"/>
        <v>31</v>
      </c>
    </row>
    <row r="642" spans="1:22" x14ac:dyDescent="0.25">
      <c r="A642" t="str">
        <f>IF(games!$A642="","",games!$A642)</f>
        <v>RogueSlide</v>
      </c>
      <c r="B642">
        <f>IF($A642="","",games!$B642)</f>
        <v>2022</v>
      </c>
      <c r="C642" t="str">
        <f>IF($A642="","",games!$C642)</f>
        <v>Strategy</v>
      </c>
      <c r="D642">
        <f>IF($A642="","",COUNTIF(connections!$A$2:$A$1473,$A642)+COUNTIF(connections!$B$2:$B$1473,$A642))</f>
        <v>0</v>
      </c>
      <c r="E642">
        <f t="shared" ref="E642:E705" si="130">IF($A642="","",IFERROR(MATCH($C642,$R$2:$R$5,0),0))</f>
        <v>2</v>
      </c>
      <c r="F642">
        <f t="shared" ref="F642:F705" si="131">IF($A642="","",MOD(ROW(),34))</f>
        <v>30</v>
      </c>
      <c r="G642" t="e">
        <f t="shared" ref="G642:G705" si="132">IF($A642="",NA(),IF($C642="Action",$B642,NA()))</f>
        <v>#N/A</v>
      </c>
      <c r="H642" t="e">
        <f t="shared" ref="H642:H705" si="133">IF($A642="",NA(),IF($C642="Action",1+$F642*0.023,NA()))</f>
        <v>#N/A</v>
      </c>
      <c r="I642">
        <f t="shared" ref="I642:I705" si="134">IF($A642="",NA(),IF($C642="Strategy",$B642,NA()))</f>
        <v>2022</v>
      </c>
      <c r="J642">
        <f t="shared" ref="J642:J705" si="135">IF($A642="",NA(),IF($C642="Strategy",2+$F642*0.023,NA()))</f>
        <v>2.69</v>
      </c>
      <c r="K642" t="e">
        <f t="shared" ref="K642:K705" si="136">IF($A642="",NA(),IF($C642="Deckbuilder",$B642,NA()))</f>
        <v>#N/A</v>
      </c>
      <c r="L642" t="e">
        <f t="shared" ref="L642:L705" si="137">IF($A642="",NA(),IF($C642="Deckbuilder",3+$F642*0.023,NA()))</f>
        <v>#N/A</v>
      </c>
      <c r="M642" t="e">
        <f t="shared" ref="M642:M705" si="138">IF($A642="",NA(),IF($C642="Traditional",$B642,NA()))</f>
        <v>#N/A</v>
      </c>
      <c r="N642" t="e">
        <f t="shared" ref="N642:N705" si="139">IF($A642="",NA(),IF($C642="Traditional",4+$F642*0.023,NA()))</f>
        <v>#N/A</v>
      </c>
      <c r="O642">
        <f t="shared" ref="O642:O705" si="140">IF($A642="","",$D642+ROW()/1000000)</f>
        <v>6.4199999999999999E-4</v>
      </c>
      <c r="P642" t="str">
        <f>IF(OR($A642="",games!$H642=""),"",games!$H642)</f>
        <v>Yes</v>
      </c>
      <c r="Q642">
        <f t="shared" ref="Q642:Q705" si="141">IF(OR($A642="",$P642&lt;&gt;"Yes"),"",$D642+ROW()/1000000)</f>
        <v>6.4199999999999999E-4</v>
      </c>
      <c r="T642">
        <f>IF(connections!$A642="","",IFERROR(INDEX(games!$B$2:$B$950,MATCH(connections!$A642,games!$A$2:$A$950,0)),""))</f>
        <v>2020</v>
      </c>
      <c r="U642">
        <f>IF(connections!$A642="","",IFERROR(INDEX(games!$B$2:$B$950,MATCH(connections!$B642,games!$A$2:$A$950,0)),""))</f>
        <v>2023</v>
      </c>
      <c r="V642">
        <f t="shared" ref="V642:V705" si="142">IF(OR($T642="",$U642=""),"",$U642-$T642)</f>
        <v>3</v>
      </c>
    </row>
    <row r="643" spans="1:22" x14ac:dyDescent="0.25">
      <c r="A643" t="str">
        <f>IF(games!$A643="","",games!$A643)</f>
        <v>Roll</v>
      </c>
      <c r="B643">
        <f>IF($A643="","",games!$B643)</f>
        <v>2021</v>
      </c>
      <c r="C643" t="str">
        <f>IF($A643="","",games!$C643)</f>
        <v>Strategy</v>
      </c>
      <c r="D643">
        <f>IF($A643="","",COUNTIF(connections!$A$2:$A$1473,$A643)+COUNTIF(connections!$B$2:$B$1473,$A643))</f>
        <v>1</v>
      </c>
      <c r="E643">
        <f t="shared" si="130"/>
        <v>2</v>
      </c>
      <c r="F643">
        <f t="shared" si="131"/>
        <v>31</v>
      </c>
      <c r="G643" t="e">
        <f t="shared" si="132"/>
        <v>#N/A</v>
      </c>
      <c r="H643" t="e">
        <f t="shared" si="133"/>
        <v>#N/A</v>
      </c>
      <c r="I643">
        <f t="shared" si="134"/>
        <v>2021</v>
      </c>
      <c r="J643">
        <f t="shared" si="135"/>
        <v>2.7130000000000001</v>
      </c>
      <c r="K643" t="e">
        <f t="shared" si="136"/>
        <v>#N/A</v>
      </c>
      <c r="L643" t="e">
        <f t="shared" si="137"/>
        <v>#N/A</v>
      </c>
      <c r="M643" t="e">
        <f t="shared" si="138"/>
        <v>#N/A</v>
      </c>
      <c r="N643" t="e">
        <f t="shared" si="139"/>
        <v>#N/A</v>
      </c>
      <c r="O643">
        <f t="shared" si="140"/>
        <v>1.0006429999999999</v>
      </c>
      <c r="P643" t="str">
        <f>IF(OR($A643="",games!$H643=""),"",games!$H643)</f>
        <v>Yes</v>
      </c>
      <c r="Q643">
        <f t="shared" si="141"/>
        <v>1.0006429999999999</v>
      </c>
      <c r="T643">
        <f>IF(connections!$A643="","",IFERROR(INDEX(games!$B$2:$B$950,MATCH(connections!$A643,games!$A$2:$A$950,0)),""))</f>
        <v>2014</v>
      </c>
      <c r="U643">
        <f>IF(connections!$A643="","",IFERROR(INDEX(games!$B$2:$B$950,MATCH(connections!$B643,games!$A$2:$A$950,0)),""))</f>
        <v>2025</v>
      </c>
      <c r="V643">
        <f t="shared" si="142"/>
        <v>11</v>
      </c>
    </row>
    <row r="644" spans="1:22" x14ac:dyDescent="0.25">
      <c r="A644" t="str">
        <f>IF(games!$A644="","",games!$A644)</f>
        <v>RollScape</v>
      </c>
      <c r="B644">
        <f>IF($A644="","",games!$B644)</f>
        <v>2024</v>
      </c>
      <c r="C644" t="str">
        <f>IF($A644="","",games!$C644)</f>
        <v>Strategy</v>
      </c>
      <c r="D644">
        <f>IF($A644="","",COUNTIF(connections!$A$2:$A$1473,$A644)+COUNTIF(connections!$B$2:$B$1473,$A644))</f>
        <v>2</v>
      </c>
      <c r="E644">
        <f t="shared" si="130"/>
        <v>2</v>
      </c>
      <c r="F644">
        <f t="shared" si="131"/>
        <v>32</v>
      </c>
      <c r="G644" t="e">
        <f t="shared" si="132"/>
        <v>#N/A</v>
      </c>
      <c r="H644" t="e">
        <f t="shared" si="133"/>
        <v>#N/A</v>
      </c>
      <c r="I644">
        <f t="shared" si="134"/>
        <v>2024</v>
      </c>
      <c r="J644">
        <f t="shared" si="135"/>
        <v>2.7359999999999998</v>
      </c>
      <c r="K644" t="e">
        <f t="shared" si="136"/>
        <v>#N/A</v>
      </c>
      <c r="L644" t="e">
        <f t="shared" si="137"/>
        <v>#N/A</v>
      </c>
      <c r="M644" t="e">
        <f t="shared" si="138"/>
        <v>#N/A</v>
      </c>
      <c r="N644" t="e">
        <f t="shared" si="139"/>
        <v>#N/A</v>
      </c>
      <c r="O644">
        <f t="shared" si="140"/>
        <v>2.0006439999999999</v>
      </c>
      <c r="P644" t="str">
        <f>IF(OR($A644="",games!$H644=""),"",games!$H644)</f>
        <v>Yes</v>
      </c>
      <c r="Q644">
        <f t="shared" si="141"/>
        <v>2.0006439999999999</v>
      </c>
      <c r="T644">
        <f>IF(connections!$A644="","",IFERROR(INDEX(games!$B$2:$B$950,MATCH(connections!$A644,games!$A$2:$A$950,0)),""))</f>
        <v>2021</v>
      </c>
      <c r="U644">
        <f>IF(connections!$A644="","",IFERROR(INDEX(games!$B$2:$B$950,MATCH(connections!$B644,games!$A$2:$A$950,0)),""))</f>
        <v>2025</v>
      </c>
      <c r="V644">
        <f t="shared" si="142"/>
        <v>4</v>
      </c>
    </row>
    <row r="645" spans="1:22" x14ac:dyDescent="0.25">
      <c r="A645" t="str">
        <f>IF(games!$A645="","",games!$A645)</f>
        <v>Roulette Dungeon</v>
      </c>
      <c r="B645">
        <f>IF($A645="","",games!$B645)</f>
        <v>2026</v>
      </c>
      <c r="C645" t="str">
        <f>IF($A645="","",games!$C645)</f>
        <v>Deckbuilder</v>
      </c>
      <c r="D645">
        <f>IF($A645="","",COUNTIF(connections!$A$2:$A$1473,$A645)+COUNTIF(connections!$B$2:$B$1473,$A645))</f>
        <v>1</v>
      </c>
      <c r="E645">
        <f t="shared" si="130"/>
        <v>3</v>
      </c>
      <c r="F645">
        <f t="shared" si="131"/>
        <v>33</v>
      </c>
      <c r="G645" t="e">
        <f t="shared" si="132"/>
        <v>#N/A</v>
      </c>
      <c r="H645" t="e">
        <f t="shared" si="133"/>
        <v>#N/A</v>
      </c>
      <c r="I645" t="e">
        <f t="shared" si="134"/>
        <v>#N/A</v>
      </c>
      <c r="J645" t="e">
        <f t="shared" si="135"/>
        <v>#N/A</v>
      </c>
      <c r="K645">
        <f t="shared" si="136"/>
        <v>2026</v>
      </c>
      <c r="L645">
        <f t="shared" si="137"/>
        <v>3.7589999999999999</v>
      </c>
      <c r="M645" t="e">
        <f t="shared" si="138"/>
        <v>#N/A</v>
      </c>
      <c r="N645" t="e">
        <f t="shared" si="139"/>
        <v>#N/A</v>
      </c>
      <c r="O645">
        <f t="shared" si="140"/>
        <v>1.000645</v>
      </c>
      <c r="P645" t="str">
        <f>IF(OR($A645="",games!$H645=""),"",games!$H645)</f>
        <v/>
      </c>
      <c r="Q645" t="str">
        <f t="shared" si="141"/>
        <v/>
      </c>
      <c r="T645">
        <f>IF(connections!$A645="","",IFERROR(INDEX(games!$B$2:$B$950,MATCH(connections!$A645,games!$A$2:$A$950,0)),""))</f>
        <v>2020</v>
      </c>
      <c r="U645">
        <f>IF(connections!$A645="","",IFERROR(INDEX(games!$B$2:$B$950,MATCH(connections!$B645,games!$A$2:$A$950,0)),""))</f>
        <v>2021</v>
      </c>
      <c r="V645">
        <f t="shared" si="142"/>
        <v>1</v>
      </c>
    </row>
    <row r="646" spans="1:22" x14ac:dyDescent="0.25">
      <c r="A646" t="str">
        <f>IF(games!$A646="","",games!$A646)</f>
        <v>Roulette Hero</v>
      </c>
      <c r="B646">
        <f>IF($A646="","",games!$B646)</f>
        <v>2025</v>
      </c>
      <c r="C646" t="str">
        <f>IF($A646="","",games!$C646)</f>
        <v>Deckbuilder</v>
      </c>
      <c r="D646">
        <f>IF($A646="","",COUNTIF(connections!$A$2:$A$1473,$A646)+COUNTIF(connections!$B$2:$B$1473,$A646))</f>
        <v>4</v>
      </c>
      <c r="E646">
        <f t="shared" si="130"/>
        <v>3</v>
      </c>
      <c r="F646">
        <f t="shared" si="131"/>
        <v>0</v>
      </c>
      <c r="G646" t="e">
        <f t="shared" si="132"/>
        <v>#N/A</v>
      </c>
      <c r="H646" t="e">
        <f t="shared" si="133"/>
        <v>#N/A</v>
      </c>
      <c r="I646" t="e">
        <f t="shared" si="134"/>
        <v>#N/A</v>
      </c>
      <c r="J646" t="e">
        <f t="shared" si="135"/>
        <v>#N/A</v>
      </c>
      <c r="K646">
        <f t="shared" si="136"/>
        <v>2025</v>
      </c>
      <c r="L646">
        <f t="shared" si="137"/>
        <v>3</v>
      </c>
      <c r="M646" t="e">
        <f t="shared" si="138"/>
        <v>#N/A</v>
      </c>
      <c r="N646" t="e">
        <f t="shared" si="139"/>
        <v>#N/A</v>
      </c>
      <c r="O646">
        <f t="shared" si="140"/>
        <v>4.0006459999999997</v>
      </c>
      <c r="P646" t="str">
        <f>IF(OR($A646="",games!$H646=""),"",games!$H646)</f>
        <v/>
      </c>
      <c r="Q646" t="str">
        <f t="shared" si="141"/>
        <v/>
      </c>
      <c r="T646">
        <f>IF(connections!$A646="","",IFERROR(INDEX(games!$B$2:$B$950,MATCH(connections!$A646,games!$A$2:$A$950,0)),""))</f>
        <v>2017</v>
      </c>
      <c r="U646">
        <f>IF(connections!$A646="","",IFERROR(INDEX(games!$B$2:$B$950,MATCH(connections!$B646,games!$A$2:$A$950,0)),""))</f>
        <v>2021</v>
      </c>
      <c r="V646">
        <f t="shared" si="142"/>
        <v>4</v>
      </c>
    </row>
    <row r="647" spans="1:22" x14ac:dyDescent="0.25">
      <c r="A647" t="str">
        <f>IF(games!$A647="","",games!$A647)</f>
        <v>Rounds</v>
      </c>
      <c r="B647">
        <f>IF($A647="","",games!$B647)</f>
        <v>2021</v>
      </c>
      <c r="C647" t="str">
        <f>IF($A647="","",games!$C647)</f>
        <v>Action</v>
      </c>
      <c r="D647">
        <f>IF($A647="","",COUNTIF(connections!$A$2:$A$1473,$A647)+COUNTIF(connections!$B$2:$B$1473,$A647))</f>
        <v>1</v>
      </c>
      <c r="E647">
        <f t="shared" si="130"/>
        <v>1</v>
      </c>
      <c r="F647">
        <f t="shared" si="131"/>
        <v>1</v>
      </c>
      <c r="G647">
        <f t="shared" si="132"/>
        <v>2021</v>
      </c>
      <c r="H647">
        <f t="shared" si="133"/>
        <v>1.0229999999999999</v>
      </c>
      <c r="I647" t="e">
        <f t="shared" si="134"/>
        <v>#N/A</v>
      </c>
      <c r="J647" t="e">
        <f t="shared" si="135"/>
        <v>#N/A</v>
      </c>
      <c r="K647" t="e">
        <f t="shared" si="136"/>
        <v>#N/A</v>
      </c>
      <c r="L647" t="e">
        <f t="shared" si="137"/>
        <v>#N/A</v>
      </c>
      <c r="M647" t="e">
        <f t="shared" si="138"/>
        <v>#N/A</v>
      </c>
      <c r="N647" t="e">
        <f t="shared" si="139"/>
        <v>#N/A</v>
      </c>
      <c r="O647">
        <f t="shared" si="140"/>
        <v>1.0006470000000001</v>
      </c>
      <c r="P647" t="str">
        <f>IF(OR($A647="",games!$H647=""),"",games!$H647)</f>
        <v>Yes</v>
      </c>
      <c r="Q647">
        <f t="shared" si="141"/>
        <v>1.0006470000000001</v>
      </c>
      <c r="T647">
        <f>IF(connections!$A647="","",IFERROR(INDEX(games!$B$2:$B$950,MATCH(connections!$A647,games!$A$2:$A$950,0)),""))</f>
        <v>2023</v>
      </c>
      <c r="U647">
        <f>IF(connections!$A647="","",IFERROR(INDEX(games!$B$2:$B$950,MATCH(connections!$B647,games!$A$2:$A$950,0)),""))</f>
        <v>2026</v>
      </c>
      <c r="V647">
        <f t="shared" si="142"/>
        <v>3</v>
      </c>
    </row>
    <row r="648" spans="1:22" x14ac:dyDescent="0.25">
      <c r="A648" t="str">
        <f>IF(games!$A648="","",games!$A648)</f>
        <v>Rune Dice</v>
      </c>
      <c r="B648">
        <f>IF($A648="","",games!$B648)</f>
        <v>2026</v>
      </c>
      <c r="C648" t="str">
        <f>IF($A648="","",games!$C648)</f>
        <v>Deckbuilder</v>
      </c>
      <c r="D648">
        <f>IF($A648="","",COUNTIF(connections!$A$2:$A$1473,$A648)+COUNTIF(connections!$B$2:$B$1473,$A648))</f>
        <v>1</v>
      </c>
      <c r="E648">
        <f t="shared" si="130"/>
        <v>3</v>
      </c>
      <c r="F648">
        <f t="shared" si="131"/>
        <v>2</v>
      </c>
      <c r="G648" t="e">
        <f t="shared" si="132"/>
        <v>#N/A</v>
      </c>
      <c r="H648" t="e">
        <f t="shared" si="133"/>
        <v>#N/A</v>
      </c>
      <c r="I648" t="e">
        <f t="shared" si="134"/>
        <v>#N/A</v>
      </c>
      <c r="J648" t="e">
        <f t="shared" si="135"/>
        <v>#N/A</v>
      </c>
      <c r="K648">
        <f t="shared" si="136"/>
        <v>2026</v>
      </c>
      <c r="L648">
        <f t="shared" si="137"/>
        <v>3.0459999999999998</v>
      </c>
      <c r="M648" t="e">
        <f t="shared" si="138"/>
        <v>#N/A</v>
      </c>
      <c r="N648" t="e">
        <f t="shared" si="139"/>
        <v>#N/A</v>
      </c>
      <c r="O648">
        <f t="shared" si="140"/>
        <v>1.000648</v>
      </c>
      <c r="P648" t="str">
        <f>IF(OR($A648="",games!$H648=""),"",games!$H648)</f>
        <v/>
      </c>
      <c r="Q648" t="str">
        <f t="shared" si="141"/>
        <v/>
      </c>
      <c r="T648">
        <f>IF(connections!$A648="","",IFERROR(INDEX(games!$B$2:$B$950,MATCH(connections!$A648,games!$A$2:$A$950,0)),""))</f>
        <v>2023</v>
      </c>
      <c r="U648">
        <f>IF(connections!$A648="","",IFERROR(INDEX(games!$B$2:$B$950,MATCH(connections!$B648,games!$A$2:$A$950,0)),""))</f>
        <v>2026</v>
      </c>
      <c r="V648">
        <f t="shared" si="142"/>
        <v>3</v>
      </c>
    </row>
    <row r="649" spans="1:22" x14ac:dyDescent="0.25">
      <c r="A649" t="str">
        <f>IF(games!$A649="","",games!$A649)</f>
        <v>Runeborn</v>
      </c>
      <c r="B649">
        <f>IF($A649="","",games!$B649)</f>
        <v>2025</v>
      </c>
      <c r="C649" t="str">
        <f>IF($A649="","",games!$C649)</f>
        <v>Deckbuilder</v>
      </c>
      <c r="D649">
        <f>IF($A649="","",COUNTIF(connections!$A$2:$A$1473,$A649)+COUNTIF(connections!$B$2:$B$1473,$A649))</f>
        <v>4</v>
      </c>
      <c r="E649">
        <f t="shared" si="130"/>
        <v>3</v>
      </c>
      <c r="F649">
        <f t="shared" si="131"/>
        <v>3</v>
      </c>
      <c r="G649" t="e">
        <f t="shared" si="132"/>
        <v>#N/A</v>
      </c>
      <c r="H649" t="e">
        <f t="shared" si="133"/>
        <v>#N/A</v>
      </c>
      <c r="I649" t="e">
        <f t="shared" si="134"/>
        <v>#N/A</v>
      </c>
      <c r="J649" t="e">
        <f t="shared" si="135"/>
        <v>#N/A</v>
      </c>
      <c r="K649">
        <f t="shared" si="136"/>
        <v>2025</v>
      </c>
      <c r="L649">
        <f t="shared" si="137"/>
        <v>3.069</v>
      </c>
      <c r="M649" t="e">
        <f t="shared" si="138"/>
        <v>#N/A</v>
      </c>
      <c r="N649" t="e">
        <f t="shared" si="139"/>
        <v>#N/A</v>
      </c>
      <c r="O649">
        <f t="shared" si="140"/>
        <v>4.0006490000000001</v>
      </c>
      <c r="P649" t="str">
        <f>IF(OR($A649="",games!$H649=""),"",games!$H649)</f>
        <v>Yes</v>
      </c>
      <c r="Q649">
        <f t="shared" si="141"/>
        <v>4.0006490000000001</v>
      </c>
      <c r="T649">
        <f>IF(connections!$A649="","",IFERROR(INDEX(games!$B$2:$B$950,MATCH(connections!$A649,games!$A$2:$A$950,0)),""))</f>
        <v>2016</v>
      </c>
      <c r="U649">
        <f>IF(connections!$A649="","",IFERROR(INDEX(games!$B$2:$B$950,MATCH(connections!$B649,games!$A$2:$A$950,0)),""))</f>
        <v>2021</v>
      </c>
      <c r="V649">
        <f t="shared" si="142"/>
        <v>5</v>
      </c>
    </row>
    <row r="650" spans="1:22" x14ac:dyDescent="0.25">
      <c r="A650" t="str">
        <f>IF(games!$A650="","",games!$A650)</f>
        <v>Runeveil</v>
      </c>
      <c r="B650">
        <f>IF($A650="","",games!$B650)</f>
        <v>2026</v>
      </c>
      <c r="C650" t="str">
        <f>IF($A650="","",games!$C650)</f>
        <v>Deckbuilder</v>
      </c>
      <c r="D650">
        <f>IF($A650="","",COUNTIF(connections!$A$2:$A$1473,$A650)+COUNTIF(connections!$B$2:$B$1473,$A650))</f>
        <v>2</v>
      </c>
      <c r="E650">
        <f t="shared" si="130"/>
        <v>3</v>
      </c>
      <c r="F650">
        <f t="shared" si="131"/>
        <v>4</v>
      </c>
      <c r="G650" t="e">
        <f t="shared" si="132"/>
        <v>#N/A</v>
      </c>
      <c r="H650" t="e">
        <f t="shared" si="133"/>
        <v>#N/A</v>
      </c>
      <c r="I650" t="e">
        <f t="shared" si="134"/>
        <v>#N/A</v>
      </c>
      <c r="J650" t="e">
        <f t="shared" si="135"/>
        <v>#N/A</v>
      </c>
      <c r="K650">
        <f t="shared" si="136"/>
        <v>2026</v>
      </c>
      <c r="L650">
        <f t="shared" si="137"/>
        <v>3.0920000000000001</v>
      </c>
      <c r="M650" t="e">
        <f t="shared" si="138"/>
        <v>#N/A</v>
      </c>
      <c r="N650" t="e">
        <f t="shared" si="139"/>
        <v>#N/A</v>
      </c>
      <c r="O650">
        <f t="shared" si="140"/>
        <v>2.0006499999999998</v>
      </c>
      <c r="P650" t="str">
        <f>IF(OR($A650="",games!$H650=""),"",games!$H650)</f>
        <v/>
      </c>
      <c r="Q650" t="str">
        <f t="shared" si="141"/>
        <v/>
      </c>
      <c r="T650">
        <f>IF(connections!$A650="","",IFERROR(INDEX(games!$B$2:$B$950,MATCH(connections!$A650,games!$A$2:$A$950,0)),""))</f>
        <v>2012</v>
      </c>
      <c r="U650">
        <f>IF(connections!$A650="","",IFERROR(INDEX(games!$B$2:$B$950,MATCH(connections!$B650,games!$A$2:$A$950,0)),""))</f>
        <v>2021</v>
      </c>
      <c r="V650">
        <f t="shared" si="142"/>
        <v>9</v>
      </c>
    </row>
    <row r="651" spans="1:22" x14ac:dyDescent="0.25">
      <c r="A651" t="str">
        <f>IF(games!$A651="","",games!$A651)</f>
        <v>Rungore</v>
      </c>
      <c r="B651">
        <f>IF($A651="","",games!$B651)</f>
        <v>2023</v>
      </c>
      <c r="C651" t="str">
        <f>IF($A651="","",games!$C651)</f>
        <v>Deckbuilder</v>
      </c>
      <c r="D651">
        <f>IF($A651="","",COUNTIF(connections!$A$2:$A$1473,$A651)+COUNTIF(connections!$B$2:$B$1473,$A651))</f>
        <v>2</v>
      </c>
      <c r="E651">
        <f t="shared" si="130"/>
        <v>3</v>
      </c>
      <c r="F651">
        <f t="shared" si="131"/>
        <v>5</v>
      </c>
      <c r="G651" t="e">
        <f t="shared" si="132"/>
        <v>#N/A</v>
      </c>
      <c r="H651" t="e">
        <f t="shared" si="133"/>
        <v>#N/A</v>
      </c>
      <c r="I651" t="e">
        <f t="shared" si="134"/>
        <v>#N/A</v>
      </c>
      <c r="J651" t="e">
        <f t="shared" si="135"/>
        <v>#N/A</v>
      </c>
      <c r="K651">
        <f t="shared" si="136"/>
        <v>2023</v>
      </c>
      <c r="L651">
        <f t="shared" si="137"/>
        <v>3.1150000000000002</v>
      </c>
      <c r="M651" t="e">
        <f t="shared" si="138"/>
        <v>#N/A</v>
      </c>
      <c r="N651" t="e">
        <f t="shared" si="139"/>
        <v>#N/A</v>
      </c>
      <c r="O651">
        <f t="shared" si="140"/>
        <v>2.000651</v>
      </c>
      <c r="P651" t="str">
        <f>IF(OR($A651="",games!$H651=""),"",games!$H651)</f>
        <v/>
      </c>
      <c r="Q651" t="str">
        <f t="shared" si="141"/>
        <v/>
      </c>
      <c r="T651">
        <f>IF(connections!$A651="","",IFERROR(INDEX(games!$B$2:$B$950,MATCH(connections!$A651,games!$A$2:$A$950,0)),""))</f>
        <v>2012</v>
      </c>
      <c r="U651">
        <f>IF(connections!$A651="","",IFERROR(INDEX(games!$B$2:$B$950,MATCH(connections!$B651,games!$A$2:$A$950,0)),""))</f>
        <v>2018</v>
      </c>
      <c r="V651">
        <f t="shared" si="142"/>
        <v>6</v>
      </c>
    </row>
    <row r="652" spans="1:22" x14ac:dyDescent="0.25">
      <c r="A652" t="str">
        <f>IF(games!$A652="","",games!$A652)</f>
        <v>Runic Survivor</v>
      </c>
      <c r="B652">
        <f>IF($A652="","",games!$B652)</f>
        <v>2022</v>
      </c>
      <c r="C652" t="str">
        <f>IF($A652="","",games!$C652)</f>
        <v>Action</v>
      </c>
      <c r="D652">
        <f>IF($A652="","",COUNTIF(connections!$A$2:$A$1473,$A652)+COUNTIF(connections!$B$2:$B$1473,$A652))</f>
        <v>2</v>
      </c>
      <c r="E652">
        <f t="shared" si="130"/>
        <v>1</v>
      </c>
      <c r="F652">
        <f t="shared" si="131"/>
        <v>6</v>
      </c>
      <c r="G652">
        <f t="shared" si="132"/>
        <v>2022</v>
      </c>
      <c r="H652">
        <f t="shared" si="133"/>
        <v>1.1379999999999999</v>
      </c>
      <c r="I652" t="e">
        <f t="shared" si="134"/>
        <v>#N/A</v>
      </c>
      <c r="J652" t="e">
        <f t="shared" si="135"/>
        <v>#N/A</v>
      </c>
      <c r="K652" t="e">
        <f t="shared" si="136"/>
        <v>#N/A</v>
      </c>
      <c r="L652" t="e">
        <f t="shared" si="137"/>
        <v>#N/A</v>
      </c>
      <c r="M652" t="e">
        <f t="shared" si="138"/>
        <v>#N/A</v>
      </c>
      <c r="N652" t="e">
        <f t="shared" si="139"/>
        <v>#N/A</v>
      </c>
      <c r="O652">
        <f t="shared" si="140"/>
        <v>2.0006520000000001</v>
      </c>
      <c r="P652" t="str">
        <f>IF(OR($A652="",games!$H652=""),"",games!$H652)</f>
        <v>Yes</v>
      </c>
      <c r="Q652">
        <f t="shared" si="141"/>
        <v>2.0006520000000001</v>
      </c>
      <c r="T652">
        <f>IF(connections!$A652="","",IFERROR(INDEX(games!$B$2:$B$950,MATCH(connections!$A652,games!$A$2:$A$950,0)),""))</f>
        <v>2013</v>
      </c>
      <c r="U652">
        <f>IF(connections!$A652="","",IFERROR(INDEX(games!$B$2:$B$950,MATCH(connections!$B652,games!$A$2:$A$950,0)),""))</f>
        <v>2018</v>
      </c>
      <c r="V652">
        <f t="shared" si="142"/>
        <v>5</v>
      </c>
    </row>
    <row r="653" spans="1:22" x14ac:dyDescent="0.25">
      <c r="A653" t="str">
        <f>IF(games!$A653="","",games!$A653)</f>
        <v>Sanae no Chou Tokkyuu: The Express Trial</v>
      </c>
      <c r="B653">
        <f>IF($A653="","",games!$B653)</f>
        <v>2010</v>
      </c>
      <c r="C653" t="str">
        <f>IF($A653="","",games!$C653)</f>
        <v>Traditional</v>
      </c>
      <c r="D653">
        <f>IF($A653="","",COUNTIF(connections!$A$2:$A$1473,$A653)+COUNTIF(connections!$B$2:$B$1473,$A653))</f>
        <v>1</v>
      </c>
      <c r="E653">
        <f t="shared" si="130"/>
        <v>4</v>
      </c>
      <c r="F653">
        <f t="shared" si="131"/>
        <v>7</v>
      </c>
      <c r="G653" t="e">
        <f t="shared" si="132"/>
        <v>#N/A</v>
      </c>
      <c r="H653" t="e">
        <f t="shared" si="133"/>
        <v>#N/A</v>
      </c>
      <c r="I653" t="e">
        <f t="shared" si="134"/>
        <v>#N/A</v>
      </c>
      <c r="J653" t="e">
        <f t="shared" si="135"/>
        <v>#N/A</v>
      </c>
      <c r="K653" t="e">
        <f t="shared" si="136"/>
        <v>#N/A</v>
      </c>
      <c r="L653" t="e">
        <f t="shared" si="137"/>
        <v>#N/A</v>
      </c>
      <c r="M653">
        <f t="shared" si="138"/>
        <v>2010</v>
      </c>
      <c r="N653">
        <f t="shared" si="139"/>
        <v>4.1609999999999996</v>
      </c>
      <c r="O653">
        <f t="shared" si="140"/>
        <v>1.000653</v>
      </c>
      <c r="P653" t="str">
        <f>IF(OR($A653="",games!$H653=""),"",games!$H653)</f>
        <v/>
      </c>
      <c r="Q653" t="str">
        <f t="shared" si="141"/>
        <v/>
      </c>
      <c r="T653">
        <f>IF(connections!$A653="","",IFERROR(INDEX(games!$B$2:$B$950,MATCH(connections!$A653,games!$A$2:$A$950,0)),""))</f>
        <v>2017</v>
      </c>
      <c r="U653">
        <f>IF(connections!$A653="","",IFERROR(INDEX(games!$B$2:$B$950,MATCH(connections!$B653,games!$A$2:$A$950,0)),""))</f>
        <v>2025</v>
      </c>
      <c r="V653">
        <f t="shared" si="142"/>
        <v>8</v>
      </c>
    </row>
    <row r="654" spans="1:22" x14ac:dyDescent="0.25">
      <c r="A654" t="str">
        <f>IF(games!$A654="","",games!$A654)</f>
        <v>Sandwalkers</v>
      </c>
      <c r="B654">
        <f>IF($A654="","",games!$B654)</f>
        <v>2024</v>
      </c>
      <c r="C654" t="str">
        <f>IF($A654="","",games!$C654)</f>
        <v>Action</v>
      </c>
      <c r="D654">
        <f>IF($A654="","",COUNTIF(connections!$A$2:$A$1473,$A654)+COUNTIF(connections!$B$2:$B$1473,$A654))</f>
        <v>3</v>
      </c>
      <c r="E654">
        <f t="shared" si="130"/>
        <v>1</v>
      </c>
      <c r="F654">
        <f t="shared" si="131"/>
        <v>8</v>
      </c>
      <c r="G654">
        <f t="shared" si="132"/>
        <v>2024</v>
      </c>
      <c r="H654">
        <f t="shared" si="133"/>
        <v>1.1839999999999999</v>
      </c>
      <c r="I654" t="e">
        <f t="shared" si="134"/>
        <v>#N/A</v>
      </c>
      <c r="J654" t="e">
        <f t="shared" si="135"/>
        <v>#N/A</v>
      </c>
      <c r="K654" t="e">
        <f t="shared" si="136"/>
        <v>#N/A</v>
      </c>
      <c r="L654" t="e">
        <f t="shared" si="137"/>
        <v>#N/A</v>
      </c>
      <c r="M654" t="e">
        <f t="shared" si="138"/>
        <v>#N/A</v>
      </c>
      <c r="N654" t="e">
        <f t="shared" si="139"/>
        <v>#N/A</v>
      </c>
      <c r="O654">
        <f t="shared" si="140"/>
        <v>3.0006539999999999</v>
      </c>
      <c r="P654" t="str">
        <f>IF(OR($A654="",games!$H654=""),"",games!$H654)</f>
        <v>Yes</v>
      </c>
      <c r="Q654">
        <f t="shared" si="141"/>
        <v>3.0006539999999999</v>
      </c>
      <c r="T654">
        <f>IF(connections!$A654="","",IFERROR(INDEX(games!$B$2:$B$950,MATCH(connections!$A654,games!$A$2:$A$950,0)),""))</f>
        <v>2015</v>
      </c>
      <c r="U654">
        <f>IF(connections!$A654="","",IFERROR(INDEX(games!$B$2:$B$950,MATCH(connections!$B654,games!$A$2:$A$950,0)),""))</f>
        <v>2019</v>
      </c>
      <c r="V654">
        <f t="shared" si="142"/>
        <v>4</v>
      </c>
    </row>
    <row r="655" spans="1:22" x14ac:dyDescent="0.25">
      <c r="A655" t="str">
        <f>IF(games!$A655="","",games!$A655)</f>
        <v>Scarlet Tower</v>
      </c>
      <c r="B655">
        <f>IF($A655="","",games!$B655)</f>
        <v>2022</v>
      </c>
      <c r="C655" t="str">
        <f>IF($A655="","",games!$C655)</f>
        <v>Action</v>
      </c>
      <c r="D655">
        <f>IF($A655="","",COUNTIF(connections!$A$2:$A$1473,$A655)+COUNTIF(connections!$B$2:$B$1473,$A655))</f>
        <v>1</v>
      </c>
      <c r="E655">
        <f t="shared" si="130"/>
        <v>1</v>
      </c>
      <c r="F655">
        <f t="shared" si="131"/>
        <v>9</v>
      </c>
      <c r="G655">
        <f t="shared" si="132"/>
        <v>2022</v>
      </c>
      <c r="H655">
        <f t="shared" si="133"/>
        <v>1.2070000000000001</v>
      </c>
      <c r="I655" t="e">
        <f t="shared" si="134"/>
        <v>#N/A</v>
      </c>
      <c r="J655" t="e">
        <f t="shared" si="135"/>
        <v>#N/A</v>
      </c>
      <c r="K655" t="e">
        <f t="shared" si="136"/>
        <v>#N/A</v>
      </c>
      <c r="L655" t="e">
        <f t="shared" si="137"/>
        <v>#N/A</v>
      </c>
      <c r="M655" t="e">
        <f t="shared" si="138"/>
        <v>#N/A</v>
      </c>
      <c r="N655" t="e">
        <f t="shared" si="139"/>
        <v>#N/A</v>
      </c>
      <c r="O655">
        <f t="shared" si="140"/>
        <v>1.0006550000000001</v>
      </c>
      <c r="P655" t="str">
        <f>IF(OR($A655="",games!$H655=""),"",games!$H655)</f>
        <v>Yes</v>
      </c>
      <c r="Q655">
        <f t="shared" si="141"/>
        <v>1.0006550000000001</v>
      </c>
      <c r="T655">
        <f>IF(connections!$A655="","",IFERROR(INDEX(games!$B$2:$B$950,MATCH(connections!$A655,games!$A$2:$A$950,0)),""))</f>
        <v>2017</v>
      </c>
      <c r="U655">
        <f>IF(connections!$A655="","",IFERROR(INDEX(games!$B$2:$B$950,MATCH(connections!$B655,games!$A$2:$A$950,0)),""))</f>
        <v>2019</v>
      </c>
      <c r="V655">
        <f t="shared" si="142"/>
        <v>2</v>
      </c>
    </row>
    <row r="656" spans="1:22" x14ac:dyDescent="0.25">
      <c r="A656" t="str">
        <f>IF(games!$A656="","",games!$A656)</f>
        <v>Schism</v>
      </c>
      <c r="B656">
        <f>IF($A656="","",games!$B656)</f>
        <v>2023</v>
      </c>
      <c r="C656" t="str">
        <f>IF($A656="","",games!$C656)</f>
        <v>Action</v>
      </c>
      <c r="D656">
        <f>IF($A656="","",COUNTIF(connections!$A$2:$A$1473,$A656)+COUNTIF(connections!$B$2:$B$1473,$A656))</f>
        <v>2</v>
      </c>
      <c r="E656">
        <f t="shared" si="130"/>
        <v>1</v>
      </c>
      <c r="F656">
        <f t="shared" si="131"/>
        <v>10</v>
      </c>
      <c r="G656">
        <f t="shared" si="132"/>
        <v>2023</v>
      </c>
      <c r="H656">
        <f t="shared" si="133"/>
        <v>1.23</v>
      </c>
      <c r="I656" t="e">
        <f t="shared" si="134"/>
        <v>#N/A</v>
      </c>
      <c r="J656" t="e">
        <f t="shared" si="135"/>
        <v>#N/A</v>
      </c>
      <c r="K656" t="e">
        <f t="shared" si="136"/>
        <v>#N/A</v>
      </c>
      <c r="L656" t="e">
        <f t="shared" si="137"/>
        <v>#N/A</v>
      </c>
      <c r="M656" t="e">
        <f t="shared" si="138"/>
        <v>#N/A</v>
      </c>
      <c r="N656" t="e">
        <f t="shared" si="139"/>
        <v>#N/A</v>
      </c>
      <c r="O656">
        <f t="shared" si="140"/>
        <v>2.0006560000000002</v>
      </c>
      <c r="P656" t="str">
        <f>IF(OR($A656="",games!$H656=""),"",games!$H656)</f>
        <v/>
      </c>
      <c r="Q656" t="str">
        <f t="shared" si="141"/>
        <v/>
      </c>
      <c r="T656">
        <f>IF(connections!$A656="","",IFERROR(INDEX(games!$B$2:$B$950,MATCH(connections!$A656,games!$A$2:$A$950,0)),""))</f>
        <v>1987</v>
      </c>
      <c r="U656">
        <f>IF(connections!$A656="","",IFERROR(INDEX(games!$B$2:$B$950,MATCH(connections!$B656,games!$A$2:$A$950,0)),""))</f>
        <v>2001</v>
      </c>
      <c r="V656">
        <f t="shared" si="142"/>
        <v>14</v>
      </c>
    </row>
    <row r="657" spans="1:22" x14ac:dyDescent="0.25">
      <c r="A657" t="str">
        <f>IF(games!$A657="","",games!$A657)</f>
        <v>Scourgebringer</v>
      </c>
      <c r="B657">
        <f>IF($A657="","",games!$B657)</f>
        <v>2020</v>
      </c>
      <c r="C657" t="str">
        <f>IF($A657="","",games!$C657)</f>
        <v>Action</v>
      </c>
      <c r="D657">
        <f>IF($A657="","",COUNTIF(connections!$A$2:$A$1473,$A657)+COUNTIF(connections!$B$2:$B$1473,$A657))</f>
        <v>7</v>
      </c>
      <c r="E657">
        <f t="shared" si="130"/>
        <v>1</v>
      </c>
      <c r="F657">
        <f t="shared" si="131"/>
        <v>11</v>
      </c>
      <c r="G657">
        <f t="shared" si="132"/>
        <v>2020</v>
      </c>
      <c r="H657">
        <f t="shared" si="133"/>
        <v>1.2530000000000001</v>
      </c>
      <c r="I657" t="e">
        <f t="shared" si="134"/>
        <v>#N/A</v>
      </c>
      <c r="J657" t="e">
        <f t="shared" si="135"/>
        <v>#N/A</v>
      </c>
      <c r="K657" t="e">
        <f t="shared" si="136"/>
        <v>#N/A</v>
      </c>
      <c r="L657" t="e">
        <f t="shared" si="137"/>
        <v>#N/A</v>
      </c>
      <c r="M657" t="e">
        <f t="shared" si="138"/>
        <v>#N/A</v>
      </c>
      <c r="N657" t="e">
        <f t="shared" si="139"/>
        <v>#N/A</v>
      </c>
      <c r="O657">
        <f t="shared" si="140"/>
        <v>7.0006570000000004</v>
      </c>
      <c r="P657" t="str">
        <f>IF(OR($A657="",games!$H657=""),"",games!$H657)</f>
        <v>Yes</v>
      </c>
      <c r="Q657">
        <f t="shared" si="141"/>
        <v>7.0006570000000004</v>
      </c>
      <c r="T657">
        <f>IF(connections!$A657="","",IFERROR(INDEX(games!$B$2:$B$950,MATCH(connections!$A657,games!$A$2:$A$950,0)),""))</f>
        <v>2006</v>
      </c>
      <c r="U657">
        <f>IF(connections!$A657="","",IFERROR(INDEX(games!$B$2:$B$950,MATCH(connections!$B657,games!$A$2:$A$950,0)),""))</f>
        <v>2007</v>
      </c>
      <c r="V657">
        <f t="shared" si="142"/>
        <v>1</v>
      </c>
    </row>
    <row r="658" spans="1:22" x14ac:dyDescent="0.25">
      <c r="A658" t="str">
        <f>IF(games!$A658="","",games!$A658)</f>
        <v>Sea of Survivors</v>
      </c>
      <c r="B658">
        <f>IF($A658="","",games!$B658)</f>
        <v>2023</v>
      </c>
      <c r="C658" t="str">
        <f>IF($A658="","",games!$C658)</f>
        <v>Action</v>
      </c>
      <c r="D658">
        <f>IF($A658="","",COUNTIF(connections!$A$2:$A$1473,$A658)+COUNTIF(connections!$B$2:$B$1473,$A658))</f>
        <v>1</v>
      </c>
      <c r="E658">
        <f t="shared" si="130"/>
        <v>1</v>
      </c>
      <c r="F658">
        <f t="shared" si="131"/>
        <v>12</v>
      </c>
      <c r="G658">
        <f t="shared" si="132"/>
        <v>2023</v>
      </c>
      <c r="H658">
        <f t="shared" si="133"/>
        <v>1.276</v>
      </c>
      <c r="I658" t="e">
        <f t="shared" si="134"/>
        <v>#N/A</v>
      </c>
      <c r="J658" t="e">
        <f t="shared" si="135"/>
        <v>#N/A</v>
      </c>
      <c r="K658" t="e">
        <f t="shared" si="136"/>
        <v>#N/A</v>
      </c>
      <c r="L658" t="e">
        <f t="shared" si="137"/>
        <v>#N/A</v>
      </c>
      <c r="M658" t="e">
        <f t="shared" si="138"/>
        <v>#N/A</v>
      </c>
      <c r="N658" t="e">
        <f t="shared" si="139"/>
        <v>#N/A</v>
      </c>
      <c r="O658">
        <f t="shared" si="140"/>
        <v>1.000658</v>
      </c>
      <c r="P658" t="str">
        <f>IF(OR($A658="",games!$H658=""),"",games!$H658)</f>
        <v/>
      </c>
      <c r="Q658" t="str">
        <f t="shared" si="141"/>
        <v/>
      </c>
      <c r="T658">
        <f>IF(connections!$A658="","",IFERROR(INDEX(games!$B$2:$B$950,MATCH(connections!$A658,games!$A$2:$A$950,0)),""))</f>
        <v>1993</v>
      </c>
      <c r="U658">
        <f>IF(connections!$A658="","",IFERROR(INDEX(games!$B$2:$B$950,MATCH(connections!$B658,games!$A$2:$A$950,0)),""))</f>
        <v>2006</v>
      </c>
      <c r="V658">
        <f t="shared" si="142"/>
        <v>13</v>
      </c>
    </row>
    <row r="659" spans="1:22" x14ac:dyDescent="0.25">
      <c r="A659" t="str">
        <f>IF(games!$A659="","",games!$A659)</f>
        <v>Section 13</v>
      </c>
      <c r="B659">
        <f>IF($A659="","",games!$B659)</f>
        <v>2023</v>
      </c>
      <c r="C659" t="str">
        <f>IF($A659="","",games!$C659)</f>
        <v>Action</v>
      </c>
      <c r="D659">
        <f>IF($A659="","",COUNTIF(connections!$A$2:$A$1473,$A659)+COUNTIF(connections!$B$2:$B$1473,$A659))</f>
        <v>1</v>
      </c>
      <c r="E659">
        <f t="shared" si="130"/>
        <v>1</v>
      </c>
      <c r="F659">
        <f t="shared" si="131"/>
        <v>13</v>
      </c>
      <c r="G659">
        <f t="shared" si="132"/>
        <v>2023</v>
      </c>
      <c r="H659">
        <f t="shared" si="133"/>
        <v>1.2989999999999999</v>
      </c>
      <c r="I659" t="e">
        <f t="shared" si="134"/>
        <v>#N/A</v>
      </c>
      <c r="J659" t="e">
        <f t="shared" si="135"/>
        <v>#N/A</v>
      </c>
      <c r="K659" t="e">
        <f t="shared" si="136"/>
        <v>#N/A</v>
      </c>
      <c r="L659" t="e">
        <f t="shared" si="137"/>
        <v>#N/A</v>
      </c>
      <c r="M659" t="e">
        <f t="shared" si="138"/>
        <v>#N/A</v>
      </c>
      <c r="N659" t="e">
        <f t="shared" si="139"/>
        <v>#N/A</v>
      </c>
      <c r="O659">
        <f t="shared" si="140"/>
        <v>1.000659</v>
      </c>
      <c r="P659" t="str">
        <f>IF(OR($A659="",games!$H659=""),"",games!$H659)</f>
        <v>Yes</v>
      </c>
      <c r="Q659">
        <f t="shared" si="141"/>
        <v>1.000659</v>
      </c>
      <c r="T659">
        <f>IF(connections!$A659="","",IFERROR(INDEX(games!$B$2:$B$950,MATCH(connections!$A659,games!$A$2:$A$950,0)),""))</f>
        <v>2023</v>
      </c>
      <c r="U659">
        <f>IF(connections!$A659="","",IFERROR(INDEX(games!$B$2:$B$950,MATCH(connections!$B659,games!$A$2:$A$950,0)),""))</f>
        <v>2025</v>
      </c>
      <c r="V659">
        <f t="shared" si="142"/>
        <v>2</v>
      </c>
    </row>
    <row r="660" spans="1:22" x14ac:dyDescent="0.25">
      <c r="A660" t="str">
        <f>IF(games!$A660="","",games!$A660)</f>
        <v>Seedborne Soldiers</v>
      </c>
      <c r="B660">
        <f>IF($A660="","",games!$B660)</f>
        <v>2025</v>
      </c>
      <c r="C660" t="str">
        <f>IF($A660="","",games!$C660)</f>
        <v>Strategy</v>
      </c>
      <c r="D660">
        <f>IF($A660="","",COUNTIF(connections!$A$2:$A$1473,$A660)+COUNTIF(connections!$B$2:$B$1473,$A660))</f>
        <v>2</v>
      </c>
      <c r="E660">
        <f t="shared" si="130"/>
        <v>2</v>
      </c>
      <c r="F660">
        <f t="shared" si="131"/>
        <v>14</v>
      </c>
      <c r="G660" t="e">
        <f t="shared" si="132"/>
        <v>#N/A</v>
      </c>
      <c r="H660" t="e">
        <f t="shared" si="133"/>
        <v>#N/A</v>
      </c>
      <c r="I660">
        <f t="shared" si="134"/>
        <v>2025</v>
      </c>
      <c r="J660">
        <f t="shared" si="135"/>
        <v>2.3220000000000001</v>
      </c>
      <c r="K660" t="e">
        <f t="shared" si="136"/>
        <v>#N/A</v>
      </c>
      <c r="L660" t="e">
        <f t="shared" si="137"/>
        <v>#N/A</v>
      </c>
      <c r="M660" t="e">
        <f t="shared" si="138"/>
        <v>#N/A</v>
      </c>
      <c r="N660" t="e">
        <f t="shared" si="139"/>
        <v>#N/A</v>
      </c>
      <c r="O660">
        <f t="shared" si="140"/>
        <v>2.0006599999999999</v>
      </c>
      <c r="P660" t="str">
        <f>IF(OR($A660="",games!$H660=""),"",games!$H660)</f>
        <v/>
      </c>
      <c r="Q660" t="str">
        <f t="shared" si="141"/>
        <v/>
      </c>
      <c r="T660">
        <f>IF(connections!$A660="","",IFERROR(INDEX(games!$B$2:$B$950,MATCH(connections!$A660,games!$A$2:$A$950,0)),""))</f>
        <v>1996</v>
      </c>
      <c r="U660">
        <f>IF(connections!$A660="","",IFERROR(INDEX(games!$B$2:$B$950,MATCH(connections!$B660,games!$A$2:$A$950,0)),""))</f>
        <v>2025</v>
      </c>
      <c r="V660">
        <f t="shared" si="142"/>
        <v>29</v>
      </c>
    </row>
    <row r="661" spans="1:22" x14ac:dyDescent="0.25">
      <c r="A661" t="str">
        <f>IF(games!$A661="","",games!$A661)</f>
        <v>Sephiria</v>
      </c>
      <c r="B661">
        <f>IF($A661="","",games!$B661)</f>
        <v>2025</v>
      </c>
      <c r="C661" t="str">
        <f>IF($A661="","",games!$C661)</f>
        <v>Action</v>
      </c>
      <c r="D661">
        <f>IF($A661="","",COUNTIF(connections!$A$2:$A$1473,$A661)+COUNTIF(connections!$B$2:$B$1473,$A661))</f>
        <v>5</v>
      </c>
      <c r="E661">
        <f t="shared" si="130"/>
        <v>1</v>
      </c>
      <c r="F661">
        <f t="shared" si="131"/>
        <v>15</v>
      </c>
      <c r="G661">
        <f t="shared" si="132"/>
        <v>2025</v>
      </c>
      <c r="H661">
        <f t="shared" si="133"/>
        <v>1.345</v>
      </c>
      <c r="I661" t="e">
        <f t="shared" si="134"/>
        <v>#N/A</v>
      </c>
      <c r="J661" t="e">
        <f t="shared" si="135"/>
        <v>#N/A</v>
      </c>
      <c r="K661" t="e">
        <f t="shared" si="136"/>
        <v>#N/A</v>
      </c>
      <c r="L661" t="e">
        <f t="shared" si="137"/>
        <v>#N/A</v>
      </c>
      <c r="M661" t="e">
        <f t="shared" si="138"/>
        <v>#N/A</v>
      </c>
      <c r="N661" t="e">
        <f t="shared" si="139"/>
        <v>#N/A</v>
      </c>
      <c r="O661">
        <f t="shared" si="140"/>
        <v>5.000661</v>
      </c>
      <c r="P661" t="str">
        <f>IF(OR($A661="",games!$H661=""),"",games!$H661)</f>
        <v/>
      </c>
      <c r="Q661" t="str">
        <f t="shared" si="141"/>
        <v/>
      </c>
      <c r="T661">
        <f>IF(connections!$A661="","",IFERROR(INDEX(games!$B$2:$B$950,MATCH(connections!$A661,games!$A$2:$A$950,0)),""))</f>
        <v>2023</v>
      </c>
      <c r="U661">
        <f>IF(connections!$A661="","",IFERROR(INDEX(games!$B$2:$B$950,MATCH(connections!$B661,games!$A$2:$A$950,0)),""))</f>
        <v>2025</v>
      </c>
      <c r="V661">
        <f t="shared" si="142"/>
        <v>2</v>
      </c>
    </row>
    <row r="662" spans="1:22" x14ac:dyDescent="0.25">
      <c r="A662" t="str">
        <f>IF(games!$A662="","",games!$A662)</f>
        <v>Seraph's Last Stand</v>
      </c>
      <c r="B662">
        <f>IF($A662="","",games!$B662)</f>
        <v>2022</v>
      </c>
      <c r="C662" t="str">
        <f>IF($A662="","",games!$C662)</f>
        <v>Action</v>
      </c>
      <c r="D662">
        <f>IF($A662="","",COUNTIF(connections!$A$2:$A$1473,$A662)+COUNTIF(connections!$B$2:$B$1473,$A662))</f>
        <v>1</v>
      </c>
      <c r="E662">
        <f t="shared" si="130"/>
        <v>1</v>
      </c>
      <c r="F662">
        <f t="shared" si="131"/>
        <v>16</v>
      </c>
      <c r="G662">
        <f t="shared" si="132"/>
        <v>2022</v>
      </c>
      <c r="H662">
        <f t="shared" si="133"/>
        <v>1.3679999999999999</v>
      </c>
      <c r="I662" t="e">
        <f t="shared" si="134"/>
        <v>#N/A</v>
      </c>
      <c r="J662" t="e">
        <f t="shared" si="135"/>
        <v>#N/A</v>
      </c>
      <c r="K662" t="e">
        <f t="shared" si="136"/>
        <v>#N/A</v>
      </c>
      <c r="L662" t="e">
        <f t="shared" si="137"/>
        <v>#N/A</v>
      </c>
      <c r="M662" t="e">
        <f t="shared" si="138"/>
        <v>#N/A</v>
      </c>
      <c r="N662" t="e">
        <f t="shared" si="139"/>
        <v>#N/A</v>
      </c>
      <c r="O662">
        <f t="shared" si="140"/>
        <v>1.0006619999999999</v>
      </c>
      <c r="P662" t="str">
        <f>IF(OR($A662="",games!$H662=""),"",games!$H662)</f>
        <v>Yes</v>
      </c>
      <c r="Q662">
        <f t="shared" si="141"/>
        <v>1.0006619999999999</v>
      </c>
      <c r="T662">
        <f>IF(connections!$A662="","",IFERROR(INDEX(games!$B$2:$B$950,MATCH(connections!$A662,games!$A$2:$A$950,0)),""))</f>
        <v>2021</v>
      </c>
      <c r="U662">
        <f>IF(connections!$A662="","",IFERROR(INDEX(games!$B$2:$B$950,MATCH(connections!$B662,games!$A$2:$A$950,0)),""))</f>
        <v>2025</v>
      </c>
      <c r="V662">
        <f t="shared" si="142"/>
        <v>4</v>
      </c>
    </row>
    <row r="663" spans="1:22" x14ac:dyDescent="0.25">
      <c r="A663" t="str">
        <f>IF(games!$A663="","",games!$A663)</f>
        <v>Serpent's Gaze</v>
      </c>
      <c r="B663">
        <f>IF($A663="","",games!$B663)</f>
        <v>2026</v>
      </c>
      <c r="C663" t="str">
        <f>IF($A663="","",games!$C663)</f>
        <v>Action</v>
      </c>
      <c r="D663">
        <f>IF($A663="","",COUNTIF(connections!$A$2:$A$1473,$A663)+COUNTIF(connections!$B$2:$B$1473,$A663))</f>
        <v>3</v>
      </c>
      <c r="E663">
        <f t="shared" si="130"/>
        <v>1</v>
      </c>
      <c r="F663">
        <f t="shared" si="131"/>
        <v>17</v>
      </c>
      <c r="G663">
        <f t="shared" si="132"/>
        <v>2026</v>
      </c>
      <c r="H663">
        <f t="shared" si="133"/>
        <v>1.391</v>
      </c>
      <c r="I663" t="e">
        <f t="shared" si="134"/>
        <v>#N/A</v>
      </c>
      <c r="J663" t="e">
        <f t="shared" si="135"/>
        <v>#N/A</v>
      </c>
      <c r="K663" t="e">
        <f t="shared" si="136"/>
        <v>#N/A</v>
      </c>
      <c r="L663" t="e">
        <f t="shared" si="137"/>
        <v>#N/A</v>
      </c>
      <c r="M663" t="e">
        <f t="shared" si="138"/>
        <v>#N/A</v>
      </c>
      <c r="N663" t="e">
        <f t="shared" si="139"/>
        <v>#N/A</v>
      </c>
      <c r="O663">
        <f t="shared" si="140"/>
        <v>3.0006629999999999</v>
      </c>
      <c r="P663" t="str">
        <f>IF(OR($A663="",games!$H663=""),"",games!$H663)</f>
        <v/>
      </c>
      <c r="Q663" t="str">
        <f t="shared" si="141"/>
        <v/>
      </c>
      <c r="T663">
        <f>IF(connections!$A663="","",IFERROR(INDEX(games!$B$2:$B$950,MATCH(connections!$A663,games!$A$2:$A$950,0)),""))</f>
        <v>2002</v>
      </c>
      <c r="U663">
        <f>IF(connections!$A663="","",IFERROR(INDEX(games!$B$2:$B$950,MATCH(connections!$B663,games!$A$2:$A$950,0)),""))</f>
        <v>2019</v>
      </c>
      <c r="V663">
        <f t="shared" si="142"/>
        <v>17</v>
      </c>
    </row>
    <row r="664" spans="1:22" x14ac:dyDescent="0.25">
      <c r="A664" t="str">
        <f>IF(games!$A664="","",games!$A664)</f>
        <v>Shadow of the Wyrm</v>
      </c>
      <c r="B664">
        <f>IF($A664="","",games!$B664)</f>
        <v>2015</v>
      </c>
      <c r="C664" t="str">
        <f>IF($A664="","",games!$C664)</f>
        <v>Traditional</v>
      </c>
      <c r="D664">
        <f>IF($A664="","",COUNTIF(connections!$A$2:$A$1473,$A664)+COUNTIF(connections!$B$2:$B$1473,$A664))</f>
        <v>2</v>
      </c>
      <c r="E664">
        <f t="shared" si="130"/>
        <v>4</v>
      </c>
      <c r="F664">
        <f t="shared" si="131"/>
        <v>18</v>
      </c>
      <c r="G664" t="e">
        <f t="shared" si="132"/>
        <v>#N/A</v>
      </c>
      <c r="H664" t="e">
        <f t="shared" si="133"/>
        <v>#N/A</v>
      </c>
      <c r="I664" t="e">
        <f t="shared" si="134"/>
        <v>#N/A</v>
      </c>
      <c r="J664" t="e">
        <f t="shared" si="135"/>
        <v>#N/A</v>
      </c>
      <c r="K664" t="e">
        <f t="shared" si="136"/>
        <v>#N/A</v>
      </c>
      <c r="L664" t="e">
        <f t="shared" si="137"/>
        <v>#N/A</v>
      </c>
      <c r="M664">
        <f t="shared" si="138"/>
        <v>2015</v>
      </c>
      <c r="N664">
        <f t="shared" si="139"/>
        <v>4.4139999999999997</v>
      </c>
      <c r="O664">
        <f t="shared" si="140"/>
        <v>2.000664</v>
      </c>
      <c r="P664" t="str">
        <f>IF(OR($A664="",games!$H664=""),"",games!$H664)</f>
        <v>Yes</v>
      </c>
      <c r="Q664">
        <f t="shared" si="141"/>
        <v>2.000664</v>
      </c>
      <c r="T664">
        <f>IF(connections!$A664="","",IFERROR(INDEX(games!$B$2:$B$950,MATCH(connections!$A664,games!$A$2:$A$950,0)),""))</f>
        <v>2021</v>
      </c>
      <c r="U664">
        <f>IF(connections!$A664="","",IFERROR(INDEX(games!$B$2:$B$950,MATCH(connections!$B664,games!$A$2:$A$950,0)),""))</f>
        <v>2023</v>
      </c>
      <c r="V664">
        <f t="shared" si="142"/>
        <v>2</v>
      </c>
    </row>
    <row r="665" spans="1:22" x14ac:dyDescent="0.25">
      <c r="A665" t="str">
        <f>IF(games!$A665="","",games!$A665)</f>
        <v>Shadowveil: Legend of The Five Rings</v>
      </c>
      <c r="B665">
        <f>IF($A665="","",games!$B665)</f>
        <v>2025</v>
      </c>
      <c r="C665" t="str">
        <f>IF($A665="","",games!$C665)</f>
        <v>Strategy</v>
      </c>
      <c r="D665">
        <f>IF($A665="","",COUNTIF(connections!$A$2:$A$1473,$A665)+COUNTIF(connections!$B$2:$B$1473,$A665))</f>
        <v>3</v>
      </c>
      <c r="E665">
        <f t="shared" si="130"/>
        <v>2</v>
      </c>
      <c r="F665">
        <f t="shared" si="131"/>
        <v>19</v>
      </c>
      <c r="G665" t="e">
        <f t="shared" si="132"/>
        <v>#N/A</v>
      </c>
      <c r="H665" t="e">
        <f t="shared" si="133"/>
        <v>#N/A</v>
      </c>
      <c r="I665">
        <f t="shared" si="134"/>
        <v>2025</v>
      </c>
      <c r="J665">
        <f t="shared" si="135"/>
        <v>2.4369999999999998</v>
      </c>
      <c r="K665" t="e">
        <f t="shared" si="136"/>
        <v>#N/A</v>
      </c>
      <c r="L665" t="e">
        <f t="shared" si="137"/>
        <v>#N/A</v>
      </c>
      <c r="M665" t="e">
        <f t="shared" si="138"/>
        <v>#N/A</v>
      </c>
      <c r="N665" t="e">
        <f t="shared" si="139"/>
        <v>#N/A</v>
      </c>
      <c r="O665">
        <f t="shared" si="140"/>
        <v>3.0006650000000001</v>
      </c>
      <c r="P665" t="str">
        <f>IF(OR($A665="",games!$H665=""),"",games!$H665)</f>
        <v/>
      </c>
      <c r="Q665" t="str">
        <f t="shared" si="141"/>
        <v/>
      </c>
      <c r="T665">
        <f>IF(connections!$A665="","",IFERROR(INDEX(games!$B$2:$B$950,MATCH(connections!$A665,games!$A$2:$A$950,0)),""))</f>
        <v>2021</v>
      </c>
      <c r="U665">
        <f>IF(connections!$A665="","",IFERROR(INDEX(games!$B$2:$B$950,MATCH(connections!$B665,games!$A$2:$A$950,0)),""))</f>
        <v>2024</v>
      </c>
      <c r="V665">
        <f t="shared" si="142"/>
        <v>3</v>
      </c>
    </row>
    <row r="666" spans="1:22" x14ac:dyDescent="0.25">
      <c r="A666" t="str">
        <f>IF(games!$A666="","",games!$A666)</f>
        <v>Shape of Dreams</v>
      </c>
      <c r="B666">
        <f>IF($A666="","",games!$B666)</f>
        <v>2025</v>
      </c>
      <c r="C666" t="str">
        <f>IF($A666="","",games!$C666)</f>
        <v>Action</v>
      </c>
      <c r="D666">
        <f>IF($A666="","",COUNTIF(connections!$A$2:$A$1473,$A666)+COUNTIF(connections!$B$2:$B$1473,$A666))</f>
        <v>3</v>
      </c>
      <c r="E666">
        <f t="shared" si="130"/>
        <v>1</v>
      </c>
      <c r="F666">
        <f t="shared" si="131"/>
        <v>20</v>
      </c>
      <c r="G666">
        <f t="shared" si="132"/>
        <v>2025</v>
      </c>
      <c r="H666">
        <f t="shared" si="133"/>
        <v>1.46</v>
      </c>
      <c r="I666" t="e">
        <f t="shared" si="134"/>
        <v>#N/A</v>
      </c>
      <c r="J666" t="e">
        <f t="shared" si="135"/>
        <v>#N/A</v>
      </c>
      <c r="K666" t="e">
        <f t="shared" si="136"/>
        <v>#N/A</v>
      </c>
      <c r="L666" t="e">
        <f t="shared" si="137"/>
        <v>#N/A</v>
      </c>
      <c r="M666" t="e">
        <f t="shared" si="138"/>
        <v>#N/A</v>
      </c>
      <c r="N666" t="e">
        <f t="shared" si="139"/>
        <v>#N/A</v>
      </c>
      <c r="O666">
        <f t="shared" si="140"/>
        <v>3.0006659999999998</v>
      </c>
      <c r="P666" t="str">
        <f>IF(OR($A666="",games!$H666=""),"",games!$H666)</f>
        <v>Yes</v>
      </c>
      <c r="Q666">
        <f t="shared" si="141"/>
        <v>3.0006659999999998</v>
      </c>
      <c r="T666">
        <f>IF(connections!$A666="","",IFERROR(INDEX(games!$B$2:$B$950,MATCH(connections!$A666,games!$A$2:$A$950,0)),""))</f>
        <v>2017</v>
      </c>
      <c r="U666">
        <f>IF(connections!$A666="","",IFERROR(INDEX(games!$B$2:$B$950,MATCH(connections!$B666,games!$A$2:$A$950,0)),""))</f>
        <v>2024</v>
      </c>
      <c r="V666">
        <f t="shared" si="142"/>
        <v>7</v>
      </c>
    </row>
    <row r="667" spans="1:22" x14ac:dyDescent="0.25">
      <c r="A667" t="str">
        <f>IF(games!$A667="","",games!$A667)</f>
        <v>Shape Shifter: Formations</v>
      </c>
      <c r="B667">
        <f>IF($A667="","",games!$B667)</f>
        <v>2023</v>
      </c>
      <c r="C667" t="str">
        <f>IF($A667="","",games!$C667)</f>
        <v>Action</v>
      </c>
      <c r="D667">
        <f>IF($A667="","",COUNTIF(connections!$A$2:$A$1473,$A667)+COUNTIF(connections!$B$2:$B$1473,$A667))</f>
        <v>2</v>
      </c>
      <c r="E667">
        <f t="shared" si="130"/>
        <v>1</v>
      </c>
      <c r="F667">
        <f t="shared" si="131"/>
        <v>21</v>
      </c>
      <c r="G667">
        <f t="shared" si="132"/>
        <v>2023</v>
      </c>
      <c r="H667">
        <f t="shared" si="133"/>
        <v>1.4830000000000001</v>
      </c>
      <c r="I667" t="e">
        <f t="shared" si="134"/>
        <v>#N/A</v>
      </c>
      <c r="J667" t="e">
        <f t="shared" si="135"/>
        <v>#N/A</v>
      </c>
      <c r="K667" t="e">
        <f t="shared" si="136"/>
        <v>#N/A</v>
      </c>
      <c r="L667" t="e">
        <f t="shared" si="137"/>
        <v>#N/A</v>
      </c>
      <c r="M667" t="e">
        <f t="shared" si="138"/>
        <v>#N/A</v>
      </c>
      <c r="N667" t="e">
        <f t="shared" si="139"/>
        <v>#N/A</v>
      </c>
      <c r="O667">
        <f t="shared" si="140"/>
        <v>2.000667</v>
      </c>
      <c r="P667" t="str">
        <f>IF(OR($A667="",games!$H667=""),"",games!$H667)</f>
        <v/>
      </c>
      <c r="Q667" t="str">
        <f t="shared" si="141"/>
        <v/>
      </c>
      <c r="T667">
        <f>IF(connections!$A667="","",IFERROR(INDEX(games!$B$2:$B$950,MATCH(connections!$A667,games!$A$2:$A$950,0)),""))</f>
        <v>2021</v>
      </c>
      <c r="U667">
        <f>IF(connections!$A667="","",IFERROR(INDEX(games!$B$2:$B$950,MATCH(connections!$B667,games!$A$2:$A$950,0)),""))</f>
        <v>2024</v>
      </c>
      <c r="V667">
        <f t="shared" si="142"/>
        <v>3</v>
      </c>
    </row>
    <row r="668" spans="1:22" x14ac:dyDescent="0.25">
      <c r="A668" t="str">
        <f>IF(games!$A668="","",games!$A668)</f>
        <v>Shard Squad</v>
      </c>
      <c r="B668">
        <f>IF($A668="","",games!$B668)</f>
        <v>2025</v>
      </c>
      <c r="C668" t="str">
        <f>IF($A668="","",games!$C668)</f>
        <v>Action</v>
      </c>
      <c r="D668">
        <f>IF($A668="","",COUNTIF(connections!$A$2:$A$1473,$A668)+COUNTIF(connections!$B$2:$B$1473,$A668))</f>
        <v>1</v>
      </c>
      <c r="E668">
        <f t="shared" si="130"/>
        <v>1</v>
      </c>
      <c r="F668">
        <f t="shared" si="131"/>
        <v>22</v>
      </c>
      <c r="G668">
        <f t="shared" si="132"/>
        <v>2025</v>
      </c>
      <c r="H668">
        <f t="shared" si="133"/>
        <v>1.506</v>
      </c>
      <c r="I668" t="e">
        <f t="shared" si="134"/>
        <v>#N/A</v>
      </c>
      <c r="J668" t="e">
        <f t="shared" si="135"/>
        <v>#N/A</v>
      </c>
      <c r="K668" t="e">
        <f t="shared" si="136"/>
        <v>#N/A</v>
      </c>
      <c r="L668" t="e">
        <f t="shared" si="137"/>
        <v>#N/A</v>
      </c>
      <c r="M668" t="e">
        <f t="shared" si="138"/>
        <v>#N/A</v>
      </c>
      <c r="N668" t="e">
        <f t="shared" si="139"/>
        <v>#N/A</v>
      </c>
      <c r="O668">
        <f t="shared" si="140"/>
        <v>1.0006679999999999</v>
      </c>
      <c r="P668" t="str">
        <f>IF(OR($A668="",games!$H668=""),"",games!$H668)</f>
        <v/>
      </c>
      <c r="Q668" t="str">
        <f t="shared" si="141"/>
        <v/>
      </c>
      <c r="T668">
        <f>IF(connections!$A668="","",IFERROR(INDEX(games!$B$2:$B$950,MATCH(connections!$A668,games!$A$2:$A$950,0)),""))</f>
        <v>2018</v>
      </c>
      <c r="U668">
        <f>IF(connections!$A668="","",IFERROR(INDEX(games!$B$2:$B$950,MATCH(connections!$B668,games!$A$2:$A$950,0)),""))</f>
        <v>2025</v>
      </c>
      <c r="V668">
        <f t="shared" si="142"/>
        <v>7</v>
      </c>
    </row>
    <row r="669" spans="1:22" x14ac:dyDescent="0.25">
      <c r="A669" t="str">
        <f>IF(games!$A669="","",games!$A669)</f>
        <v>Shattered Pixel Dungeon</v>
      </c>
      <c r="B669">
        <f>IF($A669="","",games!$B669)</f>
        <v>2014</v>
      </c>
      <c r="C669" t="str">
        <f>IF($A669="","",games!$C669)</f>
        <v>Traditional</v>
      </c>
      <c r="D669">
        <f>IF($A669="","",COUNTIF(connections!$A$2:$A$1473,$A669)+COUNTIF(connections!$B$2:$B$1473,$A669))</f>
        <v>2</v>
      </c>
      <c r="E669">
        <f t="shared" si="130"/>
        <v>4</v>
      </c>
      <c r="F669">
        <f t="shared" si="131"/>
        <v>23</v>
      </c>
      <c r="G669" t="e">
        <f t="shared" si="132"/>
        <v>#N/A</v>
      </c>
      <c r="H669" t="e">
        <f t="shared" si="133"/>
        <v>#N/A</v>
      </c>
      <c r="I669" t="e">
        <f t="shared" si="134"/>
        <v>#N/A</v>
      </c>
      <c r="J669" t="e">
        <f t="shared" si="135"/>
        <v>#N/A</v>
      </c>
      <c r="K669" t="e">
        <f t="shared" si="136"/>
        <v>#N/A</v>
      </c>
      <c r="L669" t="e">
        <f t="shared" si="137"/>
        <v>#N/A</v>
      </c>
      <c r="M669">
        <f t="shared" si="138"/>
        <v>2014</v>
      </c>
      <c r="N669">
        <f t="shared" si="139"/>
        <v>4.5289999999999999</v>
      </c>
      <c r="O669">
        <f t="shared" si="140"/>
        <v>2.0006689999999998</v>
      </c>
      <c r="P669" t="str">
        <f>IF(OR($A669="",games!$H669=""),"",games!$H669)</f>
        <v/>
      </c>
      <c r="Q669" t="str">
        <f t="shared" si="141"/>
        <v/>
      </c>
      <c r="T669">
        <f>IF(connections!$A669="","",IFERROR(INDEX(games!$B$2:$B$950,MATCH(connections!$A669,games!$A$2:$A$950,0)),""))</f>
        <v>1994</v>
      </c>
      <c r="U669">
        <f>IF(connections!$A669="","",IFERROR(INDEX(games!$B$2:$B$950,MATCH(connections!$B669,games!$A$2:$A$950,0)),""))</f>
        <v>2015</v>
      </c>
      <c r="V669">
        <f t="shared" si="142"/>
        <v>21</v>
      </c>
    </row>
    <row r="670" spans="1:22" x14ac:dyDescent="0.25">
      <c r="A670" t="str">
        <f>IF(games!$A670="","",games!$A670)</f>
        <v>Ship of Fools</v>
      </c>
      <c r="B670">
        <f>IF($A670="","",games!$B670)</f>
        <v>2022</v>
      </c>
      <c r="C670" t="str">
        <f>IF($A670="","",games!$C670)</f>
        <v>Action</v>
      </c>
      <c r="D670">
        <f>IF($A670="","",COUNTIF(connections!$A$2:$A$1473,$A670)+COUNTIF(connections!$B$2:$B$1473,$A670))</f>
        <v>3</v>
      </c>
      <c r="E670">
        <f t="shared" si="130"/>
        <v>1</v>
      </c>
      <c r="F670">
        <f t="shared" si="131"/>
        <v>24</v>
      </c>
      <c r="G670">
        <f t="shared" si="132"/>
        <v>2022</v>
      </c>
      <c r="H670">
        <f t="shared" si="133"/>
        <v>1.552</v>
      </c>
      <c r="I670" t="e">
        <f t="shared" si="134"/>
        <v>#N/A</v>
      </c>
      <c r="J670" t="e">
        <f t="shared" si="135"/>
        <v>#N/A</v>
      </c>
      <c r="K670" t="e">
        <f t="shared" si="136"/>
        <v>#N/A</v>
      </c>
      <c r="L670" t="e">
        <f t="shared" si="137"/>
        <v>#N/A</v>
      </c>
      <c r="M670" t="e">
        <f t="shared" si="138"/>
        <v>#N/A</v>
      </c>
      <c r="N670" t="e">
        <f t="shared" si="139"/>
        <v>#N/A</v>
      </c>
      <c r="O670">
        <f t="shared" si="140"/>
        <v>3.0006699999999999</v>
      </c>
      <c r="P670" t="str">
        <f>IF(OR($A670="",games!$H670=""),"",games!$H670)</f>
        <v>Yes</v>
      </c>
      <c r="Q670">
        <f t="shared" si="141"/>
        <v>3.0006699999999999</v>
      </c>
      <c r="T670">
        <f>IF(connections!$A670="","",IFERROR(INDEX(games!$B$2:$B$950,MATCH(connections!$A670,games!$A$2:$A$950,0)),""))</f>
        <v>2006</v>
      </c>
      <c r="U670">
        <f>IF(connections!$A670="","",IFERROR(INDEX(games!$B$2:$B$950,MATCH(connections!$B670,games!$A$2:$A$950,0)),""))</f>
        <v>2015</v>
      </c>
      <c r="V670">
        <f t="shared" si="142"/>
        <v>9</v>
      </c>
    </row>
    <row r="671" spans="1:22" x14ac:dyDescent="0.25">
      <c r="A671" t="str">
        <f>IF(games!$A671="","",games!$A671)</f>
        <v>Shiren the Wanderer (2008)</v>
      </c>
      <c r="B671">
        <f>IF($A671="","",games!$B671)</f>
        <v>2008</v>
      </c>
      <c r="C671" t="str">
        <f>IF($A671="","",games!$C671)</f>
        <v>Traditional</v>
      </c>
      <c r="D671">
        <f>IF($A671="","",COUNTIF(connections!$A$2:$A$1473,$A671)+COUNTIF(connections!$B$2:$B$1473,$A671))</f>
        <v>2</v>
      </c>
      <c r="E671">
        <f t="shared" si="130"/>
        <v>4</v>
      </c>
      <c r="F671">
        <f t="shared" si="131"/>
        <v>25</v>
      </c>
      <c r="G671" t="e">
        <f t="shared" si="132"/>
        <v>#N/A</v>
      </c>
      <c r="H671" t="e">
        <f t="shared" si="133"/>
        <v>#N/A</v>
      </c>
      <c r="I671" t="e">
        <f t="shared" si="134"/>
        <v>#N/A</v>
      </c>
      <c r="J671" t="e">
        <f t="shared" si="135"/>
        <v>#N/A</v>
      </c>
      <c r="K671" t="e">
        <f t="shared" si="136"/>
        <v>#N/A</v>
      </c>
      <c r="L671" t="e">
        <f t="shared" si="137"/>
        <v>#N/A</v>
      </c>
      <c r="M671">
        <f t="shared" si="138"/>
        <v>2008</v>
      </c>
      <c r="N671">
        <f t="shared" si="139"/>
        <v>4.5750000000000002</v>
      </c>
      <c r="O671">
        <f t="shared" si="140"/>
        <v>2.0006710000000001</v>
      </c>
      <c r="P671" t="str">
        <f>IF(OR($A671="",games!$H671=""),"",games!$H671)</f>
        <v>Yes</v>
      </c>
      <c r="Q671">
        <f t="shared" si="141"/>
        <v>2.0006710000000001</v>
      </c>
      <c r="T671">
        <f>IF(connections!$A671="","",IFERROR(INDEX(games!$B$2:$B$950,MATCH(connections!$A671,games!$A$2:$A$950,0)),""))</f>
        <v>1987</v>
      </c>
      <c r="U671">
        <f>IF(connections!$A671="","",IFERROR(INDEX(games!$B$2:$B$950,MATCH(connections!$B671,games!$A$2:$A$950,0)),""))</f>
        <v>2015</v>
      </c>
      <c r="V671">
        <f t="shared" si="142"/>
        <v>28</v>
      </c>
    </row>
    <row r="672" spans="1:22" x14ac:dyDescent="0.25">
      <c r="A672" t="str">
        <f>IF(games!$A672="","",games!$A672)</f>
        <v>Shiren the Wanderer 2: Shiren's Castle and the Oni Invasion</v>
      </c>
      <c r="B672">
        <f>IF($A672="","",games!$B672)</f>
        <v>2000</v>
      </c>
      <c r="C672" t="str">
        <f>IF($A672="","",games!$C672)</f>
        <v>Traditional</v>
      </c>
      <c r="D672">
        <f>IF($A672="","",COUNTIF(connections!$A$2:$A$1473,$A672)+COUNTIF(connections!$B$2:$B$1473,$A672))</f>
        <v>3</v>
      </c>
      <c r="E672">
        <f t="shared" si="130"/>
        <v>4</v>
      </c>
      <c r="F672">
        <f t="shared" si="131"/>
        <v>26</v>
      </c>
      <c r="G672" t="e">
        <f t="shared" si="132"/>
        <v>#N/A</v>
      </c>
      <c r="H672" t="e">
        <f t="shared" si="133"/>
        <v>#N/A</v>
      </c>
      <c r="I672" t="e">
        <f t="shared" si="134"/>
        <v>#N/A</v>
      </c>
      <c r="J672" t="e">
        <f t="shared" si="135"/>
        <v>#N/A</v>
      </c>
      <c r="K672" t="e">
        <f t="shared" si="136"/>
        <v>#N/A</v>
      </c>
      <c r="L672" t="e">
        <f t="shared" si="137"/>
        <v>#N/A</v>
      </c>
      <c r="M672">
        <f t="shared" si="138"/>
        <v>2000</v>
      </c>
      <c r="N672">
        <f t="shared" si="139"/>
        <v>4.5979999999999999</v>
      </c>
      <c r="O672">
        <f t="shared" si="140"/>
        <v>3.0006719999999998</v>
      </c>
      <c r="P672" t="str">
        <f>IF(OR($A672="",games!$H672=""),"",games!$H672)</f>
        <v>Yes</v>
      </c>
      <c r="Q672">
        <f t="shared" si="141"/>
        <v>3.0006719999999998</v>
      </c>
      <c r="T672">
        <f>IF(connections!$A672="","",IFERROR(INDEX(games!$B$2:$B$950,MATCH(connections!$A672,games!$A$2:$A$950,0)),""))</f>
        <v>2021</v>
      </c>
      <c r="U672">
        <f>IF(connections!$A672="","",IFERROR(INDEX(games!$B$2:$B$950,MATCH(connections!$B672,games!$A$2:$A$950,0)),""))</f>
        <v>2023</v>
      </c>
      <c r="V672">
        <f t="shared" si="142"/>
        <v>2</v>
      </c>
    </row>
    <row r="673" spans="1:22" x14ac:dyDescent="0.25">
      <c r="A673" t="str">
        <f>IF(games!$A673="","",games!$A673)</f>
        <v>Shiren the Wanderer 4: The Eye of God and the Devil's Navel</v>
      </c>
      <c r="B673">
        <f>IF($A673="","",games!$B673)</f>
        <v>2010</v>
      </c>
      <c r="C673" t="str">
        <f>IF($A673="","",games!$C673)</f>
        <v>Traditional</v>
      </c>
      <c r="D673">
        <f>IF($A673="","",COUNTIF(connections!$A$2:$A$1473,$A673)+COUNTIF(connections!$B$2:$B$1473,$A673))</f>
        <v>2</v>
      </c>
      <c r="E673">
        <f t="shared" si="130"/>
        <v>4</v>
      </c>
      <c r="F673">
        <f t="shared" si="131"/>
        <v>27</v>
      </c>
      <c r="G673" t="e">
        <f t="shared" si="132"/>
        <v>#N/A</v>
      </c>
      <c r="H673" t="e">
        <f t="shared" si="133"/>
        <v>#N/A</v>
      </c>
      <c r="I673" t="e">
        <f t="shared" si="134"/>
        <v>#N/A</v>
      </c>
      <c r="J673" t="e">
        <f t="shared" si="135"/>
        <v>#N/A</v>
      </c>
      <c r="K673" t="e">
        <f t="shared" si="136"/>
        <v>#N/A</v>
      </c>
      <c r="L673" t="e">
        <f t="shared" si="137"/>
        <v>#N/A</v>
      </c>
      <c r="M673">
        <f t="shared" si="138"/>
        <v>2010</v>
      </c>
      <c r="N673">
        <f t="shared" si="139"/>
        <v>4.6210000000000004</v>
      </c>
      <c r="O673">
        <f t="shared" si="140"/>
        <v>2.0006729999999999</v>
      </c>
      <c r="P673" t="str">
        <f>IF(OR($A673="",games!$H673=""),"",games!$H673)</f>
        <v>Yes</v>
      </c>
      <c r="Q673">
        <f t="shared" si="141"/>
        <v>2.0006729999999999</v>
      </c>
      <c r="T673">
        <f>IF(connections!$A673="","",IFERROR(INDEX(games!$B$2:$B$950,MATCH(connections!$A673,games!$A$2:$A$950,0)),""))</f>
        <v>1998</v>
      </c>
      <c r="U673">
        <f>IF(connections!$A673="","",IFERROR(INDEX(games!$B$2:$B$950,MATCH(connections!$B673,games!$A$2:$A$950,0)),""))</f>
        <v>2026</v>
      </c>
      <c r="V673">
        <f t="shared" si="142"/>
        <v>28</v>
      </c>
    </row>
    <row r="674" spans="1:22" x14ac:dyDescent="0.25">
      <c r="A674" t="str">
        <f>IF(games!$A674="","",games!$A674)</f>
        <v>Shiren the Wanderer Gaiden: Asuka the Swordswoman</v>
      </c>
      <c r="B674">
        <f>IF($A674="","",games!$B674)</f>
        <v>2002</v>
      </c>
      <c r="C674" t="str">
        <f>IF($A674="","",games!$C674)</f>
        <v>Traditional</v>
      </c>
      <c r="D674">
        <f>IF($A674="","",COUNTIF(connections!$A$2:$A$1473,$A674)+COUNTIF(connections!$B$2:$B$1473,$A674))</f>
        <v>1</v>
      </c>
      <c r="E674">
        <f t="shared" si="130"/>
        <v>4</v>
      </c>
      <c r="F674">
        <f t="shared" si="131"/>
        <v>28</v>
      </c>
      <c r="G674" t="e">
        <f t="shared" si="132"/>
        <v>#N/A</v>
      </c>
      <c r="H674" t="e">
        <f t="shared" si="133"/>
        <v>#N/A</v>
      </c>
      <c r="I674" t="e">
        <f t="shared" si="134"/>
        <v>#N/A</v>
      </c>
      <c r="J674" t="e">
        <f t="shared" si="135"/>
        <v>#N/A</v>
      </c>
      <c r="K674" t="e">
        <f t="shared" si="136"/>
        <v>#N/A</v>
      </c>
      <c r="L674" t="e">
        <f t="shared" si="137"/>
        <v>#N/A</v>
      </c>
      <c r="M674">
        <f t="shared" si="138"/>
        <v>2002</v>
      </c>
      <c r="N674">
        <f t="shared" si="139"/>
        <v>4.6440000000000001</v>
      </c>
      <c r="O674">
        <f t="shared" si="140"/>
        <v>1.0006740000000001</v>
      </c>
      <c r="P674" t="str">
        <f>IF(OR($A674="",games!$H674=""),"",games!$H674)</f>
        <v>Yes</v>
      </c>
      <c r="Q674">
        <f t="shared" si="141"/>
        <v>1.0006740000000001</v>
      </c>
      <c r="T674">
        <f>IF(connections!$A674="","",IFERROR(INDEX(games!$B$2:$B$950,MATCH(connections!$A674,games!$A$2:$A$950,0)),""))</f>
        <v>1998</v>
      </c>
      <c r="U674">
        <f>IF(connections!$A674="","",IFERROR(INDEX(games!$B$2:$B$950,MATCH(connections!$B674,games!$A$2:$A$950,0)),""))</f>
        <v>2026</v>
      </c>
      <c r="V674">
        <f t="shared" si="142"/>
        <v>28</v>
      </c>
    </row>
    <row r="675" spans="1:22" x14ac:dyDescent="0.25">
      <c r="A675" t="str">
        <f>IF(games!$A675="","",games!$A675)</f>
        <v>Shiren the Wanderer GB: Monster of Moonlight Village</v>
      </c>
      <c r="B675">
        <f>IF($A675="","",games!$B675)</f>
        <v>1996</v>
      </c>
      <c r="C675" t="str">
        <f>IF($A675="","",games!$C675)</f>
        <v>Traditional</v>
      </c>
      <c r="D675">
        <f>IF($A675="","",COUNTIF(connections!$A$2:$A$1473,$A675)+COUNTIF(connections!$B$2:$B$1473,$A675))</f>
        <v>2</v>
      </c>
      <c r="E675">
        <f t="shared" si="130"/>
        <v>4</v>
      </c>
      <c r="F675">
        <f t="shared" si="131"/>
        <v>29</v>
      </c>
      <c r="G675" t="e">
        <f t="shared" si="132"/>
        <v>#N/A</v>
      </c>
      <c r="H675" t="e">
        <f t="shared" si="133"/>
        <v>#N/A</v>
      </c>
      <c r="I675" t="e">
        <f t="shared" si="134"/>
        <v>#N/A</v>
      </c>
      <c r="J675" t="e">
        <f t="shared" si="135"/>
        <v>#N/A</v>
      </c>
      <c r="K675" t="e">
        <f t="shared" si="136"/>
        <v>#N/A</v>
      </c>
      <c r="L675" t="e">
        <f t="shared" si="137"/>
        <v>#N/A</v>
      </c>
      <c r="M675">
        <f t="shared" si="138"/>
        <v>1996</v>
      </c>
      <c r="N675">
        <f t="shared" si="139"/>
        <v>4.6669999999999998</v>
      </c>
      <c r="O675">
        <f t="shared" si="140"/>
        <v>2.0006750000000002</v>
      </c>
      <c r="P675" t="str">
        <f>IF(OR($A675="",games!$H675=""),"",games!$H675)</f>
        <v>Yes</v>
      </c>
      <c r="Q675">
        <f t="shared" si="141"/>
        <v>2.0006750000000002</v>
      </c>
      <c r="T675">
        <f>IF(connections!$A675="","",IFERROR(INDEX(games!$B$2:$B$950,MATCH(connections!$A675,games!$A$2:$A$950,0)),""))</f>
        <v>2022</v>
      </c>
      <c r="U675">
        <f>IF(connections!$A675="","",IFERROR(INDEX(games!$B$2:$B$950,MATCH(connections!$B675,games!$A$2:$A$950,0)),""))</f>
        <v>2025</v>
      </c>
      <c r="V675">
        <f t="shared" si="142"/>
        <v>3</v>
      </c>
    </row>
    <row r="676" spans="1:22" x14ac:dyDescent="0.25">
      <c r="A676" t="str">
        <f>IF(games!$A676="","",games!$A676)</f>
        <v>Shiren the Wanderer GB2: Magic Castle of the Desert</v>
      </c>
      <c r="B676">
        <f>IF($A676="","",games!$B676)</f>
        <v>2001</v>
      </c>
      <c r="C676" t="str">
        <f>IF($A676="","",games!$C676)</f>
        <v>Traditional</v>
      </c>
      <c r="D676">
        <f>IF($A676="","",COUNTIF(connections!$A$2:$A$1473,$A676)+COUNTIF(connections!$B$2:$B$1473,$A676))</f>
        <v>1</v>
      </c>
      <c r="E676">
        <f t="shared" si="130"/>
        <v>4</v>
      </c>
      <c r="F676">
        <f t="shared" si="131"/>
        <v>30</v>
      </c>
      <c r="G676" t="e">
        <f t="shared" si="132"/>
        <v>#N/A</v>
      </c>
      <c r="H676" t="e">
        <f t="shared" si="133"/>
        <v>#N/A</v>
      </c>
      <c r="I676" t="e">
        <f t="shared" si="134"/>
        <v>#N/A</v>
      </c>
      <c r="J676" t="e">
        <f t="shared" si="135"/>
        <v>#N/A</v>
      </c>
      <c r="K676" t="e">
        <f t="shared" si="136"/>
        <v>#N/A</v>
      </c>
      <c r="L676" t="e">
        <f t="shared" si="137"/>
        <v>#N/A</v>
      </c>
      <c r="M676">
        <f t="shared" si="138"/>
        <v>2001</v>
      </c>
      <c r="N676">
        <f t="shared" si="139"/>
        <v>4.6899999999999995</v>
      </c>
      <c r="O676">
        <f t="shared" si="140"/>
        <v>1.0006759999999999</v>
      </c>
      <c r="P676" t="str">
        <f>IF(OR($A676="",games!$H676=""),"",games!$H676)</f>
        <v>Yes</v>
      </c>
      <c r="Q676">
        <f t="shared" si="141"/>
        <v>1.0006759999999999</v>
      </c>
      <c r="T676">
        <f>IF(connections!$A676="","",IFERROR(INDEX(games!$B$2:$B$950,MATCH(connections!$A676,games!$A$2:$A$950,0)),""))</f>
        <v>2022</v>
      </c>
      <c r="U676">
        <f>IF(connections!$A676="","",IFERROR(INDEX(games!$B$2:$B$950,MATCH(connections!$B676,games!$A$2:$A$950,0)),""))</f>
        <v>2025</v>
      </c>
      <c r="V676">
        <f t="shared" si="142"/>
        <v>3</v>
      </c>
    </row>
    <row r="677" spans="1:22" x14ac:dyDescent="0.25">
      <c r="A677" t="str">
        <f>IF(games!$A677="","",games!$A677)</f>
        <v>Shiren the Wanderer: The Mystery Dungeon of Serpentcoil Island</v>
      </c>
      <c r="B677">
        <f>IF($A677="","",games!$B677)</f>
        <v>2024</v>
      </c>
      <c r="C677" t="str">
        <f>IF($A677="","",games!$C677)</f>
        <v>Traditional</v>
      </c>
      <c r="D677">
        <f>IF($A677="","",COUNTIF(connections!$A$2:$A$1473,$A677)+COUNTIF(connections!$B$2:$B$1473,$A677))</f>
        <v>1</v>
      </c>
      <c r="E677">
        <f t="shared" si="130"/>
        <v>4</v>
      </c>
      <c r="F677">
        <f t="shared" si="131"/>
        <v>31</v>
      </c>
      <c r="G677" t="e">
        <f t="shared" si="132"/>
        <v>#N/A</v>
      </c>
      <c r="H677" t="e">
        <f t="shared" si="133"/>
        <v>#N/A</v>
      </c>
      <c r="I677" t="e">
        <f t="shared" si="134"/>
        <v>#N/A</v>
      </c>
      <c r="J677" t="e">
        <f t="shared" si="135"/>
        <v>#N/A</v>
      </c>
      <c r="K677" t="e">
        <f t="shared" si="136"/>
        <v>#N/A</v>
      </c>
      <c r="L677" t="e">
        <f t="shared" si="137"/>
        <v>#N/A</v>
      </c>
      <c r="M677">
        <f t="shared" si="138"/>
        <v>2024</v>
      </c>
      <c r="N677">
        <f t="shared" si="139"/>
        <v>4.7130000000000001</v>
      </c>
      <c r="O677">
        <f t="shared" si="140"/>
        <v>1.000677</v>
      </c>
      <c r="P677" t="str">
        <f>IF(OR($A677="",games!$H677=""),"",games!$H677)</f>
        <v>Yes</v>
      </c>
      <c r="Q677">
        <f t="shared" si="141"/>
        <v>1.000677</v>
      </c>
      <c r="T677">
        <f>IF(connections!$A677="","",IFERROR(INDEX(games!$B$2:$B$950,MATCH(connections!$A677,games!$A$2:$A$950,0)),""))</f>
        <v>2015</v>
      </c>
      <c r="U677">
        <f>IF(connections!$A677="","",IFERROR(INDEX(games!$B$2:$B$950,MATCH(connections!$B677,games!$A$2:$A$950,0)),""))</f>
        <v>2025</v>
      </c>
      <c r="V677">
        <f t="shared" si="142"/>
        <v>10</v>
      </c>
    </row>
    <row r="678" spans="1:22" x14ac:dyDescent="0.25">
      <c r="A678" t="str">
        <f>IF(games!$A678="","",games!$A678)</f>
        <v>Shiren the Wanderer: The Tower of Fortune and the Dice of Fate</v>
      </c>
      <c r="B678">
        <f>IF($A678="","",games!$B678)</f>
        <v>2010</v>
      </c>
      <c r="C678" t="str">
        <f>IF($A678="","",games!$C678)</f>
        <v>Traditional</v>
      </c>
      <c r="D678">
        <f>IF($A678="","",COUNTIF(connections!$A$2:$A$1473,$A678)+COUNTIF(connections!$B$2:$B$1473,$A678))</f>
        <v>2</v>
      </c>
      <c r="E678">
        <f t="shared" si="130"/>
        <v>4</v>
      </c>
      <c r="F678">
        <f t="shared" si="131"/>
        <v>32</v>
      </c>
      <c r="G678" t="e">
        <f t="shared" si="132"/>
        <v>#N/A</v>
      </c>
      <c r="H678" t="e">
        <f t="shared" si="133"/>
        <v>#N/A</v>
      </c>
      <c r="I678" t="e">
        <f t="shared" si="134"/>
        <v>#N/A</v>
      </c>
      <c r="J678" t="e">
        <f t="shared" si="135"/>
        <v>#N/A</v>
      </c>
      <c r="K678" t="e">
        <f t="shared" si="136"/>
        <v>#N/A</v>
      </c>
      <c r="L678" t="e">
        <f t="shared" si="137"/>
        <v>#N/A</v>
      </c>
      <c r="M678">
        <f t="shared" si="138"/>
        <v>2010</v>
      </c>
      <c r="N678">
        <f t="shared" si="139"/>
        <v>4.7359999999999998</v>
      </c>
      <c r="O678">
        <f t="shared" si="140"/>
        <v>2.0006780000000002</v>
      </c>
      <c r="P678" t="str">
        <f>IF(OR($A678="",games!$H678=""),"",games!$H678)</f>
        <v>Yes</v>
      </c>
      <c r="Q678">
        <f t="shared" si="141"/>
        <v>2.0006780000000002</v>
      </c>
      <c r="T678">
        <f>IF(connections!$A678="","",IFERROR(INDEX(games!$B$2:$B$950,MATCH(connections!$A678,games!$A$2:$A$950,0)),""))</f>
        <v>2019</v>
      </c>
      <c r="U678">
        <f>IF(connections!$A678="","",IFERROR(INDEX(games!$B$2:$B$950,MATCH(connections!$B678,games!$A$2:$A$950,0)),""))</f>
        <v>2025</v>
      </c>
      <c r="V678">
        <f t="shared" si="142"/>
        <v>6</v>
      </c>
    </row>
    <row r="679" spans="1:22" x14ac:dyDescent="0.25">
      <c r="A679" t="str">
        <f>IF(games!$A679="","",games!$A679)</f>
        <v>Shogun Showdown</v>
      </c>
      <c r="B679">
        <f>IF($A679="","",games!$B679)</f>
        <v>2023</v>
      </c>
      <c r="C679" t="str">
        <f>IF($A679="","",games!$C679)</f>
        <v>Strategy</v>
      </c>
      <c r="D679">
        <f>IF($A679="","",COUNTIF(connections!$A$2:$A$1473,$A679)+COUNTIF(connections!$B$2:$B$1473,$A679))</f>
        <v>5</v>
      </c>
      <c r="E679">
        <f t="shared" si="130"/>
        <v>2</v>
      </c>
      <c r="F679">
        <f t="shared" si="131"/>
        <v>33</v>
      </c>
      <c r="G679" t="e">
        <f t="shared" si="132"/>
        <v>#N/A</v>
      </c>
      <c r="H679" t="e">
        <f t="shared" si="133"/>
        <v>#N/A</v>
      </c>
      <c r="I679">
        <f t="shared" si="134"/>
        <v>2023</v>
      </c>
      <c r="J679">
        <f t="shared" si="135"/>
        <v>2.7589999999999999</v>
      </c>
      <c r="K679" t="e">
        <f t="shared" si="136"/>
        <v>#N/A</v>
      </c>
      <c r="L679" t="e">
        <f t="shared" si="137"/>
        <v>#N/A</v>
      </c>
      <c r="M679" t="e">
        <f t="shared" si="138"/>
        <v>#N/A</v>
      </c>
      <c r="N679" t="e">
        <f t="shared" si="139"/>
        <v>#N/A</v>
      </c>
      <c r="O679">
        <f t="shared" si="140"/>
        <v>5.0006789999999999</v>
      </c>
      <c r="P679" t="str">
        <f>IF(OR($A679="",games!$H679=""),"",games!$H679)</f>
        <v>Yes</v>
      </c>
      <c r="Q679">
        <f t="shared" si="141"/>
        <v>5.0006789999999999</v>
      </c>
      <c r="T679">
        <f>IF(connections!$A679="","",IFERROR(INDEX(games!$B$2:$B$950,MATCH(connections!$A679,games!$A$2:$A$950,0)),""))</f>
        <v>2021</v>
      </c>
      <c r="U679">
        <f>IF(connections!$A679="","",IFERROR(INDEX(games!$B$2:$B$950,MATCH(connections!$B679,games!$A$2:$A$950,0)),""))</f>
        <v>2025</v>
      </c>
      <c r="V679">
        <f t="shared" si="142"/>
        <v>4</v>
      </c>
    </row>
    <row r="680" spans="1:22" x14ac:dyDescent="0.25">
      <c r="A680" t="str">
        <f>IF(games!$A680="","",games!$A680)</f>
        <v>Shoot First</v>
      </c>
      <c r="B680">
        <f>IF($A680="","",games!$B680)</f>
        <v>2010</v>
      </c>
      <c r="C680" t="str">
        <f>IF($A680="","",games!$C680)</f>
        <v>Action</v>
      </c>
      <c r="D680">
        <f>IF($A680="","",COUNTIF(connections!$A$2:$A$1473,$A680)+COUNTIF(connections!$B$2:$B$1473,$A680))</f>
        <v>1</v>
      </c>
      <c r="E680">
        <f t="shared" si="130"/>
        <v>1</v>
      </c>
      <c r="F680">
        <f t="shared" si="131"/>
        <v>0</v>
      </c>
      <c r="G680">
        <f t="shared" si="132"/>
        <v>2010</v>
      </c>
      <c r="H680">
        <f t="shared" si="133"/>
        <v>1</v>
      </c>
      <c r="I680" t="e">
        <f t="shared" si="134"/>
        <v>#N/A</v>
      </c>
      <c r="J680" t="e">
        <f t="shared" si="135"/>
        <v>#N/A</v>
      </c>
      <c r="K680" t="e">
        <f t="shared" si="136"/>
        <v>#N/A</v>
      </c>
      <c r="L680" t="e">
        <f t="shared" si="137"/>
        <v>#N/A</v>
      </c>
      <c r="M680" t="e">
        <f t="shared" si="138"/>
        <v>#N/A</v>
      </c>
      <c r="N680" t="e">
        <f t="shared" si="139"/>
        <v>#N/A</v>
      </c>
      <c r="O680">
        <f t="shared" si="140"/>
        <v>1.00068</v>
      </c>
      <c r="P680" t="str">
        <f>IF(OR($A680="",games!$H680=""),"",games!$H680)</f>
        <v/>
      </c>
      <c r="Q680" t="str">
        <f t="shared" si="141"/>
        <v/>
      </c>
      <c r="T680">
        <f>IF(connections!$A680="","",IFERROR(INDEX(games!$B$2:$B$950,MATCH(connections!$A680,games!$A$2:$A$950,0)),""))</f>
        <v>2021</v>
      </c>
      <c r="U680">
        <f>IF(connections!$A680="","",IFERROR(INDEX(games!$B$2:$B$950,MATCH(connections!$B680,games!$A$2:$A$950,0)),""))</f>
        <v>2023</v>
      </c>
      <c r="V680">
        <f t="shared" si="142"/>
        <v>2</v>
      </c>
    </row>
    <row r="681" spans="1:22" x14ac:dyDescent="0.25">
      <c r="A681" t="str">
        <f>IF(games!$A681="","",games!$A681)</f>
        <v>Shotgun King: The Final Checkmate</v>
      </c>
      <c r="B681">
        <f>IF($A681="","",games!$B681)</f>
        <v>2022</v>
      </c>
      <c r="C681" t="str">
        <f>IF($A681="","",games!$C681)</f>
        <v>Strategy</v>
      </c>
      <c r="D681">
        <f>IF($A681="","",COUNTIF(connections!$A$2:$A$1473,$A681)+COUNTIF(connections!$B$2:$B$1473,$A681))</f>
        <v>4</v>
      </c>
      <c r="E681">
        <f t="shared" si="130"/>
        <v>2</v>
      </c>
      <c r="F681">
        <f t="shared" si="131"/>
        <v>1</v>
      </c>
      <c r="G681" t="e">
        <f t="shared" si="132"/>
        <v>#N/A</v>
      </c>
      <c r="H681" t="e">
        <f t="shared" si="133"/>
        <v>#N/A</v>
      </c>
      <c r="I681">
        <f t="shared" si="134"/>
        <v>2022</v>
      </c>
      <c r="J681">
        <f t="shared" si="135"/>
        <v>2.0230000000000001</v>
      </c>
      <c r="K681" t="e">
        <f t="shared" si="136"/>
        <v>#N/A</v>
      </c>
      <c r="L681" t="e">
        <f t="shared" si="137"/>
        <v>#N/A</v>
      </c>
      <c r="M681" t="e">
        <f t="shared" si="138"/>
        <v>#N/A</v>
      </c>
      <c r="N681" t="e">
        <f t="shared" si="139"/>
        <v>#N/A</v>
      </c>
      <c r="O681">
        <f t="shared" si="140"/>
        <v>4.0006810000000002</v>
      </c>
      <c r="P681" t="str">
        <f>IF(OR($A681="",games!$H681=""),"",games!$H681)</f>
        <v>Yes</v>
      </c>
      <c r="Q681">
        <f t="shared" si="141"/>
        <v>4.0006810000000002</v>
      </c>
      <c r="T681">
        <f>IF(connections!$A681="","",IFERROR(INDEX(games!$B$2:$B$950,MATCH(connections!$A681,games!$A$2:$A$950,0)),""))</f>
        <v>2023</v>
      </c>
      <c r="U681">
        <f>IF(connections!$A681="","",IFERROR(INDEX(games!$B$2:$B$950,MATCH(connections!$B681,games!$A$2:$A$950,0)),""))</f>
        <v>2025</v>
      </c>
      <c r="V681">
        <f t="shared" si="142"/>
        <v>2</v>
      </c>
    </row>
    <row r="682" spans="1:22" x14ac:dyDescent="0.25">
      <c r="A682" t="str">
        <f>IF(games!$A682="","",games!$A682)</f>
        <v>Shovel Knight Dig</v>
      </c>
      <c r="B682">
        <f>IF($A682="","",games!$B682)</f>
        <v>2022</v>
      </c>
      <c r="C682" t="str">
        <f>IF($A682="","",games!$C682)</f>
        <v>Action</v>
      </c>
      <c r="D682">
        <f>IF($A682="","",COUNTIF(connections!$A$2:$A$1473,$A682)+COUNTIF(connections!$B$2:$B$1473,$A682))</f>
        <v>2</v>
      </c>
      <c r="E682">
        <f t="shared" si="130"/>
        <v>1</v>
      </c>
      <c r="F682">
        <f t="shared" si="131"/>
        <v>2</v>
      </c>
      <c r="G682">
        <f t="shared" si="132"/>
        <v>2022</v>
      </c>
      <c r="H682">
        <f t="shared" si="133"/>
        <v>1.046</v>
      </c>
      <c r="I682" t="e">
        <f t="shared" si="134"/>
        <v>#N/A</v>
      </c>
      <c r="J682" t="e">
        <f t="shared" si="135"/>
        <v>#N/A</v>
      </c>
      <c r="K682" t="e">
        <f t="shared" si="136"/>
        <v>#N/A</v>
      </c>
      <c r="L682" t="e">
        <f t="shared" si="137"/>
        <v>#N/A</v>
      </c>
      <c r="M682" t="e">
        <f t="shared" si="138"/>
        <v>#N/A</v>
      </c>
      <c r="N682" t="e">
        <f t="shared" si="139"/>
        <v>#N/A</v>
      </c>
      <c r="O682">
        <f t="shared" si="140"/>
        <v>2.0006819999999998</v>
      </c>
      <c r="P682" t="str">
        <f>IF(OR($A682="",games!$H682=""),"",games!$H682)</f>
        <v/>
      </c>
      <c r="Q682" t="str">
        <f t="shared" si="141"/>
        <v/>
      </c>
      <c r="T682">
        <f>IF(connections!$A682="","",IFERROR(INDEX(games!$B$2:$B$950,MATCH(connections!$A682,games!$A$2:$A$950,0)),""))</f>
        <v>2021</v>
      </c>
      <c r="U682">
        <f>IF(connections!$A682="","",IFERROR(INDEX(games!$B$2:$B$950,MATCH(connections!$B682,games!$A$2:$A$950,0)),""))</f>
        <v>2025</v>
      </c>
      <c r="V682">
        <f t="shared" si="142"/>
        <v>4</v>
      </c>
    </row>
    <row r="683" spans="1:22" x14ac:dyDescent="0.25">
      <c r="A683" t="str">
        <f>IF(games!$A683="","",games!$A683)</f>
        <v>Shroom and Gloom</v>
      </c>
      <c r="B683">
        <f>IF($A683="","",games!$B683)</f>
        <v>2026</v>
      </c>
      <c r="C683" t="str">
        <f>IF($A683="","",games!$C683)</f>
        <v>Deckbuilder</v>
      </c>
      <c r="D683">
        <f>IF($A683="","",COUNTIF(connections!$A$2:$A$1473,$A683)+COUNTIF(connections!$B$2:$B$1473,$A683))</f>
        <v>2</v>
      </c>
      <c r="E683">
        <f t="shared" si="130"/>
        <v>3</v>
      </c>
      <c r="F683">
        <f t="shared" si="131"/>
        <v>3</v>
      </c>
      <c r="G683" t="e">
        <f t="shared" si="132"/>
        <v>#N/A</v>
      </c>
      <c r="H683" t="e">
        <f t="shared" si="133"/>
        <v>#N/A</v>
      </c>
      <c r="I683" t="e">
        <f t="shared" si="134"/>
        <v>#N/A</v>
      </c>
      <c r="J683" t="e">
        <f t="shared" si="135"/>
        <v>#N/A</v>
      </c>
      <c r="K683">
        <f t="shared" si="136"/>
        <v>2026</v>
      </c>
      <c r="L683">
        <f t="shared" si="137"/>
        <v>3.069</v>
      </c>
      <c r="M683" t="e">
        <f t="shared" si="138"/>
        <v>#N/A</v>
      </c>
      <c r="N683" t="e">
        <f t="shared" si="139"/>
        <v>#N/A</v>
      </c>
      <c r="O683">
        <f t="shared" si="140"/>
        <v>2.000683</v>
      </c>
      <c r="P683" t="str">
        <f>IF(OR($A683="",games!$H683=""),"",games!$H683)</f>
        <v/>
      </c>
      <c r="Q683" t="str">
        <f t="shared" si="141"/>
        <v/>
      </c>
      <c r="T683">
        <f>IF(connections!$A683="","",IFERROR(INDEX(games!$B$2:$B$950,MATCH(connections!$A683,games!$A$2:$A$950,0)),""))</f>
        <v>2019</v>
      </c>
      <c r="U683">
        <f>IF(connections!$A683="","",IFERROR(INDEX(games!$B$2:$B$950,MATCH(connections!$B683,games!$A$2:$A$950,0)),""))</f>
        <v>2025</v>
      </c>
      <c r="V683">
        <f t="shared" si="142"/>
        <v>6</v>
      </c>
    </row>
    <row r="684" spans="1:22" x14ac:dyDescent="0.25">
      <c r="A684" t="str">
        <f>IF(games!$A684="","",games!$A684)</f>
        <v>Sil</v>
      </c>
      <c r="B684">
        <f>IF($A684="","",games!$B684)</f>
        <v>2012</v>
      </c>
      <c r="C684" t="str">
        <f>IF($A684="","",games!$C684)</f>
        <v>Traditional</v>
      </c>
      <c r="D684">
        <f>IF($A684="","",COUNTIF(connections!$A$2:$A$1473,$A684)+COUNTIF(connections!$B$2:$B$1473,$A684))</f>
        <v>1</v>
      </c>
      <c r="E684">
        <f t="shared" si="130"/>
        <v>4</v>
      </c>
      <c r="F684">
        <f t="shared" si="131"/>
        <v>4</v>
      </c>
      <c r="G684" t="e">
        <f t="shared" si="132"/>
        <v>#N/A</v>
      </c>
      <c r="H684" t="e">
        <f t="shared" si="133"/>
        <v>#N/A</v>
      </c>
      <c r="I684" t="e">
        <f t="shared" si="134"/>
        <v>#N/A</v>
      </c>
      <c r="J684" t="e">
        <f t="shared" si="135"/>
        <v>#N/A</v>
      </c>
      <c r="K684" t="e">
        <f t="shared" si="136"/>
        <v>#N/A</v>
      </c>
      <c r="L684" t="e">
        <f t="shared" si="137"/>
        <v>#N/A</v>
      </c>
      <c r="M684">
        <f t="shared" si="138"/>
        <v>2012</v>
      </c>
      <c r="N684">
        <f t="shared" si="139"/>
        <v>4.0919999999999996</v>
      </c>
      <c r="O684">
        <f t="shared" si="140"/>
        <v>1.0006839999999999</v>
      </c>
      <c r="P684" t="str">
        <f>IF(OR($A684="",games!$H684=""),"",games!$H684)</f>
        <v/>
      </c>
      <c r="Q684" t="str">
        <f t="shared" si="141"/>
        <v/>
      </c>
      <c r="T684">
        <f>IF(connections!$A684="","",IFERROR(INDEX(games!$B$2:$B$950,MATCH(connections!$A684,games!$A$2:$A$950,0)),""))</f>
        <v>2021</v>
      </c>
      <c r="U684">
        <f>IF(connections!$A684="","",IFERROR(INDEX(games!$B$2:$B$950,MATCH(connections!$B684,games!$A$2:$A$950,0)),""))</f>
        <v>2025</v>
      </c>
      <c r="V684">
        <f t="shared" si="142"/>
        <v>4</v>
      </c>
    </row>
    <row r="685" spans="1:22" x14ac:dyDescent="0.25">
      <c r="A685" t="str">
        <f>IF(games!$A685="","",games!$A685)</f>
        <v>Sir, We Have an Orc Problem</v>
      </c>
      <c r="B685">
        <f>IF($A685="","",games!$B685)</f>
        <v>2026</v>
      </c>
      <c r="C685" t="str">
        <f>IF($A685="","",games!$C685)</f>
        <v>Strategy</v>
      </c>
      <c r="D685">
        <f>IF($A685="","",COUNTIF(connections!$A$2:$A$1473,$A685)+COUNTIF(connections!$B$2:$B$1473,$A685))</f>
        <v>1</v>
      </c>
      <c r="E685">
        <f t="shared" si="130"/>
        <v>2</v>
      </c>
      <c r="F685">
        <f t="shared" si="131"/>
        <v>5</v>
      </c>
      <c r="G685" t="e">
        <f t="shared" si="132"/>
        <v>#N/A</v>
      </c>
      <c r="H685" t="e">
        <f t="shared" si="133"/>
        <v>#N/A</v>
      </c>
      <c r="I685">
        <f t="shared" si="134"/>
        <v>2026</v>
      </c>
      <c r="J685">
        <f t="shared" si="135"/>
        <v>2.1150000000000002</v>
      </c>
      <c r="K685" t="e">
        <f t="shared" si="136"/>
        <v>#N/A</v>
      </c>
      <c r="L685" t="e">
        <f t="shared" si="137"/>
        <v>#N/A</v>
      </c>
      <c r="M685" t="e">
        <f t="shared" si="138"/>
        <v>#N/A</v>
      </c>
      <c r="N685" t="e">
        <f t="shared" si="139"/>
        <v>#N/A</v>
      </c>
      <c r="O685">
        <f t="shared" si="140"/>
        <v>1.000685</v>
      </c>
      <c r="P685" t="str">
        <f>IF(OR($A685="",games!$H685=""),"",games!$H685)</f>
        <v/>
      </c>
      <c r="Q685" t="str">
        <f t="shared" si="141"/>
        <v/>
      </c>
      <c r="T685">
        <f>IF(connections!$A685="","",IFERROR(INDEX(games!$B$2:$B$950,MATCH(connections!$A685,games!$A$2:$A$950,0)),""))</f>
        <v>2017</v>
      </c>
      <c r="U685">
        <f>IF(connections!$A685="","",IFERROR(INDEX(games!$B$2:$B$950,MATCH(connections!$B685,games!$A$2:$A$950,0)),""))</f>
        <v>2020</v>
      </c>
      <c r="V685">
        <f t="shared" si="142"/>
        <v>3</v>
      </c>
    </row>
    <row r="686" spans="1:22" x14ac:dyDescent="0.25">
      <c r="A686" t="str">
        <f>IF(games!$A686="","",games!$A686)</f>
        <v>Skul: The Hero Slayer</v>
      </c>
      <c r="B686">
        <f>IF($A686="","",games!$B686)</f>
        <v>2020</v>
      </c>
      <c r="C686" t="str">
        <f>IF($A686="","",games!$C686)</f>
        <v>Action</v>
      </c>
      <c r="D686">
        <f>IF($A686="","",COUNTIF(connections!$A$2:$A$1473,$A686)+COUNTIF(connections!$B$2:$B$1473,$A686))</f>
        <v>1</v>
      </c>
      <c r="E686">
        <f t="shared" si="130"/>
        <v>1</v>
      </c>
      <c r="F686">
        <f t="shared" si="131"/>
        <v>6</v>
      </c>
      <c r="G686">
        <f t="shared" si="132"/>
        <v>2020</v>
      </c>
      <c r="H686">
        <f t="shared" si="133"/>
        <v>1.1379999999999999</v>
      </c>
      <c r="I686" t="e">
        <f t="shared" si="134"/>
        <v>#N/A</v>
      </c>
      <c r="J686" t="e">
        <f t="shared" si="135"/>
        <v>#N/A</v>
      </c>
      <c r="K686" t="e">
        <f t="shared" si="136"/>
        <v>#N/A</v>
      </c>
      <c r="L686" t="e">
        <f t="shared" si="137"/>
        <v>#N/A</v>
      </c>
      <c r="M686" t="e">
        <f t="shared" si="138"/>
        <v>#N/A</v>
      </c>
      <c r="N686" t="e">
        <f t="shared" si="139"/>
        <v>#N/A</v>
      </c>
      <c r="O686">
        <f t="shared" si="140"/>
        <v>1.000686</v>
      </c>
      <c r="P686" t="str">
        <f>IF(OR($A686="",games!$H686=""),"",games!$H686)</f>
        <v>Yes</v>
      </c>
      <c r="Q686">
        <f t="shared" si="141"/>
        <v>1.000686</v>
      </c>
      <c r="T686">
        <f>IF(connections!$A686="","",IFERROR(INDEX(games!$B$2:$B$950,MATCH(connections!$A686,games!$A$2:$A$950,0)),""))</f>
        <v>2009</v>
      </c>
      <c r="U686">
        <f>IF(connections!$A686="","",IFERROR(INDEX(games!$B$2:$B$950,MATCH(connections!$B686,games!$A$2:$A$950,0)),""))</f>
        <v>2020</v>
      </c>
      <c r="V686">
        <f t="shared" si="142"/>
        <v>11</v>
      </c>
    </row>
    <row r="687" spans="1:22" x14ac:dyDescent="0.25">
      <c r="A687" t="str">
        <f>IF(games!$A687="","",games!$A687)</f>
        <v>Skull Horde</v>
      </c>
      <c r="B687">
        <f>IF($A687="","",games!$B687)</f>
        <v>2026</v>
      </c>
      <c r="C687" t="str">
        <f>IF($A687="","",games!$C687)</f>
        <v>Action</v>
      </c>
      <c r="D687">
        <f>IF($A687="","",COUNTIF(connections!$A$2:$A$1473,$A687)+COUNTIF(connections!$B$2:$B$1473,$A687))</f>
        <v>3</v>
      </c>
      <c r="E687">
        <f t="shared" si="130"/>
        <v>1</v>
      </c>
      <c r="F687">
        <f t="shared" si="131"/>
        <v>7</v>
      </c>
      <c r="G687">
        <f t="shared" si="132"/>
        <v>2026</v>
      </c>
      <c r="H687">
        <f t="shared" si="133"/>
        <v>1.161</v>
      </c>
      <c r="I687" t="e">
        <f t="shared" si="134"/>
        <v>#N/A</v>
      </c>
      <c r="J687" t="e">
        <f t="shared" si="135"/>
        <v>#N/A</v>
      </c>
      <c r="K687" t="e">
        <f t="shared" si="136"/>
        <v>#N/A</v>
      </c>
      <c r="L687" t="e">
        <f t="shared" si="137"/>
        <v>#N/A</v>
      </c>
      <c r="M687" t="e">
        <f t="shared" si="138"/>
        <v>#N/A</v>
      </c>
      <c r="N687" t="e">
        <f t="shared" si="139"/>
        <v>#N/A</v>
      </c>
      <c r="O687">
        <f t="shared" si="140"/>
        <v>3.0006870000000001</v>
      </c>
      <c r="P687" t="str">
        <f>IF(OR($A687="",games!$H687=""),"",games!$H687)</f>
        <v>Yes</v>
      </c>
      <c r="Q687">
        <f t="shared" si="141"/>
        <v>3.0006870000000001</v>
      </c>
      <c r="T687">
        <f>IF(connections!$A687="","",IFERROR(INDEX(games!$B$2:$B$950,MATCH(connections!$A687,games!$A$2:$A$950,0)),""))</f>
        <v>1998</v>
      </c>
      <c r="U687">
        <f>IF(connections!$A687="","",IFERROR(INDEX(games!$B$2:$B$950,MATCH(connections!$B687,games!$A$2:$A$950,0)),""))</f>
        <v>2020</v>
      </c>
      <c r="V687">
        <f t="shared" si="142"/>
        <v>22</v>
      </c>
    </row>
    <row r="688" spans="1:22" x14ac:dyDescent="0.25">
      <c r="A688" t="str">
        <f>IF(games!$A688="","",games!$A688)</f>
        <v>Sky Rogue</v>
      </c>
      <c r="B688">
        <f>IF($A688="","",games!$B688)</f>
        <v>2014</v>
      </c>
      <c r="C688" t="str">
        <f>IF($A688="","",games!$C688)</f>
        <v>Action</v>
      </c>
      <c r="D688">
        <f>IF($A688="","",COUNTIF(connections!$A$2:$A$1473,$A688)+COUNTIF(connections!$B$2:$B$1473,$A688))</f>
        <v>1</v>
      </c>
      <c r="E688">
        <f t="shared" si="130"/>
        <v>1</v>
      </c>
      <c r="F688">
        <f t="shared" si="131"/>
        <v>8</v>
      </c>
      <c r="G688">
        <f t="shared" si="132"/>
        <v>2014</v>
      </c>
      <c r="H688">
        <f t="shared" si="133"/>
        <v>1.1839999999999999</v>
      </c>
      <c r="I688" t="e">
        <f t="shared" si="134"/>
        <v>#N/A</v>
      </c>
      <c r="J688" t="e">
        <f t="shared" si="135"/>
        <v>#N/A</v>
      </c>
      <c r="K688" t="e">
        <f t="shared" si="136"/>
        <v>#N/A</v>
      </c>
      <c r="L688" t="e">
        <f t="shared" si="137"/>
        <v>#N/A</v>
      </c>
      <c r="M688" t="e">
        <f t="shared" si="138"/>
        <v>#N/A</v>
      </c>
      <c r="N688" t="e">
        <f t="shared" si="139"/>
        <v>#N/A</v>
      </c>
      <c r="O688">
        <f t="shared" si="140"/>
        <v>1.000688</v>
      </c>
      <c r="P688" t="str">
        <f>IF(OR($A688="",games!$H688=""),"",games!$H688)</f>
        <v>Yes</v>
      </c>
      <c r="Q688">
        <f t="shared" si="141"/>
        <v>1.000688</v>
      </c>
      <c r="T688">
        <f>IF(connections!$A688="","",IFERROR(INDEX(games!$B$2:$B$950,MATCH(connections!$A688,games!$A$2:$A$950,0)),""))</f>
        <v>2017</v>
      </c>
      <c r="U688">
        <f>IF(connections!$A688="","",IFERROR(INDEX(games!$B$2:$B$950,MATCH(connections!$B688,games!$A$2:$A$950,0)),""))</f>
        <v>2020</v>
      </c>
      <c r="V688">
        <f t="shared" si="142"/>
        <v>3</v>
      </c>
    </row>
    <row r="689" spans="1:22" x14ac:dyDescent="0.25">
      <c r="A689" t="str">
        <f>IF(games!$A689="","",games!$A689)</f>
        <v>Sky's The Limit MAH-JONG</v>
      </c>
      <c r="B689">
        <f>IF($A689="","",games!$B689)</f>
        <v>2024</v>
      </c>
      <c r="C689" t="str">
        <f>IF($A689="","",games!$C689)</f>
        <v>Deckbuilder</v>
      </c>
      <c r="D689">
        <f>IF($A689="","",COUNTIF(connections!$A$2:$A$1473,$A689)+COUNTIF(connections!$B$2:$B$1473,$A689))</f>
        <v>1</v>
      </c>
      <c r="E689">
        <f t="shared" si="130"/>
        <v>3</v>
      </c>
      <c r="F689">
        <f t="shared" si="131"/>
        <v>9</v>
      </c>
      <c r="G689" t="e">
        <f t="shared" si="132"/>
        <v>#N/A</v>
      </c>
      <c r="H689" t="e">
        <f t="shared" si="133"/>
        <v>#N/A</v>
      </c>
      <c r="I689" t="e">
        <f t="shared" si="134"/>
        <v>#N/A</v>
      </c>
      <c r="J689" t="e">
        <f t="shared" si="135"/>
        <v>#N/A</v>
      </c>
      <c r="K689">
        <f t="shared" si="136"/>
        <v>2024</v>
      </c>
      <c r="L689">
        <f t="shared" si="137"/>
        <v>3.2069999999999999</v>
      </c>
      <c r="M689" t="e">
        <f t="shared" si="138"/>
        <v>#N/A</v>
      </c>
      <c r="N689" t="e">
        <f t="shared" si="139"/>
        <v>#N/A</v>
      </c>
      <c r="O689">
        <f t="shared" si="140"/>
        <v>1.0006889999999999</v>
      </c>
      <c r="P689" t="str">
        <f>IF(OR($A689="",games!$H689=""),"",games!$H689)</f>
        <v>Yes</v>
      </c>
      <c r="Q689">
        <f t="shared" si="141"/>
        <v>1.0006889999999999</v>
      </c>
      <c r="T689">
        <f>IF(connections!$A689="","",IFERROR(INDEX(games!$B$2:$B$950,MATCH(connections!$A689,games!$A$2:$A$950,0)),""))</f>
        <v>2016</v>
      </c>
      <c r="U689">
        <f>IF(connections!$A689="","",IFERROR(INDEX(games!$B$2:$B$950,MATCH(connections!$B689,games!$A$2:$A$950,0)),""))</f>
        <v>2024</v>
      </c>
      <c r="V689">
        <f t="shared" si="142"/>
        <v>8</v>
      </c>
    </row>
    <row r="690" spans="1:22" x14ac:dyDescent="0.25">
      <c r="A690" t="str">
        <f>IF(games!$A690="","",games!$A690)</f>
        <v>Slash'EM</v>
      </c>
      <c r="B690">
        <f>IF($A690="","",games!$B690)</f>
        <v>2006</v>
      </c>
      <c r="C690" t="str">
        <f>IF($A690="","",games!$C690)</f>
        <v>Traditional</v>
      </c>
      <c r="D690">
        <f>IF($A690="","",COUNTIF(connections!$A$2:$A$1473,$A690)+COUNTIF(connections!$B$2:$B$1473,$A690))</f>
        <v>2</v>
      </c>
      <c r="E690">
        <f t="shared" si="130"/>
        <v>4</v>
      </c>
      <c r="F690">
        <f t="shared" si="131"/>
        <v>10</v>
      </c>
      <c r="G690" t="e">
        <f t="shared" si="132"/>
        <v>#N/A</v>
      </c>
      <c r="H690" t="e">
        <f t="shared" si="133"/>
        <v>#N/A</v>
      </c>
      <c r="I690" t="e">
        <f t="shared" si="134"/>
        <v>#N/A</v>
      </c>
      <c r="J690" t="e">
        <f t="shared" si="135"/>
        <v>#N/A</v>
      </c>
      <c r="K690" t="e">
        <f t="shared" si="136"/>
        <v>#N/A</v>
      </c>
      <c r="L690" t="e">
        <f t="shared" si="137"/>
        <v>#N/A</v>
      </c>
      <c r="M690">
        <f t="shared" si="138"/>
        <v>2006</v>
      </c>
      <c r="N690">
        <f t="shared" si="139"/>
        <v>4.2300000000000004</v>
      </c>
      <c r="O690">
        <f t="shared" si="140"/>
        <v>2.0006900000000001</v>
      </c>
      <c r="P690" t="str">
        <f>IF(OR($A690="",games!$H690=""),"",games!$H690)</f>
        <v>Yes</v>
      </c>
      <c r="Q690">
        <f t="shared" si="141"/>
        <v>2.0006900000000001</v>
      </c>
      <c r="T690">
        <f>IF(connections!$A690="","",IFERROR(INDEX(games!$B$2:$B$950,MATCH(connections!$A690,games!$A$2:$A$950,0)),""))</f>
        <v>2011</v>
      </c>
      <c r="U690">
        <f>IF(connections!$A690="","",IFERROR(INDEX(games!$B$2:$B$950,MATCH(connections!$B690,games!$A$2:$A$950,0)),""))</f>
        <v>2024</v>
      </c>
      <c r="V690">
        <f t="shared" si="142"/>
        <v>13</v>
      </c>
    </row>
    <row r="691" spans="1:22" x14ac:dyDescent="0.25">
      <c r="A691" t="str">
        <f>IF(games!$A691="","",games!$A691)</f>
        <v>Slasher's Keep</v>
      </c>
      <c r="B691">
        <f>IF($A691="","",games!$B691)</f>
        <v>2018</v>
      </c>
      <c r="C691" t="str">
        <f>IF($A691="","",games!$C691)</f>
        <v>Action</v>
      </c>
      <c r="D691">
        <f>IF($A691="","",COUNTIF(connections!$A$2:$A$1473,$A691)+COUNTIF(connections!$B$2:$B$1473,$A691))</f>
        <v>0</v>
      </c>
      <c r="E691">
        <f t="shared" si="130"/>
        <v>1</v>
      </c>
      <c r="F691">
        <f t="shared" si="131"/>
        <v>11</v>
      </c>
      <c r="G691">
        <f t="shared" si="132"/>
        <v>2018</v>
      </c>
      <c r="H691">
        <f t="shared" si="133"/>
        <v>1.2530000000000001</v>
      </c>
      <c r="I691" t="e">
        <f t="shared" si="134"/>
        <v>#N/A</v>
      </c>
      <c r="J691" t="e">
        <f t="shared" si="135"/>
        <v>#N/A</v>
      </c>
      <c r="K691" t="e">
        <f t="shared" si="136"/>
        <v>#N/A</v>
      </c>
      <c r="L691" t="e">
        <f t="shared" si="137"/>
        <v>#N/A</v>
      </c>
      <c r="M691" t="e">
        <f t="shared" si="138"/>
        <v>#N/A</v>
      </c>
      <c r="N691" t="e">
        <f t="shared" si="139"/>
        <v>#N/A</v>
      </c>
      <c r="O691">
        <f t="shared" si="140"/>
        <v>6.9099999999999999E-4</v>
      </c>
      <c r="P691" t="str">
        <f>IF(OR($A691="",games!$H691=""),"",games!$H691)</f>
        <v>Yes</v>
      </c>
      <c r="Q691">
        <f t="shared" si="141"/>
        <v>6.9099999999999999E-4</v>
      </c>
      <c r="T691">
        <f>IF(connections!$A691="","",IFERROR(INDEX(games!$B$2:$B$950,MATCH(connections!$A691,games!$A$2:$A$950,0)),""))</f>
        <v>1994</v>
      </c>
      <c r="U691">
        <f>IF(connections!$A691="","",IFERROR(INDEX(games!$B$2:$B$950,MATCH(connections!$B691,games!$A$2:$A$950,0)),""))</f>
        <v>2006</v>
      </c>
      <c r="V691">
        <f t="shared" si="142"/>
        <v>12</v>
      </c>
    </row>
    <row r="692" spans="1:22" x14ac:dyDescent="0.25">
      <c r="A692" t="str">
        <f>IF(games!$A692="","",games!$A692)</f>
        <v>Slay the Spire</v>
      </c>
      <c r="B692">
        <f>IF($A692="","",games!$B692)</f>
        <v>2017</v>
      </c>
      <c r="C692" t="str">
        <f>IF($A692="","",games!$C692)</f>
        <v>Deckbuilder</v>
      </c>
      <c r="D692">
        <f>IF($A692="","",COUNTIF(connections!$A$2:$A$1473,$A692)+COUNTIF(connections!$B$2:$B$1473,$A692))</f>
        <v>156</v>
      </c>
      <c r="E692">
        <f t="shared" si="130"/>
        <v>3</v>
      </c>
      <c r="F692">
        <f t="shared" si="131"/>
        <v>12</v>
      </c>
      <c r="G692" t="e">
        <f t="shared" si="132"/>
        <v>#N/A</v>
      </c>
      <c r="H692" t="e">
        <f t="shared" si="133"/>
        <v>#N/A</v>
      </c>
      <c r="I692" t="e">
        <f t="shared" si="134"/>
        <v>#N/A</v>
      </c>
      <c r="J692" t="e">
        <f t="shared" si="135"/>
        <v>#N/A</v>
      </c>
      <c r="K692">
        <f t="shared" si="136"/>
        <v>2017</v>
      </c>
      <c r="L692">
        <f t="shared" si="137"/>
        <v>3.2759999999999998</v>
      </c>
      <c r="M692" t="e">
        <f t="shared" si="138"/>
        <v>#N/A</v>
      </c>
      <c r="N692" t="e">
        <f t="shared" si="139"/>
        <v>#N/A</v>
      </c>
      <c r="O692">
        <f t="shared" si="140"/>
        <v>156.00069199999999</v>
      </c>
      <c r="P692" t="str">
        <f>IF(OR($A692="",games!$H692=""),"",games!$H692)</f>
        <v>Yes</v>
      </c>
      <c r="Q692">
        <f t="shared" si="141"/>
        <v>156.00069199999999</v>
      </c>
      <c r="T692">
        <f>IF(connections!$A692="","",IFERROR(INDEX(games!$B$2:$B$950,MATCH(connections!$A692,games!$A$2:$A$950,0)),""))</f>
        <v>1990</v>
      </c>
      <c r="U692">
        <f>IF(connections!$A692="","",IFERROR(INDEX(games!$B$2:$B$950,MATCH(connections!$B692,games!$A$2:$A$950,0)),""))</f>
        <v>2006</v>
      </c>
      <c r="V692">
        <f t="shared" si="142"/>
        <v>16</v>
      </c>
    </row>
    <row r="693" spans="1:22" x14ac:dyDescent="0.25">
      <c r="A693" t="str">
        <f>IF(games!$A693="","",games!$A693)</f>
        <v>Slay the Spire 2</v>
      </c>
      <c r="B693">
        <f>IF($A693="","",games!$B693)</f>
        <v>2026</v>
      </c>
      <c r="C693" t="str">
        <f>IF($A693="","",games!$C693)</f>
        <v>Deckbuilder</v>
      </c>
      <c r="D693">
        <f>IF($A693="","",COUNTIF(connections!$A$2:$A$1473,$A693)+COUNTIF(connections!$B$2:$B$1473,$A693))</f>
        <v>1</v>
      </c>
      <c r="E693">
        <f t="shared" si="130"/>
        <v>3</v>
      </c>
      <c r="F693">
        <f t="shared" si="131"/>
        <v>13</v>
      </c>
      <c r="G693" t="e">
        <f t="shared" si="132"/>
        <v>#N/A</v>
      </c>
      <c r="H693" t="e">
        <f t="shared" si="133"/>
        <v>#N/A</v>
      </c>
      <c r="I693" t="e">
        <f t="shared" si="134"/>
        <v>#N/A</v>
      </c>
      <c r="J693" t="e">
        <f t="shared" si="135"/>
        <v>#N/A</v>
      </c>
      <c r="K693">
        <f t="shared" si="136"/>
        <v>2026</v>
      </c>
      <c r="L693">
        <f t="shared" si="137"/>
        <v>3.2989999999999999</v>
      </c>
      <c r="M693" t="e">
        <f t="shared" si="138"/>
        <v>#N/A</v>
      </c>
      <c r="N693" t="e">
        <f t="shared" si="139"/>
        <v>#N/A</v>
      </c>
      <c r="O693">
        <f t="shared" si="140"/>
        <v>1.0006930000000001</v>
      </c>
      <c r="P693" t="str">
        <f>IF(OR($A693="",games!$H693=""),"",games!$H693)</f>
        <v>Yes</v>
      </c>
      <c r="Q693">
        <f t="shared" si="141"/>
        <v>1.0006930000000001</v>
      </c>
      <c r="T693">
        <f>IF(connections!$A693="","",IFERROR(INDEX(games!$B$2:$B$950,MATCH(connections!$A693,games!$A$2:$A$950,0)),""))</f>
        <v>1996</v>
      </c>
      <c r="U693">
        <f>IF(connections!$A693="","",IFERROR(INDEX(games!$B$2:$B$950,MATCH(connections!$B693,games!$A$2:$A$950,0)),""))</f>
        <v>2006</v>
      </c>
      <c r="V693">
        <f t="shared" si="142"/>
        <v>10</v>
      </c>
    </row>
    <row r="694" spans="1:22" x14ac:dyDescent="0.25">
      <c r="A694" t="str">
        <f>IF(games!$A694="","",games!$A694)</f>
        <v>Slice &amp; Dice</v>
      </c>
      <c r="B694">
        <f>IF($A694="","",games!$B694)</f>
        <v>2018</v>
      </c>
      <c r="C694" t="str">
        <f>IF($A694="","",games!$C694)</f>
        <v>Strategy</v>
      </c>
      <c r="D694">
        <f>IF($A694="","",COUNTIF(connections!$A$2:$A$1473,$A694)+COUNTIF(connections!$B$2:$B$1473,$A694))</f>
        <v>5</v>
      </c>
      <c r="E694">
        <f t="shared" si="130"/>
        <v>2</v>
      </c>
      <c r="F694">
        <f t="shared" si="131"/>
        <v>14</v>
      </c>
      <c r="G694" t="e">
        <f t="shared" si="132"/>
        <v>#N/A</v>
      </c>
      <c r="H694" t="e">
        <f t="shared" si="133"/>
        <v>#N/A</v>
      </c>
      <c r="I694">
        <f t="shared" si="134"/>
        <v>2018</v>
      </c>
      <c r="J694">
        <f t="shared" si="135"/>
        <v>2.3220000000000001</v>
      </c>
      <c r="K694" t="e">
        <f t="shared" si="136"/>
        <v>#N/A</v>
      </c>
      <c r="L694" t="e">
        <f t="shared" si="137"/>
        <v>#N/A</v>
      </c>
      <c r="M694" t="e">
        <f t="shared" si="138"/>
        <v>#N/A</v>
      </c>
      <c r="N694" t="e">
        <f t="shared" si="139"/>
        <v>#N/A</v>
      </c>
      <c r="O694">
        <f t="shared" si="140"/>
        <v>5.0006940000000002</v>
      </c>
      <c r="P694" t="str">
        <f>IF(OR($A694="",games!$H694=""),"",games!$H694)</f>
        <v>Yes</v>
      </c>
      <c r="Q694">
        <f t="shared" si="141"/>
        <v>5.0006940000000002</v>
      </c>
      <c r="T694">
        <f>IF(connections!$A694="","",IFERROR(INDEX(games!$B$2:$B$950,MATCH(connections!$A694,games!$A$2:$A$950,0)),""))</f>
        <v>1987</v>
      </c>
      <c r="U694">
        <f>IF(connections!$A694="","",IFERROR(INDEX(games!$B$2:$B$950,MATCH(connections!$B694,games!$A$2:$A$950,0)),""))</f>
        <v>2006</v>
      </c>
      <c r="V694">
        <f t="shared" si="142"/>
        <v>19</v>
      </c>
    </row>
    <row r="695" spans="1:22" x14ac:dyDescent="0.25">
      <c r="A695" t="str">
        <f>IF(games!$A695="","",games!$A695)</f>
        <v>Slime 3k: Demake</v>
      </c>
      <c r="B695">
        <f>IF($A695="","",games!$B695)</f>
        <v>2024</v>
      </c>
      <c r="C695" t="str">
        <f>IF($A695="","",games!$C695)</f>
        <v>Action</v>
      </c>
      <c r="D695">
        <f>IF($A695="","",COUNTIF(connections!$A$2:$A$1473,$A695)+COUNTIF(connections!$B$2:$B$1473,$A695))</f>
        <v>1</v>
      </c>
      <c r="E695">
        <f t="shared" si="130"/>
        <v>1</v>
      </c>
      <c r="F695">
        <f t="shared" si="131"/>
        <v>15</v>
      </c>
      <c r="G695">
        <f t="shared" si="132"/>
        <v>2024</v>
      </c>
      <c r="H695">
        <f t="shared" si="133"/>
        <v>1.345</v>
      </c>
      <c r="I695" t="e">
        <f t="shared" si="134"/>
        <v>#N/A</v>
      </c>
      <c r="J695" t="e">
        <f t="shared" si="135"/>
        <v>#N/A</v>
      </c>
      <c r="K695" t="e">
        <f t="shared" si="136"/>
        <v>#N/A</v>
      </c>
      <c r="L695" t="e">
        <f t="shared" si="137"/>
        <v>#N/A</v>
      </c>
      <c r="M695" t="e">
        <f t="shared" si="138"/>
        <v>#N/A</v>
      </c>
      <c r="N695" t="e">
        <f t="shared" si="139"/>
        <v>#N/A</v>
      </c>
      <c r="O695">
        <f t="shared" si="140"/>
        <v>1.0006949999999999</v>
      </c>
      <c r="P695" t="str">
        <f>IF(OR($A695="",games!$H695=""),"",games!$H695)</f>
        <v>Yes</v>
      </c>
      <c r="Q695">
        <f t="shared" si="141"/>
        <v>1.0006949999999999</v>
      </c>
      <c r="T695">
        <f>IF(connections!$A695="","",IFERROR(INDEX(games!$B$2:$B$950,MATCH(connections!$A695,games!$A$2:$A$950,0)),""))</f>
        <v>1980</v>
      </c>
      <c r="U695">
        <f>IF(connections!$A695="","",IFERROR(INDEX(games!$B$2:$B$950,MATCH(connections!$B695,games!$A$2:$A$950,0)),""))</f>
        <v>1986</v>
      </c>
      <c r="V695">
        <f t="shared" si="142"/>
        <v>6</v>
      </c>
    </row>
    <row r="696" spans="1:22" x14ac:dyDescent="0.25">
      <c r="A696" t="str">
        <f>IF(games!$A696="","",games!$A696)</f>
        <v>Slime 3K: Rise Against Despot</v>
      </c>
      <c r="B696">
        <f>IF($A696="","",games!$B696)</f>
        <v>2023</v>
      </c>
      <c r="C696" t="str">
        <f>IF($A696="","",games!$C696)</f>
        <v>Action</v>
      </c>
      <c r="D696">
        <f>IF($A696="","",COUNTIF(connections!$A$2:$A$1473,$A696)+COUNTIF(connections!$B$2:$B$1473,$A696))</f>
        <v>9</v>
      </c>
      <c r="E696">
        <f t="shared" si="130"/>
        <v>1</v>
      </c>
      <c r="F696">
        <f t="shared" si="131"/>
        <v>16</v>
      </c>
      <c r="G696">
        <f t="shared" si="132"/>
        <v>2023</v>
      </c>
      <c r="H696">
        <f t="shared" si="133"/>
        <v>1.3679999999999999</v>
      </c>
      <c r="I696" t="e">
        <f t="shared" si="134"/>
        <v>#N/A</v>
      </c>
      <c r="J696" t="e">
        <f t="shared" si="135"/>
        <v>#N/A</v>
      </c>
      <c r="K696" t="e">
        <f t="shared" si="136"/>
        <v>#N/A</v>
      </c>
      <c r="L696" t="e">
        <f t="shared" si="137"/>
        <v>#N/A</v>
      </c>
      <c r="M696" t="e">
        <f t="shared" si="138"/>
        <v>#N/A</v>
      </c>
      <c r="N696" t="e">
        <f t="shared" si="139"/>
        <v>#N/A</v>
      </c>
      <c r="O696">
        <f t="shared" si="140"/>
        <v>9.0006959999999996</v>
      </c>
      <c r="P696" t="str">
        <f>IF(OR($A696="",games!$H696=""),"",games!$H696)</f>
        <v>Yes</v>
      </c>
      <c r="Q696">
        <f t="shared" si="141"/>
        <v>9.0006959999999996</v>
      </c>
      <c r="T696">
        <f>IF(connections!$A696="","",IFERROR(INDEX(games!$B$2:$B$950,MATCH(connections!$A696,games!$A$2:$A$950,0)),""))</f>
        <v>1980</v>
      </c>
      <c r="U696">
        <f>IF(connections!$A696="","",IFERROR(INDEX(games!$B$2:$B$950,MATCH(connections!$B696,games!$A$2:$A$950,0)),""))</f>
        <v>2013</v>
      </c>
      <c r="V696">
        <f t="shared" si="142"/>
        <v>33</v>
      </c>
    </row>
    <row r="697" spans="1:22" x14ac:dyDescent="0.25">
      <c r="A697" t="str">
        <f>IF(games!$A697="","",games!$A697)</f>
        <v>Slot &amp; Dungeons</v>
      </c>
      <c r="B697">
        <f>IF($A697="","",games!$B697)</f>
        <v>2025</v>
      </c>
      <c r="C697" t="str">
        <f>IF($A697="","",games!$C697)</f>
        <v>Deckbuilder</v>
      </c>
      <c r="D697">
        <f>IF($A697="","",COUNTIF(connections!$A$2:$A$1473,$A697)+COUNTIF(connections!$B$2:$B$1473,$A697))</f>
        <v>4</v>
      </c>
      <c r="E697">
        <f t="shared" si="130"/>
        <v>3</v>
      </c>
      <c r="F697">
        <f t="shared" si="131"/>
        <v>17</v>
      </c>
      <c r="G697" t="e">
        <f t="shared" si="132"/>
        <v>#N/A</v>
      </c>
      <c r="H697" t="e">
        <f t="shared" si="133"/>
        <v>#N/A</v>
      </c>
      <c r="I697" t="e">
        <f t="shared" si="134"/>
        <v>#N/A</v>
      </c>
      <c r="J697" t="e">
        <f t="shared" si="135"/>
        <v>#N/A</v>
      </c>
      <c r="K697">
        <f t="shared" si="136"/>
        <v>2025</v>
      </c>
      <c r="L697">
        <f t="shared" si="137"/>
        <v>3.391</v>
      </c>
      <c r="M697" t="e">
        <f t="shared" si="138"/>
        <v>#N/A</v>
      </c>
      <c r="N697" t="e">
        <f t="shared" si="139"/>
        <v>#N/A</v>
      </c>
      <c r="O697">
        <f t="shared" si="140"/>
        <v>4.0006969999999997</v>
      </c>
      <c r="P697" t="str">
        <f>IF(OR($A697="",games!$H697=""),"",games!$H697)</f>
        <v/>
      </c>
      <c r="Q697" t="str">
        <f t="shared" si="141"/>
        <v/>
      </c>
      <c r="T697">
        <f>IF(connections!$A697="","",IFERROR(INDEX(games!$B$2:$B$950,MATCH(connections!$A697,games!$A$2:$A$950,0)),""))</f>
        <v>2017</v>
      </c>
      <c r="U697">
        <f>IF(connections!$A697="","",IFERROR(INDEX(games!$B$2:$B$950,MATCH(connections!$B697,games!$A$2:$A$950,0)),""))</f>
        <v>2019</v>
      </c>
      <c r="V697">
        <f t="shared" si="142"/>
        <v>2</v>
      </c>
    </row>
    <row r="698" spans="1:22" x14ac:dyDescent="0.25">
      <c r="A698" t="str">
        <f>IF(games!$A698="","",games!$A698)</f>
        <v>Slot or Not</v>
      </c>
      <c r="B698">
        <f>IF($A698="","",games!$B698)</f>
        <v>2026</v>
      </c>
      <c r="C698" t="str">
        <f>IF($A698="","",games!$C698)</f>
        <v>Deckbuilder</v>
      </c>
      <c r="D698">
        <f>IF($A698="","",COUNTIF(connections!$A$2:$A$1473,$A698)+COUNTIF(connections!$B$2:$B$1473,$A698))</f>
        <v>2</v>
      </c>
      <c r="E698">
        <f t="shared" si="130"/>
        <v>3</v>
      </c>
      <c r="F698">
        <f t="shared" si="131"/>
        <v>18</v>
      </c>
      <c r="G698" t="e">
        <f t="shared" si="132"/>
        <v>#N/A</v>
      </c>
      <c r="H698" t="e">
        <f t="shared" si="133"/>
        <v>#N/A</v>
      </c>
      <c r="I698" t="e">
        <f t="shared" si="134"/>
        <v>#N/A</v>
      </c>
      <c r="J698" t="e">
        <f t="shared" si="135"/>
        <v>#N/A</v>
      </c>
      <c r="K698">
        <f t="shared" si="136"/>
        <v>2026</v>
      </c>
      <c r="L698">
        <f t="shared" si="137"/>
        <v>3.4140000000000001</v>
      </c>
      <c r="M698" t="e">
        <f t="shared" si="138"/>
        <v>#N/A</v>
      </c>
      <c r="N698" t="e">
        <f t="shared" si="139"/>
        <v>#N/A</v>
      </c>
      <c r="O698">
        <f t="shared" si="140"/>
        <v>2.0006979999999999</v>
      </c>
      <c r="P698" t="str">
        <f>IF(OR($A698="",games!$H698=""),"",games!$H698)</f>
        <v/>
      </c>
      <c r="Q698" t="str">
        <f t="shared" si="141"/>
        <v/>
      </c>
      <c r="T698">
        <f>IF(connections!$A698="","",IFERROR(INDEX(games!$B$2:$B$950,MATCH(connections!$A698,games!$A$2:$A$950,0)),""))</f>
        <v>2015</v>
      </c>
      <c r="U698">
        <f>IF(connections!$A698="","",IFERROR(INDEX(games!$B$2:$B$950,MATCH(connections!$B698,games!$A$2:$A$950,0)),""))</f>
        <v>2019</v>
      </c>
      <c r="V698">
        <f t="shared" si="142"/>
        <v>4</v>
      </c>
    </row>
    <row r="699" spans="1:22" x14ac:dyDescent="0.25">
      <c r="A699" t="str">
        <f>IF(games!$A699="","",games!$A699)</f>
        <v>Slots &amp; Daggers</v>
      </c>
      <c r="B699">
        <f>IF($A699="","",games!$B699)</f>
        <v>2025</v>
      </c>
      <c r="C699" t="str">
        <f>IF($A699="","",games!$C699)</f>
        <v>Deckbuilder</v>
      </c>
      <c r="D699">
        <f>IF($A699="","",COUNTIF(connections!$A$2:$A$1473,$A699)+COUNTIF(connections!$B$2:$B$1473,$A699))</f>
        <v>0</v>
      </c>
      <c r="E699">
        <f t="shared" si="130"/>
        <v>3</v>
      </c>
      <c r="F699">
        <f t="shared" si="131"/>
        <v>19</v>
      </c>
      <c r="G699" t="e">
        <f t="shared" si="132"/>
        <v>#N/A</v>
      </c>
      <c r="H699" t="e">
        <f t="shared" si="133"/>
        <v>#N/A</v>
      </c>
      <c r="I699" t="e">
        <f t="shared" si="134"/>
        <v>#N/A</v>
      </c>
      <c r="J699" t="e">
        <f t="shared" si="135"/>
        <v>#N/A</v>
      </c>
      <c r="K699">
        <f t="shared" si="136"/>
        <v>2025</v>
      </c>
      <c r="L699">
        <f t="shared" si="137"/>
        <v>3.4369999999999998</v>
      </c>
      <c r="M699" t="e">
        <f t="shared" si="138"/>
        <v>#N/A</v>
      </c>
      <c r="N699" t="e">
        <f t="shared" si="139"/>
        <v>#N/A</v>
      </c>
      <c r="O699">
        <f t="shared" si="140"/>
        <v>6.9899999999999997E-4</v>
      </c>
      <c r="P699" t="str">
        <f>IF(OR($A699="",games!$H699=""),"",games!$H699)</f>
        <v>Yes</v>
      </c>
      <c r="Q699">
        <f t="shared" si="141"/>
        <v>6.9899999999999997E-4</v>
      </c>
      <c r="T699">
        <f>IF(connections!$A699="","",IFERROR(INDEX(games!$B$2:$B$950,MATCH(connections!$A699,games!$A$2:$A$950,0)),""))</f>
        <v>2018</v>
      </c>
      <c r="U699">
        <f>IF(connections!$A699="","",IFERROR(INDEX(games!$B$2:$B$950,MATCH(connections!$B699,games!$A$2:$A$950,0)),""))</f>
        <v>2019</v>
      </c>
      <c r="V699">
        <f t="shared" si="142"/>
        <v>1</v>
      </c>
    </row>
    <row r="700" spans="1:22" x14ac:dyDescent="0.25">
      <c r="A700" t="str">
        <f>IF(games!$A700="","",games!$A700)</f>
        <v>SNKRX</v>
      </c>
      <c r="B700">
        <f>IF($A700="","",games!$B700)</f>
        <v>2021</v>
      </c>
      <c r="C700" t="str">
        <f>IF($A700="","",games!$C700)</f>
        <v>Action</v>
      </c>
      <c r="D700">
        <f>IF($A700="","",COUNTIF(connections!$A$2:$A$1473,$A700)+COUNTIF(connections!$B$2:$B$1473,$A700))</f>
        <v>7</v>
      </c>
      <c r="E700">
        <f t="shared" si="130"/>
        <v>1</v>
      </c>
      <c r="F700">
        <f t="shared" si="131"/>
        <v>20</v>
      </c>
      <c r="G700">
        <f t="shared" si="132"/>
        <v>2021</v>
      </c>
      <c r="H700">
        <f t="shared" si="133"/>
        <v>1.46</v>
      </c>
      <c r="I700" t="e">
        <f t="shared" si="134"/>
        <v>#N/A</v>
      </c>
      <c r="J700" t="e">
        <f t="shared" si="135"/>
        <v>#N/A</v>
      </c>
      <c r="K700" t="e">
        <f t="shared" si="136"/>
        <v>#N/A</v>
      </c>
      <c r="L700" t="e">
        <f t="shared" si="137"/>
        <v>#N/A</v>
      </c>
      <c r="M700" t="e">
        <f t="shared" si="138"/>
        <v>#N/A</v>
      </c>
      <c r="N700" t="e">
        <f t="shared" si="139"/>
        <v>#N/A</v>
      </c>
      <c r="O700">
        <f t="shared" si="140"/>
        <v>7.0007000000000001</v>
      </c>
      <c r="P700" t="str">
        <f>IF(OR($A700="",games!$H700=""),"",games!$H700)</f>
        <v>Yes</v>
      </c>
      <c r="Q700">
        <f t="shared" si="141"/>
        <v>7.0007000000000001</v>
      </c>
      <c r="T700">
        <f>IF(connections!$A700="","",IFERROR(INDEX(games!$B$2:$B$950,MATCH(connections!$A700,games!$A$2:$A$950,0)),""))</f>
        <v>2017</v>
      </c>
      <c r="U700">
        <f>IF(connections!$A700="","",IFERROR(INDEX(games!$B$2:$B$950,MATCH(connections!$B700,games!$A$2:$A$950,0)),""))</f>
        <v>2019</v>
      </c>
      <c r="V700">
        <f t="shared" si="142"/>
        <v>2</v>
      </c>
    </row>
    <row r="701" spans="1:22" x14ac:dyDescent="0.25">
      <c r="A701" t="str">
        <f>IF(games!$A701="","",games!$A701)</f>
        <v>Sodaman</v>
      </c>
      <c r="B701">
        <f>IF($A701="","",games!$B701)</f>
        <v>2025</v>
      </c>
      <c r="C701" t="str">
        <f>IF($A701="","",games!$C701)</f>
        <v>Action</v>
      </c>
      <c r="D701">
        <f>IF($A701="","",COUNTIF(connections!$A$2:$A$1473,$A701)+COUNTIF(connections!$B$2:$B$1473,$A701))</f>
        <v>3</v>
      </c>
      <c r="E701">
        <f t="shared" si="130"/>
        <v>1</v>
      </c>
      <c r="F701">
        <f t="shared" si="131"/>
        <v>21</v>
      </c>
      <c r="G701">
        <f t="shared" si="132"/>
        <v>2025</v>
      </c>
      <c r="H701">
        <f t="shared" si="133"/>
        <v>1.4830000000000001</v>
      </c>
      <c r="I701" t="e">
        <f t="shared" si="134"/>
        <v>#N/A</v>
      </c>
      <c r="J701" t="e">
        <f t="shared" si="135"/>
        <v>#N/A</v>
      </c>
      <c r="K701" t="e">
        <f t="shared" si="136"/>
        <v>#N/A</v>
      </c>
      <c r="L701" t="e">
        <f t="shared" si="137"/>
        <v>#N/A</v>
      </c>
      <c r="M701" t="e">
        <f t="shared" si="138"/>
        <v>#N/A</v>
      </c>
      <c r="N701" t="e">
        <f t="shared" si="139"/>
        <v>#N/A</v>
      </c>
      <c r="O701">
        <f t="shared" si="140"/>
        <v>3.0007009999999998</v>
      </c>
      <c r="P701" t="str">
        <f>IF(OR($A701="",games!$H701=""),"",games!$H701)</f>
        <v>Yes</v>
      </c>
      <c r="Q701">
        <f t="shared" si="141"/>
        <v>3.0007009999999998</v>
      </c>
      <c r="T701">
        <f>IF(connections!$A701="","",IFERROR(INDEX(games!$B$2:$B$950,MATCH(connections!$A701,games!$A$2:$A$950,0)),""))</f>
        <v>2021</v>
      </c>
      <c r="U701">
        <f>IF(connections!$A701="","",IFERROR(INDEX(games!$B$2:$B$950,MATCH(connections!$B701,games!$A$2:$A$950,0)),""))</f>
        <v>2026</v>
      </c>
      <c r="V701">
        <f t="shared" si="142"/>
        <v>5</v>
      </c>
    </row>
    <row r="702" spans="1:22" x14ac:dyDescent="0.25">
      <c r="A702" t="str">
        <f>IF(games!$A702="","",games!$A702)</f>
        <v>Sol Cesto</v>
      </c>
      <c r="B702">
        <f>IF($A702="","",games!$B702)</f>
        <v>2025</v>
      </c>
      <c r="C702" t="str">
        <f>IF($A702="","",games!$C702)</f>
        <v>Strategy</v>
      </c>
      <c r="D702">
        <f>IF($A702="","",COUNTIF(connections!$A$2:$A$1473,$A702)+COUNTIF(connections!$B$2:$B$1473,$A702))</f>
        <v>3</v>
      </c>
      <c r="E702">
        <f t="shared" si="130"/>
        <v>2</v>
      </c>
      <c r="F702">
        <f t="shared" si="131"/>
        <v>22</v>
      </c>
      <c r="G702" t="e">
        <f t="shared" si="132"/>
        <v>#N/A</v>
      </c>
      <c r="H702" t="e">
        <f t="shared" si="133"/>
        <v>#N/A</v>
      </c>
      <c r="I702">
        <f t="shared" si="134"/>
        <v>2025</v>
      </c>
      <c r="J702">
        <f t="shared" si="135"/>
        <v>2.5060000000000002</v>
      </c>
      <c r="K702" t="e">
        <f t="shared" si="136"/>
        <v>#N/A</v>
      </c>
      <c r="L702" t="e">
        <f t="shared" si="137"/>
        <v>#N/A</v>
      </c>
      <c r="M702" t="e">
        <f t="shared" si="138"/>
        <v>#N/A</v>
      </c>
      <c r="N702" t="e">
        <f t="shared" si="139"/>
        <v>#N/A</v>
      </c>
      <c r="O702">
        <f t="shared" si="140"/>
        <v>3.000702</v>
      </c>
      <c r="P702" t="str">
        <f>IF(OR($A702="",games!$H702=""),"",games!$H702)</f>
        <v>Yes</v>
      </c>
      <c r="Q702">
        <f t="shared" si="141"/>
        <v>3.000702</v>
      </c>
      <c r="T702">
        <f>IF(connections!$A702="","",IFERROR(INDEX(games!$B$2:$B$950,MATCH(connections!$A702,games!$A$2:$A$950,0)),""))</f>
        <v>2021</v>
      </c>
      <c r="U702">
        <f>IF(connections!$A702="","",IFERROR(INDEX(games!$B$2:$B$950,MATCH(connections!$B702,games!$A$2:$A$950,0)),""))</f>
        <v>2024</v>
      </c>
      <c r="V702">
        <f t="shared" si="142"/>
        <v>3</v>
      </c>
    </row>
    <row r="703" spans="1:22" x14ac:dyDescent="0.25">
      <c r="A703" t="str">
        <f>IF(games!$A703="","",games!$A703)</f>
        <v>Solitairica</v>
      </c>
      <c r="B703">
        <f>IF($A703="","",games!$B703)</f>
        <v>2016</v>
      </c>
      <c r="C703" t="str">
        <f>IF($A703="","",games!$C703)</f>
        <v>Deckbuilder</v>
      </c>
      <c r="D703">
        <f>IF($A703="","",COUNTIF(connections!$A$2:$A$1473,$A703)+COUNTIF(connections!$B$2:$B$1473,$A703))</f>
        <v>1</v>
      </c>
      <c r="E703">
        <f t="shared" si="130"/>
        <v>3</v>
      </c>
      <c r="F703">
        <f t="shared" si="131"/>
        <v>23</v>
      </c>
      <c r="G703" t="e">
        <f t="shared" si="132"/>
        <v>#N/A</v>
      </c>
      <c r="H703" t="e">
        <f t="shared" si="133"/>
        <v>#N/A</v>
      </c>
      <c r="I703" t="e">
        <f t="shared" si="134"/>
        <v>#N/A</v>
      </c>
      <c r="J703" t="e">
        <f t="shared" si="135"/>
        <v>#N/A</v>
      </c>
      <c r="K703">
        <f t="shared" si="136"/>
        <v>2016</v>
      </c>
      <c r="L703">
        <f t="shared" si="137"/>
        <v>3.5289999999999999</v>
      </c>
      <c r="M703" t="e">
        <f t="shared" si="138"/>
        <v>#N/A</v>
      </c>
      <c r="N703" t="e">
        <f t="shared" si="139"/>
        <v>#N/A</v>
      </c>
      <c r="O703">
        <f t="shared" si="140"/>
        <v>1.0007029999999999</v>
      </c>
      <c r="P703" t="str">
        <f>IF(OR($A703="",games!$H703=""),"",games!$H703)</f>
        <v>Yes</v>
      </c>
      <c r="Q703">
        <f t="shared" si="141"/>
        <v>1.0007029999999999</v>
      </c>
      <c r="T703">
        <f>IF(connections!$A703="","",IFERROR(INDEX(games!$B$2:$B$950,MATCH(connections!$A703,games!$A$2:$A$950,0)),""))</f>
        <v>2021</v>
      </c>
      <c r="U703">
        <f>IF(connections!$A703="","",IFERROR(INDEX(games!$B$2:$B$950,MATCH(connections!$B703,games!$A$2:$A$950,0)),""))</f>
        <v>2026</v>
      </c>
      <c r="V703">
        <f t="shared" si="142"/>
        <v>5</v>
      </c>
    </row>
    <row r="704" spans="1:22" x14ac:dyDescent="0.25">
      <c r="A704" t="str">
        <f>IF(games!$A704="","",games!$A704)</f>
        <v>Soulash</v>
      </c>
      <c r="B704">
        <f>IF($A704="","",games!$B704)</f>
        <v>2022</v>
      </c>
      <c r="C704" t="str">
        <f>IF($A704="","",games!$C704)</f>
        <v>Traditional</v>
      </c>
      <c r="D704">
        <f>IF($A704="","",COUNTIF(connections!$A$2:$A$1473,$A704)+COUNTIF(connections!$B$2:$B$1473,$A704))</f>
        <v>3</v>
      </c>
      <c r="E704">
        <f t="shared" si="130"/>
        <v>4</v>
      </c>
      <c r="F704">
        <f t="shared" si="131"/>
        <v>24</v>
      </c>
      <c r="G704" t="e">
        <f t="shared" si="132"/>
        <v>#N/A</v>
      </c>
      <c r="H704" t="e">
        <f t="shared" si="133"/>
        <v>#N/A</v>
      </c>
      <c r="I704" t="e">
        <f t="shared" si="134"/>
        <v>#N/A</v>
      </c>
      <c r="J704" t="e">
        <f t="shared" si="135"/>
        <v>#N/A</v>
      </c>
      <c r="K704" t="e">
        <f t="shared" si="136"/>
        <v>#N/A</v>
      </c>
      <c r="L704" t="e">
        <f t="shared" si="137"/>
        <v>#N/A</v>
      </c>
      <c r="M704">
        <f t="shared" si="138"/>
        <v>2022</v>
      </c>
      <c r="N704">
        <f t="shared" si="139"/>
        <v>4.5519999999999996</v>
      </c>
      <c r="O704">
        <f t="shared" si="140"/>
        <v>3.0007039999999998</v>
      </c>
      <c r="P704" t="str">
        <f>IF(OR($A704="",games!$H704=""),"",games!$H704)</f>
        <v/>
      </c>
      <c r="Q704" t="str">
        <f t="shared" si="141"/>
        <v/>
      </c>
      <c r="T704">
        <f>IF(connections!$A704="","",IFERROR(INDEX(games!$B$2:$B$950,MATCH(connections!$A704,games!$A$2:$A$950,0)),""))</f>
        <v>2024</v>
      </c>
      <c r="U704">
        <f>IF(connections!$A704="","",IFERROR(INDEX(games!$B$2:$B$950,MATCH(connections!$B704,games!$A$2:$A$950,0)),""))</f>
        <v>2026</v>
      </c>
      <c r="V704">
        <f t="shared" si="142"/>
        <v>2</v>
      </c>
    </row>
    <row r="705" spans="1:22" x14ac:dyDescent="0.25">
      <c r="A705" t="str">
        <f>IF(games!$A705="","",games!$A705)</f>
        <v>Soulash 2</v>
      </c>
      <c r="B705">
        <f>IF($A705="","",games!$B705)</f>
        <v>2023</v>
      </c>
      <c r="C705" t="str">
        <f>IF($A705="","",games!$C705)</f>
        <v>Traditional</v>
      </c>
      <c r="D705">
        <f>IF($A705="","",COUNTIF(connections!$A$2:$A$1473,$A705)+COUNTIF(connections!$B$2:$B$1473,$A705))</f>
        <v>2</v>
      </c>
      <c r="E705">
        <f t="shared" si="130"/>
        <v>4</v>
      </c>
      <c r="F705">
        <f t="shared" si="131"/>
        <v>25</v>
      </c>
      <c r="G705" t="e">
        <f t="shared" si="132"/>
        <v>#N/A</v>
      </c>
      <c r="H705" t="e">
        <f t="shared" si="133"/>
        <v>#N/A</v>
      </c>
      <c r="I705" t="e">
        <f t="shared" si="134"/>
        <v>#N/A</v>
      </c>
      <c r="J705" t="e">
        <f t="shared" si="135"/>
        <v>#N/A</v>
      </c>
      <c r="K705" t="e">
        <f t="shared" si="136"/>
        <v>#N/A</v>
      </c>
      <c r="L705" t="e">
        <f t="shared" si="137"/>
        <v>#N/A</v>
      </c>
      <c r="M705">
        <f t="shared" si="138"/>
        <v>2023</v>
      </c>
      <c r="N705">
        <f t="shared" si="139"/>
        <v>4.5750000000000002</v>
      </c>
      <c r="O705">
        <f t="shared" si="140"/>
        <v>2.000705</v>
      </c>
      <c r="P705" t="str">
        <f>IF(OR($A705="",games!$H705=""),"",games!$H705)</f>
        <v/>
      </c>
      <c r="Q705" t="str">
        <f t="shared" si="141"/>
        <v/>
      </c>
      <c r="T705">
        <f>IF(connections!$A705="","",IFERROR(INDEX(games!$B$2:$B$950,MATCH(connections!$A705,games!$A$2:$A$950,0)),""))</f>
        <v>2013</v>
      </c>
      <c r="U705">
        <f>IF(connections!$A705="","",IFERROR(INDEX(games!$B$2:$B$950,MATCH(connections!$B705,games!$A$2:$A$950,0)),""))</f>
        <v>2023</v>
      </c>
      <c r="V705">
        <f t="shared" si="142"/>
        <v>10</v>
      </c>
    </row>
    <row r="706" spans="1:22" x14ac:dyDescent="0.25">
      <c r="A706" t="str">
        <f>IF(games!$A706="","",games!$A706)</f>
        <v>Soulstone Survivors</v>
      </c>
      <c r="B706">
        <f>IF($A706="","",games!$B706)</f>
        <v>2022</v>
      </c>
      <c r="C706" t="str">
        <f>IF($A706="","",games!$C706)</f>
        <v>Action</v>
      </c>
      <c r="D706">
        <f>IF($A706="","",COUNTIF(connections!$A$2:$A$1473,$A706)+COUNTIF(connections!$B$2:$B$1473,$A706))</f>
        <v>6</v>
      </c>
      <c r="E706">
        <f t="shared" ref="E706:E769" si="143">IF($A706="","",IFERROR(MATCH($C706,$R$2:$R$5,0),0))</f>
        <v>1</v>
      </c>
      <c r="F706">
        <f t="shared" ref="F706:F769" si="144">IF($A706="","",MOD(ROW(),34))</f>
        <v>26</v>
      </c>
      <c r="G706">
        <f t="shared" ref="G706:G769" si="145">IF($A706="",NA(),IF($C706="Action",$B706,NA()))</f>
        <v>2022</v>
      </c>
      <c r="H706">
        <f t="shared" ref="H706:H769" si="146">IF($A706="",NA(),IF($C706="Action",1+$F706*0.023,NA()))</f>
        <v>1.5979999999999999</v>
      </c>
      <c r="I706" t="e">
        <f t="shared" ref="I706:I769" si="147">IF($A706="",NA(),IF($C706="Strategy",$B706,NA()))</f>
        <v>#N/A</v>
      </c>
      <c r="J706" t="e">
        <f t="shared" ref="J706:J769" si="148">IF($A706="",NA(),IF($C706="Strategy",2+$F706*0.023,NA()))</f>
        <v>#N/A</v>
      </c>
      <c r="K706" t="e">
        <f t="shared" ref="K706:K769" si="149">IF($A706="",NA(),IF($C706="Deckbuilder",$B706,NA()))</f>
        <v>#N/A</v>
      </c>
      <c r="L706" t="e">
        <f t="shared" ref="L706:L769" si="150">IF($A706="",NA(),IF($C706="Deckbuilder",3+$F706*0.023,NA()))</f>
        <v>#N/A</v>
      </c>
      <c r="M706" t="e">
        <f t="shared" ref="M706:M769" si="151">IF($A706="",NA(),IF($C706="Traditional",$B706,NA()))</f>
        <v>#N/A</v>
      </c>
      <c r="N706" t="e">
        <f t="shared" ref="N706:N769" si="152">IF($A706="",NA(),IF($C706="Traditional",4+$F706*0.023,NA()))</f>
        <v>#N/A</v>
      </c>
      <c r="O706">
        <f t="shared" ref="O706:O769" si="153">IF($A706="","",$D706+ROW()/1000000)</f>
        <v>6.0007060000000001</v>
      </c>
      <c r="P706" t="str">
        <f>IF(OR($A706="",games!$H706=""),"",games!$H706)</f>
        <v>Yes</v>
      </c>
      <c r="Q706">
        <f t="shared" ref="Q706:Q769" si="154">IF(OR($A706="",$P706&lt;&gt;"Yes"),"",$D706+ROW()/1000000)</f>
        <v>6.0007060000000001</v>
      </c>
      <c r="T706">
        <f>IF(connections!$A706="","",IFERROR(INDEX(games!$B$2:$B$950,MATCH(connections!$A706,games!$A$2:$A$950,0)),""))</f>
        <v>2018</v>
      </c>
      <c r="U706">
        <f>IF(connections!$A706="","",IFERROR(INDEX(games!$B$2:$B$950,MATCH(connections!$B706,games!$A$2:$A$950,0)),""))</f>
        <v>2023</v>
      </c>
      <c r="V706">
        <f t="shared" ref="V706:V769" si="155">IF(OR($T706="",$U706=""),"",$U706-$T706)</f>
        <v>5</v>
      </c>
    </row>
    <row r="707" spans="1:22" x14ac:dyDescent="0.25">
      <c r="A707" t="str">
        <f>IF(games!$A707="","",games!$A707)</f>
        <v>Space Beast Terror Fright</v>
      </c>
      <c r="B707">
        <f>IF($A707="","",games!$B707)</f>
        <v>2015</v>
      </c>
      <c r="C707" t="str">
        <f>IF($A707="","",games!$C707)</f>
        <v>Action</v>
      </c>
      <c r="D707">
        <f>IF($A707="","",COUNTIF(connections!$A$2:$A$1473,$A707)+COUNTIF(connections!$B$2:$B$1473,$A707))</f>
        <v>0</v>
      </c>
      <c r="E707">
        <f t="shared" si="143"/>
        <v>1</v>
      </c>
      <c r="F707">
        <f t="shared" si="144"/>
        <v>27</v>
      </c>
      <c r="G707">
        <f t="shared" si="145"/>
        <v>2015</v>
      </c>
      <c r="H707">
        <f t="shared" si="146"/>
        <v>1.621</v>
      </c>
      <c r="I707" t="e">
        <f t="shared" si="147"/>
        <v>#N/A</v>
      </c>
      <c r="J707" t="e">
        <f t="shared" si="148"/>
        <v>#N/A</v>
      </c>
      <c r="K707" t="e">
        <f t="shared" si="149"/>
        <v>#N/A</v>
      </c>
      <c r="L707" t="e">
        <f t="shared" si="150"/>
        <v>#N/A</v>
      </c>
      <c r="M707" t="e">
        <f t="shared" si="151"/>
        <v>#N/A</v>
      </c>
      <c r="N707" t="e">
        <f t="shared" si="152"/>
        <v>#N/A</v>
      </c>
      <c r="O707">
        <f t="shared" si="153"/>
        <v>7.0699999999999995E-4</v>
      </c>
      <c r="P707" t="str">
        <f>IF(OR($A707="",games!$H707=""),"",games!$H707)</f>
        <v/>
      </c>
      <c r="Q707" t="str">
        <f t="shared" si="154"/>
        <v/>
      </c>
      <c r="T707">
        <f>IF(connections!$A707="","",IFERROR(INDEX(games!$B$2:$B$950,MATCH(connections!$A707,games!$A$2:$A$950,0)),""))</f>
        <v>2023</v>
      </c>
      <c r="U707">
        <f>IF(connections!$A707="","",IFERROR(INDEX(games!$B$2:$B$950,MATCH(connections!$B707,games!$A$2:$A$950,0)),""))</f>
        <v>2026</v>
      </c>
      <c r="V707">
        <f t="shared" si="155"/>
        <v>3</v>
      </c>
    </row>
    <row r="708" spans="1:22" x14ac:dyDescent="0.25">
      <c r="A708" t="str">
        <f>IF(games!$A708="","",games!$A708)</f>
        <v>Space Gladiators</v>
      </c>
      <c r="B708">
        <f>IF($A708="","",games!$B708)</f>
        <v>2019</v>
      </c>
      <c r="C708" t="str">
        <f>IF($A708="","",games!$C708)</f>
        <v>Action</v>
      </c>
      <c r="D708">
        <f>IF($A708="","",COUNTIF(connections!$A$2:$A$1473,$A708)+COUNTIF(connections!$B$2:$B$1473,$A708))</f>
        <v>4</v>
      </c>
      <c r="E708">
        <f t="shared" si="143"/>
        <v>1</v>
      </c>
      <c r="F708">
        <f t="shared" si="144"/>
        <v>28</v>
      </c>
      <c r="G708">
        <f t="shared" si="145"/>
        <v>2019</v>
      </c>
      <c r="H708">
        <f t="shared" si="146"/>
        <v>1.6440000000000001</v>
      </c>
      <c r="I708" t="e">
        <f t="shared" si="147"/>
        <v>#N/A</v>
      </c>
      <c r="J708" t="e">
        <f t="shared" si="148"/>
        <v>#N/A</v>
      </c>
      <c r="K708" t="e">
        <f t="shared" si="149"/>
        <v>#N/A</v>
      </c>
      <c r="L708" t="e">
        <f t="shared" si="150"/>
        <v>#N/A</v>
      </c>
      <c r="M708" t="e">
        <f t="shared" si="151"/>
        <v>#N/A</v>
      </c>
      <c r="N708" t="e">
        <f t="shared" si="152"/>
        <v>#N/A</v>
      </c>
      <c r="O708">
        <f t="shared" si="153"/>
        <v>4.0007080000000004</v>
      </c>
      <c r="P708" t="str">
        <f>IF(OR($A708="",games!$H708=""),"",games!$H708)</f>
        <v/>
      </c>
      <c r="Q708" t="str">
        <f t="shared" si="154"/>
        <v/>
      </c>
      <c r="T708">
        <f>IF(connections!$A708="","",IFERROR(INDEX(games!$B$2:$B$950,MATCH(connections!$A708,games!$A$2:$A$950,0)),""))</f>
        <v>2023</v>
      </c>
      <c r="U708">
        <f>IF(connections!$A708="","",IFERROR(INDEX(games!$B$2:$B$950,MATCH(connections!$B708,games!$A$2:$A$950,0)),""))</f>
        <v>2026</v>
      </c>
      <c r="V708">
        <f t="shared" si="155"/>
        <v>3</v>
      </c>
    </row>
    <row r="709" spans="1:22" x14ac:dyDescent="0.25">
      <c r="A709" t="str">
        <f>IF(games!$A709="","",games!$A709)</f>
        <v>Space Grunts</v>
      </c>
      <c r="B709">
        <f>IF($A709="","",games!$B709)</f>
        <v>2016</v>
      </c>
      <c r="C709" t="str">
        <f>IF($A709="","",games!$C709)</f>
        <v>Traditional</v>
      </c>
      <c r="D709">
        <f>IF($A709="","",COUNTIF(connections!$A$2:$A$1473,$A709)+COUNTIF(connections!$B$2:$B$1473,$A709))</f>
        <v>2</v>
      </c>
      <c r="E709">
        <f t="shared" si="143"/>
        <v>4</v>
      </c>
      <c r="F709">
        <f t="shared" si="144"/>
        <v>29</v>
      </c>
      <c r="G709" t="e">
        <f t="shared" si="145"/>
        <v>#N/A</v>
      </c>
      <c r="H709" t="e">
        <f t="shared" si="146"/>
        <v>#N/A</v>
      </c>
      <c r="I709" t="e">
        <f t="shared" si="147"/>
        <v>#N/A</v>
      </c>
      <c r="J709" t="e">
        <f t="shared" si="148"/>
        <v>#N/A</v>
      </c>
      <c r="K709" t="e">
        <f t="shared" si="149"/>
        <v>#N/A</v>
      </c>
      <c r="L709" t="e">
        <f t="shared" si="150"/>
        <v>#N/A</v>
      </c>
      <c r="M709">
        <f t="shared" si="151"/>
        <v>2016</v>
      </c>
      <c r="N709">
        <f t="shared" si="152"/>
        <v>4.6669999999999998</v>
      </c>
      <c r="O709">
        <f t="shared" si="153"/>
        <v>2.0007090000000001</v>
      </c>
      <c r="P709" t="str">
        <f>IF(OR($A709="",games!$H709=""),"",games!$H709)</f>
        <v>Yes</v>
      </c>
      <c r="Q709">
        <f t="shared" si="154"/>
        <v>2.0007090000000001</v>
      </c>
      <c r="T709">
        <f>IF(connections!$A709="","",IFERROR(INDEX(games!$B$2:$B$950,MATCH(connections!$A709,games!$A$2:$A$950,0)),""))</f>
        <v>1987</v>
      </c>
      <c r="U709">
        <f>IF(connections!$A709="","",IFERROR(INDEX(games!$B$2:$B$950,MATCH(connections!$B709,games!$A$2:$A$950,0)),""))</f>
        <v>1995</v>
      </c>
      <c r="V709">
        <f t="shared" si="155"/>
        <v>8</v>
      </c>
    </row>
    <row r="710" spans="1:22" x14ac:dyDescent="0.25">
      <c r="A710" t="str">
        <f>IF(games!$A710="","",games!$A710)</f>
        <v>Space Prison</v>
      </c>
      <c r="B710">
        <f>IF($A710="","",games!$B710)</f>
        <v>2024</v>
      </c>
      <c r="C710" t="str">
        <f>IF($A710="","",games!$C710)</f>
        <v>Strategy</v>
      </c>
      <c r="D710">
        <f>IF($A710="","",COUNTIF(connections!$A$2:$A$1473,$A710)+COUNTIF(connections!$B$2:$B$1473,$A710))</f>
        <v>4</v>
      </c>
      <c r="E710">
        <f t="shared" si="143"/>
        <v>2</v>
      </c>
      <c r="F710">
        <f t="shared" si="144"/>
        <v>30</v>
      </c>
      <c r="G710" t="e">
        <f t="shared" si="145"/>
        <v>#N/A</v>
      </c>
      <c r="H710" t="e">
        <f t="shared" si="146"/>
        <v>#N/A</v>
      </c>
      <c r="I710">
        <f t="shared" si="147"/>
        <v>2024</v>
      </c>
      <c r="J710">
        <f t="shared" si="148"/>
        <v>2.69</v>
      </c>
      <c r="K710" t="e">
        <f t="shared" si="149"/>
        <v>#N/A</v>
      </c>
      <c r="L710" t="e">
        <f t="shared" si="150"/>
        <v>#N/A</v>
      </c>
      <c r="M710" t="e">
        <f t="shared" si="151"/>
        <v>#N/A</v>
      </c>
      <c r="N710" t="e">
        <f t="shared" si="152"/>
        <v>#N/A</v>
      </c>
      <c r="O710">
        <f t="shared" si="153"/>
        <v>4.0007099999999998</v>
      </c>
      <c r="P710" t="str">
        <f>IF(OR($A710="",games!$H710=""),"",games!$H710)</f>
        <v>Yes</v>
      </c>
      <c r="Q710">
        <f t="shared" si="154"/>
        <v>4.0007099999999998</v>
      </c>
      <c r="T710">
        <f>IF(connections!$A710="","",IFERROR(INDEX(games!$B$2:$B$950,MATCH(connections!$A710,games!$A$2:$A$950,0)),""))</f>
        <v>2015</v>
      </c>
      <c r="U710">
        <f>IF(connections!$A710="","",IFERROR(INDEX(games!$B$2:$B$950,MATCH(connections!$B710,games!$A$2:$A$950,0)),""))</f>
        <v>2023</v>
      </c>
      <c r="V710">
        <f t="shared" si="155"/>
        <v>8</v>
      </c>
    </row>
    <row r="711" spans="1:22" x14ac:dyDescent="0.25">
      <c r="A711" t="str">
        <f>IF(games!$A711="","",games!$A711)</f>
        <v>Sparklite</v>
      </c>
      <c r="B711">
        <f>IF($A711="","",games!$B711)</f>
        <v>2019</v>
      </c>
      <c r="C711" t="str">
        <f>IF($A711="","",games!$C711)</f>
        <v>Action</v>
      </c>
      <c r="D711">
        <f>IF($A711="","",COUNTIF(connections!$A$2:$A$1473,$A711)+COUNTIF(connections!$B$2:$B$1473,$A711))</f>
        <v>3</v>
      </c>
      <c r="E711">
        <f t="shared" si="143"/>
        <v>1</v>
      </c>
      <c r="F711">
        <f t="shared" si="144"/>
        <v>31</v>
      </c>
      <c r="G711">
        <f t="shared" si="145"/>
        <v>2019</v>
      </c>
      <c r="H711">
        <f t="shared" si="146"/>
        <v>1.7130000000000001</v>
      </c>
      <c r="I711" t="e">
        <f t="shared" si="147"/>
        <v>#N/A</v>
      </c>
      <c r="J711" t="e">
        <f t="shared" si="148"/>
        <v>#N/A</v>
      </c>
      <c r="K711" t="e">
        <f t="shared" si="149"/>
        <v>#N/A</v>
      </c>
      <c r="L711" t="e">
        <f t="shared" si="150"/>
        <v>#N/A</v>
      </c>
      <c r="M711" t="e">
        <f t="shared" si="151"/>
        <v>#N/A</v>
      </c>
      <c r="N711" t="e">
        <f t="shared" si="152"/>
        <v>#N/A</v>
      </c>
      <c r="O711">
        <f t="shared" si="153"/>
        <v>3.0007109999999999</v>
      </c>
      <c r="P711" t="str">
        <f>IF(OR($A711="",games!$H711=""),"",games!$H711)</f>
        <v>Yes</v>
      </c>
      <c r="Q711">
        <f t="shared" si="154"/>
        <v>3.0007109999999999</v>
      </c>
      <c r="T711">
        <f>IF(connections!$A711="","",IFERROR(INDEX(games!$B$2:$B$950,MATCH(connections!$A711,games!$A$2:$A$950,0)),""))</f>
        <v>2015</v>
      </c>
      <c r="U711">
        <f>IF(connections!$A711="","",IFERROR(INDEX(games!$B$2:$B$950,MATCH(connections!$B711,games!$A$2:$A$950,0)),""))</f>
        <v>2023</v>
      </c>
      <c r="V711">
        <f t="shared" si="155"/>
        <v>8</v>
      </c>
    </row>
    <row r="712" spans="1:22" x14ac:dyDescent="0.25">
      <c r="A712" t="str">
        <f>IF(games!$A712="","",games!$A712)</f>
        <v>Spellbook Demonslayers</v>
      </c>
      <c r="B712">
        <f>IF($A712="","",games!$B712)</f>
        <v>2022</v>
      </c>
      <c r="C712" t="str">
        <f>IF($A712="","",games!$C712)</f>
        <v>Action</v>
      </c>
      <c r="D712">
        <f>IF($A712="","",COUNTIF(connections!$A$2:$A$1473,$A712)+COUNTIF(connections!$B$2:$B$1473,$A712))</f>
        <v>2</v>
      </c>
      <c r="E712">
        <f t="shared" si="143"/>
        <v>1</v>
      </c>
      <c r="F712">
        <f t="shared" si="144"/>
        <v>32</v>
      </c>
      <c r="G712">
        <f t="shared" si="145"/>
        <v>2022</v>
      </c>
      <c r="H712">
        <f t="shared" si="146"/>
        <v>1.736</v>
      </c>
      <c r="I712" t="e">
        <f t="shared" si="147"/>
        <v>#N/A</v>
      </c>
      <c r="J712" t="e">
        <f t="shared" si="148"/>
        <v>#N/A</v>
      </c>
      <c r="K712" t="e">
        <f t="shared" si="149"/>
        <v>#N/A</v>
      </c>
      <c r="L712" t="e">
        <f t="shared" si="150"/>
        <v>#N/A</v>
      </c>
      <c r="M712" t="e">
        <f t="shared" si="151"/>
        <v>#N/A</v>
      </c>
      <c r="N712" t="e">
        <f t="shared" si="152"/>
        <v>#N/A</v>
      </c>
      <c r="O712">
        <f t="shared" si="153"/>
        <v>2.000712</v>
      </c>
      <c r="P712" t="str">
        <f>IF(OR($A712="",games!$H712=""),"",games!$H712)</f>
        <v>Yes</v>
      </c>
      <c r="Q712">
        <f t="shared" si="154"/>
        <v>2.000712</v>
      </c>
      <c r="T712">
        <f>IF(connections!$A712="","",IFERROR(INDEX(games!$B$2:$B$950,MATCH(connections!$A712,games!$A$2:$A$950,0)),""))</f>
        <v>2021</v>
      </c>
      <c r="U712">
        <f>IF(connections!$A712="","",IFERROR(INDEX(games!$B$2:$B$950,MATCH(connections!$B712,games!$A$2:$A$950,0)),""))</f>
        <v>2023</v>
      </c>
      <c r="V712">
        <f t="shared" si="155"/>
        <v>2</v>
      </c>
    </row>
    <row r="713" spans="1:22" x14ac:dyDescent="0.25">
      <c r="A713" t="str">
        <f>IF(games!$A713="","",games!$A713)</f>
        <v>Spellmasons</v>
      </c>
      <c r="B713">
        <f>IF($A713="","",games!$B713)</f>
        <v>2023</v>
      </c>
      <c r="C713" t="str">
        <f>IF($A713="","",games!$C713)</f>
        <v>Strategy</v>
      </c>
      <c r="D713">
        <f>IF($A713="","",COUNTIF(connections!$A$2:$A$1473,$A713)+COUNTIF(connections!$B$2:$B$1473,$A713))</f>
        <v>3</v>
      </c>
      <c r="E713">
        <f t="shared" si="143"/>
        <v>2</v>
      </c>
      <c r="F713">
        <f t="shared" si="144"/>
        <v>33</v>
      </c>
      <c r="G713" t="e">
        <f t="shared" si="145"/>
        <v>#N/A</v>
      </c>
      <c r="H713" t="e">
        <f t="shared" si="146"/>
        <v>#N/A</v>
      </c>
      <c r="I713">
        <f t="shared" si="147"/>
        <v>2023</v>
      </c>
      <c r="J713">
        <f t="shared" si="148"/>
        <v>2.7589999999999999</v>
      </c>
      <c r="K713" t="e">
        <f t="shared" si="149"/>
        <v>#N/A</v>
      </c>
      <c r="L713" t="e">
        <f t="shared" si="150"/>
        <v>#N/A</v>
      </c>
      <c r="M713" t="e">
        <f t="shared" si="151"/>
        <v>#N/A</v>
      </c>
      <c r="N713" t="e">
        <f t="shared" si="152"/>
        <v>#N/A</v>
      </c>
      <c r="O713">
        <f t="shared" si="153"/>
        <v>3.0007130000000002</v>
      </c>
      <c r="P713" t="str">
        <f>IF(OR($A713="",games!$H713=""),"",games!$H713)</f>
        <v>Yes</v>
      </c>
      <c r="Q713">
        <f t="shared" si="154"/>
        <v>3.0007130000000002</v>
      </c>
      <c r="T713">
        <f>IF(connections!$A713="","",IFERROR(INDEX(games!$B$2:$B$950,MATCH(connections!$A713,games!$A$2:$A$950,0)),""))</f>
        <v>2012</v>
      </c>
      <c r="U713">
        <f>IF(connections!$A713="","",IFERROR(INDEX(games!$B$2:$B$950,MATCH(connections!$B713,games!$A$2:$A$950,0)),""))</f>
        <v>2024</v>
      </c>
      <c r="V713">
        <f t="shared" si="155"/>
        <v>12</v>
      </c>
    </row>
    <row r="714" spans="1:22" x14ac:dyDescent="0.25">
      <c r="A714" t="str">
        <f>IF(games!$A714="","",games!$A714)</f>
        <v>SpellRogue</v>
      </c>
      <c r="B714">
        <f>IF($A714="","",games!$B714)</f>
        <v>2024</v>
      </c>
      <c r="C714" t="str">
        <f>IF($A714="","",games!$C714)</f>
        <v>Deckbuilder</v>
      </c>
      <c r="D714">
        <f>IF($A714="","",COUNTIF(connections!$A$2:$A$1473,$A714)+COUNTIF(connections!$B$2:$B$1473,$A714))</f>
        <v>2</v>
      </c>
      <c r="E714">
        <f t="shared" si="143"/>
        <v>3</v>
      </c>
      <c r="F714">
        <f t="shared" si="144"/>
        <v>0</v>
      </c>
      <c r="G714" t="e">
        <f t="shared" si="145"/>
        <v>#N/A</v>
      </c>
      <c r="H714" t="e">
        <f t="shared" si="146"/>
        <v>#N/A</v>
      </c>
      <c r="I714" t="e">
        <f t="shared" si="147"/>
        <v>#N/A</v>
      </c>
      <c r="J714" t="e">
        <f t="shared" si="148"/>
        <v>#N/A</v>
      </c>
      <c r="K714">
        <f t="shared" si="149"/>
        <v>2024</v>
      </c>
      <c r="L714">
        <f t="shared" si="150"/>
        <v>3</v>
      </c>
      <c r="M714" t="e">
        <f t="shared" si="151"/>
        <v>#N/A</v>
      </c>
      <c r="N714" t="e">
        <f t="shared" si="152"/>
        <v>#N/A</v>
      </c>
      <c r="O714">
        <f t="shared" si="153"/>
        <v>2.0007139999999999</v>
      </c>
      <c r="P714" t="str">
        <f>IF(OR($A714="",games!$H714=""),"",games!$H714)</f>
        <v>Yes</v>
      </c>
      <c r="Q714">
        <f t="shared" si="154"/>
        <v>2.0007139999999999</v>
      </c>
      <c r="T714">
        <f>IF(connections!$A714="","",IFERROR(INDEX(games!$B$2:$B$950,MATCH(connections!$A714,games!$A$2:$A$950,0)),""))</f>
        <v>2015</v>
      </c>
      <c r="U714">
        <f>IF(connections!$A714="","",IFERROR(INDEX(games!$B$2:$B$950,MATCH(connections!$B714,games!$A$2:$A$950,0)),""))</f>
        <v>2017</v>
      </c>
      <c r="V714">
        <f t="shared" si="155"/>
        <v>2</v>
      </c>
    </row>
    <row r="715" spans="1:22" x14ac:dyDescent="0.25">
      <c r="A715" t="str">
        <f>IF(games!$A715="","",games!$A715)</f>
        <v>Spelunky</v>
      </c>
      <c r="B715">
        <f>IF($A715="","",games!$B715)</f>
        <v>2012</v>
      </c>
      <c r="C715" t="str">
        <f>IF($A715="","",games!$C715)</f>
        <v>Action</v>
      </c>
      <c r="D715">
        <f>IF($A715="","",COUNTIF(connections!$A$2:$A$1473,$A715)+COUNTIF(connections!$B$2:$B$1473,$A715))</f>
        <v>2</v>
      </c>
      <c r="E715">
        <f t="shared" si="143"/>
        <v>1</v>
      </c>
      <c r="F715">
        <f t="shared" si="144"/>
        <v>1</v>
      </c>
      <c r="G715">
        <f t="shared" si="145"/>
        <v>2012</v>
      </c>
      <c r="H715">
        <f t="shared" si="146"/>
        <v>1.0229999999999999</v>
      </c>
      <c r="I715" t="e">
        <f t="shared" si="147"/>
        <v>#N/A</v>
      </c>
      <c r="J715" t="e">
        <f t="shared" si="148"/>
        <v>#N/A</v>
      </c>
      <c r="K715" t="e">
        <f t="shared" si="149"/>
        <v>#N/A</v>
      </c>
      <c r="L715" t="e">
        <f t="shared" si="150"/>
        <v>#N/A</v>
      </c>
      <c r="M715" t="e">
        <f t="shared" si="151"/>
        <v>#N/A</v>
      </c>
      <c r="N715" t="e">
        <f t="shared" si="152"/>
        <v>#N/A</v>
      </c>
      <c r="O715">
        <f t="shared" si="153"/>
        <v>2.000715</v>
      </c>
      <c r="P715" t="str">
        <f>IF(OR($A715="",games!$H715=""),"",games!$H715)</f>
        <v>Yes</v>
      </c>
      <c r="Q715">
        <f t="shared" si="154"/>
        <v>2.000715</v>
      </c>
      <c r="T715">
        <f>IF(connections!$A715="","",IFERROR(INDEX(games!$B$2:$B$950,MATCH(connections!$A715,games!$A$2:$A$950,0)),""))</f>
        <v>2008</v>
      </c>
      <c r="U715">
        <f>IF(connections!$A715="","",IFERROR(INDEX(games!$B$2:$B$950,MATCH(connections!$B715,games!$A$2:$A$950,0)),""))</f>
        <v>2017</v>
      </c>
      <c r="V715">
        <f t="shared" si="155"/>
        <v>9</v>
      </c>
    </row>
    <row r="716" spans="1:22" x14ac:dyDescent="0.25">
      <c r="A716" t="str">
        <f>IF(games!$A716="","",games!$A716)</f>
        <v>Spelunky 2</v>
      </c>
      <c r="B716">
        <f>IF($A716="","",games!$B716)</f>
        <v>2020</v>
      </c>
      <c r="C716" t="str">
        <f>IF($A716="","",games!$C716)</f>
        <v>Action</v>
      </c>
      <c r="D716">
        <f>IF($A716="","",COUNTIF(connections!$A$2:$A$1473,$A716)+COUNTIF(connections!$B$2:$B$1473,$A716))</f>
        <v>1</v>
      </c>
      <c r="E716">
        <f t="shared" si="143"/>
        <v>1</v>
      </c>
      <c r="F716">
        <f t="shared" si="144"/>
        <v>2</v>
      </c>
      <c r="G716">
        <f t="shared" si="145"/>
        <v>2020</v>
      </c>
      <c r="H716">
        <f t="shared" si="146"/>
        <v>1.046</v>
      </c>
      <c r="I716" t="e">
        <f t="shared" si="147"/>
        <v>#N/A</v>
      </c>
      <c r="J716" t="e">
        <f t="shared" si="148"/>
        <v>#N/A</v>
      </c>
      <c r="K716" t="e">
        <f t="shared" si="149"/>
        <v>#N/A</v>
      </c>
      <c r="L716" t="e">
        <f t="shared" si="150"/>
        <v>#N/A</v>
      </c>
      <c r="M716" t="e">
        <f t="shared" si="151"/>
        <v>#N/A</v>
      </c>
      <c r="N716" t="e">
        <f t="shared" si="152"/>
        <v>#N/A</v>
      </c>
      <c r="O716">
        <f t="shared" si="153"/>
        <v>1.0007159999999999</v>
      </c>
      <c r="P716" t="str">
        <f>IF(OR($A716="",games!$H716=""),"",games!$H716)</f>
        <v>Yes</v>
      </c>
      <c r="Q716">
        <f t="shared" si="154"/>
        <v>1.0007159999999999</v>
      </c>
      <c r="T716">
        <f>IF(connections!$A716="","",IFERROR(INDEX(games!$B$2:$B$950,MATCH(connections!$A716,games!$A$2:$A$950,0)),""))</f>
        <v>2023</v>
      </c>
      <c r="U716">
        <f>IF(connections!$A716="","",IFERROR(INDEX(games!$B$2:$B$950,MATCH(connections!$B716,games!$A$2:$A$950,0)),""))</f>
        <v>2025</v>
      </c>
      <c r="V716">
        <f t="shared" si="155"/>
        <v>2</v>
      </c>
    </row>
    <row r="717" spans="1:22" x14ac:dyDescent="0.25">
      <c r="A717" t="str">
        <f>IF(games!$A717="","",games!$A717)</f>
        <v>Spelunky Classic</v>
      </c>
      <c r="B717">
        <f>IF($A717="","",games!$B717)</f>
        <v>2008</v>
      </c>
      <c r="C717" t="str">
        <f>IF($A717="","",games!$C717)</f>
        <v>Action</v>
      </c>
      <c r="D717">
        <f>IF($A717="","",COUNTIF(connections!$A$2:$A$1473,$A717)+COUNTIF(connections!$B$2:$B$1473,$A717))</f>
        <v>45</v>
      </c>
      <c r="E717">
        <f t="shared" si="143"/>
        <v>1</v>
      </c>
      <c r="F717">
        <f t="shared" si="144"/>
        <v>3</v>
      </c>
      <c r="G717">
        <f t="shared" si="145"/>
        <v>2008</v>
      </c>
      <c r="H717">
        <f t="shared" si="146"/>
        <v>1.069</v>
      </c>
      <c r="I717" t="e">
        <f t="shared" si="147"/>
        <v>#N/A</v>
      </c>
      <c r="J717" t="e">
        <f t="shared" si="148"/>
        <v>#N/A</v>
      </c>
      <c r="K717" t="e">
        <f t="shared" si="149"/>
        <v>#N/A</v>
      </c>
      <c r="L717" t="e">
        <f t="shared" si="150"/>
        <v>#N/A</v>
      </c>
      <c r="M717" t="e">
        <f t="shared" si="151"/>
        <v>#N/A</v>
      </c>
      <c r="N717" t="e">
        <f t="shared" si="152"/>
        <v>#N/A</v>
      </c>
      <c r="O717">
        <f t="shared" si="153"/>
        <v>45.000717000000002</v>
      </c>
      <c r="P717" t="str">
        <f>IF(OR($A717="",games!$H717=""),"",games!$H717)</f>
        <v>Yes</v>
      </c>
      <c r="Q717">
        <f t="shared" si="154"/>
        <v>45.000717000000002</v>
      </c>
      <c r="T717">
        <f>IF(connections!$A717="","",IFERROR(INDEX(games!$B$2:$B$950,MATCH(connections!$A717,games!$A$2:$A$950,0)),""))</f>
        <v>2023</v>
      </c>
      <c r="U717">
        <f>IF(connections!$A717="","",IFERROR(INDEX(games!$B$2:$B$950,MATCH(connections!$B717,games!$A$2:$A$950,0)),""))</f>
        <v>2025</v>
      </c>
      <c r="V717">
        <f t="shared" si="155"/>
        <v>2</v>
      </c>
    </row>
    <row r="718" spans="1:22" x14ac:dyDescent="0.25">
      <c r="A718" t="str">
        <f>IF(games!$A718="","",games!$A718)</f>
        <v>Spin Hero</v>
      </c>
      <c r="B718">
        <f>IF($A718="","",games!$B718)</f>
        <v>2024</v>
      </c>
      <c r="C718" t="str">
        <f>IF($A718="","",games!$C718)</f>
        <v>Deckbuilder</v>
      </c>
      <c r="D718">
        <f>IF($A718="","",COUNTIF(connections!$A$2:$A$1473,$A718)+COUNTIF(connections!$B$2:$B$1473,$A718))</f>
        <v>3</v>
      </c>
      <c r="E718">
        <f t="shared" si="143"/>
        <v>3</v>
      </c>
      <c r="F718">
        <f t="shared" si="144"/>
        <v>4</v>
      </c>
      <c r="G718" t="e">
        <f t="shared" si="145"/>
        <v>#N/A</v>
      </c>
      <c r="H718" t="e">
        <f t="shared" si="146"/>
        <v>#N/A</v>
      </c>
      <c r="I718" t="e">
        <f t="shared" si="147"/>
        <v>#N/A</v>
      </c>
      <c r="J718" t="e">
        <f t="shared" si="148"/>
        <v>#N/A</v>
      </c>
      <c r="K718">
        <f t="shared" si="149"/>
        <v>2024</v>
      </c>
      <c r="L718">
        <f t="shared" si="150"/>
        <v>3.0920000000000001</v>
      </c>
      <c r="M718" t="e">
        <f t="shared" si="151"/>
        <v>#N/A</v>
      </c>
      <c r="N718" t="e">
        <f t="shared" si="152"/>
        <v>#N/A</v>
      </c>
      <c r="O718">
        <f t="shared" si="153"/>
        <v>3.000718</v>
      </c>
      <c r="P718" t="str">
        <f>IF(OR($A718="",games!$H718=""),"",games!$H718)</f>
        <v>Yes</v>
      </c>
      <c r="Q718">
        <f t="shared" si="154"/>
        <v>3.000718</v>
      </c>
      <c r="T718">
        <f>IF(connections!$A718="","",IFERROR(INDEX(games!$B$2:$B$950,MATCH(connections!$A718,games!$A$2:$A$950,0)),""))</f>
        <v>2021</v>
      </c>
      <c r="U718">
        <f>IF(connections!$A718="","",IFERROR(INDEX(games!$B$2:$B$950,MATCH(connections!$B718,games!$A$2:$A$950,0)),""))</f>
        <v>2026</v>
      </c>
      <c r="V718">
        <f t="shared" si="155"/>
        <v>5</v>
      </c>
    </row>
    <row r="719" spans="1:22" x14ac:dyDescent="0.25">
      <c r="A719" t="str">
        <f>IF(games!$A719="","",games!$A719)</f>
        <v>Spirit Hunters: Infinite Horde</v>
      </c>
      <c r="B719">
        <f>IF($A719="","",games!$B719)</f>
        <v>2022</v>
      </c>
      <c r="C719" t="str">
        <f>IF($A719="","",games!$C719)</f>
        <v>Action</v>
      </c>
      <c r="D719">
        <f>IF($A719="","",COUNTIF(connections!$A$2:$A$1473,$A719)+COUNTIF(connections!$B$2:$B$1473,$A719))</f>
        <v>2</v>
      </c>
      <c r="E719">
        <f t="shared" si="143"/>
        <v>1</v>
      </c>
      <c r="F719">
        <f t="shared" si="144"/>
        <v>5</v>
      </c>
      <c r="G719">
        <f t="shared" si="145"/>
        <v>2022</v>
      </c>
      <c r="H719">
        <f t="shared" si="146"/>
        <v>1.115</v>
      </c>
      <c r="I719" t="e">
        <f t="shared" si="147"/>
        <v>#N/A</v>
      </c>
      <c r="J719" t="e">
        <f t="shared" si="148"/>
        <v>#N/A</v>
      </c>
      <c r="K719" t="e">
        <f t="shared" si="149"/>
        <v>#N/A</v>
      </c>
      <c r="L719" t="e">
        <f t="shared" si="150"/>
        <v>#N/A</v>
      </c>
      <c r="M719" t="e">
        <f t="shared" si="151"/>
        <v>#N/A</v>
      </c>
      <c r="N719" t="e">
        <f t="shared" si="152"/>
        <v>#N/A</v>
      </c>
      <c r="O719">
        <f t="shared" si="153"/>
        <v>2.0007190000000001</v>
      </c>
      <c r="P719" t="str">
        <f>IF(OR($A719="",games!$H719=""),"",games!$H719)</f>
        <v>Yes</v>
      </c>
      <c r="Q719">
        <f t="shared" si="154"/>
        <v>2.0007190000000001</v>
      </c>
      <c r="T719">
        <f>IF(connections!$A719="","",IFERROR(INDEX(games!$B$2:$B$950,MATCH(connections!$A719,games!$A$2:$A$950,0)),""))</f>
        <v>2020</v>
      </c>
      <c r="U719">
        <f>IF(connections!$A719="","",IFERROR(INDEX(games!$B$2:$B$950,MATCH(connections!$B719,games!$A$2:$A$950,0)),""))</f>
        <v>2026</v>
      </c>
      <c r="V719">
        <f t="shared" si="155"/>
        <v>6</v>
      </c>
    </row>
    <row r="720" spans="1:22" x14ac:dyDescent="0.25">
      <c r="A720" t="str">
        <f>IF(games!$A720="","",games!$A720)</f>
        <v>Spiritfall</v>
      </c>
      <c r="B720">
        <f>IF($A720="","",games!$B720)</f>
        <v>2023</v>
      </c>
      <c r="C720" t="str">
        <f>IF($A720="","",games!$C720)</f>
        <v>Action</v>
      </c>
      <c r="D720">
        <f>IF($A720="","",COUNTIF(connections!$A$2:$A$1473,$A720)+COUNTIF(connections!$B$2:$B$1473,$A720))</f>
        <v>2</v>
      </c>
      <c r="E720">
        <f t="shared" si="143"/>
        <v>1</v>
      </c>
      <c r="F720">
        <f t="shared" si="144"/>
        <v>6</v>
      </c>
      <c r="G720">
        <f t="shared" si="145"/>
        <v>2023</v>
      </c>
      <c r="H720">
        <f t="shared" si="146"/>
        <v>1.1379999999999999</v>
      </c>
      <c r="I720" t="e">
        <f t="shared" si="147"/>
        <v>#N/A</v>
      </c>
      <c r="J720" t="e">
        <f t="shared" si="148"/>
        <v>#N/A</v>
      </c>
      <c r="K720" t="e">
        <f t="shared" si="149"/>
        <v>#N/A</v>
      </c>
      <c r="L720" t="e">
        <f t="shared" si="150"/>
        <v>#N/A</v>
      </c>
      <c r="M720" t="e">
        <f t="shared" si="151"/>
        <v>#N/A</v>
      </c>
      <c r="N720" t="e">
        <f t="shared" si="152"/>
        <v>#N/A</v>
      </c>
      <c r="O720">
        <f t="shared" si="153"/>
        <v>2.0007199999999998</v>
      </c>
      <c r="P720" t="str">
        <f>IF(OR($A720="",games!$H720=""),"",games!$H720)</f>
        <v>Yes</v>
      </c>
      <c r="Q720">
        <f t="shared" si="154"/>
        <v>2.0007199999999998</v>
      </c>
      <c r="T720">
        <f>IF(connections!$A720="","",IFERROR(INDEX(games!$B$2:$B$950,MATCH(connections!$A720,games!$A$2:$A$950,0)),""))</f>
        <v>1987</v>
      </c>
      <c r="U720">
        <f>IF(connections!$A720="","",IFERROR(INDEX(games!$B$2:$B$950,MATCH(connections!$B720,games!$A$2:$A$950,0)),""))</f>
        <v>2019</v>
      </c>
      <c r="V720">
        <f t="shared" si="155"/>
        <v>32</v>
      </c>
    </row>
    <row r="721" spans="1:22" x14ac:dyDescent="0.25">
      <c r="A721" t="str">
        <f>IF(games!$A721="","",games!$A721)</f>
        <v>Spirits Abyss</v>
      </c>
      <c r="B721">
        <f>IF($A721="","",games!$B721)</f>
        <v>2019</v>
      </c>
      <c r="C721" t="str">
        <f>IF($A721="","",games!$C721)</f>
        <v>Action</v>
      </c>
      <c r="D721">
        <f>IF($A721="","",COUNTIF(connections!$A$2:$A$1473,$A721)+COUNTIF(connections!$B$2:$B$1473,$A721))</f>
        <v>2</v>
      </c>
      <c r="E721">
        <f t="shared" si="143"/>
        <v>1</v>
      </c>
      <c r="F721">
        <f t="shared" si="144"/>
        <v>7</v>
      </c>
      <c r="G721">
        <f t="shared" si="145"/>
        <v>2019</v>
      </c>
      <c r="H721">
        <f t="shared" si="146"/>
        <v>1.161</v>
      </c>
      <c r="I721" t="e">
        <f t="shared" si="147"/>
        <v>#N/A</v>
      </c>
      <c r="J721" t="e">
        <f t="shared" si="148"/>
        <v>#N/A</v>
      </c>
      <c r="K721" t="e">
        <f t="shared" si="149"/>
        <v>#N/A</v>
      </c>
      <c r="L721" t="e">
        <f t="shared" si="150"/>
        <v>#N/A</v>
      </c>
      <c r="M721" t="e">
        <f t="shared" si="151"/>
        <v>#N/A</v>
      </c>
      <c r="N721" t="e">
        <f t="shared" si="152"/>
        <v>#N/A</v>
      </c>
      <c r="O721">
        <f t="shared" si="153"/>
        <v>2.000721</v>
      </c>
      <c r="P721" t="str">
        <f>IF(OR($A721="",games!$H721=""),"",games!$H721)</f>
        <v>Yes</v>
      </c>
      <c r="Q721">
        <f t="shared" si="154"/>
        <v>2.000721</v>
      </c>
      <c r="T721">
        <f>IF(connections!$A721="","",IFERROR(INDEX(games!$B$2:$B$950,MATCH(connections!$A721,games!$A$2:$A$950,0)),""))</f>
        <v>2011</v>
      </c>
      <c r="U721">
        <f>IF(connections!$A721="","",IFERROR(INDEX(games!$B$2:$B$950,MATCH(connections!$B721,games!$A$2:$A$950,0)),""))</f>
        <v>2019</v>
      </c>
      <c r="V721">
        <f t="shared" si="155"/>
        <v>8</v>
      </c>
    </row>
    <row r="722" spans="1:22" x14ac:dyDescent="0.25">
      <c r="A722" t="str">
        <f>IF(games!$A722="","",games!$A722)</f>
        <v>Sproggiwood</v>
      </c>
      <c r="B722">
        <f>IF($A722="","",games!$B722)</f>
        <v>2014</v>
      </c>
      <c r="C722" t="str">
        <f>IF($A722="","",games!$C722)</f>
        <v>Traditional</v>
      </c>
      <c r="D722">
        <f>IF($A722="","",COUNTIF(connections!$A$2:$A$1473,$A722)+COUNTIF(connections!$B$2:$B$1473,$A722))</f>
        <v>3</v>
      </c>
      <c r="E722">
        <f t="shared" si="143"/>
        <v>4</v>
      </c>
      <c r="F722">
        <f t="shared" si="144"/>
        <v>8</v>
      </c>
      <c r="G722" t="e">
        <f t="shared" si="145"/>
        <v>#N/A</v>
      </c>
      <c r="H722" t="e">
        <f t="shared" si="146"/>
        <v>#N/A</v>
      </c>
      <c r="I722" t="e">
        <f t="shared" si="147"/>
        <v>#N/A</v>
      </c>
      <c r="J722" t="e">
        <f t="shared" si="148"/>
        <v>#N/A</v>
      </c>
      <c r="K722" t="e">
        <f t="shared" si="149"/>
        <v>#N/A</v>
      </c>
      <c r="L722" t="e">
        <f t="shared" si="150"/>
        <v>#N/A</v>
      </c>
      <c r="M722">
        <f t="shared" si="151"/>
        <v>2014</v>
      </c>
      <c r="N722">
        <f t="shared" si="152"/>
        <v>4.1840000000000002</v>
      </c>
      <c r="O722">
        <f t="shared" si="153"/>
        <v>3.0007220000000001</v>
      </c>
      <c r="P722" t="str">
        <f>IF(OR($A722="",games!$H722=""),"",games!$H722)</f>
        <v>Yes</v>
      </c>
      <c r="Q722">
        <f t="shared" si="154"/>
        <v>3.0007220000000001</v>
      </c>
      <c r="T722">
        <f>IF(connections!$A722="","",IFERROR(INDEX(games!$B$2:$B$950,MATCH(connections!$A722,games!$A$2:$A$950,0)),""))</f>
        <v>2010</v>
      </c>
      <c r="U722">
        <f>IF(connections!$A722="","",IFERROR(INDEX(games!$B$2:$B$950,MATCH(connections!$B722,games!$A$2:$A$950,0)),""))</f>
        <v>2023</v>
      </c>
      <c r="V722">
        <f t="shared" si="155"/>
        <v>13</v>
      </c>
    </row>
    <row r="723" spans="1:22" x14ac:dyDescent="0.25">
      <c r="A723" t="str">
        <f>IF(games!$A723="","",games!$A723)</f>
        <v>Squeaky Squad</v>
      </c>
      <c r="B723">
        <f>IF($A723="","",games!$B723)</f>
        <v>2024</v>
      </c>
      <c r="C723" t="str">
        <f>IF($A723="","",games!$C723)</f>
        <v>Action</v>
      </c>
      <c r="D723">
        <f>IF($A723="","",COUNTIF(connections!$A$2:$A$1473,$A723)+COUNTIF(connections!$B$2:$B$1473,$A723))</f>
        <v>0</v>
      </c>
      <c r="E723">
        <f t="shared" si="143"/>
        <v>1</v>
      </c>
      <c r="F723">
        <f t="shared" si="144"/>
        <v>9</v>
      </c>
      <c r="G723">
        <f t="shared" si="145"/>
        <v>2024</v>
      </c>
      <c r="H723">
        <f t="shared" si="146"/>
        <v>1.2070000000000001</v>
      </c>
      <c r="I723" t="e">
        <f t="shared" si="147"/>
        <v>#N/A</v>
      </c>
      <c r="J723" t="e">
        <f t="shared" si="148"/>
        <v>#N/A</v>
      </c>
      <c r="K723" t="e">
        <f t="shared" si="149"/>
        <v>#N/A</v>
      </c>
      <c r="L723" t="e">
        <f t="shared" si="150"/>
        <v>#N/A</v>
      </c>
      <c r="M723" t="e">
        <f t="shared" si="151"/>
        <v>#N/A</v>
      </c>
      <c r="N723" t="e">
        <f t="shared" si="152"/>
        <v>#N/A</v>
      </c>
      <c r="O723">
        <f t="shared" si="153"/>
        <v>7.2300000000000001E-4</v>
      </c>
      <c r="P723" t="str">
        <f>IF(OR($A723="",games!$H723=""),"",games!$H723)</f>
        <v>Yes</v>
      </c>
      <c r="Q723">
        <f t="shared" si="154"/>
        <v>7.2300000000000001E-4</v>
      </c>
      <c r="T723">
        <f>IF(connections!$A723="","",IFERROR(INDEX(games!$B$2:$B$950,MATCH(connections!$A723,games!$A$2:$A$950,0)),""))</f>
        <v>2014</v>
      </c>
      <c r="U723">
        <f>IF(connections!$A723="","",IFERROR(INDEX(games!$B$2:$B$950,MATCH(connections!$B723,games!$A$2:$A$950,0)),""))</f>
        <v>2023</v>
      </c>
      <c r="V723">
        <f t="shared" si="155"/>
        <v>9</v>
      </c>
    </row>
    <row r="724" spans="1:22" x14ac:dyDescent="0.25">
      <c r="A724" t="str">
        <f>IF(games!$A724="","",games!$A724)</f>
        <v>Stackflow</v>
      </c>
      <c r="B724">
        <f>IF($A724="","",games!$B724)</f>
        <v>2025</v>
      </c>
      <c r="C724" t="str">
        <f>IF($A724="","",games!$C724)</f>
        <v>Deckbuilder</v>
      </c>
      <c r="D724">
        <f>IF($A724="","",COUNTIF(connections!$A$2:$A$1473,$A724)+COUNTIF(connections!$B$2:$B$1473,$A724))</f>
        <v>2</v>
      </c>
      <c r="E724">
        <f t="shared" si="143"/>
        <v>3</v>
      </c>
      <c r="F724">
        <f t="shared" si="144"/>
        <v>10</v>
      </c>
      <c r="G724" t="e">
        <f t="shared" si="145"/>
        <v>#N/A</v>
      </c>
      <c r="H724" t="e">
        <f t="shared" si="146"/>
        <v>#N/A</v>
      </c>
      <c r="I724" t="e">
        <f t="shared" si="147"/>
        <v>#N/A</v>
      </c>
      <c r="J724" t="e">
        <f t="shared" si="148"/>
        <v>#N/A</v>
      </c>
      <c r="K724">
        <f t="shared" si="149"/>
        <v>2025</v>
      </c>
      <c r="L724">
        <f t="shared" si="150"/>
        <v>3.23</v>
      </c>
      <c r="M724" t="e">
        <f t="shared" si="151"/>
        <v>#N/A</v>
      </c>
      <c r="N724" t="e">
        <f t="shared" si="152"/>
        <v>#N/A</v>
      </c>
      <c r="O724">
        <f t="shared" si="153"/>
        <v>2.0007239999999999</v>
      </c>
      <c r="P724" t="str">
        <f>IF(OR($A724="",games!$H724=""),"",games!$H724)</f>
        <v>Yes</v>
      </c>
      <c r="Q724">
        <f t="shared" si="154"/>
        <v>2.0007239999999999</v>
      </c>
      <c r="T724">
        <f>IF(connections!$A724="","",IFERROR(INDEX(games!$B$2:$B$950,MATCH(connections!$A724,games!$A$2:$A$950,0)),""))</f>
        <v>2017</v>
      </c>
      <c r="U724">
        <f>IF(connections!$A724="","",IFERROR(INDEX(games!$B$2:$B$950,MATCH(connections!$B724,games!$A$2:$A$950,0)),""))</f>
        <v>2023</v>
      </c>
      <c r="V724">
        <f t="shared" si="155"/>
        <v>6</v>
      </c>
    </row>
    <row r="725" spans="1:22" x14ac:dyDescent="0.25">
      <c r="A725" t="str">
        <f>IF(games!$A725="","",games!$A725)</f>
        <v>Star of Providence</v>
      </c>
      <c r="B725">
        <f>IF($A725="","",games!$B725)</f>
        <v>2017</v>
      </c>
      <c r="C725" t="str">
        <f>IF($A725="","",games!$C725)</f>
        <v>Action</v>
      </c>
      <c r="D725">
        <f>IF($A725="","",COUNTIF(connections!$A$2:$A$1473,$A725)+COUNTIF(connections!$B$2:$B$1473,$A725))</f>
        <v>2</v>
      </c>
      <c r="E725">
        <f t="shared" si="143"/>
        <v>1</v>
      </c>
      <c r="F725">
        <f t="shared" si="144"/>
        <v>11</v>
      </c>
      <c r="G725">
        <f t="shared" si="145"/>
        <v>2017</v>
      </c>
      <c r="H725">
        <f t="shared" si="146"/>
        <v>1.2530000000000001</v>
      </c>
      <c r="I725" t="e">
        <f t="shared" si="147"/>
        <v>#N/A</v>
      </c>
      <c r="J725" t="e">
        <f t="shared" si="148"/>
        <v>#N/A</v>
      </c>
      <c r="K725" t="e">
        <f t="shared" si="149"/>
        <v>#N/A</v>
      </c>
      <c r="L725" t="e">
        <f t="shared" si="150"/>
        <v>#N/A</v>
      </c>
      <c r="M725" t="e">
        <f t="shared" si="151"/>
        <v>#N/A</v>
      </c>
      <c r="N725" t="e">
        <f t="shared" si="152"/>
        <v>#N/A</v>
      </c>
      <c r="O725">
        <f t="shared" si="153"/>
        <v>2.0007250000000001</v>
      </c>
      <c r="P725" t="str">
        <f>IF(OR($A725="",games!$H725=""),"",games!$H725)</f>
        <v>Yes</v>
      </c>
      <c r="Q725">
        <f t="shared" si="154"/>
        <v>2.0007250000000001</v>
      </c>
      <c r="T725">
        <f>IF(connections!$A725="","",IFERROR(INDEX(games!$B$2:$B$950,MATCH(connections!$A725,games!$A$2:$A$950,0)),""))</f>
        <v>2017</v>
      </c>
      <c r="U725">
        <f>IF(connections!$A725="","",IFERROR(INDEX(games!$B$2:$B$950,MATCH(connections!$B725,games!$A$2:$A$950,0)),""))</f>
        <v>2022</v>
      </c>
      <c r="V725">
        <f t="shared" si="155"/>
        <v>5</v>
      </c>
    </row>
    <row r="726" spans="1:22" x14ac:dyDescent="0.25">
      <c r="A726" t="str">
        <f>IF(games!$A726="","",games!$A726)</f>
        <v>Star Renegades</v>
      </c>
      <c r="B726">
        <f>IF($A726="","",games!$B726)</f>
        <v>2020</v>
      </c>
      <c r="C726" t="str">
        <f>IF($A726="","",games!$C726)</f>
        <v>Strategy</v>
      </c>
      <c r="D726">
        <f>IF($A726="","",COUNTIF(connections!$A$2:$A$1473,$A726)+COUNTIF(connections!$B$2:$B$1473,$A726))</f>
        <v>3</v>
      </c>
      <c r="E726">
        <f t="shared" si="143"/>
        <v>2</v>
      </c>
      <c r="F726">
        <f t="shared" si="144"/>
        <v>12</v>
      </c>
      <c r="G726" t="e">
        <f t="shared" si="145"/>
        <v>#N/A</v>
      </c>
      <c r="H726" t="e">
        <f t="shared" si="146"/>
        <v>#N/A</v>
      </c>
      <c r="I726">
        <f t="shared" si="147"/>
        <v>2020</v>
      </c>
      <c r="J726">
        <f t="shared" si="148"/>
        <v>2.2759999999999998</v>
      </c>
      <c r="K726" t="e">
        <f t="shared" si="149"/>
        <v>#N/A</v>
      </c>
      <c r="L726" t="e">
        <f t="shared" si="150"/>
        <v>#N/A</v>
      </c>
      <c r="M726" t="e">
        <f t="shared" si="151"/>
        <v>#N/A</v>
      </c>
      <c r="N726" t="e">
        <f t="shared" si="152"/>
        <v>#N/A</v>
      </c>
      <c r="O726">
        <f t="shared" si="153"/>
        <v>3.0007259999999998</v>
      </c>
      <c r="P726" t="str">
        <f>IF(OR($A726="",games!$H726=""),"",games!$H726)</f>
        <v>Yes</v>
      </c>
      <c r="Q726">
        <f t="shared" si="154"/>
        <v>3.0007259999999998</v>
      </c>
      <c r="T726">
        <f>IF(connections!$A726="","",IFERROR(INDEX(games!$B$2:$B$950,MATCH(connections!$A726,games!$A$2:$A$950,0)),""))</f>
        <v>2019</v>
      </c>
      <c r="U726">
        <f>IF(connections!$A726="","",IFERROR(INDEX(games!$B$2:$B$950,MATCH(connections!$B726,games!$A$2:$A$950,0)),""))</f>
        <v>2025</v>
      </c>
      <c r="V726">
        <f t="shared" si="155"/>
        <v>6</v>
      </c>
    </row>
    <row r="727" spans="1:22" x14ac:dyDescent="0.25">
      <c r="A727" t="str">
        <f>IF(games!$A727="","",games!$A727)</f>
        <v>Star Survivor</v>
      </c>
      <c r="B727">
        <f>IF($A727="","",games!$B727)</f>
        <v>2023</v>
      </c>
      <c r="C727" t="str">
        <f>IF($A727="","",games!$C727)</f>
        <v>Action</v>
      </c>
      <c r="D727">
        <f>IF($A727="","",COUNTIF(connections!$A$2:$A$1473,$A727)+COUNTIF(connections!$B$2:$B$1473,$A727))</f>
        <v>10</v>
      </c>
      <c r="E727">
        <f t="shared" si="143"/>
        <v>1</v>
      </c>
      <c r="F727">
        <f t="shared" si="144"/>
        <v>13</v>
      </c>
      <c r="G727">
        <f t="shared" si="145"/>
        <v>2023</v>
      </c>
      <c r="H727">
        <f t="shared" si="146"/>
        <v>1.2989999999999999</v>
      </c>
      <c r="I727" t="e">
        <f t="shared" si="147"/>
        <v>#N/A</v>
      </c>
      <c r="J727" t="e">
        <f t="shared" si="148"/>
        <v>#N/A</v>
      </c>
      <c r="K727" t="e">
        <f t="shared" si="149"/>
        <v>#N/A</v>
      </c>
      <c r="L727" t="e">
        <f t="shared" si="150"/>
        <v>#N/A</v>
      </c>
      <c r="M727" t="e">
        <f t="shared" si="151"/>
        <v>#N/A</v>
      </c>
      <c r="N727" t="e">
        <f t="shared" si="152"/>
        <v>#N/A</v>
      </c>
      <c r="O727">
        <f t="shared" si="153"/>
        <v>10.000726999999999</v>
      </c>
      <c r="P727" t="str">
        <f>IF(OR($A727="",games!$H727=""),"",games!$H727)</f>
        <v>Yes</v>
      </c>
      <c r="Q727">
        <f t="shared" si="154"/>
        <v>10.000726999999999</v>
      </c>
      <c r="T727">
        <f>IF(connections!$A727="","",IFERROR(INDEX(games!$B$2:$B$950,MATCH(connections!$A727,games!$A$2:$A$950,0)),""))</f>
        <v>1984</v>
      </c>
      <c r="U727">
        <f>IF(connections!$A727="","",IFERROR(INDEX(games!$B$2:$B$950,MATCH(connections!$B727,games!$A$2:$A$950,0)),""))</f>
        <v>2001</v>
      </c>
      <c r="V727">
        <f t="shared" si="155"/>
        <v>17</v>
      </c>
    </row>
    <row r="728" spans="1:22" x14ac:dyDescent="0.25">
      <c r="A728" t="str">
        <f>IF(games!$A728="","",games!$A728)</f>
        <v>Starlight Revolver</v>
      </c>
      <c r="B728">
        <f>IF($A728="","",games!$B728)</f>
        <v>2025</v>
      </c>
      <c r="C728" t="str">
        <f>IF($A728="","",games!$C728)</f>
        <v>Action</v>
      </c>
      <c r="D728">
        <f>IF($A728="","",COUNTIF(connections!$A$2:$A$1473,$A728)+COUNTIF(connections!$B$2:$B$1473,$A728))</f>
        <v>1</v>
      </c>
      <c r="E728">
        <f t="shared" si="143"/>
        <v>1</v>
      </c>
      <c r="F728">
        <f t="shared" si="144"/>
        <v>14</v>
      </c>
      <c r="G728">
        <f t="shared" si="145"/>
        <v>2025</v>
      </c>
      <c r="H728">
        <f t="shared" si="146"/>
        <v>1.3220000000000001</v>
      </c>
      <c r="I728" t="e">
        <f t="shared" si="147"/>
        <v>#N/A</v>
      </c>
      <c r="J728" t="e">
        <f t="shared" si="148"/>
        <v>#N/A</v>
      </c>
      <c r="K728" t="e">
        <f t="shared" si="149"/>
        <v>#N/A</v>
      </c>
      <c r="L728" t="e">
        <f t="shared" si="150"/>
        <v>#N/A</v>
      </c>
      <c r="M728" t="e">
        <f t="shared" si="151"/>
        <v>#N/A</v>
      </c>
      <c r="N728" t="e">
        <f t="shared" si="152"/>
        <v>#N/A</v>
      </c>
      <c r="O728">
        <f t="shared" si="153"/>
        <v>1.0007280000000001</v>
      </c>
      <c r="P728" t="str">
        <f>IF(OR($A728="",games!$H728=""),"",games!$H728)</f>
        <v>Yes</v>
      </c>
      <c r="Q728">
        <f t="shared" si="154"/>
        <v>1.0007280000000001</v>
      </c>
      <c r="T728">
        <f>IF(connections!$A728="","",IFERROR(INDEX(games!$B$2:$B$950,MATCH(connections!$A728,games!$A$2:$A$950,0)),""))</f>
        <v>2015</v>
      </c>
      <c r="U728">
        <f>IF(connections!$A728="","",IFERROR(INDEX(games!$B$2:$B$950,MATCH(connections!$B728,games!$A$2:$A$950,0)),""))</f>
        <v>2024</v>
      </c>
      <c r="V728">
        <f t="shared" si="155"/>
        <v>9</v>
      </c>
    </row>
    <row r="729" spans="1:22" x14ac:dyDescent="0.25">
      <c r="A729" t="str">
        <f>IF(games!$A729="","",games!$A729)</f>
        <v>StarVaders</v>
      </c>
      <c r="B729">
        <f>IF($A729="","",games!$B729)</f>
        <v>2025</v>
      </c>
      <c r="C729" t="str">
        <f>IF($A729="","",games!$C729)</f>
        <v>Deckbuilder</v>
      </c>
      <c r="D729">
        <f>IF($A729="","",COUNTIF(connections!$A$2:$A$1473,$A729)+COUNTIF(connections!$B$2:$B$1473,$A729))</f>
        <v>2</v>
      </c>
      <c r="E729">
        <f t="shared" si="143"/>
        <v>3</v>
      </c>
      <c r="F729">
        <f t="shared" si="144"/>
        <v>15</v>
      </c>
      <c r="G729" t="e">
        <f t="shared" si="145"/>
        <v>#N/A</v>
      </c>
      <c r="H729" t="e">
        <f t="shared" si="146"/>
        <v>#N/A</v>
      </c>
      <c r="I729" t="e">
        <f t="shared" si="147"/>
        <v>#N/A</v>
      </c>
      <c r="J729" t="e">
        <f t="shared" si="148"/>
        <v>#N/A</v>
      </c>
      <c r="K729">
        <f t="shared" si="149"/>
        <v>2025</v>
      </c>
      <c r="L729">
        <f t="shared" si="150"/>
        <v>3.3449999999999998</v>
      </c>
      <c r="M729" t="e">
        <f t="shared" si="151"/>
        <v>#N/A</v>
      </c>
      <c r="N729" t="e">
        <f t="shared" si="152"/>
        <v>#N/A</v>
      </c>
      <c r="O729">
        <f t="shared" si="153"/>
        <v>2.0007290000000002</v>
      </c>
      <c r="P729" t="str">
        <f>IF(OR($A729="",games!$H729=""),"",games!$H729)</f>
        <v>Yes</v>
      </c>
      <c r="Q729">
        <f t="shared" si="154"/>
        <v>2.0007290000000002</v>
      </c>
      <c r="T729">
        <f>IF(connections!$A729="","",IFERROR(INDEX(games!$B$2:$B$950,MATCH(connections!$A729,games!$A$2:$A$950,0)),""))</f>
        <v>2017</v>
      </c>
      <c r="U729">
        <f>IF(connections!$A729="","",IFERROR(INDEX(games!$B$2:$B$950,MATCH(connections!$B729,games!$A$2:$A$950,0)),""))</f>
        <v>2024</v>
      </c>
      <c r="V729">
        <f t="shared" si="155"/>
        <v>7</v>
      </c>
    </row>
    <row r="730" spans="1:22" x14ac:dyDescent="0.25">
      <c r="A730" t="str">
        <f>IF(games!$A730="","",games!$A730)</f>
        <v>Steve's Warehouse: Physics. Roguelike. Chaos.</v>
      </c>
      <c r="B730">
        <f>IF($A730="","",games!$B730)</f>
        <v>2025</v>
      </c>
      <c r="C730" t="str">
        <f>IF($A730="","",games!$C730)</f>
        <v>Deckbuilder</v>
      </c>
      <c r="D730">
        <f>IF($A730="","",COUNTIF(connections!$A$2:$A$1473,$A730)+COUNTIF(connections!$B$2:$B$1473,$A730))</f>
        <v>3</v>
      </c>
      <c r="E730">
        <f t="shared" si="143"/>
        <v>3</v>
      </c>
      <c r="F730">
        <f t="shared" si="144"/>
        <v>16</v>
      </c>
      <c r="G730" t="e">
        <f t="shared" si="145"/>
        <v>#N/A</v>
      </c>
      <c r="H730" t="e">
        <f t="shared" si="146"/>
        <v>#N/A</v>
      </c>
      <c r="I730" t="e">
        <f t="shared" si="147"/>
        <v>#N/A</v>
      </c>
      <c r="J730" t="e">
        <f t="shared" si="148"/>
        <v>#N/A</v>
      </c>
      <c r="K730">
        <f t="shared" si="149"/>
        <v>2025</v>
      </c>
      <c r="L730">
        <f t="shared" si="150"/>
        <v>3.3679999999999999</v>
      </c>
      <c r="M730" t="e">
        <f t="shared" si="151"/>
        <v>#N/A</v>
      </c>
      <c r="N730" t="e">
        <f t="shared" si="152"/>
        <v>#N/A</v>
      </c>
      <c r="O730">
        <f t="shared" si="153"/>
        <v>3.0007299999999999</v>
      </c>
      <c r="P730" t="str">
        <f>IF(OR($A730="",games!$H730=""),"",games!$H730)</f>
        <v/>
      </c>
      <c r="Q730" t="str">
        <f t="shared" si="154"/>
        <v/>
      </c>
      <c r="T730">
        <f>IF(connections!$A730="","",IFERROR(INDEX(games!$B$2:$B$950,MATCH(connections!$A730,games!$A$2:$A$950,0)),""))</f>
        <v>2018</v>
      </c>
      <c r="U730">
        <f>IF(connections!$A730="","",IFERROR(INDEX(games!$B$2:$B$950,MATCH(connections!$B730,games!$A$2:$A$950,0)),""))</f>
        <v>2024</v>
      </c>
      <c r="V730">
        <f t="shared" si="155"/>
        <v>6</v>
      </c>
    </row>
    <row r="731" spans="1:22" x14ac:dyDescent="0.25">
      <c r="A731" t="str">
        <f>IF(games!$A731="","",games!$A731)</f>
        <v>Stick It to the Stickman</v>
      </c>
      <c r="B731">
        <f>IF($A731="","",games!$B731)</f>
        <v>2025</v>
      </c>
      <c r="C731" t="str">
        <f>IF($A731="","",games!$C731)</f>
        <v>Action</v>
      </c>
      <c r="D731">
        <f>IF($A731="","",COUNTIF(connections!$A$2:$A$1473,$A731)+COUNTIF(connections!$B$2:$B$1473,$A731))</f>
        <v>0</v>
      </c>
      <c r="E731">
        <f t="shared" si="143"/>
        <v>1</v>
      </c>
      <c r="F731">
        <f t="shared" si="144"/>
        <v>17</v>
      </c>
      <c r="G731">
        <f t="shared" si="145"/>
        <v>2025</v>
      </c>
      <c r="H731">
        <f t="shared" si="146"/>
        <v>1.391</v>
      </c>
      <c r="I731" t="e">
        <f t="shared" si="147"/>
        <v>#N/A</v>
      </c>
      <c r="J731" t="e">
        <f t="shared" si="148"/>
        <v>#N/A</v>
      </c>
      <c r="K731" t="e">
        <f t="shared" si="149"/>
        <v>#N/A</v>
      </c>
      <c r="L731" t="e">
        <f t="shared" si="150"/>
        <v>#N/A</v>
      </c>
      <c r="M731" t="e">
        <f t="shared" si="151"/>
        <v>#N/A</v>
      </c>
      <c r="N731" t="e">
        <f t="shared" si="152"/>
        <v>#N/A</v>
      </c>
      <c r="O731">
        <f t="shared" si="153"/>
        <v>7.3099999999999999E-4</v>
      </c>
      <c r="P731" t="str">
        <f>IF(OR($A731="",games!$H731=""),"",games!$H731)</f>
        <v>Yes</v>
      </c>
      <c r="Q731">
        <f t="shared" si="154"/>
        <v>7.3099999999999999E-4</v>
      </c>
      <c r="T731">
        <f>IF(connections!$A731="","",IFERROR(INDEX(games!$B$2:$B$950,MATCH(connections!$A731,games!$A$2:$A$950,0)),""))</f>
        <v>2017</v>
      </c>
      <c r="U731">
        <f>IF(connections!$A731="","",IFERROR(INDEX(games!$B$2:$B$950,MATCH(connections!$B731,games!$A$2:$A$950,0)),""))</f>
        <v>2021</v>
      </c>
      <c r="V731">
        <f t="shared" si="155"/>
        <v>4</v>
      </c>
    </row>
    <row r="732" spans="1:22" x14ac:dyDescent="0.25">
      <c r="A732" t="str">
        <f>IF(games!$A732="","",games!$A732)</f>
        <v>Stolen Realm Survivors</v>
      </c>
      <c r="B732">
        <f>IF($A732="","",games!$B732)</f>
        <v>2026</v>
      </c>
      <c r="C732" t="str">
        <f>IF($A732="","",games!$C732)</f>
        <v>Action</v>
      </c>
      <c r="D732">
        <f>IF($A732="","",COUNTIF(connections!$A$2:$A$1473,$A732)+COUNTIF(connections!$B$2:$B$1473,$A732))</f>
        <v>3</v>
      </c>
      <c r="E732">
        <f t="shared" si="143"/>
        <v>1</v>
      </c>
      <c r="F732">
        <f t="shared" si="144"/>
        <v>18</v>
      </c>
      <c r="G732">
        <f t="shared" si="145"/>
        <v>2026</v>
      </c>
      <c r="H732">
        <f t="shared" si="146"/>
        <v>1.4139999999999999</v>
      </c>
      <c r="I732" t="e">
        <f t="shared" si="147"/>
        <v>#N/A</v>
      </c>
      <c r="J732" t="e">
        <f t="shared" si="148"/>
        <v>#N/A</v>
      </c>
      <c r="K732" t="e">
        <f t="shared" si="149"/>
        <v>#N/A</v>
      </c>
      <c r="L732" t="e">
        <f t="shared" si="150"/>
        <v>#N/A</v>
      </c>
      <c r="M732" t="e">
        <f t="shared" si="151"/>
        <v>#N/A</v>
      </c>
      <c r="N732" t="e">
        <f t="shared" si="152"/>
        <v>#N/A</v>
      </c>
      <c r="O732">
        <f t="shared" si="153"/>
        <v>3.0007320000000002</v>
      </c>
      <c r="P732" t="str">
        <f>IF(OR($A732="",games!$H732=""),"",games!$H732)</f>
        <v/>
      </c>
      <c r="Q732" t="str">
        <f t="shared" si="154"/>
        <v/>
      </c>
      <c r="T732">
        <f>IF(connections!$A732="","",IFERROR(INDEX(games!$B$2:$B$950,MATCH(connections!$A732,games!$A$2:$A$950,0)),""))</f>
        <v>2021</v>
      </c>
      <c r="U732">
        <f>IF(connections!$A732="","",IFERROR(INDEX(games!$B$2:$B$950,MATCH(connections!$B732,games!$A$2:$A$950,0)),""))</f>
        <v>2023</v>
      </c>
      <c r="V732">
        <f t="shared" si="155"/>
        <v>2</v>
      </c>
    </row>
    <row r="733" spans="1:22" x14ac:dyDescent="0.25">
      <c r="A733" t="str">
        <f>IF(games!$A733="","",games!$A733)</f>
        <v>Stoneshard</v>
      </c>
      <c r="B733">
        <f>IF($A733="","",games!$B733)</f>
        <v>2020</v>
      </c>
      <c r="C733" t="str">
        <f>IF($A733="","",games!$C733)</f>
        <v>Traditional</v>
      </c>
      <c r="D733">
        <f>IF($A733="","",COUNTIF(connections!$A$2:$A$1473,$A733)+COUNTIF(connections!$B$2:$B$1473,$A733))</f>
        <v>4</v>
      </c>
      <c r="E733">
        <f t="shared" si="143"/>
        <v>4</v>
      </c>
      <c r="F733">
        <f t="shared" si="144"/>
        <v>19</v>
      </c>
      <c r="G733" t="e">
        <f t="shared" si="145"/>
        <v>#N/A</v>
      </c>
      <c r="H733" t="e">
        <f t="shared" si="146"/>
        <v>#N/A</v>
      </c>
      <c r="I733" t="e">
        <f t="shared" si="147"/>
        <v>#N/A</v>
      </c>
      <c r="J733" t="e">
        <f t="shared" si="148"/>
        <v>#N/A</v>
      </c>
      <c r="K733" t="e">
        <f t="shared" si="149"/>
        <v>#N/A</v>
      </c>
      <c r="L733" t="e">
        <f t="shared" si="150"/>
        <v>#N/A</v>
      </c>
      <c r="M733">
        <f t="shared" si="151"/>
        <v>2020</v>
      </c>
      <c r="N733">
        <f t="shared" si="152"/>
        <v>4.4370000000000003</v>
      </c>
      <c r="O733">
        <f t="shared" si="153"/>
        <v>4.0007330000000003</v>
      </c>
      <c r="P733" t="str">
        <f>IF(OR($A733="",games!$H733=""),"",games!$H733)</f>
        <v/>
      </c>
      <c r="Q733" t="str">
        <f t="shared" si="154"/>
        <v/>
      </c>
      <c r="T733">
        <f>IF(connections!$A733="","",IFERROR(INDEX(games!$B$2:$B$950,MATCH(connections!$A733,games!$A$2:$A$950,0)),""))</f>
        <v>2023</v>
      </c>
      <c r="U733">
        <f>IF(connections!$A733="","",IFERROR(INDEX(games!$B$2:$B$950,MATCH(connections!$B733,games!$A$2:$A$950,0)),""))</f>
        <v>2026</v>
      </c>
      <c r="V733">
        <f t="shared" si="155"/>
        <v>3</v>
      </c>
    </row>
    <row r="734" spans="1:22" x14ac:dyDescent="0.25">
      <c r="A734" t="str">
        <f>IF(games!$A734="","",games!$A734)</f>
        <v>Stories from the Outbreak</v>
      </c>
      <c r="B734">
        <f>IF($A734="","",games!$B734)</f>
        <v>2023</v>
      </c>
      <c r="C734" t="str">
        <f>IF($A734="","",games!$C734)</f>
        <v>Strategy</v>
      </c>
      <c r="D734">
        <f>IF($A734="","",COUNTIF(connections!$A$2:$A$1473,$A734)+COUNTIF(connections!$B$2:$B$1473,$A734))</f>
        <v>0</v>
      </c>
      <c r="E734">
        <f t="shared" si="143"/>
        <v>2</v>
      </c>
      <c r="F734">
        <f t="shared" si="144"/>
        <v>20</v>
      </c>
      <c r="G734" t="e">
        <f t="shared" si="145"/>
        <v>#N/A</v>
      </c>
      <c r="H734" t="e">
        <f t="shared" si="146"/>
        <v>#N/A</v>
      </c>
      <c r="I734">
        <f t="shared" si="147"/>
        <v>2023</v>
      </c>
      <c r="J734">
        <f t="shared" si="148"/>
        <v>2.46</v>
      </c>
      <c r="K734" t="e">
        <f t="shared" si="149"/>
        <v>#N/A</v>
      </c>
      <c r="L734" t="e">
        <f t="shared" si="150"/>
        <v>#N/A</v>
      </c>
      <c r="M734" t="e">
        <f t="shared" si="151"/>
        <v>#N/A</v>
      </c>
      <c r="N734" t="e">
        <f t="shared" si="152"/>
        <v>#N/A</v>
      </c>
      <c r="O734">
        <f t="shared" si="153"/>
        <v>7.3399999999999995E-4</v>
      </c>
      <c r="P734" t="str">
        <f>IF(OR($A734="",games!$H734=""),"",games!$H734)</f>
        <v>Yes</v>
      </c>
      <c r="Q734">
        <f t="shared" si="154"/>
        <v>7.3399999999999995E-4</v>
      </c>
      <c r="T734">
        <f>IF(connections!$A734="","",IFERROR(INDEX(games!$B$2:$B$950,MATCH(connections!$A734,games!$A$2:$A$950,0)),""))</f>
        <v>2021</v>
      </c>
      <c r="U734">
        <f>IF(connections!$A734="","",IFERROR(INDEX(games!$B$2:$B$950,MATCH(connections!$B734,games!$A$2:$A$950,0)),""))</f>
        <v>2026</v>
      </c>
      <c r="V734">
        <f t="shared" si="155"/>
        <v>5</v>
      </c>
    </row>
    <row r="735" spans="1:22" x14ac:dyDescent="0.25">
      <c r="A735" t="str">
        <f>IF(games!$A735="","",games!$A735)</f>
        <v>Strafe</v>
      </c>
      <c r="B735">
        <f>IF($A735="","",games!$B735)</f>
        <v>2017</v>
      </c>
      <c r="C735" t="str">
        <f>IF($A735="","",games!$C735)</f>
        <v>Action</v>
      </c>
      <c r="D735">
        <f>IF($A735="","",COUNTIF(connections!$A$2:$A$1473,$A735)+COUNTIF(connections!$B$2:$B$1473,$A735))</f>
        <v>1</v>
      </c>
      <c r="E735">
        <f t="shared" si="143"/>
        <v>1</v>
      </c>
      <c r="F735">
        <f t="shared" si="144"/>
        <v>21</v>
      </c>
      <c r="G735">
        <f t="shared" si="145"/>
        <v>2017</v>
      </c>
      <c r="H735">
        <f t="shared" si="146"/>
        <v>1.4830000000000001</v>
      </c>
      <c r="I735" t="e">
        <f t="shared" si="147"/>
        <v>#N/A</v>
      </c>
      <c r="J735" t="e">
        <f t="shared" si="148"/>
        <v>#N/A</v>
      </c>
      <c r="K735" t="e">
        <f t="shared" si="149"/>
        <v>#N/A</v>
      </c>
      <c r="L735" t="e">
        <f t="shared" si="150"/>
        <v>#N/A</v>
      </c>
      <c r="M735" t="e">
        <f t="shared" si="151"/>
        <v>#N/A</v>
      </c>
      <c r="N735" t="e">
        <f t="shared" si="152"/>
        <v>#N/A</v>
      </c>
      <c r="O735">
        <f t="shared" si="153"/>
        <v>1.0007349999999999</v>
      </c>
      <c r="P735" t="str">
        <f>IF(OR($A735="",games!$H735=""),"",games!$H735)</f>
        <v>Yes</v>
      </c>
      <c r="Q735">
        <f t="shared" si="154"/>
        <v>1.0007349999999999</v>
      </c>
      <c r="T735">
        <f>IF(connections!$A735="","",IFERROR(INDEX(games!$B$2:$B$950,MATCH(connections!$A735,games!$A$2:$A$950,0)),""))</f>
        <v>2019</v>
      </c>
      <c r="U735">
        <f>IF(connections!$A735="","",IFERROR(INDEX(games!$B$2:$B$950,MATCH(connections!$B735,games!$A$2:$A$950,0)),""))</f>
        <v>2023</v>
      </c>
      <c r="V735">
        <f t="shared" si="155"/>
        <v>4</v>
      </c>
    </row>
    <row r="736" spans="1:22" x14ac:dyDescent="0.25">
      <c r="A736" t="str">
        <f>IF(games!$A736="","",games!$A736)</f>
        <v>Strange Adventures in Infinite Space</v>
      </c>
      <c r="B736">
        <f>IF($A736="","",games!$B736)</f>
        <v>2002</v>
      </c>
      <c r="C736" t="str">
        <f>IF($A736="","",games!$C736)</f>
        <v>Strategy</v>
      </c>
      <c r="D736">
        <f>IF($A736="","",COUNTIF(connections!$A$2:$A$1473,$A736)+COUNTIF(connections!$B$2:$B$1473,$A736))</f>
        <v>3</v>
      </c>
      <c r="E736">
        <f t="shared" si="143"/>
        <v>2</v>
      </c>
      <c r="F736">
        <f t="shared" si="144"/>
        <v>22</v>
      </c>
      <c r="G736" t="e">
        <f t="shared" si="145"/>
        <v>#N/A</v>
      </c>
      <c r="H736" t="e">
        <f t="shared" si="146"/>
        <v>#N/A</v>
      </c>
      <c r="I736">
        <f t="shared" si="147"/>
        <v>2002</v>
      </c>
      <c r="J736">
        <f t="shared" si="148"/>
        <v>2.5060000000000002</v>
      </c>
      <c r="K736" t="e">
        <f t="shared" si="149"/>
        <v>#N/A</v>
      </c>
      <c r="L736" t="e">
        <f t="shared" si="150"/>
        <v>#N/A</v>
      </c>
      <c r="M736" t="e">
        <f t="shared" si="151"/>
        <v>#N/A</v>
      </c>
      <c r="N736" t="e">
        <f t="shared" si="152"/>
        <v>#N/A</v>
      </c>
      <c r="O736">
        <f t="shared" si="153"/>
        <v>3.0007359999999998</v>
      </c>
      <c r="P736" t="str">
        <f>IF(OR($A736="",games!$H736=""),"",games!$H736)</f>
        <v>Yes</v>
      </c>
      <c r="Q736">
        <f t="shared" si="154"/>
        <v>3.0007359999999998</v>
      </c>
      <c r="T736">
        <f>IF(connections!$A736="","",IFERROR(INDEX(games!$B$2:$B$950,MATCH(connections!$A736,games!$A$2:$A$950,0)),""))</f>
        <v>2017</v>
      </c>
      <c r="U736">
        <f>IF(connections!$A736="","",IFERROR(INDEX(games!$B$2:$B$950,MATCH(connections!$B736,games!$A$2:$A$950,0)),""))</f>
        <v>2023</v>
      </c>
      <c r="V736">
        <f t="shared" si="155"/>
        <v>6</v>
      </c>
    </row>
    <row r="737" spans="1:22" x14ac:dyDescent="0.25">
      <c r="A737" t="str">
        <f>IF(games!$A737="","",games!$A737)</f>
        <v>Streets of Rogue</v>
      </c>
      <c r="B737">
        <f>IF($A737="","",games!$B737)</f>
        <v>2019</v>
      </c>
      <c r="C737" t="str">
        <f>IF($A737="","",games!$C737)</f>
        <v>Action</v>
      </c>
      <c r="D737">
        <f>IF($A737="","",COUNTIF(connections!$A$2:$A$1473,$A737)+COUNTIF(connections!$B$2:$B$1473,$A737))</f>
        <v>3</v>
      </c>
      <c r="E737">
        <f t="shared" si="143"/>
        <v>1</v>
      </c>
      <c r="F737">
        <f t="shared" si="144"/>
        <v>23</v>
      </c>
      <c r="G737">
        <f t="shared" si="145"/>
        <v>2019</v>
      </c>
      <c r="H737">
        <f t="shared" si="146"/>
        <v>1.5289999999999999</v>
      </c>
      <c r="I737" t="e">
        <f t="shared" si="147"/>
        <v>#N/A</v>
      </c>
      <c r="J737" t="e">
        <f t="shared" si="148"/>
        <v>#N/A</v>
      </c>
      <c r="K737" t="e">
        <f t="shared" si="149"/>
        <v>#N/A</v>
      </c>
      <c r="L737" t="e">
        <f t="shared" si="150"/>
        <v>#N/A</v>
      </c>
      <c r="M737" t="e">
        <f t="shared" si="151"/>
        <v>#N/A</v>
      </c>
      <c r="N737" t="e">
        <f t="shared" si="152"/>
        <v>#N/A</v>
      </c>
      <c r="O737">
        <f t="shared" si="153"/>
        <v>3.000737</v>
      </c>
      <c r="P737" t="str">
        <f>IF(OR($A737="",games!$H737=""),"",games!$H737)</f>
        <v>Yes</v>
      </c>
      <c r="Q737">
        <f t="shared" si="154"/>
        <v>3.000737</v>
      </c>
      <c r="T737">
        <f>IF(connections!$A737="","",IFERROR(INDEX(games!$B$2:$B$950,MATCH(connections!$A737,games!$A$2:$A$950,0)),""))</f>
        <v>2011</v>
      </c>
      <c r="U737">
        <f>IF(connections!$A737="","",IFERROR(INDEX(games!$B$2:$B$950,MATCH(connections!$B737,games!$A$2:$A$950,0)),""))</f>
        <v>2023</v>
      </c>
      <c r="V737">
        <f t="shared" si="155"/>
        <v>12</v>
      </c>
    </row>
    <row r="738" spans="1:22" x14ac:dyDescent="0.25">
      <c r="A738" t="str">
        <f>IF(games!$A738="","",games!$A738)</f>
        <v>SULFUR</v>
      </c>
      <c r="B738">
        <f>IF($A738="","",games!$B738)</f>
        <v>2024</v>
      </c>
      <c r="C738" t="str">
        <f>IF($A738="","",games!$C738)</f>
        <v>Action</v>
      </c>
      <c r="D738">
        <f>IF($A738="","",COUNTIF(connections!$A$2:$A$1473,$A738)+COUNTIF(connections!$B$2:$B$1473,$A738))</f>
        <v>3</v>
      </c>
      <c r="E738">
        <f t="shared" si="143"/>
        <v>1</v>
      </c>
      <c r="F738">
        <f t="shared" si="144"/>
        <v>24</v>
      </c>
      <c r="G738">
        <f t="shared" si="145"/>
        <v>2024</v>
      </c>
      <c r="H738">
        <f t="shared" si="146"/>
        <v>1.552</v>
      </c>
      <c r="I738" t="e">
        <f t="shared" si="147"/>
        <v>#N/A</v>
      </c>
      <c r="J738" t="e">
        <f t="shared" si="148"/>
        <v>#N/A</v>
      </c>
      <c r="K738" t="e">
        <f t="shared" si="149"/>
        <v>#N/A</v>
      </c>
      <c r="L738" t="e">
        <f t="shared" si="150"/>
        <v>#N/A</v>
      </c>
      <c r="M738" t="e">
        <f t="shared" si="151"/>
        <v>#N/A</v>
      </c>
      <c r="N738" t="e">
        <f t="shared" si="152"/>
        <v>#N/A</v>
      </c>
      <c r="O738">
        <f t="shared" si="153"/>
        <v>3.0007380000000001</v>
      </c>
      <c r="P738" t="str">
        <f>IF(OR($A738="",games!$H738=""),"",games!$H738)</f>
        <v/>
      </c>
      <c r="Q738" t="str">
        <f t="shared" si="154"/>
        <v/>
      </c>
      <c r="T738">
        <f>IF(connections!$A738="","",IFERROR(INDEX(games!$B$2:$B$950,MATCH(connections!$A738,games!$A$2:$A$950,0)),""))</f>
        <v>2022</v>
      </c>
      <c r="U738">
        <f>IF(connections!$A738="","",IFERROR(INDEX(games!$B$2:$B$950,MATCH(connections!$B738,games!$A$2:$A$950,0)),""))</f>
        <v>2025</v>
      </c>
      <c r="V738">
        <f t="shared" si="155"/>
        <v>3</v>
      </c>
    </row>
    <row r="739" spans="1:22" x14ac:dyDescent="0.25">
      <c r="A739" t="str">
        <f>IF(games!$A739="","",games!$A739)</f>
        <v>Sundered</v>
      </c>
      <c r="B739">
        <f>IF($A739="","",games!$B739)</f>
        <v>2017</v>
      </c>
      <c r="C739" t="str">
        <f>IF($A739="","",games!$C739)</f>
        <v>Action</v>
      </c>
      <c r="D739">
        <f>IF($A739="","",COUNTIF(connections!$A$2:$A$1473,$A739)+COUNTIF(connections!$B$2:$B$1473,$A739))</f>
        <v>2</v>
      </c>
      <c r="E739">
        <f t="shared" si="143"/>
        <v>1</v>
      </c>
      <c r="F739">
        <f t="shared" si="144"/>
        <v>25</v>
      </c>
      <c r="G739">
        <f t="shared" si="145"/>
        <v>2017</v>
      </c>
      <c r="H739">
        <f t="shared" si="146"/>
        <v>1.575</v>
      </c>
      <c r="I739" t="e">
        <f t="shared" si="147"/>
        <v>#N/A</v>
      </c>
      <c r="J739" t="e">
        <f t="shared" si="148"/>
        <v>#N/A</v>
      </c>
      <c r="K739" t="e">
        <f t="shared" si="149"/>
        <v>#N/A</v>
      </c>
      <c r="L739" t="e">
        <f t="shared" si="150"/>
        <v>#N/A</v>
      </c>
      <c r="M739" t="e">
        <f t="shared" si="151"/>
        <v>#N/A</v>
      </c>
      <c r="N739" t="e">
        <f t="shared" si="152"/>
        <v>#N/A</v>
      </c>
      <c r="O739">
        <f t="shared" si="153"/>
        <v>2.0007389999999998</v>
      </c>
      <c r="P739" t="str">
        <f>IF(OR($A739="",games!$H739=""),"",games!$H739)</f>
        <v>Yes</v>
      </c>
      <c r="Q739">
        <f t="shared" si="154"/>
        <v>2.0007389999999998</v>
      </c>
      <c r="T739">
        <f>IF(connections!$A739="","",IFERROR(INDEX(games!$B$2:$B$950,MATCH(connections!$A739,games!$A$2:$A$950,0)),""))</f>
        <v>2017</v>
      </c>
      <c r="U739">
        <f>IF(connections!$A739="","",IFERROR(INDEX(games!$B$2:$B$950,MATCH(connections!$B739,games!$A$2:$A$950,0)),""))</f>
        <v>2020</v>
      </c>
      <c r="V739">
        <f t="shared" si="155"/>
        <v>3</v>
      </c>
    </row>
    <row r="740" spans="1:22" x14ac:dyDescent="0.25">
      <c r="A740" t="str">
        <f>IF(games!$A740="","",games!$A740)</f>
        <v>Sunless Sea</v>
      </c>
      <c r="B740">
        <f>IF($A740="","",games!$B740)</f>
        <v>2015</v>
      </c>
      <c r="C740" t="str">
        <f>IF($A740="","",games!$C740)</f>
        <v>Strategy</v>
      </c>
      <c r="D740">
        <f>IF($A740="","",COUNTIF(connections!$A$2:$A$1473,$A740)+COUNTIF(connections!$B$2:$B$1473,$A740))</f>
        <v>3</v>
      </c>
      <c r="E740">
        <f t="shared" si="143"/>
        <v>2</v>
      </c>
      <c r="F740">
        <f t="shared" si="144"/>
        <v>26</v>
      </c>
      <c r="G740" t="e">
        <f t="shared" si="145"/>
        <v>#N/A</v>
      </c>
      <c r="H740" t="e">
        <f t="shared" si="146"/>
        <v>#N/A</v>
      </c>
      <c r="I740">
        <f t="shared" si="147"/>
        <v>2015</v>
      </c>
      <c r="J740">
        <f t="shared" si="148"/>
        <v>2.5979999999999999</v>
      </c>
      <c r="K740" t="e">
        <f t="shared" si="149"/>
        <v>#N/A</v>
      </c>
      <c r="L740" t="e">
        <f t="shared" si="150"/>
        <v>#N/A</v>
      </c>
      <c r="M740" t="e">
        <f t="shared" si="151"/>
        <v>#N/A</v>
      </c>
      <c r="N740" t="e">
        <f t="shared" si="152"/>
        <v>#N/A</v>
      </c>
      <c r="O740">
        <f t="shared" si="153"/>
        <v>3.00074</v>
      </c>
      <c r="P740" t="str">
        <f>IF(OR($A740="",games!$H740=""),"",games!$H740)</f>
        <v>Yes</v>
      </c>
      <c r="Q740">
        <f t="shared" si="154"/>
        <v>3.00074</v>
      </c>
      <c r="T740">
        <f>IF(connections!$A740="","",IFERROR(INDEX(games!$B$2:$B$950,MATCH(connections!$A740,games!$A$2:$A$950,0)),""))</f>
        <v>2008</v>
      </c>
      <c r="U740">
        <f>IF(connections!$A740="","",IFERROR(INDEX(games!$B$2:$B$950,MATCH(connections!$B740,games!$A$2:$A$950,0)),""))</f>
        <v>2018</v>
      </c>
      <c r="V740">
        <f t="shared" si="155"/>
        <v>10</v>
      </c>
    </row>
    <row r="741" spans="1:22" x14ac:dyDescent="0.25">
      <c r="A741" t="str">
        <f>IF(games!$A741="","",games!$A741)</f>
        <v>Super Auto Pets</v>
      </c>
      <c r="B741">
        <f>IF($A741="","",games!$B741)</f>
        <v>2021</v>
      </c>
      <c r="C741" t="str">
        <f>IF($A741="","",games!$C741)</f>
        <v>Strategy</v>
      </c>
      <c r="D741">
        <f>IF($A741="","",COUNTIF(connections!$A$2:$A$1473,$A741)+COUNTIF(connections!$B$2:$B$1473,$A741))</f>
        <v>15</v>
      </c>
      <c r="E741">
        <f t="shared" si="143"/>
        <v>2</v>
      </c>
      <c r="F741">
        <f t="shared" si="144"/>
        <v>27</v>
      </c>
      <c r="G741" t="e">
        <f t="shared" si="145"/>
        <v>#N/A</v>
      </c>
      <c r="H741" t="e">
        <f t="shared" si="146"/>
        <v>#N/A</v>
      </c>
      <c r="I741">
        <f t="shared" si="147"/>
        <v>2021</v>
      </c>
      <c r="J741">
        <f t="shared" si="148"/>
        <v>2.621</v>
      </c>
      <c r="K741" t="e">
        <f t="shared" si="149"/>
        <v>#N/A</v>
      </c>
      <c r="L741" t="e">
        <f t="shared" si="150"/>
        <v>#N/A</v>
      </c>
      <c r="M741" t="e">
        <f t="shared" si="151"/>
        <v>#N/A</v>
      </c>
      <c r="N741" t="e">
        <f t="shared" si="152"/>
        <v>#N/A</v>
      </c>
      <c r="O741">
        <f t="shared" si="153"/>
        <v>15.000741</v>
      </c>
      <c r="P741" t="str">
        <f>IF(OR($A741="",games!$H741=""),"",games!$H741)</f>
        <v>Yes</v>
      </c>
      <c r="Q741">
        <f t="shared" si="154"/>
        <v>15.000741</v>
      </c>
      <c r="T741">
        <f>IF(connections!$A741="","",IFERROR(INDEX(games!$B$2:$B$950,MATCH(connections!$A741,games!$A$2:$A$950,0)),""))</f>
        <v>2011</v>
      </c>
      <c r="U741">
        <f>IF(connections!$A741="","",IFERROR(INDEX(games!$B$2:$B$950,MATCH(connections!$B741,games!$A$2:$A$950,0)),""))</f>
        <v>2018</v>
      </c>
      <c r="V741">
        <f t="shared" si="155"/>
        <v>7</v>
      </c>
    </row>
    <row r="742" spans="1:22" x14ac:dyDescent="0.25">
      <c r="A742" t="str">
        <f>IF(games!$A742="","",games!$A742)</f>
        <v>Super Bullet Break</v>
      </c>
      <c r="B742">
        <f>IF($A742="","",games!$B742)</f>
        <v>2022</v>
      </c>
      <c r="C742" t="str">
        <f>IF($A742="","",games!$C742)</f>
        <v>Deckbuilder</v>
      </c>
      <c r="D742">
        <f>IF($A742="","",COUNTIF(connections!$A$2:$A$1473,$A742)+COUNTIF(connections!$B$2:$B$1473,$A742))</f>
        <v>1</v>
      </c>
      <c r="E742">
        <f t="shared" si="143"/>
        <v>3</v>
      </c>
      <c r="F742">
        <f t="shared" si="144"/>
        <v>28</v>
      </c>
      <c r="G742" t="e">
        <f t="shared" si="145"/>
        <v>#N/A</v>
      </c>
      <c r="H742" t="e">
        <f t="shared" si="146"/>
        <v>#N/A</v>
      </c>
      <c r="I742" t="e">
        <f t="shared" si="147"/>
        <v>#N/A</v>
      </c>
      <c r="J742" t="e">
        <f t="shared" si="148"/>
        <v>#N/A</v>
      </c>
      <c r="K742">
        <f t="shared" si="149"/>
        <v>2022</v>
      </c>
      <c r="L742">
        <f t="shared" si="150"/>
        <v>3.6440000000000001</v>
      </c>
      <c r="M742" t="e">
        <f t="shared" si="151"/>
        <v>#N/A</v>
      </c>
      <c r="N742" t="e">
        <f t="shared" si="152"/>
        <v>#N/A</v>
      </c>
      <c r="O742">
        <f t="shared" si="153"/>
        <v>1.000742</v>
      </c>
      <c r="P742" t="str">
        <f>IF(OR($A742="",games!$H742=""),"",games!$H742)</f>
        <v>Yes</v>
      </c>
      <c r="Q742">
        <f t="shared" si="154"/>
        <v>1.000742</v>
      </c>
      <c r="T742">
        <f>IF(connections!$A742="","",IFERROR(INDEX(games!$B$2:$B$950,MATCH(connections!$A742,games!$A$2:$A$950,0)),""))</f>
        <v>2019</v>
      </c>
      <c r="U742">
        <f>IF(connections!$A742="","",IFERROR(INDEX(games!$B$2:$B$950,MATCH(connections!$B742,games!$A$2:$A$950,0)),""))</f>
        <v>2025</v>
      </c>
      <c r="V742">
        <f t="shared" si="155"/>
        <v>6</v>
      </c>
    </row>
    <row r="743" spans="1:22" x14ac:dyDescent="0.25">
      <c r="A743" t="str">
        <f>IF(games!$A743="","",games!$A743)</f>
        <v>Super Fantasy Kingdom</v>
      </c>
      <c r="B743">
        <f>IF($A743="","",games!$B743)</f>
        <v>2025</v>
      </c>
      <c r="C743" t="str">
        <f>IF($A743="","",games!$C743)</f>
        <v>Strategy</v>
      </c>
      <c r="D743">
        <f>IF($A743="","",COUNTIF(connections!$A$2:$A$1473,$A743)+COUNTIF(connections!$B$2:$B$1473,$A743))</f>
        <v>3</v>
      </c>
      <c r="E743">
        <f t="shared" si="143"/>
        <v>2</v>
      </c>
      <c r="F743">
        <f t="shared" si="144"/>
        <v>29</v>
      </c>
      <c r="G743" t="e">
        <f t="shared" si="145"/>
        <v>#N/A</v>
      </c>
      <c r="H743" t="e">
        <f t="shared" si="146"/>
        <v>#N/A</v>
      </c>
      <c r="I743">
        <f t="shared" si="147"/>
        <v>2025</v>
      </c>
      <c r="J743">
        <f t="shared" si="148"/>
        <v>2.6669999999999998</v>
      </c>
      <c r="K743" t="e">
        <f t="shared" si="149"/>
        <v>#N/A</v>
      </c>
      <c r="L743" t="e">
        <f t="shared" si="150"/>
        <v>#N/A</v>
      </c>
      <c r="M743" t="e">
        <f t="shared" si="151"/>
        <v>#N/A</v>
      </c>
      <c r="N743" t="e">
        <f t="shared" si="152"/>
        <v>#N/A</v>
      </c>
      <c r="O743">
        <f t="shared" si="153"/>
        <v>3.0007429999999999</v>
      </c>
      <c r="P743" t="str">
        <f>IF(OR($A743="",games!$H743=""),"",games!$H743)</f>
        <v>Yes</v>
      </c>
      <c r="Q743">
        <f t="shared" si="154"/>
        <v>3.0007429999999999</v>
      </c>
      <c r="T743">
        <f>IF(connections!$A743="","",IFERROR(INDEX(games!$B$2:$B$950,MATCH(connections!$A743,games!$A$2:$A$950,0)),""))</f>
        <v>2018</v>
      </c>
      <c r="U743">
        <f>IF(connections!$A743="","",IFERROR(INDEX(games!$B$2:$B$950,MATCH(connections!$B743,games!$A$2:$A$950,0)),""))</f>
        <v>2025</v>
      </c>
      <c r="V743">
        <f t="shared" si="155"/>
        <v>7</v>
      </c>
    </row>
    <row r="744" spans="1:22" x14ac:dyDescent="0.25">
      <c r="A744" t="str">
        <f>IF(games!$A744="","",games!$A744)</f>
        <v>Super House of Dead Ninjas</v>
      </c>
      <c r="B744">
        <f>IF($A744="","",games!$B744)</f>
        <v>2013</v>
      </c>
      <c r="C744" t="str">
        <f>IF($A744="","",games!$C744)</f>
        <v>Action</v>
      </c>
      <c r="D744">
        <f>IF($A744="","",COUNTIF(connections!$A$2:$A$1473,$A744)+COUNTIF(connections!$B$2:$B$1473,$A744))</f>
        <v>1</v>
      </c>
      <c r="E744">
        <f t="shared" si="143"/>
        <v>1</v>
      </c>
      <c r="F744">
        <f t="shared" si="144"/>
        <v>30</v>
      </c>
      <c r="G744">
        <f t="shared" si="145"/>
        <v>2013</v>
      </c>
      <c r="H744">
        <f t="shared" si="146"/>
        <v>1.69</v>
      </c>
      <c r="I744" t="e">
        <f t="shared" si="147"/>
        <v>#N/A</v>
      </c>
      <c r="J744" t="e">
        <f t="shared" si="148"/>
        <v>#N/A</v>
      </c>
      <c r="K744" t="e">
        <f t="shared" si="149"/>
        <v>#N/A</v>
      </c>
      <c r="L744" t="e">
        <f t="shared" si="150"/>
        <v>#N/A</v>
      </c>
      <c r="M744" t="e">
        <f t="shared" si="151"/>
        <v>#N/A</v>
      </c>
      <c r="N744" t="e">
        <f t="shared" si="152"/>
        <v>#N/A</v>
      </c>
      <c r="O744">
        <f t="shared" si="153"/>
        <v>1.0007440000000001</v>
      </c>
      <c r="P744" t="str">
        <f>IF(OR($A744="",games!$H744=""),"",games!$H744)</f>
        <v>Yes</v>
      </c>
      <c r="Q744">
        <f t="shared" si="154"/>
        <v>1.0007440000000001</v>
      </c>
      <c r="T744">
        <f>IF(connections!$A744="","",IFERROR(INDEX(games!$B$2:$B$950,MATCH(connections!$A744,games!$A$2:$A$950,0)),""))</f>
        <v>2011</v>
      </c>
      <c r="U744">
        <f>IF(connections!$A744="","",IFERROR(INDEX(games!$B$2:$B$950,MATCH(connections!$B744,games!$A$2:$A$950,0)),""))</f>
        <v>2025</v>
      </c>
      <c r="V744">
        <f t="shared" si="155"/>
        <v>14</v>
      </c>
    </row>
    <row r="745" spans="1:22" x14ac:dyDescent="0.25">
      <c r="A745" t="str">
        <f>IF(games!$A745="","",games!$A745)</f>
        <v>Super Tax City</v>
      </c>
      <c r="B745">
        <f>IF($A745="","",games!$B745)</f>
        <v>2025</v>
      </c>
      <c r="C745" t="str">
        <f>IF($A745="","",games!$C745)</f>
        <v>Deckbuilder</v>
      </c>
      <c r="D745">
        <f>IF($A745="","",COUNTIF(connections!$A$2:$A$1473,$A745)+COUNTIF(connections!$B$2:$B$1473,$A745))</f>
        <v>2</v>
      </c>
      <c r="E745">
        <f t="shared" si="143"/>
        <v>3</v>
      </c>
      <c r="F745">
        <f t="shared" si="144"/>
        <v>31</v>
      </c>
      <c r="G745" t="e">
        <f t="shared" si="145"/>
        <v>#N/A</v>
      </c>
      <c r="H745" t="e">
        <f t="shared" si="146"/>
        <v>#N/A</v>
      </c>
      <c r="I745" t="e">
        <f t="shared" si="147"/>
        <v>#N/A</v>
      </c>
      <c r="J745" t="e">
        <f t="shared" si="148"/>
        <v>#N/A</v>
      </c>
      <c r="K745">
        <f t="shared" si="149"/>
        <v>2025</v>
      </c>
      <c r="L745">
        <f t="shared" si="150"/>
        <v>3.7130000000000001</v>
      </c>
      <c r="M745" t="e">
        <f t="shared" si="151"/>
        <v>#N/A</v>
      </c>
      <c r="N745" t="e">
        <f t="shared" si="152"/>
        <v>#N/A</v>
      </c>
      <c r="O745">
        <f t="shared" si="153"/>
        <v>2.0007450000000002</v>
      </c>
      <c r="P745" t="str">
        <f>IF(OR($A745="",games!$H745=""),"",games!$H745)</f>
        <v>Yes</v>
      </c>
      <c r="Q745">
        <f t="shared" si="154"/>
        <v>2.0007450000000002</v>
      </c>
      <c r="T745">
        <f>IF(connections!$A745="","",IFERROR(INDEX(games!$B$2:$B$950,MATCH(connections!$A745,games!$A$2:$A$950,0)),""))</f>
        <v>2021</v>
      </c>
      <c r="U745">
        <f>IF(connections!$A745="","",IFERROR(INDEX(games!$B$2:$B$950,MATCH(connections!$B745,games!$A$2:$A$950,0)),""))</f>
        <v>2026</v>
      </c>
      <c r="V745">
        <f t="shared" si="155"/>
        <v>5</v>
      </c>
    </row>
    <row r="746" spans="1:22" x14ac:dyDescent="0.25">
      <c r="A746" t="str">
        <f>IF(games!$A746="","",games!$A746)</f>
        <v>Swapmeat</v>
      </c>
      <c r="B746">
        <f>IF($A746="","",games!$B746)</f>
        <v>2025</v>
      </c>
      <c r="C746" t="str">
        <f>IF($A746="","",games!$C746)</f>
        <v>Action</v>
      </c>
      <c r="D746">
        <f>IF($A746="","",COUNTIF(connections!$A$2:$A$1473,$A746)+COUNTIF(connections!$B$2:$B$1473,$A746))</f>
        <v>3</v>
      </c>
      <c r="E746">
        <f t="shared" si="143"/>
        <v>1</v>
      </c>
      <c r="F746">
        <f t="shared" si="144"/>
        <v>32</v>
      </c>
      <c r="G746">
        <f t="shared" si="145"/>
        <v>2025</v>
      </c>
      <c r="H746">
        <f t="shared" si="146"/>
        <v>1.736</v>
      </c>
      <c r="I746" t="e">
        <f t="shared" si="147"/>
        <v>#N/A</v>
      </c>
      <c r="J746" t="e">
        <f t="shared" si="148"/>
        <v>#N/A</v>
      </c>
      <c r="K746" t="e">
        <f t="shared" si="149"/>
        <v>#N/A</v>
      </c>
      <c r="L746" t="e">
        <f t="shared" si="150"/>
        <v>#N/A</v>
      </c>
      <c r="M746" t="e">
        <f t="shared" si="151"/>
        <v>#N/A</v>
      </c>
      <c r="N746" t="e">
        <f t="shared" si="152"/>
        <v>#N/A</v>
      </c>
      <c r="O746">
        <f t="shared" si="153"/>
        <v>3.0007459999999999</v>
      </c>
      <c r="P746" t="str">
        <f>IF(OR($A746="",games!$H746=""),"",games!$H746)</f>
        <v/>
      </c>
      <c r="Q746" t="str">
        <f t="shared" si="154"/>
        <v/>
      </c>
      <c r="T746">
        <f>IF(connections!$A746="","",IFERROR(INDEX(games!$B$2:$B$950,MATCH(connections!$A746,games!$A$2:$A$950,0)),""))</f>
        <v>2018</v>
      </c>
      <c r="U746">
        <f>IF(connections!$A746="","",IFERROR(INDEX(games!$B$2:$B$950,MATCH(connections!$B746,games!$A$2:$A$950,0)),""))</f>
        <v>2026</v>
      </c>
      <c r="V746">
        <f t="shared" si="155"/>
        <v>8</v>
      </c>
    </row>
    <row r="747" spans="1:22" x14ac:dyDescent="0.25">
      <c r="A747" t="str">
        <f>IF(games!$A747="","",games!$A747)</f>
        <v>Swarm Grinder</v>
      </c>
      <c r="B747">
        <f>IF($A747="","",games!$B747)</f>
        <v>2023</v>
      </c>
      <c r="C747" t="str">
        <f>IF($A747="","",games!$C747)</f>
        <v>Action</v>
      </c>
      <c r="D747">
        <f>IF($A747="","",COUNTIF(connections!$A$2:$A$1473,$A747)+COUNTIF(connections!$B$2:$B$1473,$A747))</f>
        <v>1</v>
      </c>
      <c r="E747">
        <f t="shared" si="143"/>
        <v>1</v>
      </c>
      <c r="F747">
        <f t="shared" si="144"/>
        <v>33</v>
      </c>
      <c r="G747">
        <f t="shared" si="145"/>
        <v>2023</v>
      </c>
      <c r="H747">
        <f t="shared" si="146"/>
        <v>1.7589999999999999</v>
      </c>
      <c r="I747" t="e">
        <f t="shared" si="147"/>
        <v>#N/A</v>
      </c>
      <c r="J747" t="e">
        <f t="shared" si="148"/>
        <v>#N/A</v>
      </c>
      <c r="K747" t="e">
        <f t="shared" si="149"/>
        <v>#N/A</v>
      </c>
      <c r="L747" t="e">
        <f t="shared" si="150"/>
        <v>#N/A</v>
      </c>
      <c r="M747" t="e">
        <f t="shared" si="151"/>
        <v>#N/A</v>
      </c>
      <c r="N747" t="e">
        <f t="shared" si="152"/>
        <v>#N/A</v>
      </c>
      <c r="O747">
        <f t="shared" si="153"/>
        <v>1.0007470000000001</v>
      </c>
      <c r="P747" t="str">
        <f>IF(OR($A747="",games!$H747=""),"",games!$H747)</f>
        <v>Yes</v>
      </c>
      <c r="Q747">
        <f t="shared" si="154"/>
        <v>1.0007470000000001</v>
      </c>
      <c r="T747">
        <f>IF(connections!$A747="","",IFERROR(INDEX(games!$B$2:$B$950,MATCH(connections!$A747,games!$A$2:$A$950,0)),""))</f>
        <v>2020</v>
      </c>
      <c r="U747">
        <f>IF(connections!$A747="","",IFERROR(INDEX(games!$B$2:$B$950,MATCH(connections!$B747,games!$A$2:$A$950,0)),""))</f>
        <v>2026</v>
      </c>
      <c r="V747">
        <f t="shared" si="155"/>
        <v>6</v>
      </c>
    </row>
    <row r="748" spans="1:22" x14ac:dyDescent="0.25">
      <c r="A748" t="str">
        <f>IF(games!$A748="","",games!$A748)</f>
        <v>Switchcars</v>
      </c>
      <c r="B748">
        <f>IF($A748="","",games!$B748)</f>
        <v>2016</v>
      </c>
      <c r="C748" t="str">
        <f>IF($A748="","",games!$C748)</f>
        <v>Action</v>
      </c>
      <c r="D748">
        <f>IF($A748="","",COUNTIF(connections!$A$2:$A$1473,$A748)+COUNTIF(connections!$B$2:$B$1473,$A748))</f>
        <v>3</v>
      </c>
      <c r="E748">
        <f t="shared" si="143"/>
        <v>1</v>
      </c>
      <c r="F748">
        <f t="shared" si="144"/>
        <v>0</v>
      </c>
      <c r="G748">
        <f t="shared" si="145"/>
        <v>2016</v>
      </c>
      <c r="H748">
        <f t="shared" si="146"/>
        <v>1</v>
      </c>
      <c r="I748" t="e">
        <f t="shared" si="147"/>
        <v>#N/A</v>
      </c>
      <c r="J748" t="e">
        <f t="shared" si="148"/>
        <v>#N/A</v>
      </c>
      <c r="K748" t="e">
        <f t="shared" si="149"/>
        <v>#N/A</v>
      </c>
      <c r="L748" t="e">
        <f t="shared" si="150"/>
        <v>#N/A</v>
      </c>
      <c r="M748" t="e">
        <f t="shared" si="151"/>
        <v>#N/A</v>
      </c>
      <c r="N748" t="e">
        <f t="shared" si="152"/>
        <v>#N/A</v>
      </c>
      <c r="O748">
        <f t="shared" si="153"/>
        <v>3.0007480000000002</v>
      </c>
      <c r="P748" t="str">
        <f>IF(OR($A748="",games!$H748=""),"",games!$H748)</f>
        <v>Yes</v>
      </c>
      <c r="Q748">
        <f t="shared" si="154"/>
        <v>3.0007480000000002</v>
      </c>
      <c r="T748">
        <f>IF(connections!$A748="","",IFERROR(INDEX(games!$B$2:$B$950,MATCH(connections!$A748,games!$A$2:$A$950,0)),""))</f>
        <v>2017</v>
      </c>
      <c r="U748">
        <f>IF(connections!$A748="","",IFERROR(INDEX(games!$B$2:$B$950,MATCH(connections!$B748,games!$A$2:$A$950,0)),""))</f>
        <v>2026</v>
      </c>
      <c r="V748">
        <f t="shared" si="155"/>
        <v>9</v>
      </c>
    </row>
    <row r="749" spans="1:22" x14ac:dyDescent="0.25">
      <c r="A749" t="str">
        <f>IF(games!$A749="","",games!$A749)</f>
        <v>Sword of Fargoal</v>
      </c>
      <c r="B749">
        <f>IF($A749="","",games!$B749)</f>
        <v>1982</v>
      </c>
      <c r="C749" t="str">
        <f>IF($A749="","",games!$C749)</f>
        <v>Traditional</v>
      </c>
      <c r="D749">
        <f>IF($A749="","",COUNTIF(connections!$A$2:$A$1473,$A749)+COUNTIF(connections!$B$2:$B$1473,$A749))</f>
        <v>1</v>
      </c>
      <c r="E749">
        <f t="shared" si="143"/>
        <v>4</v>
      </c>
      <c r="F749">
        <f t="shared" si="144"/>
        <v>1</v>
      </c>
      <c r="G749" t="e">
        <f t="shared" si="145"/>
        <v>#N/A</v>
      </c>
      <c r="H749" t="e">
        <f t="shared" si="146"/>
        <v>#N/A</v>
      </c>
      <c r="I749" t="e">
        <f t="shared" si="147"/>
        <v>#N/A</v>
      </c>
      <c r="J749" t="e">
        <f t="shared" si="148"/>
        <v>#N/A</v>
      </c>
      <c r="K749" t="e">
        <f t="shared" si="149"/>
        <v>#N/A</v>
      </c>
      <c r="L749" t="e">
        <f t="shared" si="150"/>
        <v>#N/A</v>
      </c>
      <c r="M749">
        <f t="shared" si="151"/>
        <v>1982</v>
      </c>
      <c r="N749">
        <f t="shared" si="152"/>
        <v>4.0229999999999997</v>
      </c>
      <c r="O749">
        <f t="shared" si="153"/>
        <v>1.0007490000000001</v>
      </c>
      <c r="P749" t="str">
        <f>IF(OR($A749="",games!$H749=""),"",games!$H749)</f>
        <v/>
      </c>
      <c r="Q749" t="str">
        <f t="shared" si="154"/>
        <v/>
      </c>
      <c r="T749">
        <f>IF(connections!$A749="","",IFERROR(INDEX(games!$B$2:$B$950,MATCH(connections!$A749,games!$A$2:$A$950,0)),""))</f>
        <v>2021</v>
      </c>
      <c r="U749">
        <f>IF(connections!$A749="","",IFERROR(INDEX(games!$B$2:$B$950,MATCH(connections!$B749,games!$A$2:$A$950,0)),""))</f>
        <v>2025</v>
      </c>
      <c r="V749">
        <f t="shared" si="155"/>
        <v>4</v>
      </c>
    </row>
    <row r="750" spans="1:22" x14ac:dyDescent="0.25">
      <c r="A750" t="str">
        <f>IF(games!$A750="","",games!$A750)</f>
        <v>Sword of the Necromancer</v>
      </c>
      <c r="B750">
        <f>IF($A750="","",games!$B750)</f>
        <v>2021</v>
      </c>
      <c r="C750" t="str">
        <f>IF($A750="","",games!$C750)</f>
        <v>Action</v>
      </c>
      <c r="D750">
        <f>IF($A750="","",COUNTIF(connections!$A$2:$A$1473,$A750)+COUNTIF(connections!$B$2:$B$1473,$A750))</f>
        <v>3</v>
      </c>
      <c r="E750">
        <f t="shared" si="143"/>
        <v>1</v>
      </c>
      <c r="F750">
        <f t="shared" si="144"/>
        <v>2</v>
      </c>
      <c r="G750">
        <f t="shared" si="145"/>
        <v>2021</v>
      </c>
      <c r="H750">
        <f t="shared" si="146"/>
        <v>1.046</v>
      </c>
      <c r="I750" t="e">
        <f t="shared" si="147"/>
        <v>#N/A</v>
      </c>
      <c r="J750" t="e">
        <f t="shared" si="148"/>
        <v>#N/A</v>
      </c>
      <c r="K750" t="e">
        <f t="shared" si="149"/>
        <v>#N/A</v>
      </c>
      <c r="L750" t="e">
        <f t="shared" si="150"/>
        <v>#N/A</v>
      </c>
      <c r="M750" t="e">
        <f t="shared" si="151"/>
        <v>#N/A</v>
      </c>
      <c r="N750" t="e">
        <f t="shared" si="152"/>
        <v>#N/A</v>
      </c>
      <c r="O750">
        <f t="shared" si="153"/>
        <v>3.00075</v>
      </c>
      <c r="P750" t="str">
        <f>IF(OR($A750="",games!$H750=""),"",games!$H750)</f>
        <v>Yes</v>
      </c>
      <c r="Q750">
        <f t="shared" si="154"/>
        <v>3.00075</v>
      </c>
      <c r="T750">
        <f>IF(connections!$A750="","",IFERROR(INDEX(games!$B$2:$B$950,MATCH(connections!$A750,games!$A$2:$A$950,0)),""))</f>
        <v>2021</v>
      </c>
      <c r="U750">
        <f>IF(connections!$A750="","",IFERROR(INDEX(games!$B$2:$B$950,MATCH(connections!$B750,games!$A$2:$A$950,0)),""))</f>
        <v>2025</v>
      </c>
      <c r="V750">
        <f t="shared" si="155"/>
        <v>4</v>
      </c>
    </row>
    <row r="751" spans="1:22" x14ac:dyDescent="0.25">
      <c r="A751" t="str">
        <f>IF(games!$A751="","",games!$A751)</f>
        <v>Sword of the Necromancer: Resurrection</v>
      </c>
      <c r="B751">
        <f>IF($A751="","",games!$B751)</f>
        <v>2025</v>
      </c>
      <c r="C751" t="str">
        <f>IF($A751="","",games!$C751)</f>
        <v>Action</v>
      </c>
      <c r="D751">
        <f>IF($A751="","",COUNTIF(connections!$A$2:$A$1473,$A751)+COUNTIF(connections!$B$2:$B$1473,$A751))</f>
        <v>1</v>
      </c>
      <c r="E751">
        <f t="shared" si="143"/>
        <v>1</v>
      </c>
      <c r="F751">
        <f t="shared" si="144"/>
        <v>3</v>
      </c>
      <c r="G751">
        <f t="shared" si="145"/>
        <v>2025</v>
      </c>
      <c r="H751">
        <f t="shared" si="146"/>
        <v>1.069</v>
      </c>
      <c r="I751" t="e">
        <f t="shared" si="147"/>
        <v>#N/A</v>
      </c>
      <c r="J751" t="e">
        <f t="shared" si="148"/>
        <v>#N/A</v>
      </c>
      <c r="K751" t="e">
        <f t="shared" si="149"/>
        <v>#N/A</v>
      </c>
      <c r="L751" t="e">
        <f t="shared" si="150"/>
        <v>#N/A</v>
      </c>
      <c r="M751" t="e">
        <f t="shared" si="151"/>
        <v>#N/A</v>
      </c>
      <c r="N751" t="e">
        <f t="shared" si="152"/>
        <v>#N/A</v>
      </c>
      <c r="O751">
        <f t="shared" si="153"/>
        <v>1.0007509999999999</v>
      </c>
      <c r="P751" t="str">
        <f>IF(OR($A751="",games!$H751=""),"",games!$H751)</f>
        <v/>
      </c>
      <c r="Q751" t="str">
        <f t="shared" si="154"/>
        <v/>
      </c>
      <c r="T751">
        <f>IF(connections!$A751="","",IFERROR(INDEX(games!$B$2:$B$950,MATCH(connections!$A751,games!$A$2:$A$950,0)),""))</f>
        <v>2021</v>
      </c>
      <c r="U751">
        <f>IF(connections!$A751="","",IFERROR(INDEX(games!$B$2:$B$950,MATCH(connections!$B751,games!$A$2:$A$950,0)),""))</f>
        <v>2025</v>
      </c>
      <c r="V751">
        <f t="shared" si="155"/>
        <v>4</v>
      </c>
    </row>
    <row r="752" spans="1:22" x14ac:dyDescent="0.25">
      <c r="A752" t="str">
        <f>IF(games!$A752="","",games!$A752)</f>
        <v>Sword of the Stars: The Pit</v>
      </c>
      <c r="B752">
        <f>IF($A752="","",games!$B752)</f>
        <v>2013</v>
      </c>
      <c r="C752" t="str">
        <f>IF($A752="","",games!$C752)</f>
        <v>Traditional</v>
      </c>
      <c r="D752">
        <f>IF($A752="","",COUNTIF(connections!$A$2:$A$1473,$A752)+COUNTIF(connections!$B$2:$B$1473,$A752))</f>
        <v>3</v>
      </c>
      <c r="E752">
        <f t="shared" si="143"/>
        <v>4</v>
      </c>
      <c r="F752">
        <f t="shared" si="144"/>
        <v>4</v>
      </c>
      <c r="G752" t="e">
        <f t="shared" si="145"/>
        <v>#N/A</v>
      </c>
      <c r="H752" t="e">
        <f t="shared" si="146"/>
        <v>#N/A</v>
      </c>
      <c r="I752" t="e">
        <f t="shared" si="147"/>
        <v>#N/A</v>
      </c>
      <c r="J752" t="e">
        <f t="shared" si="148"/>
        <v>#N/A</v>
      </c>
      <c r="K752" t="e">
        <f t="shared" si="149"/>
        <v>#N/A</v>
      </c>
      <c r="L752" t="e">
        <f t="shared" si="150"/>
        <v>#N/A</v>
      </c>
      <c r="M752">
        <f t="shared" si="151"/>
        <v>2013</v>
      </c>
      <c r="N752">
        <f t="shared" si="152"/>
        <v>4.0919999999999996</v>
      </c>
      <c r="O752">
        <f t="shared" si="153"/>
        <v>3.0007519999999999</v>
      </c>
      <c r="P752" t="str">
        <f>IF(OR($A752="",games!$H752=""),"",games!$H752)</f>
        <v/>
      </c>
      <c r="Q752" t="str">
        <f t="shared" si="154"/>
        <v/>
      </c>
      <c r="T752">
        <f>IF(connections!$A752="","",IFERROR(INDEX(games!$B$2:$B$950,MATCH(connections!$A752,games!$A$2:$A$950,0)),""))</f>
        <v>2020</v>
      </c>
      <c r="U752">
        <f>IF(connections!$A752="","",IFERROR(INDEX(games!$B$2:$B$950,MATCH(connections!$B752,games!$A$2:$A$950,0)),""))</f>
        <v>2025</v>
      </c>
      <c r="V752">
        <f t="shared" si="155"/>
        <v>5</v>
      </c>
    </row>
    <row r="753" spans="1:22" x14ac:dyDescent="0.25">
      <c r="A753" t="str">
        <f>IF(games!$A753="","",games!$A753)</f>
        <v>Swordship</v>
      </c>
      <c r="B753">
        <f>IF($A753="","",games!$B753)</f>
        <v>2022</v>
      </c>
      <c r="C753" t="str">
        <f>IF($A753="","",games!$C753)</f>
        <v>Action</v>
      </c>
      <c r="D753">
        <f>IF($A753="","",COUNTIF(connections!$A$2:$A$1473,$A753)+COUNTIF(connections!$B$2:$B$1473,$A753))</f>
        <v>1</v>
      </c>
      <c r="E753">
        <f t="shared" si="143"/>
        <v>1</v>
      </c>
      <c r="F753">
        <f t="shared" si="144"/>
        <v>5</v>
      </c>
      <c r="G753">
        <f t="shared" si="145"/>
        <v>2022</v>
      </c>
      <c r="H753">
        <f t="shared" si="146"/>
        <v>1.115</v>
      </c>
      <c r="I753" t="e">
        <f t="shared" si="147"/>
        <v>#N/A</v>
      </c>
      <c r="J753" t="e">
        <f t="shared" si="148"/>
        <v>#N/A</v>
      </c>
      <c r="K753" t="e">
        <f t="shared" si="149"/>
        <v>#N/A</v>
      </c>
      <c r="L753" t="e">
        <f t="shared" si="150"/>
        <v>#N/A</v>
      </c>
      <c r="M753" t="e">
        <f t="shared" si="151"/>
        <v>#N/A</v>
      </c>
      <c r="N753" t="e">
        <f t="shared" si="152"/>
        <v>#N/A</v>
      </c>
      <c r="O753">
        <f t="shared" si="153"/>
        <v>1.000753</v>
      </c>
      <c r="P753" t="str">
        <f>IF(OR($A753="",games!$H753=""),"",games!$H753)</f>
        <v>Yes</v>
      </c>
      <c r="Q753">
        <f t="shared" si="154"/>
        <v>1.000753</v>
      </c>
      <c r="T753">
        <f>IF(connections!$A753="","",IFERROR(INDEX(games!$B$2:$B$950,MATCH(connections!$A753,games!$A$2:$A$950,0)),""))</f>
        <v>2021</v>
      </c>
      <c r="U753">
        <f>IF(connections!$A753="","",IFERROR(INDEX(games!$B$2:$B$950,MATCH(connections!$B753,games!$A$2:$A$950,0)),""))</f>
        <v>2025</v>
      </c>
      <c r="V753">
        <f t="shared" si="155"/>
        <v>4</v>
      </c>
    </row>
    <row r="754" spans="1:22" x14ac:dyDescent="0.25">
      <c r="A754" t="str">
        <f>IF(games!$A754="","",games!$A754)</f>
        <v>Sworn</v>
      </c>
      <c r="B754">
        <f>IF($A754="","",games!$B754)</f>
        <v>2025</v>
      </c>
      <c r="C754" t="str">
        <f>IF($A754="","",games!$C754)</f>
        <v>Action</v>
      </c>
      <c r="D754">
        <f>IF($A754="","",COUNTIF(connections!$A$2:$A$1473,$A754)+COUNTIF(connections!$B$2:$B$1473,$A754))</f>
        <v>1</v>
      </c>
      <c r="E754">
        <f t="shared" si="143"/>
        <v>1</v>
      </c>
      <c r="F754">
        <f t="shared" si="144"/>
        <v>6</v>
      </c>
      <c r="G754">
        <f t="shared" si="145"/>
        <v>2025</v>
      </c>
      <c r="H754">
        <f t="shared" si="146"/>
        <v>1.1379999999999999</v>
      </c>
      <c r="I754" t="e">
        <f t="shared" si="147"/>
        <v>#N/A</v>
      </c>
      <c r="J754" t="e">
        <f t="shared" si="148"/>
        <v>#N/A</v>
      </c>
      <c r="K754" t="e">
        <f t="shared" si="149"/>
        <v>#N/A</v>
      </c>
      <c r="L754" t="e">
        <f t="shared" si="150"/>
        <v>#N/A</v>
      </c>
      <c r="M754" t="e">
        <f t="shared" si="151"/>
        <v>#N/A</v>
      </c>
      <c r="N754" t="e">
        <f t="shared" si="152"/>
        <v>#N/A</v>
      </c>
      <c r="O754">
        <f t="shared" si="153"/>
        <v>1.0007539999999999</v>
      </c>
      <c r="P754" t="str">
        <f>IF(OR($A754="",games!$H754=""),"",games!$H754)</f>
        <v>Yes</v>
      </c>
      <c r="Q754">
        <f t="shared" si="154"/>
        <v>1.0007539999999999</v>
      </c>
      <c r="T754">
        <f>IF(connections!$A754="","",IFERROR(INDEX(games!$B$2:$B$950,MATCH(connections!$A754,games!$A$2:$A$950,0)),""))</f>
        <v>2017</v>
      </c>
      <c r="U754">
        <f>IF(connections!$A754="","",IFERROR(INDEX(games!$B$2:$B$950,MATCH(connections!$B754,games!$A$2:$A$950,0)),""))</f>
        <v>2024</v>
      </c>
      <c r="V754">
        <f t="shared" si="155"/>
        <v>7</v>
      </c>
    </row>
    <row r="755" spans="1:22" x14ac:dyDescent="0.25">
      <c r="A755" t="str">
        <f>IF(games!$A755="","",games!$A755)</f>
        <v>Synthetik 2</v>
      </c>
      <c r="B755">
        <f>IF($A755="","",games!$B755)</f>
        <v>2021</v>
      </c>
      <c r="C755" t="str">
        <f>IF($A755="","",games!$C755)</f>
        <v>Action</v>
      </c>
      <c r="D755">
        <f>IF($A755="","",COUNTIF(connections!$A$2:$A$1473,$A755)+COUNTIF(connections!$B$2:$B$1473,$A755))</f>
        <v>1</v>
      </c>
      <c r="E755">
        <f t="shared" si="143"/>
        <v>1</v>
      </c>
      <c r="F755">
        <f t="shared" si="144"/>
        <v>7</v>
      </c>
      <c r="G755">
        <f t="shared" si="145"/>
        <v>2021</v>
      </c>
      <c r="H755">
        <f t="shared" si="146"/>
        <v>1.161</v>
      </c>
      <c r="I755" t="e">
        <f t="shared" si="147"/>
        <v>#N/A</v>
      </c>
      <c r="J755" t="e">
        <f t="shared" si="148"/>
        <v>#N/A</v>
      </c>
      <c r="K755" t="e">
        <f t="shared" si="149"/>
        <v>#N/A</v>
      </c>
      <c r="L755" t="e">
        <f t="shared" si="150"/>
        <v>#N/A</v>
      </c>
      <c r="M755" t="e">
        <f t="shared" si="151"/>
        <v>#N/A</v>
      </c>
      <c r="N755" t="e">
        <f t="shared" si="152"/>
        <v>#N/A</v>
      </c>
      <c r="O755">
        <f t="shared" si="153"/>
        <v>1.0007550000000001</v>
      </c>
      <c r="P755" t="str">
        <f>IF(OR($A755="",games!$H755=""),"",games!$H755)</f>
        <v/>
      </c>
      <c r="Q755" t="str">
        <f t="shared" si="154"/>
        <v/>
      </c>
      <c r="T755">
        <f>IF(connections!$A755="","",IFERROR(INDEX(games!$B$2:$B$950,MATCH(connections!$A755,games!$A$2:$A$950,0)),""))</f>
        <v>2017</v>
      </c>
      <c r="U755">
        <f>IF(connections!$A755="","",IFERROR(INDEX(games!$B$2:$B$950,MATCH(connections!$B755,games!$A$2:$A$950,0)),""))</f>
        <v>2024</v>
      </c>
      <c r="V755">
        <f t="shared" si="155"/>
        <v>7</v>
      </c>
    </row>
    <row r="756" spans="1:22" x14ac:dyDescent="0.25">
      <c r="A756" t="str">
        <f>IF(games!$A756="","",games!$A756)</f>
        <v>Synthetik: Legion Rising</v>
      </c>
      <c r="B756">
        <f>IF($A756="","",games!$B756)</f>
        <v>2018</v>
      </c>
      <c r="C756" t="str">
        <f>IF($A756="","",games!$C756)</f>
        <v>Action</v>
      </c>
      <c r="D756">
        <f>IF($A756="","",COUNTIF(connections!$A$2:$A$1473,$A756)+COUNTIF(connections!$B$2:$B$1473,$A756))</f>
        <v>2</v>
      </c>
      <c r="E756">
        <f t="shared" si="143"/>
        <v>1</v>
      </c>
      <c r="F756">
        <f t="shared" si="144"/>
        <v>8</v>
      </c>
      <c r="G756">
        <f t="shared" si="145"/>
        <v>2018</v>
      </c>
      <c r="H756">
        <f t="shared" si="146"/>
        <v>1.1839999999999999</v>
      </c>
      <c r="I756" t="e">
        <f t="shared" si="147"/>
        <v>#N/A</v>
      </c>
      <c r="J756" t="e">
        <f t="shared" si="148"/>
        <v>#N/A</v>
      </c>
      <c r="K756" t="e">
        <f t="shared" si="149"/>
        <v>#N/A</v>
      </c>
      <c r="L756" t="e">
        <f t="shared" si="150"/>
        <v>#N/A</v>
      </c>
      <c r="M756" t="e">
        <f t="shared" si="151"/>
        <v>#N/A</v>
      </c>
      <c r="N756" t="e">
        <f t="shared" si="152"/>
        <v>#N/A</v>
      </c>
      <c r="O756">
        <f t="shared" si="153"/>
        <v>2.000756</v>
      </c>
      <c r="P756" t="str">
        <f>IF(OR($A756="",games!$H756=""),"",games!$H756)</f>
        <v>Yes</v>
      </c>
      <c r="Q756">
        <f t="shared" si="154"/>
        <v>2.000756</v>
      </c>
      <c r="T756">
        <f>IF(connections!$A756="","",IFERROR(INDEX(games!$B$2:$B$950,MATCH(connections!$A756,games!$A$2:$A$950,0)),""))</f>
        <v>2023</v>
      </c>
      <c r="U756">
        <f>IF(connections!$A756="","",IFERROR(INDEX(games!$B$2:$B$950,MATCH(connections!$B756,games!$A$2:$A$950,0)),""))</f>
        <v>2026</v>
      </c>
      <c r="V756">
        <f t="shared" si="155"/>
        <v>3</v>
      </c>
    </row>
    <row r="757" spans="1:22" x14ac:dyDescent="0.25">
      <c r="A757" t="str">
        <f>IF(games!$A757="","",games!$A757)</f>
        <v>Tabletop Tavern</v>
      </c>
      <c r="B757">
        <f>IF($A757="","",games!$B757)</f>
        <v>2026</v>
      </c>
      <c r="C757" t="str">
        <f>IF($A757="","",games!$C757)</f>
        <v>Strategy</v>
      </c>
      <c r="D757">
        <f>IF($A757="","",COUNTIF(connections!$A$2:$A$1473,$A757)+COUNTIF(connections!$B$2:$B$1473,$A757))</f>
        <v>2</v>
      </c>
      <c r="E757">
        <f t="shared" si="143"/>
        <v>2</v>
      </c>
      <c r="F757">
        <f t="shared" si="144"/>
        <v>9</v>
      </c>
      <c r="G757" t="e">
        <f t="shared" si="145"/>
        <v>#N/A</v>
      </c>
      <c r="H757" t="e">
        <f t="shared" si="146"/>
        <v>#N/A</v>
      </c>
      <c r="I757">
        <f t="shared" si="147"/>
        <v>2026</v>
      </c>
      <c r="J757">
        <f t="shared" si="148"/>
        <v>2.2069999999999999</v>
      </c>
      <c r="K757" t="e">
        <f t="shared" si="149"/>
        <v>#N/A</v>
      </c>
      <c r="L757" t="e">
        <f t="shared" si="150"/>
        <v>#N/A</v>
      </c>
      <c r="M757" t="e">
        <f t="shared" si="151"/>
        <v>#N/A</v>
      </c>
      <c r="N757" t="e">
        <f t="shared" si="152"/>
        <v>#N/A</v>
      </c>
      <c r="O757">
        <f t="shared" si="153"/>
        <v>2.0007570000000001</v>
      </c>
      <c r="P757" t="str">
        <f>IF(OR($A757="",games!$H757=""),"",games!$H757)</f>
        <v/>
      </c>
      <c r="Q757" t="str">
        <f t="shared" si="154"/>
        <v/>
      </c>
      <c r="T757">
        <f>IF(connections!$A757="","",IFERROR(INDEX(games!$B$2:$B$950,MATCH(connections!$A757,games!$A$2:$A$950,0)),""))</f>
        <v>2024</v>
      </c>
      <c r="U757">
        <f>IF(connections!$A757="","",IFERROR(INDEX(games!$B$2:$B$950,MATCH(connections!$B757,games!$A$2:$A$950,0)),""))</f>
        <v>2026</v>
      </c>
      <c r="V757">
        <f t="shared" si="155"/>
        <v>2</v>
      </c>
    </row>
    <row r="758" spans="1:22" x14ac:dyDescent="0.25">
      <c r="A758" t="str">
        <f>IF(games!$A758="","",games!$A758)</f>
        <v>Tainted Grail: Conquest</v>
      </c>
      <c r="B758">
        <f>IF($A758="","",games!$B758)</f>
        <v>2020</v>
      </c>
      <c r="C758" t="str">
        <f>IF($A758="","",games!$C758)</f>
        <v>Deckbuilder</v>
      </c>
      <c r="D758">
        <f>IF($A758="","",COUNTIF(connections!$A$2:$A$1473,$A758)+COUNTIF(connections!$B$2:$B$1473,$A758))</f>
        <v>1</v>
      </c>
      <c r="E758">
        <f t="shared" si="143"/>
        <v>3</v>
      </c>
      <c r="F758">
        <f t="shared" si="144"/>
        <v>10</v>
      </c>
      <c r="G758" t="e">
        <f t="shared" si="145"/>
        <v>#N/A</v>
      </c>
      <c r="H758" t="e">
        <f t="shared" si="146"/>
        <v>#N/A</v>
      </c>
      <c r="I758" t="e">
        <f t="shared" si="147"/>
        <v>#N/A</v>
      </c>
      <c r="J758" t="e">
        <f t="shared" si="148"/>
        <v>#N/A</v>
      </c>
      <c r="K758">
        <f t="shared" si="149"/>
        <v>2020</v>
      </c>
      <c r="L758">
        <f t="shared" si="150"/>
        <v>3.23</v>
      </c>
      <c r="M758" t="e">
        <f t="shared" si="151"/>
        <v>#N/A</v>
      </c>
      <c r="N758" t="e">
        <f t="shared" si="152"/>
        <v>#N/A</v>
      </c>
      <c r="O758">
        <f t="shared" si="153"/>
        <v>1.000758</v>
      </c>
      <c r="P758" t="str">
        <f>IF(OR($A758="",games!$H758=""),"",games!$H758)</f>
        <v>Yes</v>
      </c>
      <c r="Q758">
        <f t="shared" si="154"/>
        <v>1.000758</v>
      </c>
      <c r="T758">
        <f>IF(connections!$A758="","",IFERROR(INDEX(games!$B$2:$B$950,MATCH(connections!$A758,games!$A$2:$A$950,0)),""))</f>
        <v>2021</v>
      </c>
      <c r="U758">
        <f>IF(connections!$A758="","",IFERROR(INDEX(games!$B$2:$B$950,MATCH(connections!$B758,games!$A$2:$A$950,0)),""))</f>
        <v>2025</v>
      </c>
      <c r="V758">
        <f t="shared" si="155"/>
        <v>4</v>
      </c>
    </row>
    <row r="759" spans="1:22" x14ac:dyDescent="0.25">
      <c r="A759" t="str">
        <f>IF(games!$A759="","",games!$A759)</f>
        <v>Talented</v>
      </c>
      <c r="B759">
        <f>IF($A759="","",games!$B759)</f>
        <v>2023</v>
      </c>
      <c r="C759" t="str">
        <f>IF($A759="","",games!$C759)</f>
        <v>Action</v>
      </c>
      <c r="D759">
        <f>IF($A759="","",COUNTIF(connections!$A$2:$A$1473,$A759)+COUNTIF(connections!$B$2:$B$1473,$A759))</f>
        <v>3</v>
      </c>
      <c r="E759">
        <f t="shared" si="143"/>
        <v>1</v>
      </c>
      <c r="F759">
        <f t="shared" si="144"/>
        <v>11</v>
      </c>
      <c r="G759">
        <f t="shared" si="145"/>
        <v>2023</v>
      </c>
      <c r="H759">
        <f t="shared" si="146"/>
        <v>1.2530000000000001</v>
      </c>
      <c r="I759" t="e">
        <f t="shared" si="147"/>
        <v>#N/A</v>
      </c>
      <c r="J759" t="e">
        <f t="shared" si="148"/>
        <v>#N/A</v>
      </c>
      <c r="K759" t="e">
        <f t="shared" si="149"/>
        <v>#N/A</v>
      </c>
      <c r="L759" t="e">
        <f t="shared" si="150"/>
        <v>#N/A</v>
      </c>
      <c r="M759" t="e">
        <f t="shared" si="151"/>
        <v>#N/A</v>
      </c>
      <c r="N759" t="e">
        <f t="shared" si="152"/>
        <v>#N/A</v>
      </c>
      <c r="O759">
        <f t="shared" si="153"/>
        <v>3.000759</v>
      </c>
      <c r="P759" t="str">
        <f>IF(OR($A759="",games!$H759=""),"",games!$H759)</f>
        <v>Yes</v>
      </c>
      <c r="Q759">
        <f t="shared" si="154"/>
        <v>3.000759</v>
      </c>
      <c r="T759">
        <f>IF(connections!$A759="","",IFERROR(INDEX(games!$B$2:$B$950,MATCH(connections!$A759,games!$A$2:$A$950,0)),""))</f>
        <v>2018</v>
      </c>
      <c r="U759">
        <f>IF(connections!$A759="","",IFERROR(INDEX(games!$B$2:$B$950,MATCH(connections!$B759,games!$A$2:$A$950,0)),""))</f>
        <v>2024</v>
      </c>
      <c r="V759">
        <f t="shared" si="155"/>
        <v>6</v>
      </c>
    </row>
    <row r="760" spans="1:22" x14ac:dyDescent="0.25">
      <c r="A760" t="str">
        <f>IF(games!$A760="","",games!$A760)</f>
        <v>Tales of Maj'Eyal</v>
      </c>
      <c r="B760">
        <f>IF($A760="","",games!$B760)</f>
        <v>1998</v>
      </c>
      <c r="C760" t="str">
        <f>IF($A760="","",games!$C760)</f>
        <v>Traditional</v>
      </c>
      <c r="D760">
        <f>IF($A760="","",COUNTIF(connections!$A$2:$A$1473,$A760)+COUNTIF(connections!$B$2:$B$1473,$A760))</f>
        <v>9</v>
      </c>
      <c r="E760">
        <f t="shared" si="143"/>
        <v>4</v>
      </c>
      <c r="F760">
        <f t="shared" si="144"/>
        <v>12</v>
      </c>
      <c r="G760" t="e">
        <f t="shared" si="145"/>
        <v>#N/A</v>
      </c>
      <c r="H760" t="e">
        <f t="shared" si="146"/>
        <v>#N/A</v>
      </c>
      <c r="I760" t="e">
        <f t="shared" si="147"/>
        <v>#N/A</v>
      </c>
      <c r="J760" t="e">
        <f t="shared" si="148"/>
        <v>#N/A</v>
      </c>
      <c r="K760" t="e">
        <f t="shared" si="149"/>
        <v>#N/A</v>
      </c>
      <c r="L760" t="e">
        <f t="shared" si="150"/>
        <v>#N/A</v>
      </c>
      <c r="M760">
        <f t="shared" si="151"/>
        <v>1998</v>
      </c>
      <c r="N760">
        <f t="shared" si="152"/>
        <v>4.2759999999999998</v>
      </c>
      <c r="O760">
        <f t="shared" si="153"/>
        <v>9.0007599999999996</v>
      </c>
      <c r="P760" t="str">
        <f>IF(OR($A760="",games!$H760=""),"",games!$H760)</f>
        <v>Yes</v>
      </c>
      <c r="Q760">
        <f t="shared" si="154"/>
        <v>9.0007599999999996</v>
      </c>
      <c r="T760">
        <f>IF(connections!$A760="","",IFERROR(INDEX(games!$B$2:$B$950,MATCH(connections!$A760,games!$A$2:$A$950,0)),""))</f>
        <v>2018</v>
      </c>
      <c r="U760">
        <f>IF(connections!$A760="","",IFERROR(INDEX(games!$B$2:$B$950,MATCH(connections!$B760,games!$A$2:$A$950,0)),""))</f>
        <v>2020</v>
      </c>
      <c r="V760">
        <f t="shared" si="155"/>
        <v>2</v>
      </c>
    </row>
    <row r="761" spans="1:22" x14ac:dyDescent="0.25">
      <c r="A761" t="str">
        <f>IF(games!$A761="","",games!$A761)</f>
        <v>Talespinner</v>
      </c>
      <c r="B761">
        <f>IF($A761="","",games!$B761)</f>
        <v>2026</v>
      </c>
      <c r="C761" t="str">
        <f>IF($A761="","",games!$C761)</f>
        <v>Deckbuilder</v>
      </c>
      <c r="D761">
        <f>IF($A761="","",COUNTIF(connections!$A$2:$A$1473,$A761)+COUNTIF(connections!$B$2:$B$1473,$A761))</f>
        <v>1</v>
      </c>
      <c r="E761">
        <f t="shared" si="143"/>
        <v>3</v>
      </c>
      <c r="F761">
        <f t="shared" si="144"/>
        <v>13</v>
      </c>
      <c r="G761" t="e">
        <f t="shared" si="145"/>
        <v>#N/A</v>
      </c>
      <c r="H761" t="e">
        <f t="shared" si="146"/>
        <v>#N/A</v>
      </c>
      <c r="I761" t="e">
        <f t="shared" si="147"/>
        <v>#N/A</v>
      </c>
      <c r="J761" t="e">
        <f t="shared" si="148"/>
        <v>#N/A</v>
      </c>
      <c r="K761">
        <f t="shared" si="149"/>
        <v>2026</v>
      </c>
      <c r="L761">
        <f t="shared" si="150"/>
        <v>3.2989999999999999</v>
      </c>
      <c r="M761" t="e">
        <f t="shared" si="151"/>
        <v>#N/A</v>
      </c>
      <c r="N761" t="e">
        <f t="shared" si="152"/>
        <v>#N/A</v>
      </c>
      <c r="O761">
        <f t="shared" si="153"/>
        <v>1.000761</v>
      </c>
      <c r="P761" t="str">
        <f>IF(OR($A761="",games!$H761=""),"",games!$H761)</f>
        <v/>
      </c>
      <c r="Q761" t="str">
        <f t="shared" si="154"/>
        <v/>
      </c>
      <c r="T761">
        <f>IF(connections!$A761="","",IFERROR(INDEX(games!$B$2:$B$950,MATCH(connections!$A761,games!$A$2:$A$950,0)),""))</f>
        <v>2019</v>
      </c>
      <c r="U761">
        <f>IF(connections!$A761="","",IFERROR(INDEX(games!$B$2:$B$950,MATCH(connections!$B761,games!$A$2:$A$950,0)),""))</f>
        <v>2021</v>
      </c>
      <c r="V761">
        <f t="shared" si="155"/>
        <v>2</v>
      </c>
    </row>
    <row r="762" spans="1:22" x14ac:dyDescent="0.25">
      <c r="A762" t="str">
        <f>IF(games!$A762="","",games!$A762)</f>
        <v>Tangledeep</v>
      </c>
      <c r="B762">
        <f>IF($A762="","",games!$B762)</f>
        <v>2017</v>
      </c>
      <c r="C762" t="str">
        <f>IF($A762="","",games!$C762)</f>
        <v>Traditional</v>
      </c>
      <c r="D762">
        <f>IF($A762="","",COUNTIF(connections!$A$2:$A$1473,$A762)+COUNTIF(connections!$B$2:$B$1473,$A762))</f>
        <v>4</v>
      </c>
      <c r="E762">
        <f t="shared" si="143"/>
        <v>4</v>
      </c>
      <c r="F762">
        <f t="shared" si="144"/>
        <v>14</v>
      </c>
      <c r="G762" t="e">
        <f t="shared" si="145"/>
        <v>#N/A</v>
      </c>
      <c r="H762" t="e">
        <f t="shared" si="146"/>
        <v>#N/A</v>
      </c>
      <c r="I762" t="e">
        <f t="shared" si="147"/>
        <v>#N/A</v>
      </c>
      <c r="J762" t="e">
        <f t="shared" si="148"/>
        <v>#N/A</v>
      </c>
      <c r="K762" t="e">
        <f t="shared" si="149"/>
        <v>#N/A</v>
      </c>
      <c r="L762" t="e">
        <f t="shared" si="150"/>
        <v>#N/A</v>
      </c>
      <c r="M762">
        <f t="shared" si="151"/>
        <v>2017</v>
      </c>
      <c r="N762">
        <f t="shared" si="152"/>
        <v>4.3220000000000001</v>
      </c>
      <c r="O762">
        <f t="shared" si="153"/>
        <v>4.0007619999999999</v>
      </c>
      <c r="P762" t="str">
        <f>IF(OR($A762="",games!$H762=""),"",games!$H762)</f>
        <v>Yes</v>
      </c>
      <c r="Q762">
        <f t="shared" si="154"/>
        <v>4.0007619999999999</v>
      </c>
      <c r="T762">
        <f>IF(connections!$A762="","",IFERROR(INDEX(games!$B$2:$B$950,MATCH(connections!$A762,games!$A$2:$A$950,0)),""))</f>
        <v>1996</v>
      </c>
      <c r="U762">
        <f>IF(connections!$A762="","",IFERROR(INDEX(games!$B$2:$B$950,MATCH(connections!$B762,games!$A$2:$A$950,0)),""))</f>
        <v>2026</v>
      </c>
      <c r="V762">
        <f t="shared" si="155"/>
        <v>30</v>
      </c>
    </row>
    <row r="763" spans="1:22" x14ac:dyDescent="0.25">
      <c r="A763" t="str">
        <f>IF(games!$A763="","",games!$A763)</f>
        <v>Tangy TD</v>
      </c>
      <c r="B763">
        <f>IF($A763="","",games!$B763)</f>
        <v>2026</v>
      </c>
      <c r="C763" t="str">
        <f>IF($A763="","",games!$C763)</f>
        <v>Strategy</v>
      </c>
      <c r="D763">
        <f>IF($A763="","",COUNTIF(connections!$A$2:$A$1473,$A763)+COUNTIF(connections!$B$2:$B$1473,$A763))</f>
        <v>0</v>
      </c>
      <c r="E763">
        <f t="shared" si="143"/>
        <v>2</v>
      </c>
      <c r="F763">
        <f t="shared" si="144"/>
        <v>15</v>
      </c>
      <c r="G763" t="e">
        <f t="shared" si="145"/>
        <v>#N/A</v>
      </c>
      <c r="H763" t="e">
        <f t="shared" si="146"/>
        <v>#N/A</v>
      </c>
      <c r="I763">
        <f t="shared" si="147"/>
        <v>2026</v>
      </c>
      <c r="J763">
        <f t="shared" si="148"/>
        <v>2.3449999999999998</v>
      </c>
      <c r="K763" t="e">
        <f t="shared" si="149"/>
        <v>#N/A</v>
      </c>
      <c r="L763" t="e">
        <f t="shared" si="150"/>
        <v>#N/A</v>
      </c>
      <c r="M763" t="e">
        <f t="shared" si="151"/>
        <v>#N/A</v>
      </c>
      <c r="N763" t="e">
        <f t="shared" si="152"/>
        <v>#N/A</v>
      </c>
      <c r="O763">
        <f t="shared" si="153"/>
        <v>7.6300000000000001E-4</v>
      </c>
      <c r="P763" t="str">
        <f>IF(OR($A763="",games!$H763=""),"",games!$H763)</f>
        <v>Yes</v>
      </c>
      <c r="Q763">
        <f t="shared" si="154"/>
        <v>7.6300000000000001E-4</v>
      </c>
      <c r="T763">
        <f>IF(connections!$A763="","",IFERROR(INDEX(games!$B$2:$B$950,MATCH(connections!$A763,games!$A$2:$A$950,0)),""))</f>
        <v>2011</v>
      </c>
      <c r="U763">
        <f>IF(connections!$A763="","",IFERROR(INDEX(games!$B$2:$B$950,MATCH(connections!$B763,games!$A$2:$A$950,0)),""))</f>
        <v>2026</v>
      </c>
      <c r="V763">
        <f t="shared" si="155"/>
        <v>15</v>
      </c>
    </row>
    <row r="764" spans="1:22" x14ac:dyDescent="0.25">
      <c r="A764" t="str">
        <f>IF(games!$A764="","",games!$A764)</f>
        <v>Tao's Adventure: Curse of the Demon Seal</v>
      </c>
      <c r="B764">
        <f>IF($A764="","",games!$B764)</f>
        <v>2006</v>
      </c>
      <c r="C764" t="str">
        <f>IF($A764="","",games!$C764)</f>
        <v>Traditional</v>
      </c>
      <c r="D764">
        <f>IF($A764="","",COUNTIF(connections!$A$2:$A$1473,$A764)+COUNTIF(connections!$B$2:$B$1473,$A764))</f>
        <v>1</v>
      </c>
      <c r="E764">
        <f t="shared" si="143"/>
        <v>4</v>
      </c>
      <c r="F764">
        <f t="shared" si="144"/>
        <v>16</v>
      </c>
      <c r="G764" t="e">
        <f t="shared" si="145"/>
        <v>#N/A</v>
      </c>
      <c r="H764" t="e">
        <f t="shared" si="146"/>
        <v>#N/A</v>
      </c>
      <c r="I764" t="e">
        <f t="shared" si="147"/>
        <v>#N/A</v>
      </c>
      <c r="J764" t="e">
        <f t="shared" si="148"/>
        <v>#N/A</v>
      </c>
      <c r="K764" t="e">
        <f t="shared" si="149"/>
        <v>#N/A</v>
      </c>
      <c r="L764" t="e">
        <f t="shared" si="150"/>
        <v>#N/A</v>
      </c>
      <c r="M764">
        <f t="shared" si="151"/>
        <v>2006</v>
      </c>
      <c r="N764">
        <f t="shared" si="152"/>
        <v>4.3680000000000003</v>
      </c>
      <c r="O764">
        <f t="shared" si="153"/>
        <v>1.000764</v>
      </c>
      <c r="P764" t="str">
        <f>IF(OR($A764="",games!$H764=""),"",games!$H764)</f>
        <v>Yes</v>
      </c>
      <c r="Q764">
        <f t="shared" si="154"/>
        <v>1.000764</v>
      </c>
      <c r="T764">
        <f>IF(connections!$A764="","",IFERROR(INDEX(games!$B$2:$B$950,MATCH(connections!$A764,games!$A$2:$A$950,0)),""))</f>
        <v>1995</v>
      </c>
      <c r="U764">
        <f>IF(connections!$A764="","",IFERROR(INDEX(games!$B$2:$B$950,MATCH(connections!$B764,games!$A$2:$A$950,0)),""))</f>
        <v>2025</v>
      </c>
      <c r="V764">
        <f t="shared" si="155"/>
        <v>30</v>
      </c>
    </row>
    <row r="765" spans="1:22" x14ac:dyDescent="0.25">
      <c r="A765" t="str">
        <f>IF(games!$A765="","",games!$A765)</f>
        <v>Tape to Tape</v>
      </c>
      <c r="B765">
        <f>IF($A765="","",games!$B765)</f>
        <v>2023</v>
      </c>
      <c r="C765" t="str">
        <f>IF($A765="","",games!$C765)</f>
        <v>Action</v>
      </c>
      <c r="D765">
        <f>IF($A765="","",COUNTIF(connections!$A$2:$A$1473,$A765)+COUNTIF(connections!$B$2:$B$1473,$A765))</f>
        <v>3</v>
      </c>
      <c r="E765">
        <f t="shared" si="143"/>
        <v>1</v>
      </c>
      <c r="F765">
        <f t="shared" si="144"/>
        <v>17</v>
      </c>
      <c r="G765">
        <f t="shared" si="145"/>
        <v>2023</v>
      </c>
      <c r="H765">
        <f t="shared" si="146"/>
        <v>1.391</v>
      </c>
      <c r="I765" t="e">
        <f t="shared" si="147"/>
        <v>#N/A</v>
      </c>
      <c r="J765" t="e">
        <f t="shared" si="148"/>
        <v>#N/A</v>
      </c>
      <c r="K765" t="e">
        <f t="shared" si="149"/>
        <v>#N/A</v>
      </c>
      <c r="L765" t="e">
        <f t="shared" si="150"/>
        <v>#N/A</v>
      </c>
      <c r="M765" t="e">
        <f t="shared" si="151"/>
        <v>#N/A</v>
      </c>
      <c r="N765" t="e">
        <f t="shared" si="152"/>
        <v>#N/A</v>
      </c>
      <c r="O765">
        <f t="shared" si="153"/>
        <v>3.0007649999999999</v>
      </c>
      <c r="P765" t="str">
        <f>IF(OR($A765="",games!$H765=""),"",games!$H765)</f>
        <v>Yes</v>
      </c>
      <c r="Q765">
        <f t="shared" si="154"/>
        <v>3.0007649999999999</v>
      </c>
      <c r="T765">
        <f>IF(connections!$A765="","",IFERROR(INDEX(games!$B$2:$B$950,MATCH(connections!$A765,games!$A$2:$A$950,0)),""))</f>
        <v>2011</v>
      </c>
      <c r="U765">
        <f>IF(connections!$A765="","",IFERROR(INDEX(games!$B$2:$B$950,MATCH(connections!$B765,games!$A$2:$A$950,0)),""))</f>
        <v>2012</v>
      </c>
      <c r="V765">
        <f t="shared" si="155"/>
        <v>1</v>
      </c>
    </row>
    <row r="766" spans="1:22" x14ac:dyDescent="0.25">
      <c r="A766" t="str">
        <f>IF(games!$A766="","",games!$A766)</f>
        <v>Teamfight Tactics</v>
      </c>
      <c r="B766">
        <f>IF($A766="","",games!$B766)</f>
        <v>2019</v>
      </c>
      <c r="C766" t="str">
        <f>IF($A766="","",games!$C766)</f>
        <v>Strategy</v>
      </c>
      <c r="D766">
        <f>IF($A766="","",COUNTIF(connections!$A$2:$A$1473,$A766)+COUNTIF(connections!$B$2:$B$1473,$A766))</f>
        <v>7</v>
      </c>
      <c r="E766">
        <f t="shared" si="143"/>
        <v>2</v>
      </c>
      <c r="F766">
        <f t="shared" si="144"/>
        <v>18</v>
      </c>
      <c r="G766" t="e">
        <f t="shared" si="145"/>
        <v>#N/A</v>
      </c>
      <c r="H766" t="e">
        <f t="shared" si="146"/>
        <v>#N/A</v>
      </c>
      <c r="I766">
        <f t="shared" si="147"/>
        <v>2019</v>
      </c>
      <c r="J766">
        <f t="shared" si="148"/>
        <v>2.4140000000000001</v>
      </c>
      <c r="K766" t="e">
        <f t="shared" si="149"/>
        <v>#N/A</v>
      </c>
      <c r="L766" t="e">
        <f t="shared" si="150"/>
        <v>#N/A</v>
      </c>
      <c r="M766" t="e">
        <f t="shared" si="151"/>
        <v>#N/A</v>
      </c>
      <c r="N766" t="e">
        <f t="shared" si="152"/>
        <v>#N/A</v>
      </c>
      <c r="O766">
        <f t="shared" si="153"/>
        <v>7.0007659999999996</v>
      </c>
      <c r="P766" t="str">
        <f>IF(OR($A766="",games!$H766=""),"",games!$H766)</f>
        <v/>
      </c>
      <c r="Q766" t="str">
        <f t="shared" si="154"/>
        <v/>
      </c>
      <c r="T766">
        <f>IF(connections!$A766="","",IFERROR(INDEX(games!$B$2:$B$950,MATCH(connections!$A766,games!$A$2:$A$950,0)),""))</f>
        <v>2010</v>
      </c>
      <c r="U766">
        <f>IF(connections!$A766="","",IFERROR(INDEX(games!$B$2:$B$950,MATCH(connections!$B766,games!$A$2:$A$950,0)),""))</f>
        <v>2011</v>
      </c>
      <c r="V766">
        <f t="shared" si="155"/>
        <v>1</v>
      </c>
    </row>
    <row r="767" spans="1:22" x14ac:dyDescent="0.25">
      <c r="A767" t="str">
        <f>IF(games!$A767="","",games!$A767)</f>
        <v>Tears of Metal</v>
      </c>
      <c r="B767">
        <f>IF($A767="","",games!$B767)</f>
        <v>2026</v>
      </c>
      <c r="C767" t="str">
        <f>IF($A767="","",games!$C767)</f>
        <v>Action</v>
      </c>
      <c r="D767">
        <f>IF($A767="","",COUNTIF(connections!$A$2:$A$1473,$A767)+COUNTIF(connections!$B$2:$B$1473,$A767))</f>
        <v>1</v>
      </c>
      <c r="E767">
        <f t="shared" si="143"/>
        <v>1</v>
      </c>
      <c r="F767">
        <f t="shared" si="144"/>
        <v>19</v>
      </c>
      <c r="G767">
        <f t="shared" si="145"/>
        <v>2026</v>
      </c>
      <c r="H767">
        <f t="shared" si="146"/>
        <v>1.4370000000000001</v>
      </c>
      <c r="I767" t="e">
        <f t="shared" si="147"/>
        <v>#N/A</v>
      </c>
      <c r="J767" t="e">
        <f t="shared" si="148"/>
        <v>#N/A</v>
      </c>
      <c r="K767" t="e">
        <f t="shared" si="149"/>
        <v>#N/A</v>
      </c>
      <c r="L767" t="e">
        <f t="shared" si="150"/>
        <v>#N/A</v>
      </c>
      <c r="M767" t="e">
        <f t="shared" si="151"/>
        <v>#N/A</v>
      </c>
      <c r="N767" t="e">
        <f t="shared" si="152"/>
        <v>#N/A</v>
      </c>
      <c r="O767">
        <f t="shared" si="153"/>
        <v>1.000767</v>
      </c>
      <c r="P767" t="str">
        <f>IF(OR($A767="",games!$H767=""),"",games!$H767)</f>
        <v/>
      </c>
      <c r="Q767" t="str">
        <f t="shared" si="154"/>
        <v/>
      </c>
      <c r="T767">
        <f>IF(connections!$A767="","",IFERROR(INDEX(games!$B$2:$B$950,MATCH(connections!$A767,games!$A$2:$A$950,0)),""))</f>
        <v>1980</v>
      </c>
      <c r="U767">
        <f>IF(connections!$A767="","",IFERROR(INDEX(games!$B$2:$B$950,MATCH(connections!$B767,games!$A$2:$A$950,0)),""))</f>
        <v>1987</v>
      </c>
      <c r="V767">
        <f t="shared" si="155"/>
        <v>7</v>
      </c>
    </row>
    <row r="768" spans="1:22" x14ac:dyDescent="0.25">
      <c r="A768" t="str">
        <f>IF(games!$A768="","",games!$A768)</f>
        <v>Teenage Mutant Ninja Turtles: Splintered Fate</v>
      </c>
      <c r="B768">
        <f>IF($A768="","",games!$B768)</f>
        <v>2024</v>
      </c>
      <c r="C768" t="str">
        <f>IF($A768="","",games!$C768)</f>
        <v>Action</v>
      </c>
      <c r="D768">
        <f>IF($A768="","",COUNTIF(connections!$A$2:$A$1473,$A768)+COUNTIF(connections!$B$2:$B$1473,$A768))</f>
        <v>3</v>
      </c>
      <c r="E768">
        <f t="shared" si="143"/>
        <v>1</v>
      </c>
      <c r="F768">
        <f t="shared" si="144"/>
        <v>20</v>
      </c>
      <c r="G768">
        <f t="shared" si="145"/>
        <v>2024</v>
      </c>
      <c r="H768">
        <f t="shared" si="146"/>
        <v>1.46</v>
      </c>
      <c r="I768" t="e">
        <f t="shared" si="147"/>
        <v>#N/A</v>
      </c>
      <c r="J768" t="e">
        <f t="shared" si="148"/>
        <v>#N/A</v>
      </c>
      <c r="K768" t="e">
        <f t="shared" si="149"/>
        <v>#N/A</v>
      </c>
      <c r="L768" t="e">
        <f t="shared" si="150"/>
        <v>#N/A</v>
      </c>
      <c r="M768" t="e">
        <f t="shared" si="151"/>
        <v>#N/A</v>
      </c>
      <c r="N768" t="e">
        <f t="shared" si="152"/>
        <v>#N/A</v>
      </c>
      <c r="O768">
        <f t="shared" si="153"/>
        <v>3.0007679999999999</v>
      </c>
      <c r="P768" t="str">
        <f>IF(OR($A768="",games!$H768=""),"",games!$H768)</f>
        <v>Yes</v>
      </c>
      <c r="Q768">
        <f t="shared" si="154"/>
        <v>3.0007679999999999</v>
      </c>
      <c r="T768">
        <f>IF(connections!$A768="","",IFERROR(INDEX(games!$B$2:$B$950,MATCH(connections!$A768,games!$A$2:$A$950,0)),""))</f>
        <v>1993</v>
      </c>
      <c r="U768">
        <f>IF(connections!$A768="","",IFERROR(INDEX(games!$B$2:$B$950,MATCH(connections!$B768,games!$A$2:$A$950,0)),""))</f>
        <v>2023</v>
      </c>
      <c r="V768">
        <f t="shared" si="155"/>
        <v>30</v>
      </c>
    </row>
    <row r="769" spans="1:22" x14ac:dyDescent="0.25">
      <c r="A769" t="str">
        <f>IF(games!$A769="","",games!$A769)</f>
        <v>Temtem: Swarm</v>
      </c>
      <c r="B769">
        <f>IF($A769="","",games!$B769)</f>
        <v>2024</v>
      </c>
      <c r="C769" t="str">
        <f>IF($A769="","",games!$C769)</f>
        <v>Action</v>
      </c>
      <c r="D769">
        <f>IF($A769="","",COUNTIF(connections!$A$2:$A$1473,$A769)+COUNTIF(connections!$B$2:$B$1473,$A769))</f>
        <v>1</v>
      </c>
      <c r="E769">
        <f t="shared" si="143"/>
        <v>1</v>
      </c>
      <c r="F769">
        <f t="shared" si="144"/>
        <v>21</v>
      </c>
      <c r="G769">
        <f t="shared" si="145"/>
        <v>2024</v>
      </c>
      <c r="H769">
        <f t="shared" si="146"/>
        <v>1.4830000000000001</v>
      </c>
      <c r="I769" t="e">
        <f t="shared" si="147"/>
        <v>#N/A</v>
      </c>
      <c r="J769" t="e">
        <f t="shared" si="148"/>
        <v>#N/A</v>
      </c>
      <c r="K769" t="e">
        <f t="shared" si="149"/>
        <v>#N/A</v>
      </c>
      <c r="L769" t="e">
        <f t="shared" si="150"/>
        <v>#N/A</v>
      </c>
      <c r="M769" t="e">
        <f t="shared" si="151"/>
        <v>#N/A</v>
      </c>
      <c r="N769" t="e">
        <f t="shared" si="152"/>
        <v>#N/A</v>
      </c>
      <c r="O769">
        <f t="shared" si="153"/>
        <v>1.000769</v>
      </c>
      <c r="P769" t="str">
        <f>IF(OR($A769="",games!$H769=""),"",games!$H769)</f>
        <v/>
      </c>
      <c r="Q769" t="str">
        <f t="shared" si="154"/>
        <v/>
      </c>
      <c r="T769">
        <f>IF(connections!$A769="","",IFERROR(INDEX(games!$B$2:$B$950,MATCH(connections!$A769,games!$A$2:$A$950,0)),""))</f>
        <v>2021</v>
      </c>
      <c r="U769">
        <f>IF(connections!$A769="","",IFERROR(INDEX(games!$B$2:$B$950,MATCH(connections!$B769,games!$A$2:$A$950,0)),""))</f>
        <v>2022</v>
      </c>
      <c r="V769">
        <f t="shared" si="155"/>
        <v>1</v>
      </c>
    </row>
    <row r="770" spans="1:22" x14ac:dyDescent="0.25">
      <c r="A770" t="str">
        <f>IF(games!$A770="","",games!$A770)</f>
        <v>Terraformers</v>
      </c>
      <c r="B770">
        <f>IF($A770="","",games!$B770)</f>
        <v>2022</v>
      </c>
      <c r="C770" t="str">
        <f>IF($A770="","",games!$C770)</f>
        <v>Strategy</v>
      </c>
      <c r="D770">
        <f>IF($A770="","",COUNTIF(connections!$A$2:$A$1473,$A770)+COUNTIF(connections!$B$2:$B$1473,$A770))</f>
        <v>1</v>
      </c>
      <c r="E770">
        <f t="shared" ref="E770:E833" si="156">IF($A770="","",IFERROR(MATCH($C770,$R$2:$R$5,0),0))</f>
        <v>2</v>
      </c>
      <c r="F770">
        <f t="shared" ref="F770:F833" si="157">IF($A770="","",MOD(ROW(),34))</f>
        <v>22</v>
      </c>
      <c r="G770" t="e">
        <f t="shared" ref="G770:G833" si="158">IF($A770="",NA(),IF($C770="Action",$B770,NA()))</f>
        <v>#N/A</v>
      </c>
      <c r="H770" t="e">
        <f t="shared" ref="H770:H833" si="159">IF($A770="",NA(),IF($C770="Action",1+$F770*0.023,NA()))</f>
        <v>#N/A</v>
      </c>
      <c r="I770">
        <f t="shared" ref="I770:I833" si="160">IF($A770="",NA(),IF($C770="Strategy",$B770,NA()))</f>
        <v>2022</v>
      </c>
      <c r="J770">
        <f t="shared" ref="J770:J833" si="161">IF($A770="",NA(),IF($C770="Strategy",2+$F770*0.023,NA()))</f>
        <v>2.5060000000000002</v>
      </c>
      <c r="K770" t="e">
        <f t="shared" ref="K770:K833" si="162">IF($A770="",NA(),IF($C770="Deckbuilder",$B770,NA()))</f>
        <v>#N/A</v>
      </c>
      <c r="L770" t="e">
        <f t="shared" ref="L770:L833" si="163">IF($A770="",NA(),IF($C770="Deckbuilder",3+$F770*0.023,NA()))</f>
        <v>#N/A</v>
      </c>
      <c r="M770" t="e">
        <f t="shared" ref="M770:M833" si="164">IF($A770="",NA(),IF($C770="Traditional",$B770,NA()))</f>
        <v>#N/A</v>
      </c>
      <c r="N770" t="e">
        <f t="shared" ref="N770:N833" si="165">IF($A770="",NA(),IF($C770="Traditional",4+$F770*0.023,NA()))</f>
        <v>#N/A</v>
      </c>
      <c r="O770">
        <f t="shared" ref="O770:O833" si="166">IF($A770="","",$D770+ROW()/1000000)</f>
        <v>1.0007699999999999</v>
      </c>
      <c r="P770" t="str">
        <f>IF(OR($A770="",games!$H770=""),"",games!$H770)</f>
        <v>Yes</v>
      </c>
      <c r="Q770">
        <f t="shared" ref="Q770:Q833" si="167">IF(OR($A770="",$P770&lt;&gt;"Yes"),"",$D770+ROW()/1000000)</f>
        <v>1.0007699999999999</v>
      </c>
      <c r="T770">
        <f>IF(connections!$A770="","",IFERROR(INDEX(games!$B$2:$B$950,MATCH(connections!$A770,games!$A$2:$A$950,0)),""))</f>
        <v>2017</v>
      </c>
      <c r="U770">
        <f>IF(connections!$A770="","",IFERROR(INDEX(games!$B$2:$B$950,MATCH(connections!$B770,games!$A$2:$A$950,0)),""))</f>
        <v>2021</v>
      </c>
      <c r="V770">
        <f t="shared" ref="V770:V833" si="168">IF(OR($T770="",$U770=""),"",$U770-$T770)</f>
        <v>4</v>
      </c>
    </row>
    <row r="771" spans="1:22" x14ac:dyDescent="0.25">
      <c r="A771" t="str">
        <f>IF(games!$A771="","",games!$A771)</f>
        <v>TerraTech Legion</v>
      </c>
      <c r="B771">
        <f>IF($A771="","",games!$B771)</f>
        <v>2026</v>
      </c>
      <c r="C771" t="str">
        <f>IF($A771="","",games!$C771)</f>
        <v>Action</v>
      </c>
      <c r="D771">
        <f>IF($A771="","",COUNTIF(connections!$A$2:$A$1473,$A771)+COUNTIF(connections!$B$2:$B$1473,$A771))</f>
        <v>1</v>
      </c>
      <c r="E771">
        <f t="shared" si="156"/>
        <v>1</v>
      </c>
      <c r="F771">
        <f t="shared" si="157"/>
        <v>23</v>
      </c>
      <c r="G771">
        <f t="shared" si="158"/>
        <v>2026</v>
      </c>
      <c r="H771">
        <f t="shared" si="159"/>
        <v>1.5289999999999999</v>
      </c>
      <c r="I771" t="e">
        <f t="shared" si="160"/>
        <v>#N/A</v>
      </c>
      <c r="J771" t="e">
        <f t="shared" si="161"/>
        <v>#N/A</v>
      </c>
      <c r="K771" t="e">
        <f t="shared" si="162"/>
        <v>#N/A</v>
      </c>
      <c r="L771" t="e">
        <f t="shared" si="163"/>
        <v>#N/A</v>
      </c>
      <c r="M771" t="e">
        <f t="shared" si="164"/>
        <v>#N/A</v>
      </c>
      <c r="N771" t="e">
        <f t="shared" si="165"/>
        <v>#N/A</v>
      </c>
      <c r="O771">
        <f t="shared" si="166"/>
        <v>1.0007710000000001</v>
      </c>
      <c r="P771" t="str">
        <f>IF(OR($A771="",games!$H771=""),"",games!$H771)</f>
        <v/>
      </c>
      <c r="Q771" t="str">
        <f t="shared" si="167"/>
        <v/>
      </c>
      <c r="T771">
        <f>IF(connections!$A771="","",IFERROR(INDEX(games!$B$2:$B$950,MATCH(connections!$A771,games!$A$2:$A$950,0)),""))</f>
        <v>1993</v>
      </c>
      <c r="U771">
        <f>IF(connections!$A771="","",IFERROR(INDEX(games!$B$2:$B$950,MATCH(connections!$B771,games!$A$2:$A$950,0)),""))</f>
        <v>2002</v>
      </c>
      <c r="V771">
        <f t="shared" si="168"/>
        <v>9</v>
      </c>
    </row>
    <row r="772" spans="1:22" x14ac:dyDescent="0.25">
      <c r="A772" t="str">
        <f>IF(games!$A772="","",games!$A772)</f>
        <v>TerRoguelike</v>
      </c>
      <c r="B772">
        <f>IF($A772="","",games!$B772)</f>
        <v>2024</v>
      </c>
      <c r="C772" t="str">
        <f>IF($A772="","",games!$C772)</f>
        <v>Action</v>
      </c>
      <c r="D772">
        <f>IF($A772="","",COUNTIF(connections!$A$2:$A$1473,$A772)+COUNTIF(connections!$B$2:$B$1473,$A772))</f>
        <v>1</v>
      </c>
      <c r="E772">
        <f t="shared" si="156"/>
        <v>1</v>
      </c>
      <c r="F772">
        <f t="shared" si="157"/>
        <v>24</v>
      </c>
      <c r="G772">
        <f t="shared" si="158"/>
        <v>2024</v>
      </c>
      <c r="H772">
        <f t="shared" si="159"/>
        <v>1.552</v>
      </c>
      <c r="I772" t="e">
        <f t="shared" si="160"/>
        <v>#N/A</v>
      </c>
      <c r="J772" t="e">
        <f t="shared" si="161"/>
        <v>#N/A</v>
      </c>
      <c r="K772" t="e">
        <f t="shared" si="162"/>
        <v>#N/A</v>
      </c>
      <c r="L772" t="e">
        <f t="shared" si="163"/>
        <v>#N/A</v>
      </c>
      <c r="M772" t="e">
        <f t="shared" si="164"/>
        <v>#N/A</v>
      </c>
      <c r="N772" t="e">
        <f t="shared" si="165"/>
        <v>#N/A</v>
      </c>
      <c r="O772">
        <f t="shared" si="166"/>
        <v>1.000772</v>
      </c>
      <c r="P772" t="str">
        <f>IF(OR($A772="",games!$H772=""),"",games!$H772)</f>
        <v/>
      </c>
      <c r="Q772" t="str">
        <f t="shared" si="167"/>
        <v/>
      </c>
      <c r="T772">
        <f>IF(connections!$A772="","",IFERROR(INDEX(games!$B$2:$B$950,MATCH(connections!$A772,games!$A$2:$A$950,0)),""))</f>
        <v>2002</v>
      </c>
      <c r="U772">
        <f>IF(connections!$A772="","",IFERROR(INDEX(games!$B$2:$B$950,MATCH(connections!$B772,games!$A$2:$A$950,0)),""))</f>
        <v>2003</v>
      </c>
      <c r="V772">
        <f t="shared" si="168"/>
        <v>1</v>
      </c>
    </row>
    <row r="773" spans="1:22" x14ac:dyDescent="0.25">
      <c r="A773" t="str">
        <f>IF(games!$A773="","",games!$A773)</f>
        <v>The Bazaar</v>
      </c>
      <c r="B773">
        <f>IF($A773="","",games!$B773)</f>
        <v>2025</v>
      </c>
      <c r="C773" t="str">
        <f>IF($A773="","",games!$C773)</f>
        <v>Strategy</v>
      </c>
      <c r="D773">
        <f>IF($A773="","",COUNTIF(connections!$A$2:$A$1473,$A773)+COUNTIF(connections!$B$2:$B$1473,$A773))</f>
        <v>5</v>
      </c>
      <c r="E773">
        <f t="shared" si="156"/>
        <v>2</v>
      </c>
      <c r="F773">
        <f t="shared" si="157"/>
        <v>25</v>
      </c>
      <c r="G773" t="e">
        <f t="shared" si="158"/>
        <v>#N/A</v>
      </c>
      <c r="H773" t="e">
        <f t="shared" si="159"/>
        <v>#N/A</v>
      </c>
      <c r="I773">
        <f t="shared" si="160"/>
        <v>2025</v>
      </c>
      <c r="J773">
        <f t="shared" si="161"/>
        <v>2.5750000000000002</v>
      </c>
      <c r="K773" t="e">
        <f t="shared" si="162"/>
        <v>#N/A</v>
      </c>
      <c r="L773" t="e">
        <f t="shared" si="163"/>
        <v>#N/A</v>
      </c>
      <c r="M773" t="e">
        <f t="shared" si="164"/>
        <v>#N/A</v>
      </c>
      <c r="N773" t="e">
        <f t="shared" si="165"/>
        <v>#N/A</v>
      </c>
      <c r="O773">
        <f t="shared" si="166"/>
        <v>5.0007729999999997</v>
      </c>
      <c r="P773" t="str">
        <f>IF(OR($A773="",games!$H773=""),"",games!$H773)</f>
        <v/>
      </c>
      <c r="Q773" t="str">
        <f t="shared" si="167"/>
        <v/>
      </c>
      <c r="T773">
        <f>IF(connections!$A773="","",IFERROR(INDEX(games!$B$2:$B$950,MATCH(connections!$A773,games!$A$2:$A$950,0)),""))</f>
        <v>1993</v>
      </c>
      <c r="U773">
        <f>IF(connections!$A773="","",IFERROR(INDEX(games!$B$2:$B$950,MATCH(connections!$B773,games!$A$2:$A$950,0)),""))</f>
        <v>2020</v>
      </c>
      <c r="V773">
        <f t="shared" si="168"/>
        <v>27</v>
      </c>
    </row>
    <row r="774" spans="1:22" x14ac:dyDescent="0.25">
      <c r="A774" t="str">
        <f>IF(games!$A774="","",games!$A774)</f>
        <v>The Binding of Isaac</v>
      </c>
      <c r="B774">
        <f>IF($A774="","",games!$B774)</f>
        <v>2011</v>
      </c>
      <c r="C774" t="str">
        <f>IF($A774="","",games!$C774)</f>
        <v>Action</v>
      </c>
      <c r="D774">
        <f>IF($A774="","",COUNTIF(connections!$A$2:$A$1473,$A774)+COUNTIF(connections!$B$2:$B$1473,$A774))</f>
        <v>78</v>
      </c>
      <c r="E774">
        <f t="shared" si="156"/>
        <v>1</v>
      </c>
      <c r="F774">
        <f t="shared" si="157"/>
        <v>26</v>
      </c>
      <c r="G774">
        <f t="shared" si="158"/>
        <v>2011</v>
      </c>
      <c r="H774">
        <f t="shared" si="159"/>
        <v>1.5979999999999999</v>
      </c>
      <c r="I774" t="e">
        <f t="shared" si="160"/>
        <v>#N/A</v>
      </c>
      <c r="J774" t="e">
        <f t="shared" si="161"/>
        <v>#N/A</v>
      </c>
      <c r="K774" t="e">
        <f t="shared" si="162"/>
        <v>#N/A</v>
      </c>
      <c r="L774" t="e">
        <f t="shared" si="163"/>
        <v>#N/A</v>
      </c>
      <c r="M774" t="e">
        <f t="shared" si="164"/>
        <v>#N/A</v>
      </c>
      <c r="N774" t="e">
        <f t="shared" si="165"/>
        <v>#N/A</v>
      </c>
      <c r="O774">
        <f t="shared" si="166"/>
        <v>78.000774000000007</v>
      </c>
      <c r="P774" t="str">
        <f>IF(OR($A774="",games!$H774=""),"",games!$H774)</f>
        <v>Yes</v>
      </c>
      <c r="Q774">
        <f t="shared" si="167"/>
        <v>78.000774000000007</v>
      </c>
      <c r="T774">
        <f>IF(connections!$A774="","",IFERROR(INDEX(games!$B$2:$B$950,MATCH(connections!$A774,games!$A$2:$A$950,0)),""))</f>
        <v>2020</v>
      </c>
      <c r="U774">
        <f>IF(connections!$A774="","",IFERROR(INDEX(games!$B$2:$B$950,MATCH(connections!$B774,games!$A$2:$A$950,0)),""))</f>
        <v>2022</v>
      </c>
      <c r="V774">
        <f t="shared" si="168"/>
        <v>2</v>
      </c>
    </row>
    <row r="775" spans="1:22" x14ac:dyDescent="0.25">
      <c r="A775" t="str">
        <f>IF(games!$A775="","",games!$A775)</f>
        <v>The Binding of Isaac: Rebirth</v>
      </c>
      <c r="B775">
        <f>IF($A775="","",games!$B775)</f>
        <v>2014</v>
      </c>
      <c r="C775" t="str">
        <f>IF($A775="","",games!$C775)</f>
        <v>Action</v>
      </c>
      <c r="D775">
        <f>IF($A775="","",COUNTIF(connections!$A$2:$A$1473,$A775)+COUNTIF(connections!$B$2:$B$1473,$A775))</f>
        <v>1</v>
      </c>
      <c r="E775">
        <f t="shared" si="156"/>
        <v>1</v>
      </c>
      <c r="F775">
        <f t="shared" si="157"/>
        <v>27</v>
      </c>
      <c r="G775">
        <f t="shared" si="158"/>
        <v>2014</v>
      </c>
      <c r="H775">
        <f t="shared" si="159"/>
        <v>1.621</v>
      </c>
      <c r="I775" t="e">
        <f t="shared" si="160"/>
        <v>#N/A</v>
      </c>
      <c r="J775" t="e">
        <f t="shared" si="161"/>
        <v>#N/A</v>
      </c>
      <c r="K775" t="e">
        <f t="shared" si="162"/>
        <v>#N/A</v>
      </c>
      <c r="L775" t="e">
        <f t="shared" si="163"/>
        <v>#N/A</v>
      </c>
      <c r="M775" t="e">
        <f t="shared" si="164"/>
        <v>#N/A</v>
      </c>
      <c r="N775" t="e">
        <f t="shared" si="165"/>
        <v>#N/A</v>
      </c>
      <c r="O775">
        <f t="shared" si="166"/>
        <v>1.000775</v>
      </c>
      <c r="P775" t="str">
        <f>IF(OR($A775="",games!$H775=""),"",games!$H775)</f>
        <v>Yes</v>
      </c>
      <c r="Q775">
        <f t="shared" si="167"/>
        <v>1.000775</v>
      </c>
      <c r="T775">
        <f>IF(connections!$A775="","",IFERROR(INDEX(games!$B$2:$B$950,MATCH(connections!$A775,games!$A$2:$A$950,0)),""))</f>
        <v>2014</v>
      </c>
      <c r="U775">
        <f>IF(connections!$A775="","",IFERROR(INDEX(games!$B$2:$B$950,MATCH(connections!$B775,games!$A$2:$A$950,0)),""))</f>
        <v>2017</v>
      </c>
      <c r="V775">
        <f t="shared" si="168"/>
        <v>3</v>
      </c>
    </row>
    <row r="776" spans="1:22" x14ac:dyDescent="0.25">
      <c r="A776" t="str">
        <f>IF(games!$A776="","",games!$A776)</f>
        <v>The Doors of Trithius</v>
      </c>
      <c r="B776">
        <f>IF($A776="","",games!$B776)</f>
        <v>2021</v>
      </c>
      <c r="C776" t="str">
        <f>IF($A776="","",games!$C776)</f>
        <v>Traditional</v>
      </c>
      <c r="D776">
        <f>IF($A776="","",COUNTIF(connections!$A$2:$A$1473,$A776)+COUNTIF(connections!$B$2:$B$1473,$A776))</f>
        <v>3</v>
      </c>
      <c r="E776">
        <f t="shared" si="156"/>
        <v>4</v>
      </c>
      <c r="F776">
        <f t="shared" si="157"/>
        <v>28</v>
      </c>
      <c r="G776" t="e">
        <f t="shared" si="158"/>
        <v>#N/A</v>
      </c>
      <c r="H776" t="e">
        <f t="shared" si="159"/>
        <v>#N/A</v>
      </c>
      <c r="I776" t="e">
        <f t="shared" si="160"/>
        <v>#N/A</v>
      </c>
      <c r="J776" t="e">
        <f t="shared" si="161"/>
        <v>#N/A</v>
      </c>
      <c r="K776" t="e">
        <f t="shared" si="162"/>
        <v>#N/A</v>
      </c>
      <c r="L776" t="e">
        <f t="shared" si="163"/>
        <v>#N/A</v>
      </c>
      <c r="M776">
        <f t="shared" si="164"/>
        <v>2021</v>
      </c>
      <c r="N776">
        <f t="shared" si="165"/>
        <v>4.6440000000000001</v>
      </c>
      <c r="O776">
        <f t="shared" si="166"/>
        <v>3.0007760000000001</v>
      </c>
      <c r="P776" t="str">
        <f>IF(OR($A776="",games!$H776=""),"",games!$H776)</f>
        <v/>
      </c>
      <c r="Q776" t="str">
        <f t="shared" si="167"/>
        <v/>
      </c>
      <c r="T776">
        <f>IF(connections!$A776="","",IFERROR(INDEX(games!$B$2:$B$950,MATCH(connections!$A776,games!$A$2:$A$950,0)),""))</f>
        <v>2017</v>
      </c>
      <c r="U776">
        <f>IF(connections!$A776="","",IFERROR(INDEX(games!$B$2:$B$950,MATCH(connections!$B776,games!$A$2:$A$950,0)),""))</f>
        <v>2020</v>
      </c>
      <c r="V776">
        <f t="shared" si="168"/>
        <v>3</v>
      </c>
    </row>
    <row r="777" spans="1:22" x14ac:dyDescent="0.25">
      <c r="A777" t="str">
        <f>IF(games!$A777="","",games!$A777)</f>
        <v>The Dungeon RPG</v>
      </c>
      <c r="B777">
        <f>IF($A777="","",games!$B777)</f>
        <v>2000</v>
      </c>
      <c r="C777" t="str">
        <f>IF($A777="","",games!$C777)</f>
        <v>Traditional</v>
      </c>
      <c r="D777">
        <f>IF($A777="","",COUNTIF(connections!$A$2:$A$1473,$A777)+COUNTIF(connections!$B$2:$B$1473,$A777))</f>
        <v>4</v>
      </c>
      <c r="E777">
        <f t="shared" si="156"/>
        <v>4</v>
      </c>
      <c r="F777">
        <f t="shared" si="157"/>
        <v>29</v>
      </c>
      <c r="G777" t="e">
        <f t="shared" si="158"/>
        <v>#N/A</v>
      </c>
      <c r="H777" t="e">
        <f t="shared" si="159"/>
        <v>#N/A</v>
      </c>
      <c r="I777" t="e">
        <f t="shared" si="160"/>
        <v>#N/A</v>
      </c>
      <c r="J777" t="e">
        <f t="shared" si="161"/>
        <v>#N/A</v>
      </c>
      <c r="K777" t="e">
        <f t="shared" si="162"/>
        <v>#N/A</v>
      </c>
      <c r="L777" t="e">
        <f t="shared" si="163"/>
        <v>#N/A</v>
      </c>
      <c r="M777">
        <f t="shared" si="164"/>
        <v>2000</v>
      </c>
      <c r="N777">
        <f t="shared" si="165"/>
        <v>4.6669999999999998</v>
      </c>
      <c r="O777">
        <f t="shared" si="166"/>
        <v>4.0007770000000002</v>
      </c>
      <c r="P777" t="str">
        <f>IF(OR($A777="",games!$H777=""),"",games!$H777)</f>
        <v>Yes</v>
      </c>
      <c r="Q777">
        <f t="shared" si="167"/>
        <v>4.0007770000000002</v>
      </c>
      <c r="T777">
        <f>IF(connections!$A777="","",IFERROR(INDEX(games!$B$2:$B$950,MATCH(connections!$A777,games!$A$2:$A$950,0)),""))</f>
        <v>2023</v>
      </c>
      <c r="U777">
        <f>IF(connections!$A777="","",IFERROR(INDEX(games!$B$2:$B$950,MATCH(connections!$B777,games!$A$2:$A$950,0)),""))</f>
        <v>2025</v>
      </c>
      <c r="V777">
        <f t="shared" si="168"/>
        <v>2</v>
      </c>
    </row>
    <row r="778" spans="1:22" x14ac:dyDescent="0.25">
      <c r="A778" t="str">
        <f>IF(games!$A778="","",games!$A778)</f>
        <v>The Fable: Manga Build Roguelike</v>
      </c>
      <c r="B778">
        <f>IF($A778="","",games!$B778)</f>
        <v>2025</v>
      </c>
      <c r="C778" t="str">
        <f>IF($A778="","",games!$C778)</f>
        <v>Deckbuilder</v>
      </c>
      <c r="D778">
        <f>IF($A778="","",COUNTIF(connections!$A$2:$A$1473,$A778)+COUNTIF(connections!$B$2:$B$1473,$A778))</f>
        <v>0</v>
      </c>
      <c r="E778">
        <f t="shared" si="156"/>
        <v>3</v>
      </c>
      <c r="F778">
        <f t="shared" si="157"/>
        <v>30</v>
      </c>
      <c r="G778" t="e">
        <f t="shared" si="158"/>
        <v>#N/A</v>
      </c>
      <c r="H778" t="e">
        <f t="shared" si="159"/>
        <v>#N/A</v>
      </c>
      <c r="I778" t="e">
        <f t="shared" si="160"/>
        <v>#N/A</v>
      </c>
      <c r="J778" t="e">
        <f t="shared" si="161"/>
        <v>#N/A</v>
      </c>
      <c r="K778">
        <f t="shared" si="162"/>
        <v>2025</v>
      </c>
      <c r="L778">
        <f t="shared" si="163"/>
        <v>3.69</v>
      </c>
      <c r="M778" t="e">
        <f t="shared" si="164"/>
        <v>#N/A</v>
      </c>
      <c r="N778" t="e">
        <f t="shared" si="165"/>
        <v>#N/A</v>
      </c>
      <c r="O778">
        <f t="shared" si="166"/>
        <v>7.7800000000000005E-4</v>
      </c>
      <c r="P778" t="str">
        <f>IF(OR($A778="",games!$H778=""),"",games!$H778)</f>
        <v/>
      </c>
      <c r="Q778" t="str">
        <f t="shared" si="167"/>
        <v/>
      </c>
      <c r="T778">
        <f>IF(connections!$A778="","",IFERROR(INDEX(games!$B$2:$B$950,MATCH(connections!$A778,games!$A$2:$A$950,0)),""))</f>
        <v>2020</v>
      </c>
      <c r="U778">
        <f>IF(connections!$A778="","",IFERROR(INDEX(games!$B$2:$B$950,MATCH(connections!$B778,games!$A$2:$A$950,0)),""))</f>
        <v>2025</v>
      </c>
      <c r="V778">
        <f t="shared" si="168"/>
        <v>5</v>
      </c>
    </row>
    <row r="779" spans="1:22" x14ac:dyDescent="0.25">
      <c r="A779" t="str">
        <f>IF(games!$A779="","",games!$A779)</f>
        <v>The Flame in the Flood</v>
      </c>
      <c r="B779">
        <f>IF($A779="","",games!$B779)</f>
        <v>2016</v>
      </c>
      <c r="C779" t="str">
        <f>IF($A779="","",games!$C779)</f>
        <v>Action</v>
      </c>
      <c r="D779">
        <f>IF($A779="","",COUNTIF(connections!$A$2:$A$1473,$A779)+COUNTIF(connections!$B$2:$B$1473,$A779))</f>
        <v>1</v>
      </c>
      <c r="E779">
        <f t="shared" si="156"/>
        <v>1</v>
      </c>
      <c r="F779">
        <f t="shared" si="157"/>
        <v>31</v>
      </c>
      <c r="G779">
        <f t="shared" si="158"/>
        <v>2016</v>
      </c>
      <c r="H779">
        <f t="shared" si="159"/>
        <v>1.7130000000000001</v>
      </c>
      <c r="I779" t="e">
        <f t="shared" si="160"/>
        <v>#N/A</v>
      </c>
      <c r="J779" t="e">
        <f t="shared" si="161"/>
        <v>#N/A</v>
      </c>
      <c r="K779" t="e">
        <f t="shared" si="162"/>
        <v>#N/A</v>
      </c>
      <c r="L779" t="e">
        <f t="shared" si="163"/>
        <v>#N/A</v>
      </c>
      <c r="M779" t="e">
        <f t="shared" si="164"/>
        <v>#N/A</v>
      </c>
      <c r="N779" t="e">
        <f t="shared" si="165"/>
        <v>#N/A</v>
      </c>
      <c r="O779">
        <f t="shared" si="166"/>
        <v>1.0007790000000001</v>
      </c>
      <c r="P779" t="str">
        <f>IF(OR($A779="",games!$H779=""),"",games!$H779)</f>
        <v>Yes</v>
      </c>
      <c r="Q779">
        <f t="shared" si="167"/>
        <v>1.0007790000000001</v>
      </c>
      <c r="T779">
        <f>IF(connections!$A779="","",IFERROR(INDEX(games!$B$2:$B$950,MATCH(connections!$A779,games!$A$2:$A$950,0)),""))</f>
        <v>2022</v>
      </c>
      <c r="U779">
        <f>IF(connections!$A779="","",IFERROR(INDEX(games!$B$2:$B$950,MATCH(connections!$B779,games!$A$2:$A$950,0)),""))</f>
        <v>2025</v>
      </c>
      <c r="V779">
        <f t="shared" si="168"/>
        <v>3</v>
      </c>
    </row>
    <row r="780" spans="1:22" x14ac:dyDescent="0.25">
      <c r="A780" t="str">
        <f>IF(games!$A780="","",games!$A780)</f>
        <v>The Ground Gives Way</v>
      </c>
      <c r="B780">
        <f>IF($A780="","",games!$B780)</f>
        <v>2014</v>
      </c>
      <c r="C780" t="str">
        <f>IF($A780="","",games!$C780)</f>
        <v>Traditional</v>
      </c>
      <c r="D780">
        <f>IF($A780="","",COUNTIF(connections!$A$2:$A$1473,$A780)+COUNTIF(connections!$B$2:$B$1473,$A780))</f>
        <v>4</v>
      </c>
      <c r="E780">
        <f t="shared" si="156"/>
        <v>4</v>
      </c>
      <c r="F780">
        <f t="shared" si="157"/>
        <v>32</v>
      </c>
      <c r="G780" t="e">
        <f t="shared" si="158"/>
        <v>#N/A</v>
      </c>
      <c r="H780" t="e">
        <f t="shared" si="159"/>
        <v>#N/A</v>
      </c>
      <c r="I780" t="e">
        <f t="shared" si="160"/>
        <v>#N/A</v>
      </c>
      <c r="J780" t="e">
        <f t="shared" si="161"/>
        <v>#N/A</v>
      </c>
      <c r="K780" t="e">
        <f t="shared" si="162"/>
        <v>#N/A</v>
      </c>
      <c r="L780" t="e">
        <f t="shared" si="163"/>
        <v>#N/A</v>
      </c>
      <c r="M780">
        <f t="shared" si="164"/>
        <v>2014</v>
      </c>
      <c r="N780">
        <f t="shared" si="165"/>
        <v>4.7359999999999998</v>
      </c>
      <c r="O780">
        <f t="shared" si="166"/>
        <v>4.0007799999999998</v>
      </c>
      <c r="P780" t="str">
        <f>IF(OR($A780="",games!$H780=""),"",games!$H780)</f>
        <v>Yes</v>
      </c>
      <c r="Q780">
        <f t="shared" si="167"/>
        <v>4.0007799999999998</v>
      </c>
      <c r="T780">
        <f>IF(connections!$A780="","",IFERROR(INDEX(games!$B$2:$B$950,MATCH(connections!$A780,games!$A$2:$A$950,0)),""))</f>
        <v>2021</v>
      </c>
      <c r="U780">
        <f>IF(connections!$A780="","",IFERROR(INDEX(games!$B$2:$B$950,MATCH(connections!$B780,games!$A$2:$A$950,0)),""))</f>
        <v>2025</v>
      </c>
      <c r="V780">
        <f t="shared" si="168"/>
        <v>4</v>
      </c>
    </row>
    <row r="781" spans="1:22" x14ac:dyDescent="0.25">
      <c r="A781" t="str">
        <f>IF(games!$A781="","",games!$A781)</f>
        <v>The Guided Fate Paradox</v>
      </c>
      <c r="B781">
        <f>IF($A781="","",games!$B781)</f>
        <v>2013</v>
      </c>
      <c r="C781" t="str">
        <f>IF($A781="","",games!$C781)</f>
        <v>Traditional</v>
      </c>
      <c r="D781">
        <f>IF($A781="","",COUNTIF(connections!$A$2:$A$1473,$A781)+COUNTIF(connections!$B$2:$B$1473,$A781))</f>
        <v>1</v>
      </c>
      <c r="E781">
        <f t="shared" si="156"/>
        <v>4</v>
      </c>
      <c r="F781">
        <f t="shared" si="157"/>
        <v>33</v>
      </c>
      <c r="G781" t="e">
        <f t="shared" si="158"/>
        <v>#N/A</v>
      </c>
      <c r="H781" t="e">
        <f t="shared" si="159"/>
        <v>#N/A</v>
      </c>
      <c r="I781" t="e">
        <f t="shared" si="160"/>
        <v>#N/A</v>
      </c>
      <c r="J781" t="e">
        <f t="shared" si="161"/>
        <v>#N/A</v>
      </c>
      <c r="K781" t="e">
        <f t="shared" si="162"/>
        <v>#N/A</v>
      </c>
      <c r="L781" t="e">
        <f t="shared" si="163"/>
        <v>#N/A</v>
      </c>
      <c r="M781">
        <f t="shared" si="164"/>
        <v>2013</v>
      </c>
      <c r="N781">
        <f t="shared" si="165"/>
        <v>4.7590000000000003</v>
      </c>
      <c r="O781">
        <f t="shared" si="166"/>
        <v>1.0007809999999999</v>
      </c>
      <c r="P781" t="str">
        <f>IF(OR($A781="",games!$H781=""),"",games!$H781)</f>
        <v/>
      </c>
      <c r="Q781" t="str">
        <f t="shared" si="167"/>
        <v/>
      </c>
      <c r="T781">
        <f>IF(connections!$A781="","",IFERROR(INDEX(games!$B$2:$B$950,MATCH(connections!$A781,games!$A$2:$A$950,0)),""))</f>
        <v>2012</v>
      </c>
      <c r="U781">
        <f>IF(connections!$A781="","",IFERROR(INDEX(games!$B$2:$B$950,MATCH(connections!$B781,games!$A$2:$A$950,0)),""))</f>
        <v>2015</v>
      </c>
      <c r="V781">
        <f t="shared" si="168"/>
        <v>3</v>
      </c>
    </row>
    <row r="782" spans="1:22" x14ac:dyDescent="0.25">
      <c r="A782" t="str">
        <f>IF(games!$A782="","",games!$A782)</f>
        <v>The King is Watching</v>
      </c>
      <c r="B782">
        <f>IF($A782="","",games!$B782)</f>
        <v>2025</v>
      </c>
      <c r="C782" t="str">
        <f>IF($A782="","",games!$C782)</f>
        <v>Strategy</v>
      </c>
      <c r="D782">
        <f>IF($A782="","",COUNTIF(connections!$A$2:$A$1473,$A782)+COUNTIF(connections!$B$2:$B$1473,$A782))</f>
        <v>0</v>
      </c>
      <c r="E782">
        <f t="shared" si="156"/>
        <v>2</v>
      </c>
      <c r="F782">
        <f t="shared" si="157"/>
        <v>0</v>
      </c>
      <c r="G782" t="e">
        <f t="shared" si="158"/>
        <v>#N/A</v>
      </c>
      <c r="H782" t="e">
        <f t="shared" si="159"/>
        <v>#N/A</v>
      </c>
      <c r="I782">
        <f t="shared" si="160"/>
        <v>2025</v>
      </c>
      <c r="J782">
        <f t="shared" si="161"/>
        <v>2</v>
      </c>
      <c r="K782" t="e">
        <f t="shared" si="162"/>
        <v>#N/A</v>
      </c>
      <c r="L782" t="e">
        <f t="shared" si="163"/>
        <v>#N/A</v>
      </c>
      <c r="M782" t="e">
        <f t="shared" si="164"/>
        <v>#N/A</v>
      </c>
      <c r="N782" t="e">
        <f t="shared" si="165"/>
        <v>#N/A</v>
      </c>
      <c r="O782">
        <f t="shared" si="166"/>
        <v>7.8200000000000003E-4</v>
      </c>
      <c r="P782" t="str">
        <f>IF(OR($A782="",games!$H782=""),"",games!$H782)</f>
        <v>Yes</v>
      </c>
      <c r="Q782">
        <f t="shared" si="167"/>
        <v>7.8200000000000003E-4</v>
      </c>
      <c r="T782">
        <f>IF(connections!$A782="","",IFERROR(INDEX(games!$B$2:$B$950,MATCH(connections!$A782,games!$A$2:$A$950,0)),""))</f>
        <v>2008</v>
      </c>
      <c r="U782">
        <f>IF(connections!$A782="","",IFERROR(INDEX(games!$B$2:$B$950,MATCH(connections!$B782,games!$A$2:$A$950,0)),""))</f>
        <v>2015</v>
      </c>
      <c r="V782">
        <f t="shared" si="168"/>
        <v>7</v>
      </c>
    </row>
    <row r="783" spans="1:22" x14ac:dyDescent="0.25">
      <c r="A783" t="str">
        <f>IF(games!$A783="","",games!$A783)</f>
        <v>The Last Flame</v>
      </c>
      <c r="B783">
        <f>IF($A783="","",games!$B783)</f>
        <v>2024</v>
      </c>
      <c r="C783" t="str">
        <f>IF($A783="","",games!$C783)</f>
        <v>Strategy</v>
      </c>
      <c r="D783">
        <f>IF($A783="","",COUNTIF(connections!$A$2:$A$1473,$A783)+COUNTIF(connections!$B$2:$B$1473,$A783))</f>
        <v>2</v>
      </c>
      <c r="E783">
        <f t="shared" si="156"/>
        <v>2</v>
      </c>
      <c r="F783">
        <f t="shared" si="157"/>
        <v>1</v>
      </c>
      <c r="G783" t="e">
        <f t="shared" si="158"/>
        <v>#N/A</v>
      </c>
      <c r="H783" t="e">
        <f t="shared" si="159"/>
        <v>#N/A</v>
      </c>
      <c r="I783">
        <f t="shared" si="160"/>
        <v>2024</v>
      </c>
      <c r="J783">
        <f t="shared" si="161"/>
        <v>2.0230000000000001</v>
      </c>
      <c r="K783" t="e">
        <f t="shared" si="162"/>
        <v>#N/A</v>
      </c>
      <c r="L783" t="e">
        <f t="shared" si="163"/>
        <v>#N/A</v>
      </c>
      <c r="M783" t="e">
        <f t="shared" si="164"/>
        <v>#N/A</v>
      </c>
      <c r="N783" t="e">
        <f t="shared" si="165"/>
        <v>#N/A</v>
      </c>
      <c r="O783">
        <f t="shared" si="166"/>
        <v>2.0007830000000002</v>
      </c>
      <c r="P783" t="str">
        <f>IF(OR($A783="",games!$H783=""),"",games!$H783)</f>
        <v/>
      </c>
      <c r="Q783" t="str">
        <f t="shared" si="167"/>
        <v/>
      </c>
      <c r="T783">
        <f>IF(connections!$A783="","",IFERROR(INDEX(games!$B$2:$B$950,MATCH(connections!$A783,games!$A$2:$A$950,0)),""))</f>
        <v>2011</v>
      </c>
      <c r="U783">
        <f>IF(connections!$A783="","",IFERROR(INDEX(games!$B$2:$B$950,MATCH(connections!$B783,games!$A$2:$A$950,0)),""))</f>
        <v>2015</v>
      </c>
      <c r="V783">
        <f t="shared" si="168"/>
        <v>4</v>
      </c>
    </row>
    <row r="784" spans="1:22" x14ac:dyDescent="0.25">
      <c r="A784" t="str">
        <f>IF(games!$A784="","",games!$A784)</f>
        <v>The Last Game</v>
      </c>
      <c r="B784">
        <f>IF($A784="","",games!$B784)</f>
        <v>2023</v>
      </c>
      <c r="C784" t="str">
        <f>IF($A784="","",games!$C784)</f>
        <v>Action</v>
      </c>
      <c r="D784">
        <f>IF($A784="","",COUNTIF(connections!$A$2:$A$1473,$A784)+COUNTIF(connections!$B$2:$B$1473,$A784))</f>
        <v>2</v>
      </c>
      <c r="E784">
        <f t="shared" si="156"/>
        <v>1</v>
      </c>
      <c r="F784">
        <f t="shared" si="157"/>
        <v>2</v>
      </c>
      <c r="G784">
        <f t="shared" si="158"/>
        <v>2023</v>
      </c>
      <c r="H784">
        <f t="shared" si="159"/>
        <v>1.046</v>
      </c>
      <c r="I784" t="e">
        <f t="shared" si="160"/>
        <v>#N/A</v>
      </c>
      <c r="J784" t="e">
        <f t="shared" si="161"/>
        <v>#N/A</v>
      </c>
      <c r="K784" t="e">
        <f t="shared" si="162"/>
        <v>#N/A</v>
      </c>
      <c r="L784" t="e">
        <f t="shared" si="163"/>
        <v>#N/A</v>
      </c>
      <c r="M784" t="e">
        <f t="shared" si="164"/>
        <v>#N/A</v>
      </c>
      <c r="N784" t="e">
        <f t="shared" si="165"/>
        <v>#N/A</v>
      </c>
      <c r="O784">
        <f t="shared" si="166"/>
        <v>2.0007839999999999</v>
      </c>
      <c r="P784" t="str">
        <f>IF(OR($A784="",games!$H784=""),"",games!$H784)</f>
        <v>Yes</v>
      </c>
      <c r="Q784">
        <f t="shared" si="167"/>
        <v>2.0007839999999999</v>
      </c>
      <c r="T784">
        <f>IF(connections!$A784="","",IFERROR(INDEX(games!$B$2:$B$950,MATCH(connections!$A784,games!$A$2:$A$950,0)),""))</f>
        <v>2025</v>
      </c>
      <c r="U784">
        <f>IF(connections!$A784="","",IFERROR(INDEX(games!$B$2:$B$950,MATCH(connections!$B784,games!$A$2:$A$950,0)),""))</f>
        <v>2026</v>
      </c>
      <c r="V784">
        <f t="shared" si="168"/>
        <v>1</v>
      </c>
    </row>
    <row r="785" spans="1:22" x14ac:dyDescent="0.25">
      <c r="A785" t="str">
        <f>IF(games!$A785="","",games!$A785)</f>
        <v>The Last Spell</v>
      </c>
      <c r="B785">
        <f>IF($A785="","",games!$B785)</f>
        <v>2021</v>
      </c>
      <c r="C785" t="str">
        <f>IF($A785="","",games!$C785)</f>
        <v>Strategy</v>
      </c>
      <c r="D785">
        <f>IF($A785="","",COUNTIF(connections!$A$2:$A$1473,$A785)+COUNTIF(connections!$B$2:$B$1473,$A785))</f>
        <v>4</v>
      </c>
      <c r="E785">
        <f t="shared" si="156"/>
        <v>2</v>
      </c>
      <c r="F785">
        <f t="shared" si="157"/>
        <v>3</v>
      </c>
      <c r="G785" t="e">
        <f t="shared" si="158"/>
        <v>#N/A</v>
      </c>
      <c r="H785" t="e">
        <f t="shared" si="159"/>
        <v>#N/A</v>
      </c>
      <c r="I785">
        <f t="shared" si="160"/>
        <v>2021</v>
      </c>
      <c r="J785">
        <f t="shared" si="161"/>
        <v>2.069</v>
      </c>
      <c r="K785" t="e">
        <f t="shared" si="162"/>
        <v>#N/A</v>
      </c>
      <c r="L785" t="e">
        <f t="shared" si="163"/>
        <v>#N/A</v>
      </c>
      <c r="M785" t="e">
        <f t="shared" si="164"/>
        <v>#N/A</v>
      </c>
      <c r="N785" t="e">
        <f t="shared" si="165"/>
        <v>#N/A</v>
      </c>
      <c r="O785">
        <f t="shared" si="166"/>
        <v>4.0007849999999996</v>
      </c>
      <c r="P785" t="str">
        <f>IF(OR($A785="",games!$H785=""),"",games!$H785)</f>
        <v>Yes</v>
      </c>
      <c r="Q785">
        <f t="shared" si="167"/>
        <v>4.0007849999999996</v>
      </c>
      <c r="T785">
        <f>IF(connections!$A785="","",IFERROR(INDEX(games!$B$2:$B$950,MATCH(connections!$A785,games!$A$2:$A$950,0)),""))</f>
        <v>2024</v>
      </c>
      <c r="U785">
        <f>IF(connections!$A785="","",IFERROR(INDEX(games!$B$2:$B$950,MATCH(connections!$B785,games!$A$2:$A$950,0)),""))</f>
        <v>2026</v>
      </c>
      <c r="V785">
        <f t="shared" si="168"/>
        <v>2</v>
      </c>
    </row>
    <row r="786" spans="1:22" x14ac:dyDescent="0.25">
      <c r="A786" t="str">
        <f>IF(games!$A786="","",games!$A786)</f>
        <v>The Legend of Bum-Bo</v>
      </c>
      <c r="B786">
        <f>IF($A786="","",games!$B786)</f>
        <v>2019</v>
      </c>
      <c r="C786" t="str">
        <f>IF($A786="","",games!$C786)</f>
        <v>Strategy</v>
      </c>
      <c r="D786">
        <f>IF($A786="","",COUNTIF(connections!$A$2:$A$1473,$A786)+COUNTIF(connections!$B$2:$B$1473,$A786))</f>
        <v>3</v>
      </c>
      <c r="E786">
        <f t="shared" si="156"/>
        <v>2</v>
      </c>
      <c r="F786">
        <f t="shared" si="157"/>
        <v>4</v>
      </c>
      <c r="G786" t="e">
        <f t="shared" si="158"/>
        <v>#N/A</v>
      </c>
      <c r="H786" t="e">
        <f t="shared" si="159"/>
        <v>#N/A</v>
      </c>
      <c r="I786">
        <f t="shared" si="160"/>
        <v>2019</v>
      </c>
      <c r="J786">
        <f t="shared" si="161"/>
        <v>2.0920000000000001</v>
      </c>
      <c r="K786" t="e">
        <f t="shared" si="162"/>
        <v>#N/A</v>
      </c>
      <c r="L786" t="e">
        <f t="shared" si="163"/>
        <v>#N/A</v>
      </c>
      <c r="M786" t="e">
        <f t="shared" si="164"/>
        <v>#N/A</v>
      </c>
      <c r="N786" t="e">
        <f t="shared" si="165"/>
        <v>#N/A</v>
      </c>
      <c r="O786">
        <f t="shared" si="166"/>
        <v>3.0007860000000002</v>
      </c>
      <c r="P786" t="str">
        <f>IF(OR($A786="",games!$H786=""),"",games!$H786)</f>
        <v>Yes</v>
      </c>
      <c r="Q786">
        <f t="shared" si="167"/>
        <v>3.0007860000000002</v>
      </c>
      <c r="T786">
        <f>IF(connections!$A786="","",IFERROR(INDEX(games!$B$2:$B$950,MATCH(connections!$A786,games!$A$2:$A$950,0)),""))</f>
        <v>2017</v>
      </c>
      <c r="U786">
        <f>IF(connections!$A786="","",IFERROR(INDEX(games!$B$2:$B$950,MATCH(connections!$B786,games!$A$2:$A$950,0)),""))</f>
        <v>2026</v>
      </c>
      <c r="V786">
        <f t="shared" si="168"/>
        <v>9</v>
      </c>
    </row>
    <row r="787" spans="1:22" x14ac:dyDescent="0.25">
      <c r="A787" t="str">
        <f>IF(games!$A787="","",games!$A787)</f>
        <v>The Loopler</v>
      </c>
      <c r="B787">
        <f>IF($A787="","",games!$B787)</f>
        <v>2026</v>
      </c>
      <c r="C787" t="str">
        <f>IF($A787="","",games!$C787)</f>
        <v>Deckbuilder</v>
      </c>
      <c r="D787">
        <f>IF($A787="","",COUNTIF(connections!$A$2:$A$1473,$A787)+COUNTIF(connections!$B$2:$B$1473,$A787))</f>
        <v>1</v>
      </c>
      <c r="E787">
        <f t="shared" si="156"/>
        <v>3</v>
      </c>
      <c r="F787">
        <f t="shared" si="157"/>
        <v>5</v>
      </c>
      <c r="G787" t="e">
        <f t="shared" si="158"/>
        <v>#N/A</v>
      </c>
      <c r="H787" t="e">
        <f t="shared" si="159"/>
        <v>#N/A</v>
      </c>
      <c r="I787" t="e">
        <f t="shared" si="160"/>
        <v>#N/A</v>
      </c>
      <c r="J787" t="e">
        <f t="shared" si="161"/>
        <v>#N/A</v>
      </c>
      <c r="K787">
        <f t="shared" si="162"/>
        <v>2026</v>
      </c>
      <c r="L787">
        <f t="shared" si="163"/>
        <v>3.1150000000000002</v>
      </c>
      <c r="M787" t="e">
        <f t="shared" si="164"/>
        <v>#N/A</v>
      </c>
      <c r="N787" t="e">
        <f t="shared" si="165"/>
        <v>#N/A</v>
      </c>
      <c r="O787">
        <f t="shared" si="166"/>
        <v>1.0007870000000001</v>
      </c>
      <c r="P787" t="str">
        <f>IF(OR($A787="",games!$H787=""),"",games!$H787)</f>
        <v/>
      </c>
      <c r="Q787" t="str">
        <f t="shared" si="167"/>
        <v/>
      </c>
      <c r="T787">
        <f>IF(connections!$A787="","",IFERROR(INDEX(games!$B$2:$B$950,MATCH(connections!$A787,games!$A$2:$A$950,0)),""))</f>
        <v>2022</v>
      </c>
      <c r="U787">
        <f>IF(connections!$A787="","",IFERROR(INDEX(games!$B$2:$B$950,MATCH(connections!$B787,games!$A$2:$A$950,0)),""))</f>
        <v>2024</v>
      </c>
      <c r="V787">
        <f t="shared" si="168"/>
        <v>2</v>
      </c>
    </row>
    <row r="788" spans="1:22" x14ac:dyDescent="0.25">
      <c r="A788" t="str">
        <f>IF(games!$A788="","",games!$A788)</f>
        <v>The Magus Circle</v>
      </c>
      <c r="B788">
        <f>IF($A788="","",games!$B788)</f>
        <v>2026</v>
      </c>
      <c r="C788" t="str">
        <f>IF($A788="","",games!$C788)</f>
        <v>Action</v>
      </c>
      <c r="D788">
        <f>IF($A788="","",COUNTIF(connections!$A$2:$A$1473,$A788)+COUNTIF(connections!$B$2:$B$1473,$A788))</f>
        <v>1</v>
      </c>
      <c r="E788">
        <f t="shared" si="156"/>
        <v>1</v>
      </c>
      <c r="F788">
        <f t="shared" si="157"/>
        <v>6</v>
      </c>
      <c r="G788">
        <f t="shared" si="158"/>
        <v>2026</v>
      </c>
      <c r="H788">
        <f t="shared" si="159"/>
        <v>1.1379999999999999</v>
      </c>
      <c r="I788" t="e">
        <f t="shared" si="160"/>
        <v>#N/A</v>
      </c>
      <c r="J788" t="e">
        <f t="shared" si="161"/>
        <v>#N/A</v>
      </c>
      <c r="K788" t="e">
        <f t="shared" si="162"/>
        <v>#N/A</v>
      </c>
      <c r="L788" t="e">
        <f t="shared" si="163"/>
        <v>#N/A</v>
      </c>
      <c r="M788" t="e">
        <f t="shared" si="164"/>
        <v>#N/A</v>
      </c>
      <c r="N788" t="e">
        <f t="shared" si="165"/>
        <v>#N/A</v>
      </c>
      <c r="O788">
        <f t="shared" si="166"/>
        <v>1.000788</v>
      </c>
      <c r="P788" t="str">
        <f>IF(OR($A788="",games!$H788=""),"",games!$H788)</f>
        <v/>
      </c>
      <c r="Q788" t="str">
        <f t="shared" si="167"/>
        <v/>
      </c>
      <c r="T788">
        <f>IF(connections!$A788="","",IFERROR(INDEX(games!$B$2:$B$950,MATCH(connections!$A788,games!$A$2:$A$950,0)),""))</f>
        <v>2013</v>
      </c>
      <c r="U788">
        <f>IF(connections!$A788="","",IFERROR(INDEX(games!$B$2:$B$950,MATCH(connections!$B788,games!$A$2:$A$950,0)),""))</f>
        <v>2018</v>
      </c>
      <c r="V788">
        <f t="shared" si="168"/>
        <v>5</v>
      </c>
    </row>
    <row r="789" spans="1:22" x14ac:dyDescent="0.25">
      <c r="A789" t="str">
        <f>IF(games!$A789="","",games!$A789)</f>
        <v>The Nightmare of Druaga</v>
      </c>
      <c r="B789">
        <f>IF($A789="","",games!$B789)</f>
        <v>2004</v>
      </c>
      <c r="C789" t="str">
        <f>IF($A789="","",games!$C789)</f>
        <v>Traditional</v>
      </c>
      <c r="D789">
        <f>IF($A789="","",COUNTIF(connections!$A$2:$A$1473,$A789)+COUNTIF(connections!$B$2:$B$1473,$A789))</f>
        <v>1</v>
      </c>
      <c r="E789">
        <f t="shared" si="156"/>
        <v>4</v>
      </c>
      <c r="F789">
        <f t="shared" si="157"/>
        <v>7</v>
      </c>
      <c r="G789" t="e">
        <f t="shared" si="158"/>
        <v>#N/A</v>
      </c>
      <c r="H789" t="e">
        <f t="shared" si="159"/>
        <v>#N/A</v>
      </c>
      <c r="I789" t="e">
        <f t="shared" si="160"/>
        <v>#N/A</v>
      </c>
      <c r="J789" t="e">
        <f t="shared" si="161"/>
        <v>#N/A</v>
      </c>
      <c r="K789" t="e">
        <f t="shared" si="162"/>
        <v>#N/A</v>
      </c>
      <c r="L789" t="e">
        <f t="shared" si="163"/>
        <v>#N/A</v>
      </c>
      <c r="M789">
        <f t="shared" si="164"/>
        <v>2004</v>
      </c>
      <c r="N789">
        <f t="shared" si="165"/>
        <v>4.1609999999999996</v>
      </c>
      <c r="O789">
        <f t="shared" si="166"/>
        <v>1.0007889999999999</v>
      </c>
      <c r="P789" t="str">
        <f>IF(OR($A789="",games!$H789=""),"",games!$H789)</f>
        <v>Yes</v>
      </c>
      <c r="Q789">
        <f t="shared" si="167"/>
        <v>1.0007889999999999</v>
      </c>
      <c r="T789">
        <f>IF(connections!$A789="","",IFERROR(INDEX(games!$B$2:$B$950,MATCH(connections!$A789,games!$A$2:$A$950,0)),""))</f>
        <v>2011</v>
      </c>
      <c r="U789">
        <f>IF(connections!$A789="","",IFERROR(INDEX(games!$B$2:$B$950,MATCH(connections!$B789,games!$A$2:$A$950,0)),""))</f>
        <v>2018</v>
      </c>
      <c r="V789">
        <f t="shared" si="168"/>
        <v>7</v>
      </c>
    </row>
    <row r="790" spans="1:22" x14ac:dyDescent="0.25">
      <c r="A790" t="str">
        <f>IF(games!$A790="","",games!$A790)</f>
        <v>The Ouroboros King</v>
      </c>
      <c r="B790">
        <f>IF($A790="","",games!$B790)</f>
        <v>2023</v>
      </c>
      <c r="C790" t="str">
        <f>IF($A790="","",games!$C790)</f>
        <v>Strategy</v>
      </c>
      <c r="D790">
        <f>IF($A790="","",COUNTIF(connections!$A$2:$A$1473,$A790)+COUNTIF(connections!$B$2:$B$1473,$A790))</f>
        <v>4</v>
      </c>
      <c r="E790">
        <f t="shared" si="156"/>
        <v>2</v>
      </c>
      <c r="F790">
        <f t="shared" si="157"/>
        <v>8</v>
      </c>
      <c r="G790" t="e">
        <f t="shared" si="158"/>
        <v>#N/A</v>
      </c>
      <c r="H790" t="e">
        <f t="shared" si="159"/>
        <v>#N/A</v>
      </c>
      <c r="I790">
        <f t="shared" si="160"/>
        <v>2023</v>
      </c>
      <c r="J790">
        <f t="shared" si="161"/>
        <v>2.1840000000000002</v>
      </c>
      <c r="K790" t="e">
        <f t="shared" si="162"/>
        <v>#N/A</v>
      </c>
      <c r="L790" t="e">
        <f t="shared" si="163"/>
        <v>#N/A</v>
      </c>
      <c r="M790" t="e">
        <f t="shared" si="164"/>
        <v>#N/A</v>
      </c>
      <c r="N790" t="e">
        <f t="shared" si="165"/>
        <v>#N/A</v>
      </c>
      <c r="O790">
        <f t="shared" si="166"/>
        <v>4.0007900000000003</v>
      </c>
      <c r="P790" t="str">
        <f>IF(OR($A790="",games!$H790=""),"",games!$H790)</f>
        <v>Yes</v>
      </c>
      <c r="Q790">
        <f t="shared" si="167"/>
        <v>4.0007900000000003</v>
      </c>
      <c r="T790">
        <f>IF(connections!$A790="","",IFERROR(INDEX(games!$B$2:$B$950,MATCH(connections!$A790,games!$A$2:$A$950,0)),""))</f>
        <v>2018</v>
      </c>
      <c r="U790">
        <f>IF(connections!$A790="","",IFERROR(INDEX(games!$B$2:$B$950,MATCH(connections!$B790,games!$A$2:$A$950,0)),""))</f>
        <v>2025</v>
      </c>
      <c r="V790">
        <f t="shared" si="168"/>
        <v>7</v>
      </c>
    </row>
    <row r="791" spans="1:22" x14ac:dyDescent="0.25">
      <c r="A791" t="str">
        <f>IF(games!$A791="","",games!$A791)</f>
        <v>The Rogue Prince of Persia</v>
      </c>
      <c r="B791">
        <f>IF($A791="","",games!$B791)</f>
        <v>2024</v>
      </c>
      <c r="C791" t="str">
        <f>IF($A791="","",games!$C791)</f>
        <v>Action</v>
      </c>
      <c r="D791">
        <f>IF($A791="","",COUNTIF(connections!$A$2:$A$1473,$A791)+COUNTIF(connections!$B$2:$B$1473,$A791))</f>
        <v>1</v>
      </c>
      <c r="E791">
        <f t="shared" si="156"/>
        <v>1</v>
      </c>
      <c r="F791">
        <f t="shared" si="157"/>
        <v>9</v>
      </c>
      <c r="G791">
        <f t="shared" si="158"/>
        <v>2024</v>
      </c>
      <c r="H791">
        <f t="shared" si="159"/>
        <v>1.2070000000000001</v>
      </c>
      <c r="I791" t="e">
        <f t="shared" si="160"/>
        <v>#N/A</v>
      </c>
      <c r="J791" t="e">
        <f t="shared" si="161"/>
        <v>#N/A</v>
      </c>
      <c r="K791" t="e">
        <f t="shared" si="162"/>
        <v>#N/A</v>
      </c>
      <c r="L791" t="e">
        <f t="shared" si="163"/>
        <v>#N/A</v>
      </c>
      <c r="M791" t="e">
        <f t="shared" si="164"/>
        <v>#N/A</v>
      </c>
      <c r="N791" t="e">
        <f t="shared" si="165"/>
        <v>#N/A</v>
      </c>
      <c r="O791">
        <f t="shared" si="166"/>
        <v>1.000791</v>
      </c>
      <c r="P791" t="str">
        <f>IF(OR($A791="",games!$H791=""),"",games!$H791)</f>
        <v>Yes</v>
      </c>
      <c r="Q791">
        <f t="shared" si="167"/>
        <v>1.000791</v>
      </c>
      <c r="T791">
        <f>IF(connections!$A791="","",IFERROR(INDEX(games!$B$2:$B$950,MATCH(connections!$A791,games!$A$2:$A$950,0)),""))</f>
        <v>2019</v>
      </c>
      <c r="U791" t="str">
        <f>IF(connections!$A791="","",IFERROR(INDEX(games!$B$2:$B$950,MATCH(connections!$B791,games!$A$2:$A$950,0)),""))</f>
        <v/>
      </c>
      <c r="V791" t="str">
        <f t="shared" si="168"/>
        <v/>
      </c>
    </row>
    <row r="792" spans="1:22" x14ac:dyDescent="0.25">
      <c r="A792" t="str">
        <f>IF(games!$A792="","",games!$A792)</f>
        <v>The Royal Writ</v>
      </c>
      <c r="B792">
        <f>IF($A792="","",games!$B792)</f>
        <v>2025</v>
      </c>
      <c r="C792" t="str">
        <f>IF($A792="","",games!$C792)</f>
        <v>Deckbuilder</v>
      </c>
      <c r="D792">
        <f>IF($A792="","",COUNTIF(connections!$A$2:$A$1473,$A792)+COUNTIF(connections!$B$2:$B$1473,$A792))</f>
        <v>5</v>
      </c>
      <c r="E792">
        <f t="shared" si="156"/>
        <v>3</v>
      </c>
      <c r="F792">
        <f t="shared" si="157"/>
        <v>10</v>
      </c>
      <c r="G792" t="e">
        <f t="shared" si="158"/>
        <v>#N/A</v>
      </c>
      <c r="H792" t="e">
        <f t="shared" si="159"/>
        <v>#N/A</v>
      </c>
      <c r="I792" t="e">
        <f t="shared" si="160"/>
        <v>#N/A</v>
      </c>
      <c r="J792" t="e">
        <f t="shared" si="161"/>
        <v>#N/A</v>
      </c>
      <c r="K792">
        <f t="shared" si="162"/>
        <v>2025</v>
      </c>
      <c r="L792">
        <f t="shared" si="163"/>
        <v>3.23</v>
      </c>
      <c r="M792" t="e">
        <f t="shared" si="164"/>
        <v>#N/A</v>
      </c>
      <c r="N792" t="e">
        <f t="shared" si="165"/>
        <v>#N/A</v>
      </c>
      <c r="O792">
        <f t="shared" si="166"/>
        <v>5.0007919999999997</v>
      </c>
      <c r="P792" t="str">
        <f>IF(OR($A792="",games!$H792=""),"",games!$H792)</f>
        <v>Yes</v>
      </c>
      <c r="Q792">
        <f t="shared" si="167"/>
        <v>5.0007919999999997</v>
      </c>
      <c r="T792">
        <f>IF(connections!$A792="","",IFERROR(INDEX(games!$B$2:$B$950,MATCH(connections!$A792,games!$A$2:$A$950,0)),""))</f>
        <v>1994</v>
      </c>
      <c r="U792">
        <f>IF(connections!$A792="","",IFERROR(INDEX(games!$B$2:$B$950,MATCH(connections!$B792,games!$A$2:$A$950,0)),""))</f>
        <v>2023</v>
      </c>
      <c r="V792">
        <f t="shared" si="168"/>
        <v>29</v>
      </c>
    </row>
    <row r="793" spans="1:22" x14ac:dyDescent="0.25">
      <c r="A793" t="str">
        <f>IF(games!$A793="","",games!$A793)</f>
        <v>The Spell Brigade</v>
      </c>
      <c r="B793">
        <f>IF($A793="","",games!$B793)</f>
        <v>2024</v>
      </c>
      <c r="C793" t="str">
        <f>IF($A793="","",games!$C793)</f>
        <v>Action</v>
      </c>
      <c r="D793">
        <f>IF($A793="","",COUNTIF(connections!$A$2:$A$1473,$A793)+COUNTIF(connections!$B$2:$B$1473,$A793))</f>
        <v>3</v>
      </c>
      <c r="E793">
        <f t="shared" si="156"/>
        <v>1</v>
      </c>
      <c r="F793">
        <f t="shared" si="157"/>
        <v>11</v>
      </c>
      <c r="G793">
        <f t="shared" si="158"/>
        <v>2024</v>
      </c>
      <c r="H793">
        <f t="shared" si="159"/>
        <v>1.2530000000000001</v>
      </c>
      <c r="I793" t="e">
        <f t="shared" si="160"/>
        <v>#N/A</v>
      </c>
      <c r="J793" t="e">
        <f t="shared" si="161"/>
        <v>#N/A</v>
      </c>
      <c r="K793" t="e">
        <f t="shared" si="162"/>
        <v>#N/A</v>
      </c>
      <c r="L793" t="e">
        <f t="shared" si="163"/>
        <v>#N/A</v>
      </c>
      <c r="M793" t="e">
        <f t="shared" si="164"/>
        <v>#N/A</v>
      </c>
      <c r="N793" t="e">
        <f t="shared" si="165"/>
        <v>#N/A</v>
      </c>
      <c r="O793">
        <f t="shared" si="166"/>
        <v>3.0007929999999998</v>
      </c>
      <c r="P793" t="str">
        <f>IF(OR($A793="",games!$H793=""),"",games!$H793)</f>
        <v/>
      </c>
      <c r="Q793" t="str">
        <f t="shared" si="167"/>
        <v/>
      </c>
      <c r="T793">
        <f>IF(connections!$A793="","",IFERROR(INDEX(games!$B$2:$B$950,MATCH(connections!$A793,games!$A$2:$A$950,0)),""))</f>
        <v>2009</v>
      </c>
      <c r="U793">
        <f>IF(connections!$A793="","",IFERROR(INDEX(games!$B$2:$B$950,MATCH(connections!$B793,games!$A$2:$A$950,0)),""))</f>
        <v>2023</v>
      </c>
      <c r="V793">
        <f t="shared" si="168"/>
        <v>14</v>
      </c>
    </row>
    <row r="794" spans="1:22" x14ac:dyDescent="0.25">
      <c r="A794" t="str">
        <f>IF(games!$A794="","",games!$A794)</f>
        <v>The Spirit Lift</v>
      </c>
      <c r="B794">
        <f>IF($A794="","",games!$B794)</f>
        <v>2026</v>
      </c>
      <c r="C794" t="str">
        <f>IF($A794="","",games!$C794)</f>
        <v>Deckbuilder</v>
      </c>
      <c r="D794">
        <f>IF($A794="","",COUNTIF(connections!$A$2:$A$1473,$A794)+COUNTIF(connections!$B$2:$B$1473,$A794))</f>
        <v>2</v>
      </c>
      <c r="E794">
        <f t="shared" si="156"/>
        <v>3</v>
      </c>
      <c r="F794">
        <f t="shared" si="157"/>
        <v>12</v>
      </c>
      <c r="G794" t="e">
        <f t="shared" si="158"/>
        <v>#N/A</v>
      </c>
      <c r="H794" t="e">
        <f t="shared" si="159"/>
        <v>#N/A</v>
      </c>
      <c r="I794" t="e">
        <f t="shared" si="160"/>
        <v>#N/A</v>
      </c>
      <c r="J794" t="e">
        <f t="shared" si="161"/>
        <v>#N/A</v>
      </c>
      <c r="K794">
        <f t="shared" si="162"/>
        <v>2026</v>
      </c>
      <c r="L794">
        <f t="shared" si="163"/>
        <v>3.2759999999999998</v>
      </c>
      <c r="M794" t="e">
        <f t="shared" si="164"/>
        <v>#N/A</v>
      </c>
      <c r="N794" t="e">
        <f t="shared" si="165"/>
        <v>#N/A</v>
      </c>
      <c r="O794">
        <f t="shared" si="166"/>
        <v>2.000794</v>
      </c>
      <c r="P794" t="str">
        <f>IF(OR($A794="",games!$H794=""),"",games!$H794)</f>
        <v>Yes</v>
      </c>
      <c r="Q794">
        <f t="shared" si="167"/>
        <v>2.000794</v>
      </c>
      <c r="T794">
        <f>IF(connections!$A794="","",IFERROR(INDEX(games!$B$2:$B$950,MATCH(connections!$A794,games!$A$2:$A$950,0)),""))</f>
        <v>1987</v>
      </c>
      <c r="U794">
        <f>IF(connections!$A794="","",IFERROR(INDEX(games!$B$2:$B$950,MATCH(connections!$B794,games!$A$2:$A$950,0)),""))</f>
        <v>2023</v>
      </c>
      <c r="V794">
        <f t="shared" si="168"/>
        <v>36</v>
      </c>
    </row>
    <row r="795" spans="1:22" x14ac:dyDescent="0.25">
      <c r="A795" t="str">
        <f>IF(games!$A795="","",games!$A795)</f>
        <v>The Unliving</v>
      </c>
      <c r="B795">
        <f>IF($A795="","",games!$B795)</f>
        <v>2022</v>
      </c>
      <c r="C795" t="str">
        <f>IF($A795="","",games!$C795)</f>
        <v>Action</v>
      </c>
      <c r="D795">
        <f>IF($A795="","",COUNTIF(connections!$A$2:$A$1473,$A795)+COUNTIF(connections!$B$2:$B$1473,$A795))</f>
        <v>3</v>
      </c>
      <c r="E795">
        <f t="shared" si="156"/>
        <v>1</v>
      </c>
      <c r="F795">
        <f t="shared" si="157"/>
        <v>13</v>
      </c>
      <c r="G795">
        <f t="shared" si="158"/>
        <v>2022</v>
      </c>
      <c r="H795">
        <f t="shared" si="159"/>
        <v>1.2989999999999999</v>
      </c>
      <c r="I795" t="e">
        <f t="shared" si="160"/>
        <v>#N/A</v>
      </c>
      <c r="J795" t="e">
        <f t="shared" si="161"/>
        <v>#N/A</v>
      </c>
      <c r="K795" t="e">
        <f t="shared" si="162"/>
        <v>#N/A</v>
      </c>
      <c r="L795" t="e">
        <f t="shared" si="163"/>
        <v>#N/A</v>
      </c>
      <c r="M795" t="e">
        <f t="shared" si="164"/>
        <v>#N/A</v>
      </c>
      <c r="N795" t="e">
        <f t="shared" si="165"/>
        <v>#N/A</v>
      </c>
      <c r="O795">
        <f t="shared" si="166"/>
        <v>3.0007950000000001</v>
      </c>
      <c r="P795" t="str">
        <f>IF(OR($A795="",games!$H795=""),"",games!$H795)</f>
        <v>Yes</v>
      </c>
      <c r="Q795">
        <f t="shared" si="167"/>
        <v>3.0007950000000001</v>
      </c>
      <c r="T795">
        <f>IF(connections!$A795="","",IFERROR(INDEX(games!$B$2:$B$950,MATCH(connections!$A795,games!$A$2:$A$950,0)),""))</f>
        <v>2017</v>
      </c>
      <c r="U795">
        <f>IF(connections!$A795="","",IFERROR(INDEX(games!$B$2:$B$950,MATCH(connections!$B795,games!$A$2:$A$950,0)),""))</f>
        <v>2023</v>
      </c>
      <c r="V795">
        <f t="shared" si="168"/>
        <v>6</v>
      </c>
    </row>
    <row r="796" spans="1:22" x14ac:dyDescent="0.25">
      <c r="A796" t="str">
        <f>IF(games!$A796="","",games!$A796)</f>
        <v>The Void Rains Upon Her Heart</v>
      </c>
      <c r="B796">
        <f>IF($A796="","",games!$B796)</f>
        <v>2018</v>
      </c>
      <c r="C796" t="str">
        <f>IF($A796="","",games!$C796)</f>
        <v>Action</v>
      </c>
      <c r="D796">
        <f>IF($A796="","",COUNTIF(connections!$A$2:$A$1473,$A796)+COUNTIF(connections!$B$2:$B$1473,$A796))</f>
        <v>1</v>
      </c>
      <c r="E796">
        <f t="shared" si="156"/>
        <v>1</v>
      </c>
      <c r="F796">
        <f t="shared" si="157"/>
        <v>14</v>
      </c>
      <c r="G796">
        <f t="shared" si="158"/>
        <v>2018</v>
      </c>
      <c r="H796">
        <f t="shared" si="159"/>
        <v>1.3220000000000001</v>
      </c>
      <c r="I796" t="e">
        <f t="shared" si="160"/>
        <v>#N/A</v>
      </c>
      <c r="J796" t="e">
        <f t="shared" si="161"/>
        <v>#N/A</v>
      </c>
      <c r="K796" t="e">
        <f t="shared" si="162"/>
        <v>#N/A</v>
      </c>
      <c r="L796" t="e">
        <f t="shared" si="163"/>
        <v>#N/A</v>
      </c>
      <c r="M796" t="e">
        <f t="shared" si="164"/>
        <v>#N/A</v>
      </c>
      <c r="N796" t="e">
        <f t="shared" si="165"/>
        <v>#N/A</v>
      </c>
      <c r="O796">
        <f t="shared" si="166"/>
        <v>1.000796</v>
      </c>
      <c r="P796" t="str">
        <f>IF(OR($A796="",games!$H796=""),"",games!$H796)</f>
        <v/>
      </c>
      <c r="Q796" t="str">
        <f t="shared" si="167"/>
        <v/>
      </c>
      <c r="T796">
        <f>IF(connections!$A796="","",IFERROR(INDEX(games!$B$2:$B$950,MATCH(connections!$A796,games!$A$2:$A$950,0)),""))</f>
        <v>2023</v>
      </c>
      <c r="U796">
        <f>IF(connections!$A796="","",IFERROR(INDEX(games!$B$2:$B$950,MATCH(connections!$B796,games!$A$2:$A$950,0)),""))</f>
        <v>2026</v>
      </c>
      <c r="V796">
        <f t="shared" si="168"/>
        <v>3</v>
      </c>
    </row>
    <row r="797" spans="1:22" x14ac:dyDescent="0.25">
      <c r="A797" t="str">
        <f>IF(games!$A797="","",games!$A797)</f>
        <v>The World is Your Weapon</v>
      </c>
      <c r="B797">
        <f>IF($A797="","",games!$B797)</f>
        <v>2014</v>
      </c>
      <c r="C797" t="str">
        <f>IF($A797="","",games!$C797)</f>
        <v>Traditional</v>
      </c>
      <c r="D797">
        <f>IF($A797="","",COUNTIF(connections!$A$2:$A$1473,$A797)+COUNTIF(connections!$B$2:$B$1473,$A797))</f>
        <v>1</v>
      </c>
      <c r="E797">
        <f t="shared" si="156"/>
        <v>4</v>
      </c>
      <c r="F797">
        <f t="shared" si="157"/>
        <v>15</v>
      </c>
      <c r="G797" t="e">
        <f t="shared" si="158"/>
        <v>#N/A</v>
      </c>
      <c r="H797" t="e">
        <f t="shared" si="159"/>
        <v>#N/A</v>
      </c>
      <c r="I797" t="e">
        <f t="shared" si="160"/>
        <v>#N/A</v>
      </c>
      <c r="J797" t="e">
        <f t="shared" si="161"/>
        <v>#N/A</v>
      </c>
      <c r="K797" t="e">
        <f t="shared" si="162"/>
        <v>#N/A</v>
      </c>
      <c r="L797" t="e">
        <f t="shared" si="163"/>
        <v>#N/A</v>
      </c>
      <c r="M797">
        <f t="shared" si="164"/>
        <v>2014</v>
      </c>
      <c r="N797">
        <f t="shared" si="165"/>
        <v>4.3449999999999998</v>
      </c>
      <c r="O797">
        <f t="shared" si="166"/>
        <v>1.0007969999999999</v>
      </c>
      <c r="P797" t="str">
        <f>IF(OR($A797="",games!$H797=""),"",games!$H797)</f>
        <v/>
      </c>
      <c r="Q797" t="str">
        <f t="shared" si="167"/>
        <v/>
      </c>
      <c r="T797">
        <f>IF(connections!$A797="","",IFERROR(INDEX(games!$B$2:$B$950,MATCH(connections!$A797,games!$A$2:$A$950,0)),""))</f>
        <v>2020</v>
      </c>
      <c r="U797">
        <f>IF(connections!$A797="","",IFERROR(INDEX(games!$B$2:$B$950,MATCH(connections!$B797,games!$A$2:$A$950,0)),""))</f>
        <v>2026</v>
      </c>
      <c r="V797">
        <f t="shared" si="168"/>
        <v>6</v>
      </c>
    </row>
    <row r="798" spans="1:22" x14ac:dyDescent="0.25">
      <c r="A798" t="str">
        <f>IF(games!$A798="","",games!$A798)</f>
        <v>There Are No Orcs</v>
      </c>
      <c r="B798">
        <f>IF($A798="","",games!$B798)</f>
        <v>2025</v>
      </c>
      <c r="C798" t="str">
        <f>IF($A798="","",games!$C798)</f>
        <v>Strategy</v>
      </c>
      <c r="D798">
        <f>IF($A798="","",COUNTIF(connections!$A$2:$A$1473,$A798)+COUNTIF(connections!$B$2:$B$1473,$A798))</f>
        <v>0</v>
      </c>
      <c r="E798">
        <f t="shared" si="156"/>
        <v>2</v>
      </c>
      <c r="F798">
        <f t="shared" si="157"/>
        <v>16</v>
      </c>
      <c r="G798" t="e">
        <f t="shared" si="158"/>
        <v>#N/A</v>
      </c>
      <c r="H798" t="e">
        <f t="shared" si="159"/>
        <v>#N/A</v>
      </c>
      <c r="I798">
        <f t="shared" si="160"/>
        <v>2025</v>
      </c>
      <c r="J798">
        <f t="shared" si="161"/>
        <v>2.3679999999999999</v>
      </c>
      <c r="K798" t="e">
        <f t="shared" si="162"/>
        <v>#N/A</v>
      </c>
      <c r="L798" t="e">
        <f t="shared" si="163"/>
        <v>#N/A</v>
      </c>
      <c r="M798" t="e">
        <f t="shared" si="164"/>
        <v>#N/A</v>
      </c>
      <c r="N798" t="e">
        <f t="shared" si="165"/>
        <v>#N/A</v>
      </c>
      <c r="O798">
        <f t="shared" si="166"/>
        <v>7.9799999999999999E-4</v>
      </c>
      <c r="P798" t="str">
        <f>IF(OR($A798="",games!$H798=""),"",games!$H798)</f>
        <v/>
      </c>
      <c r="Q798" t="str">
        <f t="shared" si="167"/>
        <v/>
      </c>
      <c r="T798">
        <f>IF(connections!$A798="","",IFERROR(INDEX(games!$B$2:$B$950,MATCH(connections!$A798,games!$A$2:$A$950,0)),""))</f>
        <v>1980</v>
      </c>
      <c r="U798">
        <f>IF(connections!$A798="","",IFERROR(INDEX(games!$B$2:$B$950,MATCH(connections!$B798,games!$A$2:$A$950,0)),""))</f>
        <v>1983</v>
      </c>
      <c r="V798">
        <f t="shared" si="168"/>
        <v>3</v>
      </c>
    </row>
    <row r="799" spans="1:22" x14ac:dyDescent="0.25">
      <c r="A799" t="str">
        <f>IF(games!$A799="","",games!$A799)</f>
        <v>Tic Tactic</v>
      </c>
      <c r="B799">
        <f>IF($A799="","",games!$B799)</f>
        <v>2025</v>
      </c>
      <c r="C799" t="str">
        <f>IF($A799="","",games!$C799)</f>
        <v>Deckbuilder</v>
      </c>
      <c r="D799">
        <f>IF($A799="","",COUNTIF(connections!$A$2:$A$1473,$A799)+COUNTIF(connections!$B$2:$B$1473,$A799))</f>
        <v>3</v>
      </c>
      <c r="E799">
        <f t="shared" si="156"/>
        <v>3</v>
      </c>
      <c r="F799">
        <f t="shared" si="157"/>
        <v>17</v>
      </c>
      <c r="G799" t="e">
        <f t="shared" si="158"/>
        <v>#N/A</v>
      </c>
      <c r="H799" t="e">
        <f t="shared" si="159"/>
        <v>#N/A</v>
      </c>
      <c r="I799" t="e">
        <f t="shared" si="160"/>
        <v>#N/A</v>
      </c>
      <c r="J799" t="e">
        <f t="shared" si="161"/>
        <v>#N/A</v>
      </c>
      <c r="K799">
        <f t="shared" si="162"/>
        <v>2025</v>
      </c>
      <c r="L799">
        <f t="shared" si="163"/>
        <v>3.391</v>
      </c>
      <c r="M799" t="e">
        <f t="shared" si="164"/>
        <v>#N/A</v>
      </c>
      <c r="N799" t="e">
        <f t="shared" si="165"/>
        <v>#N/A</v>
      </c>
      <c r="O799">
        <f t="shared" si="166"/>
        <v>3.0007990000000002</v>
      </c>
      <c r="P799" t="str">
        <f>IF(OR($A799="",games!$H799=""),"",games!$H799)</f>
        <v/>
      </c>
      <c r="Q799" t="str">
        <f t="shared" si="167"/>
        <v/>
      </c>
      <c r="T799">
        <f>IF(connections!$A799="","",IFERROR(INDEX(games!$B$2:$B$950,MATCH(connections!$A799,games!$A$2:$A$950,0)),""))</f>
        <v>2017</v>
      </c>
      <c r="U799">
        <f>IF(connections!$A799="","",IFERROR(INDEX(games!$B$2:$B$950,MATCH(connections!$B799,games!$A$2:$A$950,0)),""))</f>
        <v>2024</v>
      </c>
      <c r="V799">
        <f t="shared" si="168"/>
        <v>7</v>
      </c>
    </row>
    <row r="800" spans="1:22" x14ac:dyDescent="0.25">
      <c r="A800" t="str">
        <f>IF(games!$A800="","",games!$A800)</f>
        <v>Time Survivors</v>
      </c>
      <c r="B800">
        <f>IF($A800="","",games!$B800)</f>
        <v>2023</v>
      </c>
      <c r="C800" t="str">
        <f>IF($A800="","",games!$C800)</f>
        <v>Action</v>
      </c>
      <c r="D800">
        <f>IF($A800="","",COUNTIF(connections!$A$2:$A$1473,$A800)+COUNTIF(connections!$B$2:$B$1473,$A800))</f>
        <v>1</v>
      </c>
      <c r="E800">
        <f t="shared" si="156"/>
        <v>1</v>
      </c>
      <c r="F800">
        <f t="shared" si="157"/>
        <v>18</v>
      </c>
      <c r="G800">
        <f t="shared" si="158"/>
        <v>2023</v>
      </c>
      <c r="H800">
        <f t="shared" si="159"/>
        <v>1.4139999999999999</v>
      </c>
      <c r="I800" t="e">
        <f t="shared" si="160"/>
        <v>#N/A</v>
      </c>
      <c r="J800" t="e">
        <f t="shared" si="161"/>
        <v>#N/A</v>
      </c>
      <c r="K800" t="e">
        <f t="shared" si="162"/>
        <v>#N/A</v>
      </c>
      <c r="L800" t="e">
        <f t="shared" si="163"/>
        <v>#N/A</v>
      </c>
      <c r="M800" t="e">
        <f t="shared" si="164"/>
        <v>#N/A</v>
      </c>
      <c r="N800" t="e">
        <f t="shared" si="165"/>
        <v>#N/A</v>
      </c>
      <c r="O800">
        <f t="shared" si="166"/>
        <v>1.0007999999999999</v>
      </c>
      <c r="P800" t="str">
        <f>IF(OR($A800="",games!$H800=""),"",games!$H800)</f>
        <v/>
      </c>
      <c r="Q800" t="str">
        <f t="shared" si="167"/>
        <v/>
      </c>
      <c r="T800">
        <f>IF(connections!$A800="","",IFERROR(INDEX(games!$B$2:$B$950,MATCH(connections!$A800,games!$A$2:$A$950,0)),""))</f>
        <v>2017</v>
      </c>
      <c r="U800">
        <f>IF(connections!$A800="","",IFERROR(INDEX(games!$B$2:$B$950,MATCH(connections!$B800,games!$A$2:$A$950,0)),""))</f>
        <v>2023</v>
      </c>
      <c r="V800">
        <f t="shared" si="168"/>
        <v>6</v>
      </c>
    </row>
    <row r="801" spans="1:22" x14ac:dyDescent="0.25">
      <c r="A801" t="str">
        <f>IF(games!$A801="","",games!$A801)</f>
        <v>Time Wasters</v>
      </c>
      <c r="B801">
        <f>IF($A801="","",games!$B801)</f>
        <v>2023</v>
      </c>
      <c r="C801" t="str">
        <f>IF($A801="","",games!$C801)</f>
        <v>Action</v>
      </c>
      <c r="D801">
        <f>IF($A801="","",COUNTIF(connections!$A$2:$A$1473,$A801)+COUNTIF(connections!$B$2:$B$1473,$A801))</f>
        <v>1</v>
      </c>
      <c r="E801">
        <f t="shared" si="156"/>
        <v>1</v>
      </c>
      <c r="F801">
        <f t="shared" si="157"/>
        <v>19</v>
      </c>
      <c r="G801">
        <f t="shared" si="158"/>
        <v>2023</v>
      </c>
      <c r="H801">
        <f t="shared" si="159"/>
        <v>1.4370000000000001</v>
      </c>
      <c r="I801" t="e">
        <f t="shared" si="160"/>
        <v>#N/A</v>
      </c>
      <c r="J801" t="e">
        <f t="shared" si="161"/>
        <v>#N/A</v>
      </c>
      <c r="K801" t="e">
        <f t="shared" si="162"/>
        <v>#N/A</v>
      </c>
      <c r="L801" t="e">
        <f t="shared" si="163"/>
        <v>#N/A</v>
      </c>
      <c r="M801" t="e">
        <f t="shared" si="164"/>
        <v>#N/A</v>
      </c>
      <c r="N801" t="e">
        <f t="shared" si="165"/>
        <v>#N/A</v>
      </c>
      <c r="O801">
        <f t="shared" si="166"/>
        <v>1.0008010000000001</v>
      </c>
      <c r="P801" t="str">
        <f>IF(OR($A801="",games!$H801=""),"",games!$H801)</f>
        <v>Yes</v>
      </c>
      <c r="Q801">
        <f t="shared" si="167"/>
        <v>1.0008010000000001</v>
      </c>
      <c r="T801">
        <f>IF(connections!$A801="","",IFERROR(INDEX(games!$B$2:$B$950,MATCH(connections!$A801,games!$A$2:$A$950,0)),""))</f>
        <v>2021</v>
      </c>
      <c r="U801">
        <f>IF(connections!$A801="","",IFERROR(INDEX(games!$B$2:$B$950,MATCH(connections!$B801,games!$A$2:$A$950,0)),""))</f>
        <v>2023</v>
      </c>
      <c r="V801">
        <f t="shared" si="168"/>
        <v>2</v>
      </c>
    </row>
    <row r="802" spans="1:22" x14ac:dyDescent="0.25">
      <c r="A802" t="str">
        <f>IF(games!$A802="","",games!$A802)</f>
        <v>Tinker Shot</v>
      </c>
      <c r="B802">
        <f>IF($A802="","",games!$B802)</f>
        <v>2026</v>
      </c>
      <c r="C802" t="str">
        <f>IF($A802="","",games!$C802)</f>
        <v>Deckbuilder</v>
      </c>
      <c r="D802">
        <f>IF($A802="","",COUNTIF(connections!$A$2:$A$1473,$A802)+COUNTIF(connections!$B$2:$B$1473,$A802))</f>
        <v>2</v>
      </c>
      <c r="E802">
        <f t="shared" si="156"/>
        <v>3</v>
      </c>
      <c r="F802">
        <f t="shared" si="157"/>
        <v>20</v>
      </c>
      <c r="G802" t="e">
        <f t="shared" si="158"/>
        <v>#N/A</v>
      </c>
      <c r="H802" t="e">
        <f t="shared" si="159"/>
        <v>#N/A</v>
      </c>
      <c r="I802" t="e">
        <f t="shared" si="160"/>
        <v>#N/A</v>
      </c>
      <c r="J802" t="e">
        <f t="shared" si="161"/>
        <v>#N/A</v>
      </c>
      <c r="K802">
        <f t="shared" si="162"/>
        <v>2026</v>
      </c>
      <c r="L802">
        <f t="shared" si="163"/>
        <v>3.46</v>
      </c>
      <c r="M802" t="e">
        <f t="shared" si="164"/>
        <v>#N/A</v>
      </c>
      <c r="N802" t="e">
        <f t="shared" si="165"/>
        <v>#N/A</v>
      </c>
      <c r="O802">
        <f t="shared" si="166"/>
        <v>2.0008020000000002</v>
      </c>
      <c r="P802" t="str">
        <f>IF(OR($A802="",games!$H802=""),"",games!$H802)</f>
        <v/>
      </c>
      <c r="Q802" t="str">
        <f t="shared" si="167"/>
        <v/>
      </c>
      <c r="T802">
        <f>IF(connections!$A802="","",IFERROR(INDEX(games!$B$2:$B$950,MATCH(connections!$A802,games!$A$2:$A$950,0)),""))</f>
        <v>2014</v>
      </c>
      <c r="U802">
        <f>IF(connections!$A802="","",IFERROR(INDEX(games!$B$2:$B$950,MATCH(connections!$B802,games!$A$2:$A$950,0)),""))</f>
        <v>2018</v>
      </c>
      <c r="V802">
        <f t="shared" si="168"/>
        <v>4</v>
      </c>
    </row>
    <row r="803" spans="1:22" x14ac:dyDescent="0.25">
      <c r="A803" t="str">
        <f>IF(games!$A803="","",games!$A803)</f>
        <v>Tiny Auto Knights</v>
      </c>
      <c r="B803">
        <f>IF($A803="","",games!$B803)</f>
        <v>2025</v>
      </c>
      <c r="C803" t="str">
        <f>IF($A803="","",games!$C803)</f>
        <v>Deckbuilder</v>
      </c>
      <c r="D803">
        <f>IF($A803="","",COUNTIF(connections!$A$2:$A$1473,$A803)+COUNTIF(connections!$B$2:$B$1473,$A803))</f>
        <v>5</v>
      </c>
      <c r="E803">
        <f t="shared" si="156"/>
        <v>3</v>
      </c>
      <c r="F803">
        <f t="shared" si="157"/>
        <v>21</v>
      </c>
      <c r="G803" t="e">
        <f t="shared" si="158"/>
        <v>#N/A</v>
      </c>
      <c r="H803" t="e">
        <f t="shared" si="159"/>
        <v>#N/A</v>
      </c>
      <c r="I803" t="e">
        <f t="shared" si="160"/>
        <v>#N/A</v>
      </c>
      <c r="J803" t="e">
        <f t="shared" si="161"/>
        <v>#N/A</v>
      </c>
      <c r="K803">
        <f t="shared" si="162"/>
        <v>2025</v>
      </c>
      <c r="L803">
        <f t="shared" si="163"/>
        <v>3.4830000000000001</v>
      </c>
      <c r="M803" t="e">
        <f t="shared" si="164"/>
        <v>#N/A</v>
      </c>
      <c r="N803" t="e">
        <f t="shared" si="165"/>
        <v>#N/A</v>
      </c>
      <c r="O803">
        <f t="shared" si="166"/>
        <v>5.0008030000000003</v>
      </c>
      <c r="P803" t="str">
        <f>IF(OR($A803="",games!$H803=""),"",games!$H803)</f>
        <v/>
      </c>
      <c r="Q803" t="str">
        <f t="shared" si="167"/>
        <v/>
      </c>
      <c r="T803">
        <f>IF(connections!$A803="","",IFERROR(INDEX(games!$B$2:$B$950,MATCH(connections!$A803,games!$A$2:$A$950,0)),""))</f>
        <v>2018</v>
      </c>
      <c r="U803">
        <f>IF(connections!$A803="","",IFERROR(INDEX(games!$B$2:$B$950,MATCH(connections!$B803,games!$A$2:$A$950,0)),""))</f>
        <v>2022</v>
      </c>
      <c r="V803">
        <f t="shared" si="168"/>
        <v>4</v>
      </c>
    </row>
    <row r="804" spans="1:22" x14ac:dyDescent="0.25">
      <c r="A804" t="str">
        <f>IF(games!$A804="","",games!$A804)</f>
        <v>Tiny Rogues</v>
      </c>
      <c r="B804">
        <f>IF($A804="","",games!$B804)</f>
        <v>2022</v>
      </c>
      <c r="C804" t="str">
        <f>IF($A804="","",games!$C804)</f>
        <v>Action</v>
      </c>
      <c r="D804">
        <f>IF($A804="","",COUNTIF(connections!$A$2:$A$1473,$A804)+COUNTIF(connections!$B$2:$B$1473,$A804))</f>
        <v>9</v>
      </c>
      <c r="E804">
        <f t="shared" si="156"/>
        <v>1</v>
      </c>
      <c r="F804">
        <f t="shared" si="157"/>
        <v>22</v>
      </c>
      <c r="G804">
        <f t="shared" si="158"/>
        <v>2022</v>
      </c>
      <c r="H804">
        <f t="shared" si="159"/>
        <v>1.506</v>
      </c>
      <c r="I804" t="e">
        <f t="shared" si="160"/>
        <v>#N/A</v>
      </c>
      <c r="J804" t="e">
        <f t="shared" si="161"/>
        <v>#N/A</v>
      </c>
      <c r="K804" t="e">
        <f t="shared" si="162"/>
        <v>#N/A</v>
      </c>
      <c r="L804" t="e">
        <f t="shared" si="163"/>
        <v>#N/A</v>
      </c>
      <c r="M804" t="e">
        <f t="shared" si="164"/>
        <v>#N/A</v>
      </c>
      <c r="N804" t="e">
        <f t="shared" si="165"/>
        <v>#N/A</v>
      </c>
      <c r="O804">
        <f t="shared" si="166"/>
        <v>9.0008040000000005</v>
      </c>
      <c r="P804" t="str">
        <f>IF(OR($A804="",games!$H804=""),"",games!$H804)</f>
        <v>Yes</v>
      </c>
      <c r="Q804">
        <f t="shared" si="167"/>
        <v>9.0008040000000005</v>
      </c>
      <c r="T804">
        <f>IF(connections!$A804="","",IFERROR(INDEX(games!$B$2:$B$950,MATCH(connections!$A804,games!$A$2:$A$950,0)),""))</f>
        <v>2010</v>
      </c>
      <c r="U804">
        <f>IF(connections!$A804="","",IFERROR(INDEX(games!$B$2:$B$950,MATCH(connections!$B804,games!$A$2:$A$950,0)),""))</f>
        <v>2011</v>
      </c>
      <c r="V804">
        <f t="shared" si="168"/>
        <v>1</v>
      </c>
    </row>
    <row r="805" spans="1:22" x14ac:dyDescent="0.25">
      <c r="A805" t="str">
        <f>IF(games!$A805="","",games!$A805)</f>
        <v>Tinyfolks</v>
      </c>
      <c r="B805">
        <f>IF($A805="","",games!$B805)</f>
        <v>2022</v>
      </c>
      <c r="C805" t="str">
        <f>IF($A805="","",games!$C805)</f>
        <v>Strategy</v>
      </c>
      <c r="D805">
        <f>IF($A805="","",COUNTIF(connections!$A$2:$A$1473,$A805)+COUNTIF(connections!$B$2:$B$1473,$A805))</f>
        <v>1</v>
      </c>
      <c r="E805">
        <f t="shared" si="156"/>
        <v>2</v>
      </c>
      <c r="F805">
        <f t="shared" si="157"/>
        <v>23</v>
      </c>
      <c r="G805" t="e">
        <f t="shared" si="158"/>
        <v>#N/A</v>
      </c>
      <c r="H805" t="e">
        <f t="shared" si="159"/>
        <v>#N/A</v>
      </c>
      <c r="I805">
        <f t="shared" si="160"/>
        <v>2022</v>
      </c>
      <c r="J805">
        <f t="shared" si="161"/>
        <v>2.5289999999999999</v>
      </c>
      <c r="K805" t="e">
        <f t="shared" si="162"/>
        <v>#N/A</v>
      </c>
      <c r="L805" t="e">
        <f t="shared" si="163"/>
        <v>#N/A</v>
      </c>
      <c r="M805" t="e">
        <f t="shared" si="164"/>
        <v>#N/A</v>
      </c>
      <c r="N805" t="e">
        <f t="shared" si="165"/>
        <v>#N/A</v>
      </c>
      <c r="O805">
        <f t="shared" si="166"/>
        <v>1.0008049999999999</v>
      </c>
      <c r="P805" t="str">
        <f>IF(OR($A805="",games!$H805=""),"",games!$H805)</f>
        <v>Yes</v>
      </c>
      <c r="Q805">
        <f t="shared" si="167"/>
        <v>1.0008049999999999</v>
      </c>
      <c r="T805">
        <f>IF(connections!$A805="","",IFERROR(INDEX(games!$B$2:$B$950,MATCH(connections!$A805,games!$A$2:$A$950,0)),""))</f>
        <v>2008</v>
      </c>
      <c r="U805">
        <f>IF(connections!$A805="","",IFERROR(INDEX(games!$B$2:$B$950,MATCH(connections!$B805,games!$A$2:$A$950,0)),""))</f>
        <v>2023</v>
      </c>
      <c r="V805">
        <f t="shared" si="168"/>
        <v>15</v>
      </c>
    </row>
    <row r="806" spans="1:22" x14ac:dyDescent="0.25">
      <c r="A806" t="str">
        <f>IF(games!$A806="","",games!$A806)</f>
        <v>ToeJam &amp; Earl</v>
      </c>
      <c r="B806">
        <f>IF($A806="","",games!$B806)</f>
        <v>1991</v>
      </c>
      <c r="C806" t="str">
        <f>IF($A806="","",games!$C806)</f>
        <v>Action</v>
      </c>
      <c r="D806">
        <f>IF($A806="","",COUNTIF(connections!$A$2:$A$1473,$A806)+COUNTIF(connections!$B$2:$B$1473,$A806))</f>
        <v>3</v>
      </c>
      <c r="E806">
        <f t="shared" si="156"/>
        <v>1</v>
      </c>
      <c r="F806">
        <f t="shared" si="157"/>
        <v>24</v>
      </c>
      <c r="G806">
        <f t="shared" si="158"/>
        <v>1991</v>
      </c>
      <c r="H806">
        <f t="shared" si="159"/>
        <v>1.552</v>
      </c>
      <c r="I806" t="e">
        <f t="shared" si="160"/>
        <v>#N/A</v>
      </c>
      <c r="J806" t="e">
        <f t="shared" si="161"/>
        <v>#N/A</v>
      </c>
      <c r="K806" t="e">
        <f t="shared" si="162"/>
        <v>#N/A</v>
      </c>
      <c r="L806" t="e">
        <f t="shared" si="163"/>
        <v>#N/A</v>
      </c>
      <c r="M806" t="e">
        <f t="shared" si="164"/>
        <v>#N/A</v>
      </c>
      <c r="N806" t="e">
        <f t="shared" si="165"/>
        <v>#N/A</v>
      </c>
      <c r="O806">
        <f t="shared" si="166"/>
        <v>3.0008059999999999</v>
      </c>
      <c r="P806" t="str">
        <f>IF(OR($A806="",games!$H806=""),"",games!$H806)</f>
        <v>Yes</v>
      </c>
      <c r="Q806">
        <f t="shared" si="167"/>
        <v>3.0008059999999999</v>
      </c>
      <c r="T806">
        <f>IF(connections!$A806="","",IFERROR(INDEX(games!$B$2:$B$950,MATCH(connections!$A806,games!$A$2:$A$950,0)),""))</f>
        <v>2020</v>
      </c>
      <c r="U806">
        <f>IF(connections!$A806="","",IFERROR(INDEX(games!$B$2:$B$950,MATCH(connections!$B806,games!$A$2:$A$950,0)),""))</f>
        <v>2021</v>
      </c>
      <c r="V806">
        <f t="shared" si="168"/>
        <v>1</v>
      </c>
    </row>
    <row r="807" spans="1:22" x14ac:dyDescent="0.25">
      <c r="A807" t="str">
        <f>IF(games!$A807="","",games!$A807)</f>
        <v>ToeJam &amp; Earl: Back in the Groove!</v>
      </c>
      <c r="B807">
        <f>IF($A807="","",games!$B807)</f>
        <v>2019</v>
      </c>
      <c r="C807" t="str">
        <f>IF($A807="","",games!$C807)</f>
        <v>Action</v>
      </c>
      <c r="D807">
        <f>IF($A807="","",COUNTIF(connections!$A$2:$A$1473,$A807)+COUNTIF(connections!$B$2:$B$1473,$A807))</f>
        <v>1</v>
      </c>
      <c r="E807">
        <f t="shared" si="156"/>
        <v>1</v>
      </c>
      <c r="F807">
        <f t="shared" si="157"/>
        <v>25</v>
      </c>
      <c r="G807">
        <f t="shared" si="158"/>
        <v>2019</v>
      </c>
      <c r="H807">
        <f t="shared" si="159"/>
        <v>1.575</v>
      </c>
      <c r="I807" t="e">
        <f t="shared" si="160"/>
        <v>#N/A</v>
      </c>
      <c r="J807" t="e">
        <f t="shared" si="161"/>
        <v>#N/A</v>
      </c>
      <c r="K807" t="e">
        <f t="shared" si="162"/>
        <v>#N/A</v>
      </c>
      <c r="L807" t="e">
        <f t="shared" si="163"/>
        <v>#N/A</v>
      </c>
      <c r="M807" t="e">
        <f t="shared" si="164"/>
        <v>#N/A</v>
      </c>
      <c r="N807" t="e">
        <f t="shared" si="165"/>
        <v>#N/A</v>
      </c>
      <c r="O807">
        <f t="shared" si="166"/>
        <v>1.000807</v>
      </c>
      <c r="P807" t="str">
        <f>IF(OR($A807="",games!$H807=""),"",games!$H807)</f>
        <v/>
      </c>
      <c r="Q807" t="str">
        <f t="shared" si="167"/>
        <v/>
      </c>
      <c r="T807">
        <f>IF(connections!$A807="","",IFERROR(INDEX(games!$B$2:$B$950,MATCH(connections!$A807,games!$A$2:$A$950,0)),""))</f>
        <v>2021</v>
      </c>
      <c r="U807">
        <f>IF(connections!$A807="","",IFERROR(INDEX(games!$B$2:$B$950,MATCH(connections!$B807,games!$A$2:$A$950,0)),""))</f>
        <v>2025</v>
      </c>
      <c r="V807">
        <f t="shared" si="168"/>
        <v>4</v>
      </c>
    </row>
    <row r="808" spans="1:22" x14ac:dyDescent="0.25">
      <c r="A808" t="str">
        <f>IF(games!$A808="","",games!$A808)</f>
        <v>TombStar</v>
      </c>
      <c r="B808">
        <f>IF($A808="","",games!$B808)</f>
        <v>2022</v>
      </c>
      <c r="C808" t="str">
        <f>IF($A808="","",games!$C808)</f>
        <v>Action</v>
      </c>
      <c r="D808">
        <f>IF($A808="","",COUNTIF(connections!$A$2:$A$1473,$A808)+COUNTIF(connections!$B$2:$B$1473,$A808))</f>
        <v>2</v>
      </c>
      <c r="E808">
        <f t="shared" si="156"/>
        <v>1</v>
      </c>
      <c r="F808">
        <f t="shared" si="157"/>
        <v>26</v>
      </c>
      <c r="G808">
        <f t="shared" si="158"/>
        <v>2022</v>
      </c>
      <c r="H808">
        <f t="shared" si="159"/>
        <v>1.5979999999999999</v>
      </c>
      <c r="I808" t="e">
        <f t="shared" si="160"/>
        <v>#N/A</v>
      </c>
      <c r="J808" t="e">
        <f t="shared" si="161"/>
        <v>#N/A</v>
      </c>
      <c r="K808" t="e">
        <f t="shared" si="162"/>
        <v>#N/A</v>
      </c>
      <c r="L808" t="e">
        <f t="shared" si="163"/>
        <v>#N/A</v>
      </c>
      <c r="M808" t="e">
        <f t="shared" si="164"/>
        <v>#N/A</v>
      </c>
      <c r="N808" t="e">
        <f t="shared" si="165"/>
        <v>#N/A</v>
      </c>
      <c r="O808">
        <f t="shared" si="166"/>
        <v>2.0008080000000001</v>
      </c>
      <c r="P808" t="str">
        <f>IF(OR($A808="",games!$H808=""),"",games!$H808)</f>
        <v>Yes</v>
      </c>
      <c r="Q808">
        <f t="shared" si="167"/>
        <v>2.0008080000000001</v>
      </c>
      <c r="T808">
        <f>IF(connections!$A808="","",IFERROR(INDEX(games!$B$2:$B$950,MATCH(connections!$A808,games!$A$2:$A$950,0)),""))</f>
        <v>2014</v>
      </c>
      <c r="U808">
        <f>IF(connections!$A808="","",IFERROR(INDEX(games!$B$2:$B$950,MATCH(connections!$B808,games!$A$2:$A$950,0)),""))</f>
        <v>2016</v>
      </c>
      <c r="V808">
        <f t="shared" si="168"/>
        <v>2</v>
      </c>
    </row>
    <row r="809" spans="1:22" x14ac:dyDescent="0.25">
      <c r="A809" t="str">
        <f>IF(games!$A809="","",games!$A809)</f>
        <v>Torneko: The Last Hope</v>
      </c>
      <c r="B809">
        <f>IF($A809="","",games!$B809)</f>
        <v>1999</v>
      </c>
      <c r="C809" t="str">
        <f>IF($A809="","",games!$C809)</f>
        <v>Traditional</v>
      </c>
      <c r="D809">
        <f>IF($A809="","",COUNTIF(connections!$A$2:$A$1473,$A809)+COUNTIF(connections!$B$2:$B$1473,$A809))</f>
        <v>3</v>
      </c>
      <c r="E809">
        <f t="shared" si="156"/>
        <v>4</v>
      </c>
      <c r="F809">
        <f t="shared" si="157"/>
        <v>27</v>
      </c>
      <c r="G809" t="e">
        <f t="shared" si="158"/>
        <v>#N/A</v>
      </c>
      <c r="H809" t="e">
        <f t="shared" si="159"/>
        <v>#N/A</v>
      </c>
      <c r="I809" t="e">
        <f t="shared" si="160"/>
        <v>#N/A</v>
      </c>
      <c r="J809" t="e">
        <f t="shared" si="161"/>
        <v>#N/A</v>
      </c>
      <c r="K809" t="e">
        <f t="shared" si="162"/>
        <v>#N/A</v>
      </c>
      <c r="L809" t="e">
        <f t="shared" si="163"/>
        <v>#N/A</v>
      </c>
      <c r="M809">
        <f t="shared" si="164"/>
        <v>1999</v>
      </c>
      <c r="N809">
        <f t="shared" si="165"/>
        <v>4.6210000000000004</v>
      </c>
      <c r="O809">
        <f t="shared" si="166"/>
        <v>3.0008089999999998</v>
      </c>
      <c r="P809" t="str">
        <f>IF(OR($A809="",games!$H809=""),"",games!$H809)</f>
        <v>Yes</v>
      </c>
      <c r="Q809">
        <f t="shared" si="167"/>
        <v>3.0008089999999998</v>
      </c>
      <c r="T809">
        <f>IF(connections!$A809="","",IFERROR(INDEX(games!$B$2:$B$950,MATCH(connections!$A809,games!$A$2:$A$950,0)),""))</f>
        <v>1987</v>
      </c>
      <c r="U809">
        <f>IF(connections!$A809="","",IFERROR(INDEX(games!$B$2:$B$950,MATCH(connections!$B809,games!$A$2:$A$950,0)),""))</f>
        <v>1995</v>
      </c>
      <c r="V809">
        <f t="shared" si="168"/>
        <v>8</v>
      </c>
    </row>
    <row r="810" spans="1:22" x14ac:dyDescent="0.25">
      <c r="A810" t="str">
        <f>IF(games!$A810="","",games!$A810)</f>
        <v>Torneko's Great Adventure 3</v>
      </c>
      <c r="B810">
        <f>IF($A810="","",games!$B810)</f>
        <v>2002</v>
      </c>
      <c r="C810" t="str">
        <f>IF($A810="","",games!$C810)</f>
        <v>Traditional</v>
      </c>
      <c r="D810">
        <f>IF($A810="","",COUNTIF(connections!$A$2:$A$1473,$A810)+COUNTIF(connections!$B$2:$B$1473,$A810))</f>
        <v>1</v>
      </c>
      <c r="E810">
        <f t="shared" si="156"/>
        <v>4</v>
      </c>
      <c r="F810">
        <f t="shared" si="157"/>
        <v>28</v>
      </c>
      <c r="G810" t="e">
        <f t="shared" si="158"/>
        <v>#N/A</v>
      </c>
      <c r="H810" t="e">
        <f t="shared" si="159"/>
        <v>#N/A</v>
      </c>
      <c r="I810" t="e">
        <f t="shared" si="160"/>
        <v>#N/A</v>
      </c>
      <c r="J810" t="e">
        <f t="shared" si="161"/>
        <v>#N/A</v>
      </c>
      <c r="K810" t="e">
        <f t="shared" si="162"/>
        <v>#N/A</v>
      </c>
      <c r="L810" t="e">
        <f t="shared" si="163"/>
        <v>#N/A</v>
      </c>
      <c r="M810">
        <f t="shared" si="164"/>
        <v>2002</v>
      </c>
      <c r="N810">
        <f t="shared" si="165"/>
        <v>4.6440000000000001</v>
      </c>
      <c r="O810">
        <f t="shared" si="166"/>
        <v>1.00081</v>
      </c>
      <c r="P810" t="str">
        <f>IF(OR($A810="",games!$H810=""),"",games!$H810)</f>
        <v>Yes</v>
      </c>
      <c r="Q810">
        <f t="shared" si="167"/>
        <v>1.00081</v>
      </c>
      <c r="T810">
        <f>IF(connections!$A810="","",IFERROR(INDEX(games!$B$2:$B$950,MATCH(connections!$A810,games!$A$2:$A$950,0)),""))</f>
        <v>1993</v>
      </c>
      <c r="U810">
        <f>IF(connections!$A810="","",IFERROR(INDEX(games!$B$2:$B$950,MATCH(connections!$B810,games!$A$2:$A$950,0)),""))</f>
        <v>1995</v>
      </c>
      <c r="V810">
        <f t="shared" si="168"/>
        <v>2</v>
      </c>
    </row>
    <row r="811" spans="1:22" x14ac:dyDescent="0.25">
      <c r="A811" t="str">
        <f>IF(games!$A811="","",games!$A811)</f>
        <v>Torneko's Great Adventure: Mystery Dungeon</v>
      </c>
      <c r="B811">
        <f>IF($A811="","",games!$B811)</f>
        <v>1993</v>
      </c>
      <c r="C811" t="str">
        <f>IF($A811="","",games!$C811)</f>
        <v>Traditional</v>
      </c>
      <c r="D811">
        <f>IF($A811="","",COUNTIF(connections!$A$2:$A$1473,$A811)+COUNTIF(connections!$B$2:$B$1473,$A811))</f>
        <v>27</v>
      </c>
      <c r="E811">
        <f t="shared" si="156"/>
        <v>4</v>
      </c>
      <c r="F811">
        <f t="shared" si="157"/>
        <v>29</v>
      </c>
      <c r="G811" t="e">
        <f t="shared" si="158"/>
        <v>#N/A</v>
      </c>
      <c r="H811" t="e">
        <f t="shared" si="159"/>
        <v>#N/A</v>
      </c>
      <c r="I811" t="e">
        <f t="shared" si="160"/>
        <v>#N/A</v>
      </c>
      <c r="J811" t="e">
        <f t="shared" si="161"/>
        <v>#N/A</v>
      </c>
      <c r="K811" t="e">
        <f t="shared" si="162"/>
        <v>#N/A</v>
      </c>
      <c r="L811" t="e">
        <f t="shared" si="163"/>
        <v>#N/A</v>
      </c>
      <c r="M811">
        <f t="shared" si="164"/>
        <v>1993</v>
      </c>
      <c r="N811">
        <f t="shared" si="165"/>
        <v>4.6669999999999998</v>
      </c>
      <c r="O811">
        <f t="shared" si="166"/>
        <v>27.000810999999999</v>
      </c>
      <c r="P811" t="str">
        <f>IF(OR($A811="",games!$H811=""),"",games!$H811)</f>
        <v>Yes</v>
      </c>
      <c r="Q811">
        <f t="shared" si="167"/>
        <v>27.000810999999999</v>
      </c>
      <c r="T811">
        <f>IF(connections!$A811="","",IFERROR(INDEX(games!$B$2:$B$950,MATCH(connections!$A811,games!$A$2:$A$950,0)),""))</f>
        <v>2021</v>
      </c>
      <c r="U811">
        <f>IF(connections!$A811="","",IFERROR(INDEX(games!$B$2:$B$950,MATCH(connections!$B811,games!$A$2:$A$950,0)),""))</f>
        <v>2024</v>
      </c>
      <c r="V811">
        <f t="shared" si="168"/>
        <v>3</v>
      </c>
    </row>
    <row r="812" spans="1:22" x14ac:dyDescent="0.25">
      <c r="A812" t="str">
        <f>IF(games!$A812="","",games!$A812)</f>
        <v>Touhou Crawl</v>
      </c>
      <c r="B812">
        <f>IF($A812="","",games!$B812)</f>
        <v>2025</v>
      </c>
      <c r="C812" t="str">
        <f>IF($A812="","",games!$C812)</f>
        <v>Traditional</v>
      </c>
      <c r="D812">
        <f>IF($A812="","",COUNTIF(connections!$A$2:$A$1473,$A812)+COUNTIF(connections!$B$2:$B$1473,$A812))</f>
        <v>1</v>
      </c>
      <c r="E812">
        <f t="shared" si="156"/>
        <v>4</v>
      </c>
      <c r="F812">
        <f t="shared" si="157"/>
        <v>30</v>
      </c>
      <c r="G812" t="e">
        <f t="shared" si="158"/>
        <v>#N/A</v>
      </c>
      <c r="H812" t="e">
        <f t="shared" si="159"/>
        <v>#N/A</v>
      </c>
      <c r="I812" t="e">
        <f t="shared" si="160"/>
        <v>#N/A</v>
      </c>
      <c r="J812" t="e">
        <f t="shared" si="161"/>
        <v>#N/A</v>
      </c>
      <c r="K812" t="e">
        <f t="shared" si="162"/>
        <v>#N/A</v>
      </c>
      <c r="L812" t="e">
        <f t="shared" si="163"/>
        <v>#N/A</v>
      </c>
      <c r="M812">
        <f t="shared" si="164"/>
        <v>2025</v>
      </c>
      <c r="N812">
        <f t="shared" si="165"/>
        <v>4.6899999999999995</v>
      </c>
      <c r="O812">
        <f t="shared" si="166"/>
        <v>1.000812</v>
      </c>
      <c r="P812" t="str">
        <f>IF(OR($A812="",games!$H812=""),"",games!$H812)</f>
        <v>Yes</v>
      </c>
      <c r="Q812">
        <f t="shared" si="167"/>
        <v>1.000812</v>
      </c>
      <c r="T812">
        <f>IF(connections!$A812="","",IFERROR(INDEX(games!$B$2:$B$950,MATCH(connections!$A812,games!$A$2:$A$950,0)),""))</f>
        <v>2015</v>
      </c>
      <c r="U812">
        <f>IF(connections!$A812="","",IFERROR(INDEX(games!$B$2:$B$950,MATCH(connections!$B812,games!$A$2:$A$950,0)),""))</f>
        <v>2022</v>
      </c>
      <c r="V812">
        <f t="shared" si="168"/>
        <v>7</v>
      </c>
    </row>
    <row r="813" spans="1:22" x14ac:dyDescent="0.25">
      <c r="A813" t="str">
        <f>IF(games!$A813="","",games!$A813)</f>
        <v>Touhou Genso Wanderer: Foresight</v>
      </c>
      <c r="B813">
        <f>IF($A813="","",games!$B813)</f>
        <v>2024</v>
      </c>
      <c r="C813" t="str">
        <f>IF($A813="","",games!$C813)</f>
        <v>Traditional</v>
      </c>
      <c r="D813">
        <f>IF($A813="","",COUNTIF(connections!$A$2:$A$1473,$A813)+COUNTIF(connections!$B$2:$B$1473,$A813))</f>
        <v>1</v>
      </c>
      <c r="E813">
        <f t="shared" si="156"/>
        <v>4</v>
      </c>
      <c r="F813">
        <f t="shared" si="157"/>
        <v>31</v>
      </c>
      <c r="G813" t="e">
        <f t="shared" si="158"/>
        <v>#N/A</v>
      </c>
      <c r="H813" t="e">
        <f t="shared" si="159"/>
        <v>#N/A</v>
      </c>
      <c r="I813" t="e">
        <f t="shared" si="160"/>
        <v>#N/A</v>
      </c>
      <c r="J813" t="e">
        <f t="shared" si="161"/>
        <v>#N/A</v>
      </c>
      <c r="K813" t="e">
        <f t="shared" si="162"/>
        <v>#N/A</v>
      </c>
      <c r="L813" t="e">
        <f t="shared" si="163"/>
        <v>#N/A</v>
      </c>
      <c r="M813">
        <f t="shared" si="164"/>
        <v>2024</v>
      </c>
      <c r="N813">
        <f t="shared" si="165"/>
        <v>4.7130000000000001</v>
      </c>
      <c r="O813">
        <f t="shared" si="166"/>
        <v>1.000813</v>
      </c>
      <c r="P813" t="str">
        <f>IF(OR($A813="",games!$H813=""),"",games!$H813)</f>
        <v/>
      </c>
      <c r="Q813" t="str">
        <f t="shared" si="167"/>
        <v/>
      </c>
      <c r="T813">
        <f>IF(connections!$A813="","",IFERROR(INDEX(games!$B$2:$B$950,MATCH(connections!$A813,games!$A$2:$A$950,0)),""))</f>
        <v>2017</v>
      </c>
      <c r="U813">
        <f>IF(connections!$A813="","",IFERROR(INDEX(games!$B$2:$B$950,MATCH(connections!$B813,games!$A$2:$A$950,0)),""))</f>
        <v>2022</v>
      </c>
      <c r="V813">
        <f t="shared" si="168"/>
        <v>5</v>
      </c>
    </row>
    <row r="814" spans="1:22" x14ac:dyDescent="0.25">
      <c r="A814" t="str">
        <f>IF(games!$A814="","",games!$A814)</f>
        <v>Touhou Genso Wanderer: Lotus Labyrinth R</v>
      </c>
      <c r="B814">
        <f>IF($A814="","",games!$B814)</f>
        <v>2021</v>
      </c>
      <c r="C814" t="str">
        <f>IF($A814="","",games!$C814)</f>
        <v>Traditional</v>
      </c>
      <c r="D814">
        <f>IF($A814="","",COUNTIF(connections!$A$2:$A$1473,$A814)+COUNTIF(connections!$B$2:$B$1473,$A814))</f>
        <v>1</v>
      </c>
      <c r="E814">
        <f t="shared" si="156"/>
        <v>4</v>
      </c>
      <c r="F814">
        <f t="shared" si="157"/>
        <v>32</v>
      </c>
      <c r="G814" t="e">
        <f t="shared" si="158"/>
        <v>#N/A</v>
      </c>
      <c r="H814" t="e">
        <f t="shared" si="159"/>
        <v>#N/A</v>
      </c>
      <c r="I814" t="e">
        <f t="shared" si="160"/>
        <v>#N/A</v>
      </c>
      <c r="J814" t="e">
        <f t="shared" si="161"/>
        <v>#N/A</v>
      </c>
      <c r="K814" t="e">
        <f t="shared" si="162"/>
        <v>#N/A</v>
      </c>
      <c r="L814" t="e">
        <f t="shared" si="163"/>
        <v>#N/A</v>
      </c>
      <c r="M814">
        <f t="shared" si="164"/>
        <v>2021</v>
      </c>
      <c r="N814">
        <f t="shared" si="165"/>
        <v>4.7359999999999998</v>
      </c>
      <c r="O814">
        <f t="shared" si="166"/>
        <v>1.0008140000000001</v>
      </c>
      <c r="P814" t="str">
        <f>IF(OR($A814="",games!$H814=""),"",games!$H814)</f>
        <v/>
      </c>
      <c r="Q814" t="str">
        <f t="shared" si="167"/>
        <v/>
      </c>
      <c r="T814">
        <f>IF(connections!$A814="","",IFERROR(INDEX(games!$B$2:$B$950,MATCH(connections!$A814,games!$A$2:$A$950,0)),""))</f>
        <v>2016</v>
      </c>
      <c r="U814">
        <f>IF(connections!$A814="","",IFERROR(INDEX(games!$B$2:$B$950,MATCH(connections!$B814,games!$A$2:$A$950,0)),""))</f>
        <v>2022</v>
      </c>
      <c r="V814">
        <f t="shared" si="168"/>
        <v>6</v>
      </c>
    </row>
    <row r="815" spans="1:22" x14ac:dyDescent="0.25">
      <c r="A815" t="str">
        <f>IF(games!$A815="","",games!$A815)</f>
        <v>Touhou: Lost Branch of Legend</v>
      </c>
      <c r="B815">
        <f>IF($A815="","",games!$B815)</f>
        <v>2022</v>
      </c>
      <c r="C815" t="str">
        <f>IF($A815="","",games!$C815)</f>
        <v>Deckbuilder</v>
      </c>
      <c r="D815">
        <f>IF($A815="","",COUNTIF(connections!$A$2:$A$1473,$A815)+COUNTIF(connections!$B$2:$B$1473,$A815))</f>
        <v>1</v>
      </c>
      <c r="E815">
        <f t="shared" si="156"/>
        <v>3</v>
      </c>
      <c r="F815">
        <f t="shared" si="157"/>
        <v>33</v>
      </c>
      <c r="G815" t="e">
        <f t="shared" si="158"/>
        <v>#N/A</v>
      </c>
      <c r="H815" t="e">
        <f t="shared" si="159"/>
        <v>#N/A</v>
      </c>
      <c r="I815" t="e">
        <f t="shared" si="160"/>
        <v>#N/A</v>
      </c>
      <c r="J815" t="e">
        <f t="shared" si="161"/>
        <v>#N/A</v>
      </c>
      <c r="K815">
        <f t="shared" si="162"/>
        <v>2022</v>
      </c>
      <c r="L815">
        <f t="shared" si="163"/>
        <v>3.7589999999999999</v>
      </c>
      <c r="M815" t="e">
        <f t="shared" si="164"/>
        <v>#N/A</v>
      </c>
      <c r="N815" t="e">
        <f t="shared" si="165"/>
        <v>#N/A</v>
      </c>
      <c r="O815">
        <f t="shared" si="166"/>
        <v>1.000815</v>
      </c>
      <c r="P815" t="str">
        <f>IF(OR($A815="",games!$H815=""),"",games!$H815)</f>
        <v/>
      </c>
      <c r="Q815" t="str">
        <f t="shared" si="167"/>
        <v/>
      </c>
      <c r="T815">
        <f>IF(connections!$A815="","",IFERROR(INDEX(games!$B$2:$B$950,MATCH(connections!$A815,games!$A$2:$A$950,0)),""))</f>
        <v>2015</v>
      </c>
      <c r="U815">
        <f>IF(connections!$A815="","",IFERROR(INDEX(games!$B$2:$B$950,MATCH(connections!$B815,games!$A$2:$A$950,0)),""))</f>
        <v>2022</v>
      </c>
      <c r="V815">
        <f t="shared" si="168"/>
        <v>7</v>
      </c>
    </row>
    <row r="816" spans="1:22" x14ac:dyDescent="0.25">
      <c r="A816" t="str">
        <f>IF(games!$A816="","",games!$A816)</f>
        <v>Tower Dominion</v>
      </c>
      <c r="B816">
        <f>IF($A816="","",games!$B816)</f>
        <v>2025</v>
      </c>
      <c r="C816" t="str">
        <f>IF($A816="","",games!$C816)</f>
        <v>Strategy</v>
      </c>
      <c r="D816">
        <f>IF($A816="","",COUNTIF(connections!$A$2:$A$1473,$A816)+COUNTIF(connections!$B$2:$B$1473,$A816))</f>
        <v>1</v>
      </c>
      <c r="E816">
        <f t="shared" si="156"/>
        <v>2</v>
      </c>
      <c r="F816">
        <f t="shared" si="157"/>
        <v>0</v>
      </c>
      <c r="G816" t="e">
        <f t="shared" si="158"/>
        <v>#N/A</v>
      </c>
      <c r="H816" t="e">
        <f t="shared" si="159"/>
        <v>#N/A</v>
      </c>
      <c r="I816">
        <f t="shared" si="160"/>
        <v>2025</v>
      </c>
      <c r="J816">
        <f t="shared" si="161"/>
        <v>2</v>
      </c>
      <c r="K816" t="e">
        <f t="shared" si="162"/>
        <v>#N/A</v>
      </c>
      <c r="L816" t="e">
        <f t="shared" si="163"/>
        <v>#N/A</v>
      </c>
      <c r="M816" t="e">
        <f t="shared" si="164"/>
        <v>#N/A</v>
      </c>
      <c r="N816" t="e">
        <f t="shared" si="165"/>
        <v>#N/A</v>
      </c>
      <c r="O816">
        <f t="shared" si="166"/>
        <v>1.0008159999999999</v>
      </c>
      <c r="P816" t="str">
        <f>IF(OR($A816="",games!$H816=""),"",games!$H816)</f>
        <v/>
      </c>
      <c r="Q816" t="str">
        <f t="shared" si="167"/>
        <v/>
      </c>
      <c r="T816">
        <f>IF(connections!$A816="","",IFERROR(INDEX(games!$B$2:$B$950,MATCH(connections!$A816,games!$A$2:$A$950,0)),""))</f>
        <v>2022</v>
      </c>
      <c r="U816">
        <f>IF(connections!$A816="","",IFERROR(INDEX(games!$B$2:$B$950,MATCH(connections!$B816,games!$A$2:$A$950,0)),""))</f>
        <v>2024</v>
      </c>
      <c r="V816">
        <f t="shared" si="168"/>
        <v>2</v>
      </c>
    </row>
    <row r="817" spans="1:22" x14ac:dyDescent="0.25">
      <c r="A817" t="str">
        <f>IF(games!$A817="","",games!$A817)</f>
        <v>Tower Escape</v>
      </c>
      <c r="B817">
        <f>IF($A817="","",games!$B817)</f>
        <v>2023</v>
      </c>
      <c r="C817" t="str">
        <f>IF($A817="","",games!$C817)</f>
        <v>Deckbuilder</v>
      </c>
      <c r="D817">
        <f>IF($A817="","",COUNTIF(connections!$A$2:$A$1473,$A817)+COUNTIF(connections!$B$2:$B$1473,$A817))</f>
        <v>2</v>
      </c>
      <c r="E817">
        <f t="shared" si="156"/>
        <v>3</v>
      </c>
      <c r="F817">
        <f t="shared" si="157"/>
        <v>1</v>
      </c>
      <c r="G817" t="e">
        <f t="shared" si="158"/>
        <v>#N/A</v>
      </c>
      <c r="H817" t="e">
        <f t="shared" si="159"/>
        <v>#N/A</v>
      </c>
      <c r="I817" t="e">
        <f t="shared" si="160"/>
        <v>#N/A</v>
      </c>
      <c r="J817" t="e">
        <f t="shared" si="161"/>
        <v>#N/A</v>
      </c>
      <c r="K817">
        <f t="shared" si="162"/>
        <v>2023</v>
      </c>
      <c r="L817">
        <f t="shared" si="163"/>
        <v>3.0230000000000001</v>
      </c>
      <c r="M817" t="e">
        <f t="shared" si="164"/>
        <v>#N/A</v>
      </c>
      <c r="N817" t="e">
        <f t="shared" si="165"/>
        <v>#N/A</v>
      </c>
      <c r="O817">
        <f t="shared" si="166"/>
        <v>2.0008170000000001</v>
      </c>
      <c r="P817" t="str">
        <f>IF(OR($A817="",games!$H817=""),"",games!$H817)</f>
        <v>Yes</v>
      </c>
      <c r="Q817">
        <f t="shared" si="167"/>
        <v>2.0008170000000001</v>
      </c>
      <c r="T817">
        <f>IF(connections!$A817="","",IFERROR(INDEX(games!$B$2:$B$950,MATCH(connections!$A817,games!$A$2:$A$950,0)),""))</f>
        <v>2018</v>
      </c>
      <c r="U817">
        <f>IF(connections!$A817="","",IFERROR(INDEX(games!$B$2:$B$950,MATCH(connections!$B817,games!$A$2:$A$950,0)),""))</f>
        <v>2019</v>
      </c>
      <c r="V817">
        <f t="shared" si="168"/>
        <v>1</v>
      </c>
    </row>
    <row r="818" spans="1:22" x14ac:dyDescent="0.25">
      <c r="A818" t="str">
        <f>IF(games!$A818="","",games!$A818)</f>
        <v>Tower Factory</v>
      </c>
      <c r="B818">
        <f>IF($A818="","",games!$B818)</f>
        <v>2024</v>
      </c>
      <c r="C818" t="str">
        <f>IF($A818="","",games!$C818)</f>
        <v>Strategy</v>
      </c>
      <c r="D818">
        <f>IF($A818="","",COUNTIF(connections!$A$2:$A$1473,$A818)+COUNTIF(connections!$B$2:$B$1473,$A818))</f>
        <v>2</v>
      </c>
      <c r="E818">
        <f t="shared" si="156"/>
        <v>2</v>
      </c>
      <c r="F818">
        <f t="shared" si="157"/>
        <v>2</v>
      </c>
      <c r="G818" t="e">
        <f t="shared" si="158"/>
        <v>#N/A</v>
      </c>
      <c r="H818" t="e">
        <f t="shared" si="159"/>
        <v>#N/A</v>
      </c>
      <c r="I818">
        <f t="shared" si="160"/>
        <v>2024</v>
      </c>
      <c r="J818">
        <f t="shared" si="161"/>
        <v>2.0459999999999998</v>
      </c>
      <c r="K818" t="e">
        <f t="shared" si="162"/>
        <v>#N/A</v>
      </c>
      <c r="L818" t="e">
        <f t="shared" si="163"/>
        <v>#N/A</v>
      </c>
      <c r="M818" t="e">
        <f t="shared" si="164"/>
        <v>#N/A</v>
      </c>
      <c r="N818" t="e">
        <f t="shared" si="165"/>
        <v>#N/A</v>
      </c>
      <c r="O818">
        <f t="shared" si="166"/>
        <v>2.0008180000000002</v>
      </c>
      <c r="P818" t="str">
        <f>IF(OR($A818="",games!$H818=""),"",games!$H818)</f>
        <v/>
      </c>
      <c r="Q818" t="str">
        <f t="shared" si="167"/>
        <v/>
      </c>
      <c r="T818">
        <f>IF(connections!$A818="","",IFERROR(INDEX(games!$B$2:$B$950,MATCH(connections!$A818,games!$A$2:$A$950,0)),""))</f>
        <v>2016</v>
      </c>
      <c r="U818">
        <f>IF(connections!$A818="","",IFERROR(INDEX(games!$B$2:$B$950,MATCH(connections!$B818,games!$A$2:$A$950,0)),""))</f>
        <v>2019</v>
      </c>
      <c r="V818">
        <f t="shared" si="168"/>
        <v>3</v>
      </c>
    </row>
    <row r="819" spans="1:22" x14ac:dyDescent="0.25">
      <c r="A819" t="str">
        <f>IF(games!$A819="","",games!$A819)</f>
        <v>Tower Fortress</v>
      </c>
      <c r="B819">
        <f>IF($A819="","",games!$B819)</f>
        <v>2017</v>
      </c>
      <c r="C819" t="str">
        <f>IF($A819="","",games!$C819)</f>
        <v>Action</v>
      </c>
      <c r="D819">
        <f>IF($A819="","",COUNTIF(connections!$A$2:$A$1473,$A819)+COUNTIF(connections!$B$2:$B$1473,$A819))</f>
        <v>1</v>
      </c>
      <c r="E819">
        <f t="shared" si="156"/>
        <v>1</v>
      </c>
      <c r="F819">
        <f t="shared" si="157"/>
        <v>3</v>
      </c>
      <c r="G819">
        <f t="shared" si="158"/>
        <v>2017</v>
      </c>
      <c r="H819">
        <f t="shared" si="159"/>
        <v>1.069</v>
      </c>
      <c r="I819" t="e">
        <f t="shared" si="160"/>
        <v>#N/A</v>
      </c>
      <c r="J819" t="e">
        <f t="shared" si="161"/>
        <v>#N/A</v>
      </c>
      <c r="K819" t="e">
        <f t="shared" si="162"/>
        <v>#N/A</v>
      </c>
      <c r="L819" t="e">
        <f t="shared" si="163"/>
        <v>#N/A</v>
      </c>
      <c r="M819" t="e">
        <f t="shared" si="164"/>
        <v>#N/A</v>
      </c>
      <c r="N819" t="e">
        <f t="shared" si="165"/>
        <v>#N/A</v>
      </c>
      <c r="O819">
        <f t="shared" si="166"/>
        <v>1.0008189999999999</v>
      </c>
      <c r="P819" t="str">
        <f>IF(OR($A819="",games!$H819=""),"",games!$H819)</f>
        <v>Yes</v>
      </c>
      <c r="Q819">
        <f t="shared" si="167"/>
        <v>1.0008189999999999</v>
      </c>
      <c r="T819">
        <f>IF(connections!$A819="","",IFERROR(INDEX(games!$B$2:$B$950,MATCH(connections!$A819,games!$A$2:$A$950,0)),""))</f>
        <v>2011</v>
      </c>
      <c r="U819">
        <f>IF(connections!$A819="","",IFERROR(INDEX(games!$B$2:$B$950,MATCH(connections!$B819,games!$A$2:$A$950,0)),""))</f>
        <v>2019</v>
      </c>
      <c r="V819">
        <f t="shared" si="168"/>
        <v>8</v>
      </c>
    </row>
    <row r="820" spans="1:22" x14ac:dyDescent="0.25">
      <c r="A820" t="str">
        <f>IF(games!$A820="","",games!$A820)</f>
        <v>Tower of Guns</v>
      </c>
      <c r="B820">
        <f>IF($A820="","",games!$B820)</f>
        <v>2014</v>
      </c>
      <c r="C820" t="str">
        <f>IF($A820="","",games!$C820)</f>
        <v>Action</v>
      </c>
      <c r="D820">
        <f>IF($A820="","",COUNTIF(connections!$A$2:$A$1473,$A820)+COUNTIF(connections!$B$2:$B$1473,$A820))</f>
        <v>2</v>
      </c>
      <c r="E820">
        <f t="shared" si="156"/>
        <v>1</v>
      </c>
      <c r="F820">
        <f t="shared" si="157"/>
        <v>4</v>
      </c>
      <c r="G820">
        <f t="shared" si="158"/>
        <v>2014</v>
      </c>
      <c r="H820">
        <f t="shared" si="159"/>
        <v>1.0920000000000001</v>
      </c>
      <c r="I820" t="e">
        <f t="shared" si="160"/>
        <v>#N/A</v>
      </c>
      <c r="J820" t="e">
        <f t="shared" si="161"/>
        <v>#N/A</v>
      </c>
      <c r="K820" t="e">
        <f t="shared" si="162"/>
        <v>#N/A</v>
      </c>
      <c r="L820" t="e">
        <f t="shared" si="163"/>
        <v>#N/A</v>
      </c>
      <c r="M820" t="e">
        <f t="shared" si="164"/>
        <v>#N/A</v>
      </c>
      <c r="N820" t="e">
        <f t="shared" si="165"/>
        <v>#N/A</v>
      </c>
      <c r="O820">
        <f t="shared" si="166"/>
        <v>2.00082</v>
      </c>
      <c r="P820" t="str">
        <f>IF(OR($A820="",games!$H820=""),"",games!$H820)</f>
        <v>Yes</v>
      </c>
      <c r="Q820">
        <f t="shared" si="167"/>
        <v>2.00082</v>
      </c>
      <c r="T820">
        <f>IF(connections!$A820="","",IFERROR(INDEX(games!$B$2:$B$950,MATCH(connections!$A820,games!$A$2:$A$950,0)),""))</f>
        <v>2019</v>
      </c>
      <c r="U820">
        <f>IF(connections!$A820="","",IFERROR(INDEX(games!$B$2:$B$950,MATCH(connections!$B820,games!$A$2:$A$950,0)),""))</f>
        <v>2025</v>
      </c>
      <c r="V820">
        <f t="shared" si="168"/>
        <v>6</v>
      </c>
    </row>
    <row r="821" spans="1:22" x14ac:dyDescent="0.25">
      <c r="A821" t="str">
        <f>IF(games!$A821="","",games!$A821)</f>
        <v>Tower Tactics: Liberation</v>
      </c>
      <c r="B821">
        <f>IF($A821="","",games!$B821)</f>
        <v>2021</v>
      </c>
      <c r="C821" t="str">
        <f>IF($A821="","",games!$C821)</f>
        <v>Deckbuilder</v>
      </c>
      <c r="D821">
        <f>IF($A821="","",COUNTIF(connections!$A$2:$A$1473,$A821)+COUNTIF(connections!$B$2:$B$1473,$A821))</f>
        <v>3</v>
      </c>
      <c r="E821">
        <f t="shared" si="156"/>
        <v>3</v>
      </c>
      <c r="F821">
        <f t="shared" si="157"/>
        <v>5</v>
      </c>
      <c r="G821" t="e">
        <f t="shared" si="158"/>
        <v>#N/A</v>
      </c>
      <c r="H821" t="e">
        <f t="shared" si="159"/>
        <v>#N/A</v>
      </c>
      <c r="I821" t="e">
        <f t="shared" si="160"/>
        <v>#N/A</v>
      </c>
      <c r="J821" t="e">
        <f t="shared" si="161"/>
        <v>#N/A</v>
      </c>
      <c r="K821">
        <f t="shared" si="162"/>
        <v>2021</v>
      </c>
      <c r="L821">
        <f t="shared" si="163"/>
        <v>3.1150000000000002</v>
      </c>
      <c r="M821" t="e">
        <f t="shared" si="164"/>
        <v>#N/A</v>
      </c>
      <c r="N821" t="e">
        <f t="shared" si="165"/>
        <v>#N/A</v>
      </c>
      <c r="O821">
        <f t="shared" si="166"/>
        <v>3.0008210000000002</v>
      </c>
      <c r="P821" t="str">
        <f>IF(OR($A821="",games!$H821=""),"",games!$H821)</f>
        <v>Yes</v>
      </c>
      <c r="Q821">
        <f t="shared" si="167"/>
        <v>3.0008210000000002</v>
      </c>
      <c r="T821">
        <f>IF(connections!$A821="","",IFERROR(INDEX(games!$B$2:$B$950,MATCH(connections!$A821,games!$A$2:$A$950,0)),""))</f>
        <v>2021</v>
      </c>
      <c r="U821">
        <f>IF(connections!$A821="","",IFERROR(INDEX(games!$B$2:$B$950,MATCH(connections!$B821,games!$A$2:$A$950,0)),""))</f>
        <v>2022</v>
      </c>
      <c r="V821">
        <f t="shared" si="168"/>
        <v>1</v>
      </c>
    </row>
    <row r="822" spans="1:22" x14ac:dyDescent="0.25">
      <c r="A822" t="str">
        <f>IF(games!$A822="","",games!$A822)</f>
        <v>Toy Smash Kaboom!</v>
      </c>
      <c r="B822">
        <f>IF($A822="","",games!$B822)</f>
        <v>2025</v>
      </c>
      <c r="C822" t="str">
        <f>IF($A822="","",games!$C822)</f>
        <v>Deckbuilder</v>
      </c>
      <c r="D822">
        <f>IF($A822="","",COUNTIF(connections!$A$2:$A$1473,$A822)+COUNTIF(connections!$B$2:$B$1473,$A822))</f>
        <v>1</v>
      </c>
      <c r="E822">
        <f t="shared" si="156"/>
        <v>3</v>
      </c>
      <c r="F822">
        <f t="shared" si="157"/>
        <v>6</v>
      </c>
      <c r="G822" t="e">
        <f t="shared" si="158"/>
        <v>#N/A</v>
      </c>
      <c r="H822" t="e">
        <f t="shared" si="159"/>
        <v>#N/A</v>
      </c>
      <c r="I822" t="e">
        <f t="shared" si="160"/>
        <v>#N/A</v>
      </c>
      <c r="J822" t="e">
        <f t="shared" si="161"/>
        <v>#N/A</v>
      </c>
      <c r="K822">
        <f t="shared" si="162"/>
        <v>2025</v>
      </c>
      <c r="L822">
        <f t="shared" si="163"/>
        <v>3.1379999999999999</v>
      </c>
      <c r="M822" t="e">
        <f t="shared" si="164"/>
        <v>#N/A</v>
      </c>
      <c r="N822" t="e">
        <f t="shared" si="165"/>
        <v>#N/A</v>
      </c>
      <c r="O822">
        <f t="shared" si="166"/>
        <v>1.0008220000000001</v>
      </c>
      <c r="P822" t="str">
        <f>IF(OR($A822="",games!$H822=""),"",games!$H822)</f>
        <v/>
      </c>
      <c r="Q822" t="str">
        <f t="shared" si="167"/>
        <v/>
      </c>
      <c r="T822">
        <f>IF(connections!$A822="","",IFERROR(INDEX(games!$B$2:$B$950,MATCH(connections!$A822,games!$A$2:$A$950,0)),""))</f>
        <v>1984</v>
      </c>
      <c r="U822">
        <f>IF(connections!$A822="","",IFERROR(INDEX(games!$B$2:$B$950,MATCH(connections!$B822,games!$A$2:$A$950,0)),""))</f>
        <v>1987</v>
      </c>
      <c r="V822">
        <f t="shared" si="168"/>
        <v>3</v>
      </c>
    </row>
    <row r="823" spans="1:22" x14ac:dyDescent="0.25">
      <c r="A823" t="str">
        <f>IF(games!$A823="","",games!$A823)</f>
        <v>Trash of the Titans</v>
      </c>
      <c r="B823">
        <f>IF($A823="","",games!$B823)</f>
        <v>2024</v>
      </c>
      <c r="C823" t="str">
        <f>IF($A823="","",games!$C823)</f>
        <v>Strategy</v>
      </c>
      <c r="D823">
        <f>IF($A823="","",COUNTIF(connections!$A$2:$A$1473,$A823)+COUNTIF(connections!$B$2:$B$1473,$A823))</f>
        <v>1</v>
      </c>
      <c r="E823">
        <f t="shared" si="156"/>
        <v>2</v>
      </c>
      <c r="F823">
        <f t="shared" si="157"/>
        <v>7</v>
      </c>
      <c r="G823" t="e">
        <f t="shared" si="158"/>
        <v>#N/A</v>
      </c>
      <c r="H823" t="e">
        <f t="shared" si="159"/>
        <v>#N/A</v>
      </c>
      <c r="I823">
        <f t="shared" si="160"/>
        <v>2024</v>
      </c>
      <c r="J823">
        <f t="shared" si="161"/>
        <v>2.161</v>
      </c>
      <c r="K823" t="e">
        <f t="shared" si="162"/>
        <v>#N/A</v>
      </c>
      <c r="L823" t="e">
        <f t="shared" si="163"/>
        <v>#N/A</v>
      </c>
      <c r="M823" t="e">
        <f t="shared" si="164"/>
        <v>#N/A</v>
      </c>
      <c r="N823" t="e">
        <f t="shared" si="165"/>
        <v>#N/A</v>
      </c>
      <c r="O823">
        <f t="shared" si="166"/>
        <v>1.000823</v>
      </c>
      <c r="P823" t="str">
        <f>IF(OR($A823="",games!$H823=""),"",games!$H823)</f>
        <v/>
      </c>
      <c r="Q823" t="str">
        <f t="shared" si="167"/>
        <v/>
      </c>
      <c r="T823">
        <f>IF(connections!$A823="","",IFERROR(INDEX(games!$B$2:$B$950,MATCH(connections!$A823,games!$A$2:$A$950,0)),""))</f>
        <v>2020</v>
      </c>
      <c r="U823">
        <f>IF(connections!$A823="","",IFERROR(INDEX(games!$B$2:$B$950,MATCH(connections!$B823,games!$A$2:$A$950,0)),""))</f>
        <v>2025</v>
      </c>
      <c r="V823">
        <f t="shared" si="168"/>
        <v>5</v>
      </c>
    </row>
    <row r="824" spans="1:22" x14ac:dyDescent="0.25">
      <c r="A824" t="str">
        <f>IF(games!$A824="","",games!$A824)</f>
        <v>Trials of Fire</v>
      </c>
      <c r="B824">
        <f>IF($A824="","",games!$B824)</f>
        <v>2019</v>
      </c>
      <c r="C824" t="str">
        <f>IF($A824="","",games!$C824)</f>
        <v>Deckbuilder</v>
      </c>
      <c r="D824">
        <f>IF($A824="","",COUNTIF(connections!$A$2:$A$1473,$A824)+COUNTIF(connections!$B$2:$B$1473,$A824))</f>
        <v>1</v>
      </c>
      <c r="E824">
        <f t="shared" si="156"/>
        <v>3</v>
      </c>
      <c r="F824">
        <f t="shared" si="157"/>
        <v>8</v>
      </c>
      <c r="G824" t="e">
        <f t="shared" si="158"/>
        <v>#N/A</v>
      </c>
      <c r="H824" t="e">
        <f t="shared" si="159"/>
        <v>#N/A</v>
      </c>
      <c r="I824" t="e">
        <f t="shared" si="160"/>
        <v>#N/A</v>
      </c>
      <c r="J824" t="e">
        <f t="shared" si="161"/>
        <v>#N/A</v>
      </c>
      <c r="K824">
        <f t="shared" si="162"/>
        <v>2019</v>
      </c>
      <c r="L824">
        <f t="shared" si="163"/>
        <v>3.1840000000000002</v>
      </c>
      <c r="M824" t="e">
        <f t="shared" si="164"/>
        <v>#N/A</v>
      </c>
      <c r="N824" t="e">
        <f t="shared" si="165"/>
        <v>#N/A</v>
      </c>
      <c r="O824">
        <f t="shared" si="166"/>
        <v>1.0008239999999999</v>
      </c>
      <c r="P824" t="str">
        <f>IF(OR($A824="",games!$H824=""),"",games!$H824)</f>
        <v>Yes</v>
      </c>
      <c r="Q824">
        <f t="shared" si="167"/>
        <v>1.0008239999999999</v>
      </c>
      <c r="T824">
        <f>IF(connections!$A824="","",IFERROR(INDEX(games!$B$2:$B$950,MATCH(connections!$A824,games!$A$2:$A$950,0)),""))</f>
        <v>2019</v>
      </c>
      <c r="U824">
        <f>IF(connections!$A824="","",IFERROR(INDEX(games!$B$2:$B$950,MATCH(connections!$B824,games!$A$2:$A$950,0)),""))</f>
        <v>2025</v>
      </c>
      <c r="V824">
        <f t="shared" si="168"/>
        <v>6</v>
      </c>
    </row>
    <row r="825" spans="1:22" x14ac:dyDescent="0.25">
      <c r="A825" t="str">
        <f>IF(games!$A825="","",games!$A825)</f>
        <v>TumbleSeed</v>
      </c>
      <c r="B825">
        <f>IF($A825="","",games!$B825)</f>
        <v>2017</v>
      </c>
      <c r="C825" t="str">
        <f>IF($A825="","",games!$C825)</f>
        <v>Action</v>
      </c>
      <c r="D825">
        <f>IF($A825="","",COUNTIF(connections!$A$2:$A$1473,$A825)+COUNTIF(connections!$B$2:$B$1473,$A825))</f>
        <v>3</v>
      </c>
      <c r="E825">
        <f t="shared" si="156"/>
        <v>1</v>
      </c>
      <c r="F825">
        <f t="shared" si="157"/>
        <v>9</v>
      </c>
      <c r="G825">
        <f t="shared" si="158"/>
        <v>2017</v>
      </c>
      <c r="H825">
        <f t="shared" si="159"/>
        <v>1.2070000000000001</v>
      </c>
      <c r="I825" t="e">
        <f t="shared" si="160"/>
        <v>#N/A</v>
      </c>
      <c r="J825" t="e">
        <f t="shared" si="161"/>
        <v>#N/A</v>
      </c>
      <c r="K825" t="e">
        <f t="shared" si="162"/>
        <v>#N/A</v>
      </c>
      <c r="L825" t="e">
        <f t="shared" si="163"/>
        <v>#N/A</v>
      </c>
      <c r="M825" t="e">
        <f t="shared" si="164"/>
        <v>#N/A</v>
      </c>
      <c r="N825" t="e">
        <f t="shared" si="165"/>
        <v>#N/A</v>
      </c>
      <c r="O825">
        <f t="shared" si="166"/>
        <v>3.0008249999999999</v>
      </c>
      <c r="P825" t="str">
        <f>IF(OR($A825="",games!$H825=""),"",games!$H825)</f>
        <v/>
      </c>
      <c r="Q825" t="str">
        <f t="shared" si="167"/>
        <v/>
      </c>
      <c r="T825">
        <f>IF(connections!$A825="","",IFERROR(INDEX(games!$B$2:$B$950,MATCH(connections!$A825,games!$A$2:$A$950,0)),""))</f>
        <v>2019</v>
      </c>
      <c r="U825">
        <f>IF(connections!$A825="","",IFERROR(INDEX(games!$B$2:$B$950,MATCH(connections!$B825,games!$A$2:$A$950,0)),""))</f>
        <v>2021</v>
      </c>
      <c r="V825">
        <f t="shared" si="168"/>
        <v>2</v>
      </c>
    </row>
    <row r="826" spans="1:22" x14ac:dyDescent="0.25">
      <c r="A826" t="str">
        <f>IF(games!$A826="","",games!$A826)</f>
        <v>Turnbound</v>
      </c>
      <c r="B826">
        <f>IF($A826="","",games!$B826)</f>
        <v>2026</v>
      </c>
      <c r="C826" t="str">
        <f>IF($A826="","",games!$C826)</f>
        <v>Deckbuilder</v>
      </c>
      <c r="D826">
        <f>IF($A826="","",COUNTIF(connections!$A$2:$A$1473,$A826)+COUNTIF(connections!$B$2:$B$1473,$A826))</f>
        <v>2</v>
      </c>
      <c r="E826">
        <f t="shared" si="156"/>
        <v>3</v>
      </c>
      <c r="F826">
        <f t="shared" si="157"/>
        <v>10</v>
      </c>
      <c r="G826" t="e">
        <f t="shared" si="158"/>
        <v>#N/A</v>
      </c>
      <c r="H826" t="e">
        <f t="shared" si="159"/>
        <v>#N/A</v>
      </c>
      <c r="I826" t="e">
        <f t="shared" si="160"/>
        <v>#N/A</v>
      </c>
      <c r="J826" t="e">
        <f t="shared" si="161"/>
        <v>#N/A</v>
      </c>
      <c r="K826">
        <f t="shared" si="162"/>
        <v>2026</v>
      </c>
      <c r="L826">
        <f t="shared" si="163"/>
        <v>3.23</v>
      </c>
      <c r="M826" t="e">
        <f t="shared" si="164"/>
        <v>#N/A</v>
      </c>
      <c r="N826" t="e">
        <f t="shared" si="165"/>
        <v>#N/A</v>
      </c>
      <c r="O826">
        <f t="shared" si="166"/>
        <v>2.000826</v>
      </c>
      <c r="P826" t="str">
        <f>IF(OR($A826="",games!$H826=""),"",games!$H826)</f>
        <v>Yes</v>
      </c>
      <c r="Q826">
        <f t="shared" si="167"/>
        <v>2.000826</v>
      </c>
      <c r="T826">
        <f>IF(connections!$A826="","",IFERROR(INDEX(games!$B$2:$B$950,MATCH(connections!$A826,games!$A$2:$A$950,0)),""))</f>
        <v>2021</v>
      </c>
      <c r="U826">
        <f>IF(connections!$A826="","",IFERROR(INDEX(games!$B$2:$B$950,MATCH(connections!$B826,games!$A$2:$A$950,0)),""))</f>
        <v>2025</v>
      </c>
      <c r="V826">
        <f t="shared" si="168"/>
        <v>4</v>
      </c>
    </row>
    <row r="827" spans="1:22" x14ac:dyDescent="0.25">
      <c r="A827" t="str">
        <f>IF(games!$A827="","",games!$A827)</f>
        <v>Tyrant's Realm</v>
      </c>
      <c r="B827">
        <f>IF($A827="","",games!$B827)</f>
        <v>2025</v>
      </c>
      <c r="C827" t="str">
        <f>IF($A827="","",games!$C827)</f>
        <v>Action</v>
      </c>
      <c r="D827">
        <f>IF($A827="","",COUNTIF(connections!$A$2:$A$1473,$A827)+COUNTIF(connections!$B$2:$B$1473,$A827))</f>
        <v>1</v>
      </c>
      <c r="E827">
        <f t="shared" si="156"/>
        <v>1</v>
      </c>
      <c r="F827">
        <f t="shared" si="157"/>
        <v>11</v>
      </c>
      <c r="G827">
        <f t="shared" si="158"/>
        <v>2025</v>
      </c>
      <c r="H827">
        <f t="shared" si="159"/>
        <v>1.2530000000000001</v>
      </c>
      <c r="I827" t="e">
        <f t="shared" si="160"/>
        <v>#N/A</v>
      </c>
      <c r="J827" t="e">
        <f t="shared" si="161"/>
        <v>#N/A</v>
      </c>
      <c r="K827" t="e">
        <f t="shared" si="162"/>
        <v>#N/A</v>
      </c>
      <c r="L827" t="e">
        <f t="shared" si="163"/>
        <v>#N/A</v>
      </c>
      <c r="M827" t="e">
        <f t="shared" si="164"/>
        <v>#N/A</v>
      </c>
      <c r="N827" t="e">
        <f t="shared" si="165"/>
        <v>#N/A</v>
      </c>
      <c r="O827">
        <f t="shared" si="166"/>
        <v>1.0008269999999999</v>
      </c>
      <c r="P827" t="str">
        <f>IF(OR($A827="",games!$H827=""),"",games!$H827)</f>
        <v>Yes</v>
      </c>
      <c r="Q827">
        <f t="shared" si="167"/>
        <v>1.0008269999999999</v>
      </c>
      <c r="T827">
        <f>IF(connections!$A827="","",IFERROR(INDEX(games!$B$2:$B$950,MATCH(connections!$A827,games!$A$2:$A$950,0)),""))</f>
        <v>2021</v>
      </c>
      <c r="U827">
        <f>IF(connections!$A827="","",IFERROR(INDEX(games!$B$2:$B$950,MATCH(connections!$B827,games!$A$2:$A$950,0)),""))</f>
        <v>2024</v>
      </c>
      <c r="V827">
        <f t="shared" si="168"/>
        <v>3</v>
      </c>
    </row>
    <row r="828" spans="1:22" x14ac:dyDescent="0.25">
      <c r="A828" t="str">
        <f>IF(games!$A828="","",games!$A828)</f>
        <v>Ultima Ratio Regum</v>
      </c>
      <c r="B828">
        <f>IF($A828="","",games!$B828)</f>
        <v>2012</v>
      </c>
      <c r="C828" t="str">
        <f>IF($A828="","",games!$C828)</f>
        <v>Traditional</v>
      </c>
      <c r="D828">
        <f>IF($A828="","",COUNTIF(connections!$A$2:$A$1473,$A828)+COUNTIF(connections!$B$2:$B$1473,$A828))</f>
        <v>2</v>
      </c>
      <c r="E828">
        <f t="shared" si="156"/>
        <v>4</v>
      </c>
      <c r="F828">
        <f t="shared" si="157"/>
        <v>12</v>
      </c>
      <c r="G828" t="e">
        <f t="shared" si="158"/>
        <v>#N/A</v>
      </c>
      <c r="H828" t="e">
        <f t="shared" si="159"/>
        <v>#N/A</v>
      </c>
      <c r="I828" t="e">
        <f t="shared" si="160"/>
        <v>#N/A</v>
      </c>
      <c r="J828" t="e">
        <f t="shared" si="161"/>
        <v>#N/A</v>
      </c>
      <c r="K828" t="e">
        <f t="shared" si="162"/>
        <v>#N/A</v>
      </c>
      <c r="L828" t="e">
        <f t="shared" si="163"/>
        <v>#N/A</v>
      </c>
      <c r="M828">
        <f t="shared" si="164"/>
        <v>2012</v>
      </c>
      <c r="N828">
        <f t="shared" si="165"/>
        <v>4.2759999999999998</v>
      </c>
      <c r="O828">
        <f t="shared" si="166"/>
        <v>2.0008279999999998</v>
      </c>
      <c r="P828" t="str">
        <f>IF(OR($A828="",games!$H828=""),"",games!$H828)</f>
        <v/>
      </c>
      <c r="Q828" t="str">
        <f t="shared" si="167"/>
        <v/>
      </c>
      <c r="T828">
        <f>IF(connections!$A828="","",IFERROR(INDEX(games!$B$2:$B$950,MATCH(connections!$A828,games!$A$2:$A$950,0)),""))</f>
        <v>2021</v>
      </c>
      <c r="U828">
        <f>IF(connections!$A828="","",IFERROR(INDEX(games!$B$2:$B$950,MATCH(connections!$B828,games!$A$2:$A$950,0)),""))</f>
        <v>2026</v>
      </c>
      <c r="V828">
        <f t="shared" si="168"/>
        <v>5</v>
      </c>
    </row>
    <row r="829" spans="1:22" x14ac:dyDescent="0.25">
      <c r="A829" t="str">
        <f>IF(games!$A829="","",games!$A829)</f>
        <v>Ultimate ADOM</v>
      </c>
      <c r="B829">
        <f>IF($A829="","",games!$B829)</f>
        <v>2021</v>
      </c>
      <c r="C829" t="str">
        <f>IF($A829="","",games!$C829)</f>
        <v>Traditional</v>
      </c>
      <c r="D829">
        <f>IF($A829="","",COUNTIF(connections!$A$2:$A$1473,$A829)+COUNTIF(connections!$B$2:$B$1473,$A829))</f>
        <v>1</v>
      </c>
      <c r="E829">
        <f t="shared" si="156"/>
        <v>4</v>
      </c>
      <c r="F829">
        <f t="shared" si="157"/>
        <v>13</v>
      </c>
      <c r="G829" t="e">
        <f t="shared" si="158"/>
        <v>#N/A</v>
      </c>
      <c r="H829" t="e">
        <f t="shared" si="159"/>
        <v>#N/A</v>
      </c>
      <c r="I829" t="e">
        <f t="shared" si="160"/>
        <v>#N/A</v>
      </c>
      <c r="J829" t="e">
        <f t="shared" si="161"/>
        <v>#N/A</v>
      </c>
      <c r="K829" t="e">
        <f t="shared" si="162"/>
        <v>#N/A</v>
      </c>
      <c r="L829" t="e">
        <f t="shared" si="163"/>
        <v>#N/A</v>
      </c>
      <c r="M829">
        <f t="shared" si="164"/>
        <v>2021</v>
      </c>
      <c r="N829">
        <f t="shared" si="165"/>
        <v>4.2990000000000004</v>
      </c>
      <c r="O829">
        <f t="shared" si="166"/>
        <v>1.000829</v>
      </c>
      <c r="P829" t="str">
        <f>IF(OR($A829="",games!$H829=""),"",games!$H829)</f>
        <v>Yes</v>
      </c>
      <c r="Q829">
        <f t="shared" si="167"/>
        <v>1.000829</v>
      </c>
      <c r="T829">
        <f>IF(connections!$A829="","",IFERROR(INDEX(games!$B$2:$B$950,MATCH(connections!$A829,games!$A$2:$A$950,0)),""))</f>
        <v>2024</v>
      </c>
      <c r="U829">
        <f>IF(connections!$A829="","",IFERROR(INDEX(games!$B$2:$B$950,MATCH(connections!$B829,games!$A$2:$A$950,0)),""))</f>
        <v>2026</v>
      </c>
      <c r="V829">
        <f t="shared" si="168"/>
        <v>2</v>
      </c>
    </row>
    <row r="830" spans="1:22" x14ac:dyDescent="0.25">
      <c r="A830" t="str">
        <f>IF(games!$A830="","",games!$A830)</f>
        <v>Ultrapool</v>
      </c>
      <c r="B830">
        <f>IF($A830="","",games!$B830)</f>
        <v>2026</v>
      </c>
      <c r="C830" t="str">
        <f>IF($A830="","",games!$C830)</f>
        <v>Deckbuilder</v>
      </c>
      <c r="D830">
        <f>IF($A830="","",COUNTIF(connections!$A$2:$A$1473,$A830)+COUNTIF(connections!$B$2:$B$1473,$A830))</f>
        <v>2</v>
      </c>
      <c r="E830">
        <f t="shared" si="156"/>
        <v>3</v>
      </c>
      <c r="F830">
        <f t="shared" si="157"/>
        <v>14</v>
      </c>
      <c r="G830" t="e">
        <f t="shared" si="158"/>
        <v>#N/A</v>
      </c>
      <c r="H830" t="e">
        <f t="shared" si="159"/>
        <v>#N/A</v>
      </c>
      <c r="I830" t="e">
        <f t="shared" si="160"/>
        <v>#N/A</v>
      </c>
      <c r="J830" t="e">
        <f t="shared" si="161"/>
        <v>#N/A</v>
      </c>
      <c r="K830">
        <f t="shared" si="162"/>
        <v>2026</v>
      </c>
      <c r="L830">
        <f t="shared" si="163"/>
        <v>3.3220000000000001</v>
      </c>
      <c r="M830" t="e">
        <f t="shared" si="164"/>
        <v>#N/A</v>
      </c>
      <c r="N830" t="e">
        <f t="shared" si="165"/>
        <v>#N/A</v>
      </c>
      <c r="O830">
        <f t="shared" si="166"/>
        <v>2.0008300000000001</v>
      </c>
      <c r="P830" t="str">
        <f>IF(OR($A830="",games!$H830=""),"",games!$H830)</f>
        <v/>
      </c>
      <c r="Q830" t="str">
        <f t="shared" si="167"/>
        <v/>
      </c>
      <c r="T830">
        <f>IF(connections!$A830="","",IFERROR(INDEX(games!$B$2:$B$950,MATCH(connections!$A830,games!$A$2:$A$950,0)),""))</f>
        <v>2017</v>
      </c>
      <c r="U830">
        <f>IF(connections!$A830="","",IFERROR(INDEX(games!$B$2:$B$950,MATCH(connections!$B830,games!$A$2:$A$950,0)),""))</f>
        <v>2026</v>
      </c>
      <c r="V830">
        <f t="shared" si="168"/>
        <v>9</v>
      </c>
    </row>
    <row r="831" spans="1:22" x14ac:dyDescent="0.25">
      <c r="A831" t="str">
        <f>IF(games!$A831="","",games!$A831)</f>
        <v>Uma Musume: Pretty Derby</v>
      </c>
      <c r="B831">
        <f>IF($A831="","",games!$B831)</f>
        <v>2021</v>
      </c>
      <c r="C831" t="str">
        <f>IF($A831="","",games!$C831)</f>
        <v>Strategy</v>
      </c>
      <c r="D831">
        <f>IF($A831="","",COUNTIF(connections!$A$2:$A$1473,$A831)+COUNTIF(connections!$B$2:$B$1473,$A831))</f>
        <v>1</v>
      </c>
      <c r="E831">
        <f t="shared" si="156"/>
        <v>2</v>
      </c>
      <c r="F831">
        <f t="shared" si="157"/>
        <v>15</v>
      </c>
      <c r="G831" t="e">
        <f t="shared" si="158"/>
        <v>#N/A</v>
      </c>
      <c r="H831" t="e">
        <f t="shared" si="159"/>
        <v>#N/A</v>
      </c>
      <c r="I831">
        <f t="shared" si="160"/>
        <v>2021</v>
      </c>
      <c r="J831">
        <f t="shared" si="161"/>
        <v>2.3449999999999998</v>
      </c>
      <c r="K831" t="e">
        <f t="shared" si="162"/>
        <v>#N/A</v>
      </c>
      <c r="L831" t="e">
        <f t="shared" si="163"/>
        <v>#N/A</v>
      </c>
      <c r="M831" t="e">
        <f t="shared" si="164"/>
        <v>#N/A</v>
      </c>
      <c r="N831" t="e">
        <f t="shared" si="165"/>
        <v>#N/A</v>
      </c>
      <c r="O831">
        <f t="shared" si="166"/>
        <v>1.000831</v>
      </c>
      <c r="P831" t="str">
        <f>IF(OR($A831="",games!$H831=""),"",games!$H831)</f>
        <v>Yes</v>
      </c>
      <c r="Q831">
        <f t="shared" si="167"/>
        <v>1.000831</v>
      </c>
      <c r="T831">
        <f>IF(connections!$A831="","",IFERROR(INDEX(games!$B$2:$B$950,MATCH(connections!$A831,games!$A$2:$A$950,0)),""))</f>
        <v>2021</v>
      </c>
      <c r="U831">
        <f>IF(connections!$A831="","",IFERROR(INDEX(games!$B$2:$B$950,MATCH(connections!$B831,games!$A$2:$A$950,0)),""))</f>
        <v>2026</v>
      </c>
      <c r="V831">
        <f t="shared" si="168"/>
        <v>5</v>
      </c>
    </row>
    <row r="832" spans="1:22" x14ac:dyDescent="0.25">
      <c r="A832" t="str">
        <f>IF(games!$A832="","",games!$A832)</f>
        <v>Underdogs</v>
      </c>
      <c r="B832">
        <f>IF($A832="","",games!$B832)</f>
        <v>2024</v>
      </c>
      <c r="C832" t="str">
        <f>IF($A832="","",games!$C832)</f>
        <v>Action</v>
      </c>
      <c r="D832">
        <f>IF($A832="","",COUNTIF(connections!$A$2:$A$1473,$A832)+COUNTIF(connections!$B$2:$B$1473,$A832))</f>
        <v>0</v>
      </c>
      <c r="E832">
        <f t="shared" si="156"/>
        <v>1</v>
      </c>
      <c r="F832">
        <f t="shared" si="157"/>
        <v>16</v>
      </c>
      <c r="G832">
        <f t="shared" si="158"/>
        <v>2024</v>
      </c>
      <c r="H832">
        <f t="shared" si="159"/>
        <v>1.3679999999999999</v>
      </c>
      <c r="I832" t="e">
        <f t="shared" si="160"/>
        <v>#N/A</v>
      </c>
      <c r="J832" t="e">
        <f t="shared" si="161"/>
        <v>#N/A</v>
      </c>
      <c r="K832" t="e">
        <f t="shared" si="162"/>
        <v>#N/A</v>
      </c>
      <c r="L832" t="e">
        <f t="shared" si="163"/>
        <v>#N/A</v>
      </c>
      <c r="M832" t="e">
        <f t="shared" si="164"/>
        <v>#N/A</v>
      </c>
      <c r="N832" t="e">
        <f t="shared" si="165"/>
        <v>#N/A</v>
      </c>
      <c r="O832">
        <f t="shared" si="166"/>
        <v>8.3199999999999995E-4</v>
      </c>
      <c r="P832" t="str">
        <f>IF(OR($A832="",games!$H832=""),"",games!$H832)</f>
        <v/>
      </c>
      <c r="Q832" t="str">
        <f t="shared" si="167"/>
        <v/>
      </c>
      <c r="T832">
        <f>IF(connections!$A832="","",IFERROR(INDEX(games!$B$2:$B$950,MATCH(connections!$A832,games!$A$2:$A$950,0)),""))</f>
        <v>2025</v>
      </c>
      <c r="U832">
        <f>IF(connections!$A832="","",IFERROR(INDEX(games!$B$2:$B$950,MATCH(connections!$B832,games!$A$2:$A$950,0)),""))</f>
        <v>2026</v>
      </c>
      <c r="V832">
        <f t="shared" si="168"/>
        <v>1</v>
      </c>
    </row>
    <row r="833" spans="1:22" x14ac:dyDescent="0.25">
      <c r="A833" t="str">
        <f>IF(games!$A833="","",games!$A833)</f>
        <v>UnderMine</v>
      </c>
      <c r="B833">
        <f>IF($A833="","",games!$B833)</f>
        <v>2019</v>
      </c>
      <c r="C833" t="str">
        <f>IF($A833="","",games!$C833)</f>
        <v>Action</v>
      </c>
      <c r="D833">
        <f>IF($A833="","",COUNTIF(connections!$A$2:$A$1473,$A833)+COUNTIF(connections!$B$2:$B$1473,$A833))</f>
        <v>6</v>
      </c>
      <c r="E833">
        <f t="shared" si="156"/>
        <v>1</v>
      </c>
      <c r="F833">
        <f t="shared" si="157"/>
        <v>17</v>
      </c>
      <c r="G833">
        <f t="shared" si="158"/>
        <v>2019</v>
      </c>
      <c r="H833">
        <f t="shared" si="159"/>
        <v>1.391</v>
      </c>
      <c r="I833" t="e">
        <f t="shared" si="160"/>
        <v>#N/A</v>
      </c>
      <c r="J833" t="e">
        <f t="shared" si="161"/>
        <v>#N/A</v>
      </c>
      <c r="K833" t="e">
        <f t="shared" si="162"/>
        <v>#N/A</v>
      </c>
      <c r="L833" t="e">
        <f t="shared" si="163"/>
        <v>#N/A</v>
      </c>
      <c r="M833" t="e">
        <f t="shared" si="164"/>
        <v>#N/A</v>
      </c>
      <c r="N833" t="e">
        <f t="shared" si="165"/>
        <v>#N/A</v>
      </c>
      <c r="O833">
        <f t="shared" si="166"/>
        <v>6.0008330000000001</v>
      </c>
      <c r="P833" t="str">
        <f>IF(OR($A833="",games!$H833=""),"",games!$H833)</f>
        <v>Yes</v>
      </c>
      <c r="Q833">
        <f t="shared" si="167"/>
        <v>6.0008330000000001</v>
      </c>
      <c r="T833">
        <f>IF(connections!$A833="","",IFERROR(INDEX(games!$B$2:$B$950,MATCH(connections!$A833,games!$A$2:$A$950,0)),""))</f>
        <v>2008</v>
      </c>
      <c r="U833">
        <f>IF(connections!$A833="","",IFERROR(INDEX(games!$B$2:$B$950,MATCH(connections!$B833,games!$A$2:$A$950,0)),""))</f>
        <v>2019</v>
      </c>
      <c r="V833">
        <f t="shared" si="168"/>
        <v>11</v>
      </c>
    </row>
    <row r="834" spans="1:22" x14ac:dyDescent="0.25">
      <c r="A834" t="str">
        <f>IF(games!$A834="","",games!$A834)</f>
        <v>UnderMine 2</v>
      </c>
      <c r="B834">
        <f>IF($A834="","",games!$B834)</f>
        <v>2025</v>
      </c>
      <c r="C834" t="str">
        <f>IF($A834="","",games!$C834)</f>
        <v>Action</v>
      </c>
      <c r="D834">
        <f>IF($A834="","",COUNTIF(connections!$A$2:$A$1473,$A834)+COUNTIF(connections!$B$2:$B$1473,$A834))</f>
        <v>2</v>
      </c>
      <c r="E834">
        <f t="shared" ref="E834:E897" si="169">IF($A834="","",IFERROR(MATCH($C834,$R$2:$R$5,0),0))</f>
        <v>1</v>
      </c>
      <c r="F834">
        <f t="shared" ref="F834:F897" si="170">IF($A834="","",MOD(ROW(),34))</f>
        <v>18</v>
      </c>
      <c r="G834">
        <f t="shared" ref="G834:G897" si="171">IF($A834="",NA(),IF($C834="Action",$B834,NA()))</f>
        <v>2025</v>
      </c>
      <c r="H834">
        <f t="shared" ref="H834:H897" si="172">IF($A834="",NA(),IF($C834="Action",1+$F834*0.023,NA()))</f>
        <v>1.4139999999999999</v>
      </c>
      <c r="I834" t="e">
        <f t="shared" ref="I834:I897" si="173">IF($A834="",NA(),IF($C834="Strategy",$B834,NA()))</f>
        <v>#N/A</v>
      </c>
      <c r="J834" t="e">
        <f t="shared" ref="J834:J897" si="174">IF($A834="",NA(),IF($C834="Strategy",2+$F834*0.023,NA()))</f>
        <v>#N/A</v>
      </c>
      <c r="K834" t="e">
        <f t="shared" ref="K834:K897" si="175">IF($A834="",NA(),IF($C834="Deckbuilder",$B834,NA()))</f>
        <v>#N/A</v>
      </c>
      <c r="L834" t="e">
        <f t="shared" ref="L834:L897" si="176">IF($A834="",NA(),IF($C834="Deckbuilder",3+$F834*0.023,NA()))</f>
        <v>#N/A</v>
      </c>
      <c r="M834" t="e">
        <f t="shared" ref="M834:M897" si="177">IF($A834="",NA(),IF($C834="Traditional",$B834,NA()))</f>
        <v>#N/A</v>
      </c>
      <c r="N834" t="e">
        <f t="shared" ref="N834:N897" si="178">IF($A834="",NA(),IF($C834="Traditional",4+$F834*0.023,NA()))</f>
        <v>#N/A</v>
      </c>
      <c r="O834">
        <f t="shared" ref="O834:O897" si="179">IF($A834="","",$D834+ROW()/1000000)</f>
        <v>2.0008339999999998</v>
      </c>
      <c r="P834" t="str">
        <f>IF(OR($A834="",games!$H834=""),"",games!$H834)</f>
        <v/>
      </c>
      <c r="Q834" t="str">
        <f t="shared" ref="Q834:Q897" si="180">IF(OR($A834="",$P834&lt;&gt;"Yes"),"",$D834+ROW()/1000000)</f>
        <v/>
      </c>
      <c r="T834">
        <f>IF(connections!$A834="","",IFERROR(INDEX(games!$B$2:$B$950,MATCH(connections!$A834,games!$A$2:$A$950,0)),""))</f>
        <v>2021</v>
      </c>
      <c r="U834">
        <f>IF(connections!$A834="","",IFERROR(INDEX(games!$B$2:$B$950,MATCH(connections!$B834,games!$A$2:$A$950,0)),""))</f>
        <v>2022</v>
      </c>
      <c r="V834">
        <f t="shared" ref="V834:V897" si="181">IF(OR($T834="",$U834=""),"",$U834-$T834)</f>
        <v>1</v>
      </c>
    </row>
    <row r="835" spans="1:22" x14ac:dyDescent="0.25">
      <c r="A835" t="str">
        <f>IF(games!$A835="","",games!$A835)</f>
        <v>Unexplored</v>
      </c>
      <c r="B835">
        <f>IF($A835="","",games!$B835)</f>
        <v>2017</v>
      </c>
      <c r="C835" t="str">
        <f>IF($A835="","",games!$C835)</f>
        <v>Action</v>
      </c>
      <c r="D835">
        <f>IF($A835="","",COUNTIF(connections!$A$2:$A$1473,$A835)+COUNTIF(connections!$B$2:$B$1473,$A835))</f>
        <v>5</v>
      </c>
      <c r="E835">
        <f t="shared" si="169"/>
        <v>1</v>
      </c>
      <c r="F835">
        <f t="shared" si="170"/>
        <v>19</v>
      </c>
      <c r="G835">
        <f t="shared" si="171"/>
        <v>2017</v>
      </c>
      <c r="H835">
        <f t="shared" si="172"/>
        <v>1.4370000000000001</v>
      </c>
      <c r="I835" t="e">
        <f t="shared" si="173"/>
        <v>#N/A</v>
      </c>
      <c r="J835" t="e">
        <f t="shared" si="174"/>
        <v>#N/A</v>
      </c>
      <c r="K835" t="e">
        <f t="shared" si="175"/>
        <v>#N/A</v>
      </c>
      <c r="L835" t="e">
        <f t="shared" si="176"/>
        <v>#N/A</v>
      </c>
      <c r="M835" t="e">
        <f t="shared" si="177"/>
        <v>#N/A</v>
      </c>
      <c r="N835" t="e">
        <f t="shared" si="178"/>
        <v>#N/A</v>
      </c>
      <c r="O835">
        <f t="shared" si="179"/>
        <v>5.0008350000000004</v>
      </c>
      <c r="P835" t="str">
        <f>IF(OR($A835="",games!$H835=""),"",games!$H835)</f>
        <v/>
      </c>
      <c r="Q835" t="str">
        <f t="shared" si="180"/>
        <v/>
      </c>
      <c r="T835">
        <f>IF(connections!$A835="","",IFERROR(INDEX(games!$B$2:$B$950,MATCH(connections!$A835,games!$A$2:$A$950,0)),""))</f>
        <v>2022</v>
      </c>
      <c r="U835">
        <f>IF(connections!$A835="","",IFERROR(INDEX(games!$B$2:$B$950,MATCH(connections!$B835,games!$A$2:$A$950,0)),""))</f>
        <v>2025</v>
      </c>
      <c r="V835">
        <f t="shared" si="181"/>
        <v>3</v>
      </c>
    </row>
    <row r="836" spans="1:22" x14ac:dyDescent="0.25">
      <c r="A836" t="str">
        <f>IF(games!$A836="","",games!$A836)</f>
        <v>Unexplored 2: The Wayfarer's Legacy</v>
      </c>
      <c r="B836">
        <f>IF($A836="","",games!$B836)</f>
        <v>2022</v>
      </c>
      <c r="C836" t="str">
        <f>IF($A836="","",games!$C836)</f>
        <v>Action</v>
      </c>
      <c r="D836">
        <f>IF($A836="","",COUNTIF(connections!$A$2:$A$1473,$A836)+COUNTIF(connections!$B$2:$B$1473,$A836))</f>
        <v>1</v>
      </c>
      <c r="E836">
        <f t="shared" si="169"/>
        <v>1</v>
      </c>
      <c r="F836">
        <f t="shared" si="170"/>
        <v>20</v>
      </c>
      <c r="G836">
        <f t="shared" si="171"/>
        <v>2022</v>
      </c>
      <c r="H836">
        <f t="shared" si="172"/>
        <v>1.46</v>
      </c>
      <c r="I836" t="e">
        <f t="shared" si="173"/>
        <v>#N/A</v>
      </c>
      <c r="J836" t="e">
        <f t="shared" si="174"/>
        <v>#N/A</v>
      </c>
      <c r="K836" t="e">
        <f t="shared" si="175"/>
        <v>#N/A</v>
      </c>
      <c r="L836" t="e">
        <f t="shared" si="176"/>
        <v>#N/A</v>
      </c>
      <c r="M836" t="e">
        <f t="shared" si="177"/>
        <v>#N/A</v>
      </c>
      <c r="N836" t="e">
        <f t="shared" si="178"/>
        <v>#N/A</v>
      </c>
      <c r="O836">
        <f t="shared" si="179"/>
        <v>1.0008360000000001</v>
      </c>
      <c r="P836" t="str">
        <f>IF(OR($A836="",games!$H836=""),"",games!$H836)</f>
        <v/>
      </c>
      <c r="Q836" t="str">
        <f t="shared" si="180"/>
        <v/>
      </c>
      <c r="T836">
        <f>IF(connections!$A836="","",IFERROR(INDEX(games!$B$2:$B$950,MATCH(connections!$A836,games!$A$2:$A$950,0)),""))</f>
        <v>2011</v>
      </c>
      <c r="U836">
        <f>IF(connections!$A836="","",IFERROR(INDEX(games!$B$2:$B$950,MATCH(connections!$B836,games!$A$2:$A$950,0)),""))</f>
        <v>2025</v>
      </c>
      <c r="V836">
        <f t="shared" si="181"/>
        <v>14</v>
      </c>
    </row>
    <row r="837" spans="1:22" x14ac:dyDescent="0.25">
      <c r="A837" t="str">
        <f>IF(games!$A837="","",games!$A837)</f>
        <v>UnReal World</v>
      </c>
      <c r="B837">
        <f>IF($A837="","",games!$B837)</f>
        <v>1992</v>
      </c>
      <c r="C837" t="str">
        <f>IF($A837="","",games!$C837)</f>
        <v>Traditional</v>
      </c>
      <c r="D837">
        <f>IF($A837="","",COUNTIF(connections!$A$2:$A$1473,$A837)+COUNTIF(connections!$B$2:$B$1473,$A837))</f>
        <v>3</v>
      </c>
      <c r="E837">
        <f t="shared" si="169"/>
        <v>4</v>
      </c>
      <c r="F837">
        <f t="shared" si="170"/>
        <v>21</v>
      </c>
      <c r="G837" t="e">
        <f t="shared" si="171"/>
        <v>#N/A</v>
      </c>
      <c r="H837" t="e">
        <f t="shared" si="172"/>
        <v>#N/A</v>
      </c>
      <c r="I837" t="e">
        <f t="shared" si="173"/>
        <v>#N/A</v>
      </c>
      <c r="J837" t="e">
        <f t="shared" si="174"/>
        <v>#N/A</v>
      </c>
      <c r="K837" t="e">
        <f t="shared" si="175"/>
        <v>#N/A</v>
      </c>
      <c r="L837" t="e">
        <f t="shared" si="176"/>
        <v>#N/A</v>
      </c>
      <c r="M837">
        <f t="shared" si="177"/>
        <v>1992</v>
      </c>
      <c r="N837">
        <f t="shared" si="178"/>
        <v>4.4829999999999997</v>
      </c>
      <c r="O837">
        <f t="shared" si="179"/>
        <v>3.0008370000000002</v>
      </c>
      <c r="P837" t="str">
        <f>IF(OR($A837="",games!$H837=""),"",games!$H837)</f>
        <v>Yes</v>
      </c>
      <c r="Q837">
        <f t="shared" si="180"/>
        <v>3.0008370000000002</v>
      </c>
      <c r="T837">
        <f>IF(connections!$A837="","",IFERROR(INDEX(games!$B$2:$B$950,MATCH(connections!$A837,games!$A$2:$A$950,0)),""))</f>
        <v>2021</v>
      </c>
      <c r="U837">
        <f>IF(connections!$A837="","",IFERROR(INDEX(games!$B$2:$B$950,MATCH(connections!$B837,games!$A$2:$A$950,0)),""))</f>
        <v>2023</v>
      </c>
      <c r="V837">
        <f t="shared" si="181"/>
        <v>2</v>
      </c>
    </row>
    <row r="838" spans="1:22" x14ac:dyDescent="0.25">
      <c r="A838" t="str">
        <f>IF(games!$A838="","",games!$A838)</f>
        <v>Vagante</v>
      </c>
      <c r="B838">
        <f>IF($A838="","",games!$B838)</f>
        <v>2018</v>
      </c>
      <c r="C838" t="str">
        <f>IF($A838="","",games!$C838)</f>
        <v>Action</v>
      </c>
      <c r="D838">
        <f>IF($A838="","",COUNTIF(connections!$A$2:$A$1473,$A838)+COUNTIF(connections!$B$2:$B$1473,$A838))</f>
        <v>3</v>
      </c>
      <c r="E838">
        <f t="shared" si="169"/>
        <v>1</v>
      </c>
      <c r="F838">
        <f t="shared" si="170"/>
        <v>22</v>
      </c>
      <c r="G838">
        <f t="shared" si="171"/>
        <v>2018</v>
      </c>
      <c r="H838">
        <f t="shared" si="172"/>
        <v>1.506</v>
      </c>
      <c r="I838" t="e">
        <f t="shared" si="173"/>
        <v>#N/A</v>
      </c>
      <c r="J838" t="e">
        <f t="shared" si="174"/>
        <v>#N/A</v>
      </c>
      <c r="K838" t="e">
        <f t="shared" si="175"/>
        <v>#N/A</v>
      </c>
      <c r="L838" t="e">
        <f t="shared" si="176"/>
        <v>#N/A</v>
      </c>
      <c r="M838" t="e">
        <f t="shared" si="177"/>
        <v>#N/A</v>
      </c>
      <c r="N838" t="e">
        <f t="shared" si="178"/>
        <v>#N/A</v>
      </c>
      <c r="O838">
        <f t="shared" si="179"/>
        <v>3.0008379999999999</v>
      </c>
      <c r="P838" t="str">
        <f>IF(OR($A838="",games!$H838=""),"",games!$H838)</f>
        <v/>
      </c>
      <c r="Q838" t="str">
        <f t="shared" si="180"/>
        <v/>
      </c>
      <c r="T838">
        <f>IF(connections!$A838="","",IFERROR(INDEX(games!$B$2:$B$950,MATCH(connections!$A838,games!$A$2:$A$950,0)),""))</f>
        <v>2022</v>
      </c>
      <c r="U838">
        <f>IF(connections!$A838="","",IFERROR(INDEX(games!$B$2:$B$950,MATCH(connections!$B838,games!$A$2:$A$950,0)),""))</f>
        <v>2025</v>
      </c>
      <c r="V838">
        <f t="shared" si="181"/>
        <v>3</v>
      </c>
    </row>
    <row r="839" spans="1:22" x14ac:dyDescent="0.25">
      <c r="A839" t="str">
        <f>IF(games!$A839="","",games!$A839)</f>
        <v>Vampire Crawlers</v>
      </c>
      <c r="B839">
        <f>IF($A839="","",games!$B839)</f>
        <v>2026</v>
      </c>
      <c r="C839" t="str">
        <f>IF($A839="","",games!$C839)</f>
        <v>Deckbuilder</v>
      </c>
      <c r="D839">
        <f>IF($A839="","",COUNTIF(connections!$A$2:$A$1473,$A839)+COUNTIF(connections!$B$2:$B$1473,$A839))</f>
        <v>1</v>
      </c>
      <c r="E839">
        <f t="shared" si="169"/>
        <v>3</v>
      </c>
      <c r="F839">
        <f t="shared" si="170"/>
        <v>23</v>
      </c>
      <c r="G839" t="e">
        <f t="shared" si="171"/>
        <v>#N/A</v>
      </c>
      <c r="H839" t="e">
        <f t="shared" si="172"/>
        <v>#N/A</v>
      </c>
      <c r="I839" t="e">
        <f t="shared" si="173"/>
        <v>#N/A</v>
      </c>
      <c r="J839" t="e">
        <f t="shared" si="174"/>
        <v>#N/A</v>
      </c>
      <c r="K839">
        <f t="shared" si="175"/>
        <v>2026</v>
      </c>
      <c r="L839">
        <f t="shared" si="176"/>
        <v>3.5289999999999999</v>
      </c>
      <c r="M839" t="e">
        <f t="shared" si="177"/>
        <v>#N/A</v>
      </c>
      <c r="N839" t="e">
        <f t="shared" si="178"/>
        <v>#N/A</v>
      </c>
      <c r="O839">
        <f t="shared" si="179"/>
        <v>1.000839</v>
      </c>
      <c r="P839" t="str">
        <f>IF(OR($A839="",games!$H839=""),"",games!$H839)</f>
        <v/>
      </c>
      <c r="Q839" t="str">
        <f t="shared" si="180"/>
        <v/>
      </c>
      <c r="T839">
        <f>IF(connections!$A839="","",IFERROR(INDEX(games!$B$2:$B$950,MATCH(connections!$A839,games!$A$2:$A$950,0)),""))</f>
        <v>2017</v>
      </c>
      <c r="U839">
        <f>IF(connections!$A839="","",IFERROR(INDEX(games!$B$2:$B$950,MATCH(connections!$B839,games!$A$2:$A$950,0)),""))</f>
        <v>2025</v>
      </c>
      <c r="V839">
        <f t="shared" si="181"/>
        <v>8</v>
      </c>
    </row>
    <row r="840" spans="1:22" x14ac:dyDescent="0.25">
      <c r="A840" t="str">
        <f>IF(games!$A840="","",games!$A840)</f>
        <v>Vampire Hunters</v>
      </c>
      <c r="B840">
        <f>IF($A840="","",games!$B840)</f>
        <v>2023</v>
      </c>
      <c r="C840" t="str">
        <f>IF($A840="","",games!$C840)</f>
        <v>Action</v>
      </c>
      <c r="D840">
        <f>IF($A840="","",COUNTIF(connections!$A$2:$A$1473,$A840)+COUNTIF(connections!$B$2:$B$1473,$A840))</f>
        <v>3</v>
      </c>
      <c r="E840">
        <f t="shared" si="169"/>
        <v>1</v>
      </c>
      <c r="F840">
        <f t="shared" si="170"/>
        <v>24</v>
      </c>
      <c r="G840">
        <f t="shared" si="171"/>
        <v>2023</v>
      </c>
      <c r="H840">
        <f t="shared" si="172"/>
        <v>1.552</v>
      </c>
      <c r="I840" t="e">
        <f t="shared" si="173"/>
        <v>#N/A</v>
      </c>
      <c r="J840" t="e">
        <f t="shared" si="174"/>
        <v>#N/A</v>
      </c>
      <c r="K840" t="e">
        <f t="shared" si="175"/>
        <v>#N/A</v>
      </c>
      <c r="L840" t="e">
        <f t="shared" si="176"/>
        <v>#N/A</v>
      </c>
      <c r="M840" t="e">
        <f t="shared" si="177"/>
        <v>#N/A</v>
      </c>
      <c r="N840" t="e">
        <f t="shared" si="178"/>
        <v>#N/A</v>
      </c>
      <c r="O840">
        <f t="shared" si="179"/>
        <v>3.0008400000000002</v>
      </c>
      <c r="P840" t="str">
        <f>IF(OR($A840="",games!$H840=""),"",games!$H840)</f>
        <v>Yes</v>
      </c>
      <c r="Q840">
        <f t="shared" si="180"/>
        <v>3.0008400000000002</v>
      </c>
      <c r="T840">
        <f>IF(connections!$A840="","",IFERROR(INDEX(games!$B$2:$B$950,MATCH(connections!$A840,games!$A$2:$A$950,0)),""))</f>
        <v>2013</v>
      </c>
      <c r="U840">
        <f>IF(connections!$A840="","",IFERROR(INDEX(games!$B$2:$B$950,MATCH(connections!$B840,games!$A$2:$A$950,0)),""))</f>
        <v>2022</v>
      </c>
      <c r="V840">
        <f t="shared" si="181"/>
        <v>9</v>
      </c>
    </row>
    <row r="841" spans="1:22" x14ac:dyDescent="0.25">
      <c r="A841" t="str">
        <f>IF(games!$A841="","",games!$A841)</f>
        <v>Vampire Survivors</v>
      </c>
      <c r="B841">
        <f>IF($A841="","",games!$B841)</f>
        <v>2021</v>
      </c>
      <c r="C841" t="str">
        <f>IF($A841="","",games!$C841)</f>
        <v>Action</v>
      </c>
      <c r="D841">
        <f>IF($A841="","",COUNTIF(connections!$A$2:$A$1473,$A841)+COUNTIF(connections!$B$2:$B$1473,$A841))</f>
        <v>96</v>
      </c>
      <c r="E841">
        <f t="shared" si="169"/>
        <v>1</v>
      </c>
      <c r="F841">
        <f t="shared" si="170"/>
        <v>25</v>
      </c>
      <c r="G841">
        <f t="shared" si="171"/>
        <v>2021</v>
      </c>
      <c r="H841">
        <f t="shared" si="172"/>
        <v>1.575</v>
      </c>
      <c r="I841" t="e">
        <f t="shared" si="173"/>
        <v>#N/A</v>
      </c>
      <c r="J841" t="e">
        <f t="shared" si="174"/>
        <v>#N/A</v>
      </c>
      <c r="K841" t="e">
        <f t="shared" si="175"/>
        <v>#N/A</v>
      </c>
      <c r="L841" t="e">
        <f t="shared" si="176"/>
        <v>#N/A</v>
      </c>
      <c r="M841" t="e">
        <f t="shared" si="177"/>
        <v>#N/A</v>
      </c>
      <c r="N841" t="e">
        <f t="shared" si="178"/>
        <v>#N/A</v>
      </c>
      <c r="O841">
        <f t="shared" si="179"/>
        <v>96.000840999999994</v>
      </c>
      <c r="P841" t="str">
        <f>IF(OR($A841="",games!$H841=""),"",games!$H841)</f>
        <v>Yes</v>
      </c>
      <c r="Q841">
        <f t="shared" si="180"/>
        <v>96.000840999999994</v>
      </c>
      <c r="T841">
        <f>IF(connections!$A841="","",IFERROR(INDEX(games!$B$2:$B$950,MATCH(connections!$A841,games!$A$2:$A$950,0)),""))</f>
        <v>2011</v>
      </c>
      <c r="U841">
        <f>IF(connections!$A841="","",IFERROR(INDEX(games!$B$2:$B$950,MATCH(connections!$B841,games!$A$2:$A$950,0)),""))</f>
        <v>2022</v>
      </c>
      <c r="V841">
        <f t="shared" si="181"/>
        <v>11</v>
      </c>
    </row>
    <row r="842" spans="1:22" x14ac:dyDescent="0.25">
      <c r="A842" t="str">
        <f>IF(games!$A842="","",games!$A842)</f>
        <v>Vault of the Void</v>
      </c>
      <c r="B842">
        <f>IF($A842="","",games!$B842)</f>
        <v>2020</v>
      </c>
      <c r="C842" t="str">
        <f>IF($A842="","",games!$C842)</f>
        <v>Deckbuilder</v>
      </c>
      <c r="D842">
        <f>IF($A842="","",COUNTIF(connections!$A$2:$A$1473,$A842)+COUNTIF(connections!$B$2:$B$1473,$A842))</f>
        <v>1</v>
      </c>
      <c r="E842">
        <f t="shared" si="169"/>
        <v>3</v>
      </c>
      <c r="F842">
        <f t="shared" si="170"/>
        <v>26</v>
      </c>
      <c r="G842" t="e">
        <f t="shared" si="171"/>
        <v>#N/A</v>
      </c>
      <c r="H842" t="e">
        <f t="shared" si="172"/>
        <v>#N/A</v>
      </c>
      <c r="I842" t="e">
        <f t="shared" si="173"/>
        <v>#N/A</v>
      </c>
      <c r="J842" t="e">
        <f t="shared" si="174"/>
        <v>#N/A</v>
      </c>
      <c r="K842">
        <f t="shared" si="175"/>
        <v>2020</v>
      </c>
      <c r="L842">
        <f t="shared" si="176"/>
        <v>3.5979999999999999</v>
      </c>
      <c r="M842" t="e">
        <f t="shared" si="177"/>
        <v>#N/A</v>
      </c>
      <c r="N842" t="e">
        <f t="shared" si="178"/>
        <v>#N/A</v>
      </c>
      <c r="O842">
        <f t="shared" si="179"/>
        <v>1.000842</v>
      </c>
      <c r="P842" t="str">
        <f>IF(OR($A842="",games!$H842=""),"",games!$H842)</f>
        <v>Yes</v>
      </c>
      <c r="Q842">
        <f t="shared" si="180"/>
        <v>1.000842</v>
      </c>
      <c r="T842">
        <f>IF(connections!$A842="","",IFERROR(INDEX(games!$B$2:$B$950,MATCH(connections!$A842,games!$A$2:$A$950,0)),""))</f>
        <v>2021</v>
      </c>
      <c r="U842">
        <f>IF(connections!$A842="","",IFERROR(INDEX(games!$B$2:$B$950,MATCH(connections!$B842,games!$A$2:$A$950,0)),""))</f>
        <v>2022</v>
      </c>
      <c r="V842">
        <f t="shared" si="181"/>
        <v>1</v>
      </c>
    </row>
    <row r="843" spans="1:22" x14ac:dyDescent="0.25">
      <c r="A843" t="str">
        <f>IF(games!$A843="","",games!$A843)</f>
        <v>Vellum</v>
      </c>
      <c r="B843">
        <f>IF($A843="","",games!$B843)</f>
        <v>2024</v>
      </c>
      <c r="C843" t="str">
        <f>IF($A843="","",games!$C843)</f>
        <v>Action</v>
      </c>
      <c r="D843">
        <f>IF($A843="","",COUNTIF(connections!$A$2:$A$1473,$A843)+COUNTIF(connections!$B$2:$B$1473,$A843))</f>
        <v>6</v>
      </c>
      <c r="E843">
        <f t="shared" si="169"/>
        <v>1</v>
      </c>
      <c r="F843">
        <f t="shared" si="170"/>
        <v>27</v>
      </c>
      <c r="G843">
        <f t="shared" si="171"/>
        <v>2024</v>
      </c>
      <c r="H843">
        <f t="shared" si="172"/>
        <v>1.621</v>
      </c>
      <c r="I843" t="e">
        <f t="shared" si="173"/>
        <v>#N/A</v>
      </c>
      <c r="J843" t="e">
        <f t="shared" si="174"/>
        <v>#N/A</v>
      </c>
      <c r="K843" t="e">
        <f t="shared" si="175"/>
        <v>#N/A</v>
      </c>
      <c r="L843" t="e">
        <f t="shared" si="176"/>
        <v>#N/A</v>
      </c>
      <c r="M843" t="e">
        <f t="shared" si="177"/>
        <v>#N/A</v>
      </c>
      <c r="N843" t="e">
        <f t="shared" si="178"/>
        <v>#N/A</v>
      </c>
      <c r="O843">
        <f t="shared" si="179"/>
        <v>6.0008429999999997</v>
      </c>
      <c r="P843" t="str">
        <f>IF(OR($A843="",games!$H843=""),"",games!$H843)</f>
        <v/>
      </c>
      <c r="Q843" t="str">
        <f t="shared" si="180"/>
        <v/>
      </c>
      <c r="T843">
        <f>IF(connections!$A843="","",IFERROR(INDEX(games!$B$2:$B$950,MATCH(connections!$A843,games!$A$2:$A$950,0)),""))</f>
        <v>2011</v>
      </c>
      <c r="U843">
        <f>IF(connections!$A843="","",IFERROR(INDEX(games!$B$2:$B$950,MATCH(connections!$B843,games!$A$2:$A$950,0)),""))</f>
        <v>2019</v>
      </c>
      <c r="V843">
        <f t="shared" si="181"/>
        <v>8</v>
      </c>
    </row>
    <row r="844" spans="1:22" x14ac:dyDescent="0.25">
      <c r="A844" t="str">
        <f>IF(games!$A844="","",games!$A844)</f>
        <v>Vital Shell</v>
      </c>
      <c r="B844">
        <f>IF($A844="","",games!$B844)</f>
        <v>2026</v>
      </c>
      <c r="C844" t="str">
        <f>IF($A844="","",games!$C844)</f>
        <v>Action</v>
      </c>
      <c r="D844">
        <f>IF($A844="","",COUNTIF(connections!$A$2:$A$1473,$A844)+COUNTIF(connections!$B$2:$B$1473,$A844))</f>
        <v>1</v>
      </c>
      <c r="E844">
        <f t="shared" si="169"/>
        <v>1</v>
      </c>
      <c r="F844">
        <f t="shared" si="170"/>
        <v>28</v>
      </c>
      <c r="G844">
        <f t="shared" si="171"/>
        <v>2026</v>
      </c>
      <c r="H844">
        <f t="shared" si="172"/>
        <v>1.6440000000000001</v>
      </c>
      <c r="I844" t="e">
        <f t="shared" si="173"/>
        <v>#N/A</v>
      </c>
      <c r="J844" t="e">
        <f t="shared" si="174"/>
        <v>#N/A</v>
      </c>
      <c r="K844" t="e">
        <f t="shared" si="175"/>
        <v>#N/A</v>
      </c>
      <c r="L844" t="e">
        <f t="shared" si="176"/>
        <v>#N/A</v>
      </c>
      <c r="M844" t="e">
        <f t="shared" si="177"/>
        <v>#N/A</v>
      </c>
      <c r="N844" t="e">
        <f t="shared" si="178"/>
        <v>#N/A</v>
      </c>
      <c r="O844">
        <f t="shared" si="179"/>
        <v>1.0008440000000001</v>
      </c>
      <c r="P844" t="str">
        <f>IF(OR($A844="",games!$H844=""),"",games!$H844)</f>
        <v>Yes</v>
      </c>
      <c r="Q844">
        <f t="shared" si="180"/>
        <v>1.0008440000000001</v>
      </c>
      <c r="T844">
        <f>IF(connections!$A844="","",IFERROR(INDEX(games!$B$2:$B$950,MATCH(connections!$A844,games!$A$2:$A$950,0)),""))</f>
        <v>2014</v>
      </c>
      <c r="U844">
        <f>IF(connections!$A844="","",IFERROR(INDEX(games!$B$2:$B$950,MATCH(connections!$B844,games!$A$2:$A$950,0)),""))</f>
        <v>2019</v>
      </c>
      <c r="V844">
        <f t="shared" si="181"/>
        <v>5</v>
      </c>
    </row>
    <row r="845" spans="1:22" x14ac:dyDescent="0.25">
      <c r="A845" t="str">
        <f>IF(games!$A845="","",games!$A845)</f>
        <v>Vivid Knight</v>
      </c>
      <c r="B845">
        <f>IF($A845="","",games!$B845)</f>
        <v>2021</v>
      </c>
      <c r="C845" t="str">
        <f>IF($A845="","",games!$C845)</f>
        <v>Deckbuilder</v>
      </c>
      <c r="D845">
        <f>IF($A845="","",COUNTIF(connections!$A$2:$A$1473,$A845)+COUNTIF(connections!$B$2:$B$1473,$A845))</f>
        <v>4</v>
      </c>
      <c r="E845">
        <f t="shared" si="169"/>
        <v>3</v>
      </c>
      <c r="F845">
        <f t="shared" si="170"/>
        <v>29</v>
      </c>
      <c r="G845" t="e">
        <f t="shared" si="171"/>
        <v>#N/A</v>
      </c>
      <c r="H845" t="e">
        <f t="shared" si="172"/>
        <v>#N/A</v>
      </c>
      <c r="I845" t="e">
        <f t="shared" si="173"/>
        <v>#N/A</v>
      </c>
      <c r="J845" t="e">
        <f t="shared" si="174"/>
        <v>#N/A</v>
      </c>
      <c r="K845">
        <f t="shared" si="175"/>
        <v>2021</v>
      </c>
      <c r="L845">
        <f t="shared" si="176"/>
        <v>3.6669999999999998</v>
      </c>
      <c r="M845" t="e">
        <f t="shared" si="177"/>
        <v>#N/A</v>
      </c>
      <c r="N845" t="e">
        <f t="shared" si="178"/>
        <v>#N/A</v>
      </c>
      <c r="O845">
        <f t="shared" si="179"/>
        <v>4.000845</v>
      </c>
      <c r="P845" t="str">
        <f>IF(OR($A845="",games!$H845=""),"",games!$H845)</f>
        <v/>
      </c>
      <c r="Q845" t="str">
        <f t="shared" si="180"/>
        <v/>
      </c>
      <c r="T845">
        <f>IF(connections!$A845="","",IFERROR(INDEX(games!$B$2:$B$950,MATCH(connections!$A845,games!$A$2:$A$950,0)),""))</f>
        <v>2012</v>
      </c>
      <c r="U845">
        <f>IF(connections!$A845="","",IFERROR(INDEX(games!$B$2:$B$950,MATCH(connections!$B845,games!$A$2:$A$950,0)),""))</f>
        <v>2019</v>
      </c>
      <c r="V845">
        <f t="shared" si="181"/>
        <v>7</v>
      </c>
    </row>
    <row r="846" spans="1:22" x14ac:dyDescent="0.25">
      <c r="A846" t="str">
        <f>IF(games!$A846="","",games!$A846)</f>
        <v>Vivid World</v>
      </c>
      <c r="B846">
        <f>IF($A846="","",games!$B846)</f>
        <v>2025</v>
      </c>
      <c r="C846" t="str">
        <f>IF($A846="","",games!$C846)</f>
        <v>Deckbuilder</v>
      </c>
      <c r="D846">
        <f>IF($A846="","",COUNTIF(connections!$A$2:$A$1473,$A846)+COUNTIF(connections!$B$2:$B$1473,$A846))</f>
        <v>1</v>
      </c>
      <c r="E846">
        <f t="shared" si="169"/>
        <v>3</v>
      </c>
      <c r="F846">
        <f t="shared" si="170"/>
        <v>30</v>
      </c>
      <c r="G846" t="e">
        <f t="shared" si="171"/>
        <v>#N/A</v>
      </c>
      <c r="H846" t="e">
        <f t="shared" si="172"/>
        <v>#N/A</v>
      </c>
      <c r="I846" t="e">
        <f t="shared" si="173"/>
        <v>#N/A</v>
      </c>
      <c r="J846" t="e">
        <f t="shared" si="174"/>
        <v>#N/A</v>
      </c>
      <c r="K846">
        <f t="shared" si="175"/>
        <v>2025</v>
      </c>
      <c r="L846">
        <f t="shared" si="176"/>
        <v>3.69</v>
      </c>
      <c r="M846" t="e">
        <f t="shared" si="177"/>
        <v>#N/A</v>
      </c>
      <c r="N846" t="e">
        <f t="shared" si="178"/>
        <v>#N/A</v>
      </c>
      <c r="O846">
        <f t="shared" si="179"/>
        <v>1.0008459999999999</v>
      </c>
      <c r="P846" t="str">
        <f>IF(OR($A846="",games!$H846=""),"",games!$H846)</f>
        <v/>
      </c>
      <c r="Q846" t="str">
        <f t="shared" si="180"/>
        <v/>
      </c>
      <c r="T846">
        <f>IF(connections!$A846="","",IFERROR(INDEX(games!$B$2:$B$950,MATCH(connections!$A846,games!$A$2:$A$950,0)),""))</f>
        <v>2021</v>
      </c>
      <c r="U846">
        <f>IF(connections!$A846="","",IFERROR(INDEX(games!$B$2:$B$950,MATCH(connections!$B846,games!$A$2:$A$950,0)),""))</f>
        <v>2024</v>
      </c>
      <c r="V846">
        <f t="shared" si="181"/>
        <v>3</v>
      </c>
    </row>
    <row r="847" spans="1:22" x14ac:dyDescent="0.25">
      <c r="A847" t="str">
        <f>IF(games!$A847="","",games!$A847)</f>
        <v>Voice of Belldona</v>
      </c>
      <c r="B847">
        <f>IF($A847="","",games!$B847)</f>
        <v>2026</v>
      </c>
      <c r="C847" t="str">
        <f>IF($A847="","",games!$C847)</f>
        <v>Deckbuilder</v>
      </c>
      <c r="D847">
        <f>IF($A847="","",COUNTIF(connections!$A$2:$A$1473,$A847)+COUNTIF(connections!$B$2:$B$1473,$A847))</f>
        <v>2</v>
      </c>
      <c r="E847">
        <f t="shared" si="169"/>
        <v>3</v>
      </c>
      <c r="F847">
        <f t="shared" si="170"/>
        <v>31</v>
      </c>
      <c r="G847" t="e">
        <f t="shared" si="171"/>
        <v>#N/A</v>
      </c>
      <c r="H847" t="e">
        <f t="shared" si="172"/>
        <v>#N/A</v>
      </c>
      <c r="I847" t="e">
        <f t="shared" si="173"/>
        <v>#N/A</v>
      </c>
      <c r="J847" t="e">
        <f t="shared" si="174"/>
        <v>#N/A</v>
      </c>
      <c r="K847">
        <f t="shared" si="175"/>
        <v>2026</v>
      </c>
      <c r="L847">
        <f t="shared" si="176"/>
        <v>3.7130000000000001</v>
      </c>
      <c r="M847" t="e">
        <f t="shared" si="177"/>
        <v>#N/A</v>
      </c>
      <c r="N847" t="e">
        <f t="shared" si="178"/>
        <v>#N/A</v>
      </c>
      <c r="O847">
        <f t="shared" si="179"/>
        <v>2.0008469999999998</v>
      </c>
      <c r="P847" t="str">
        <f>IF(OR($A847="",games!$H847=""),"",games!$H847)</f>
        <v/>
      </c>
      <c r="Q847" t="str">
        <f t="shared" si="180"/>
        <v/>
      </c>
      <c r="T847">
        <f>IF(connections!$A847="","",IFERROR(INDEX(games!$B$2:$B$950,MATCH(connections!$A847,games!$A$2:$A$950,0)),""))</f>
        <v>2011</v>
      </c>
      <c r="U847">
        <f>IF(connections!$A847="","",IFERROR(INDEX(games!$B$2:$B$950,MATCH(connections!$B847,games!$A$2:$A$950,0)),""))</f>
        <v>2024</v>
      </c>
      <c r="V847">
        <f t="shared" si="181"/>
        <v>13</v>
      </c>
    </row>
    <row r="848" spans="1:22" x14ac:dyDescent="0.25">
      <c r="A848" t="str">
        <f>IF(games!$A848="","",games!$A848)</f>
        <v>Void Bastards</v>
      </c>
      <c r="B848">
        <f>IF($A848="","",games!$B848)</f>
        <v>2019</v>
      </c>
      <c r="C848" t="str">
        <f>IF($A848="","",games!$C848)</f>
        <v>Action</v>
      </c>
      <c r="D848">
        <f>IF($A848="","",COUNTIF(connections!$A$2:$A$1473,$A848)+COUNTIF(connections!$B$2:$B$1473,$A848))</f>
        <v>2</v>
      </c>
      <c r="E848">
        <f t="shared" si="169"/>
        <v>1</v>
      </c>
      <c r="F848">
        <f t="shared" si="170"/>
        <v>32</v>
      </c>
      <c r="G848">
        <f t="shared" si="171"/>
        <v>2019</v>
      </c>
      <c r="H848">
        <f t="shared" si="172"/>
        <v>1.736</v>
      </c>
      <c r="I848" t="e">
        <f t="shared" si="173"/>
        <v>#N/A</v>
      </c>
      <c r="J848" t="e">
        <f t="shared" si="174"/>
        <v>#N/A</v>
      </c>
      <c r="K848" t="e">
        <f t="shared" si="175"/>
        <v>#N/A</v>
      </c>
      <c r="L848" t="e">
        <f t="shared" si="176"/>
        <v>#N/A</v>
      </c>
      <c r="M848" t="e">
        <f t="shared" si="177"/>
        <v>#N/A</v>
      </c>
      <c r="N848" t="e">
        <f t="shared" si="178"/>
        <v>#N/A</v>
      </c>
      <c r="O848">
        <f t="shared" si="179"/>
        <v>2.000848</v>
      </c>
      <c r="P848" t="str">
        <f>IF(OR($A848="",games!$H848=""),"",games!$H848)</f>
        <v>Yes</v>
      </c>
      <c r="Q848">
        <f t="shared" si="180"/>
        <v>2.000848</v>
      </c>
      <c r="T848">
        <f>IF(connections!$A848="","",IFERROR(INDEX(games!$B$2:$B$950,MATCH(connections!$A848,games!$A$2:$A$950,0)),""))</f>
        <v>2021</v>
      </c>
      <c r="U848">
        <f>IF(connections!$A848="","",IFERROR(INDEX(games!$B$2:$B$950,MATCH(connections!$B848,games!$A$2:$A$950,0)),""))</f>
        <v>2024</v>
      </c>
      <c r="V848">
        <f t="shared" si="181"/>
        <v>3</v>
      </c>
    </row>
    <row r="849" spans="1:22" x14ac:dyDescent="0.25">
      <c r="A849" t="str">
        <f>IF(games!$A849="","",games!$A849)</f>
        <v>Void Scrappers</v>
      </c>
      <c r="B849">
        <f>IF($A849="","",games!$B849)</f>
        <v>2022</v>
      </c>
      <c r="C849" t="str">
        <f>IF($A849="","",games!$C849)</f>
        <v>Action</v>
      </c>
      <c r="D849">
        <f>IF($A849="","",COUNTIF(connections!$A$2:$A$1473,$A849)+COUNTIF(connections!$B$2:$B$1473,$A849))</f>
        <v>3</v>
      </c>
      <c r="E849">
        <f t="shared" si="169"/>
        <v>1</v>
      </c>
      <c r="F849">
        <f t="shared" si="170"/>
        <v>33</v>
      </c>
      <c r="G849">
        <f t="shared" si="171"/>
        <v>2022</v>
      </c>
      <c r="H849">
        <f t="shared" si="172"/>
        <v>1.7589999999999999</v>
      </c>
      <c r="I849" t="e">
        <f t="shared" si="173"/>
        <v>#N/A</v>
      </c>
      <c r="J849" t="e">
        <f t="shared" si="174"/>
        <v>#N/A</v>
      </c>
      <c r="K849" t="e">
        <f t="shared" si="175"/>
        <v>#N/A</v>
      </c>
      <c r="L849" t="e">
        <f t="shared" si="176"/>
        <v>#N/A</v>
      </c>
      <c r="M849" t="e">
        <f t="shared" si="177"/>
        <v>#N/A</v>
      </c>
      <c r="N849" t="e">
        <f t="shared" si="178"/>
        <v>#N/A</v>
      </c>
      <c r="O849">
        <f t="shared" si="179"/>
        <v>3.0008490000000001</v>
      </c>
      <c r="P849" t="str">
        <f>IF(OR($A849="",games!$H849=""),"",games!$H849)</f>
        <v>Yes</v>
      </c>
      <c r="Q849">
        <f t="shared" si="180"/>
        <v>3.0008490000000001</v>
      </c>
      <c r="T849">
        <f>IF(connections!$A849="","",IFERROR(INDEX(games!$B$2:$B$950,MATCH(connections!$A849,games!$A$2:$A$950,0)),""))</f>
        <v>2012</v>
      </c>
      <c r="U849">
        <f>IF(connections!$A849="","",IFERROR(INDEX(games!$B$2:$B$950,MATCH(connections!$B849,games!$A$2:$A$950,0)),""))</f>
        <v>2015</v>
      </c>
      <c r="V849">
        <f t="shared" si="181"/>
        <v>3</v>
      </c>
    </row>
    <row r="850" spans="1:22" x14ac:dyDescent="0.25">
      <c r="A850" t="str">
        <f>IF(games!$A850="","",games!$A850)</f>
        <v>Void War</v>
      </c>
      <c r="B850">
        <f>IF($A850="","",games!$B850)</f>
        <v>2024</v>
      </c>
      <c r="C850" t="str">
        <f>IF($A850="","",games!$C850)</f>
        <v>Strategy</v>
      </c>
      <c r="D850">
        <f>IF($A850="","",COUNTIF(connections!$A$2:$A$1473,$A850)+COUNTIF(connections!$B$2:$B$1473,$A850))</f>
        <v>2</v>
      </c>
      <c r="E850">
        <f t="shared" si="169"/>
        <v>2</v>
      </c>
      <c r="F850">
        <f t="shared" si="170"/>
        <v>0</v>
      </c>
      <c r="G850" t="e">
        <f t="shared" si="171"/>
        <v>#N/A</v>
      </c>
      <c r="H850" t="e">
        <f t="shared" si="172"/>
        <v>#N/A</v>
      </c>
      <c r="I850">
        <f t="shared" si="173"/>
        <v>2024</v>
      </c>
      <c r="J850">
        <f t="shared" si="174"/>
        <v>2</v>
      </c>
      <c r="K850" t="e">
        <f t="shared" si="175"/>
        <v>#N/A</v>
      </c>
      <c r="L850" t="e">
        <f t="shared" si="176"/>
        <v>#N/A</v>
      </c>
      <c r="M850" t="e">
        <f t="shared" si="177"/>
        <v>#N/A</v>
      </c>
      <c r="N850" t="e">
        <f t="shared" si="178"/>
        <v>#N/A</v>
      </c>
      <c r="O850">
        <f t="shared" si="179"/>
        <v>2.0008499999999998</v>
      </c>
      <c r="P850" t="str">
        <f>IF(OR($A850="",games!$H850=""),"",games!$H850)</f>
        <v/>
      </c>
      <c r="Q850" t="str">
        <f t="shared" si="180"/>
        <v/>
      </c>
      <c r="T850">
        <f>IF(connections!$A850="","",IFERROR(INDEX(games!$B$2:$B$950,MATCH(connections!$A850,games!$A$2:$A$950,0)),""))</f>
        <v>2010</v>
      </c>
      <c r="U850">
        <f>IF(connections!$A850="","",IFERROR(INDEX(games!$B$2:$B$950,MATCH(connections!$B850,games!$A$2:$A$950,0)),""))</f>
        <v>2015</v>
      </c>
      <c r="V850">
        <f t="shared" si="181"/>
        <v>5</v>
      </c>
    </row>
    <row r="851" spans="1:22" x14ac:dyDescent="0.25">
      <c r="A851" t="str">
        <f>IF(games!$A851="","",games!$A851)</f>
        <v>Voidigo</v>
      </c>
      <c r="B851">
        <f>IF($A851="","",games!$B851)</f>
        <v>2023</v>
      </c>
      <c r="C851" t="str">
        <f>IF($A851="","",games!$C851)</f>
        <v>Action</v>
      </c>
      <c r="D851">
        <f>IF($A851="","",COUNTIF(connections!$A$2:$A$1473,$A851)+COUNTIF(connections!$B$2:$B$1473,$A851))</f>
        <v>1</v>
      </c>
      <c r="E851">
        <f t="shared" si="169"/>
        <v>1</v>
      </c>
      <c r="F851">
        <f t="shared" si="170"/>
        <v>1</v>
      </c>
      <c r="G851">
        <f t="shared" si="171"/>
        <v>2023</v>
      </c>
      <c r="H851">
        <f t="shared" si="172"/>
        <v>1.0229999999999999</v>
      </c>
      <c r="I851" t="e">
        <f t="shared" si="173"/>
        <v>#N/A</v>
      </c>
      <c r="J851" t="e">
        <f t="shared" si="174"/>
        <v>#N/A</v>
      </c>
      <c r="K851" t="e">
        <f t="shared" si="175"/>
        <v>#N/A</v>
      </c>
      <c r="L851" t="e">
        <f t="shared" si="176"/>
        <v>#N/A</v>
      </c>
      <c r="M851" t="e">
        <f t="shared" si="177"/>
        <v>#N/A</v>
      </c>
      <c r="N851" t="e">
        <f t="shared" si="178"/>
        <v>#N/A</v>
      </c>
      <c r="O851">
        <f t="shared" si="179"/>
        <v>1.0008509999999999</v>
      </c>
      <c r="P851" t="str">
        <f>IF(OR($A851="",games!$H851=""),"",games!$H851)</f>
        <v>Yes</v>
      </c>
      <c r="Q851">
        <f t="shared" si="180"/>
        <v>1.0008509999999999</v>
      </c>
      <c r="T851">
        <f>IF(connections!$A851="","",IFERROR(INDEX(games!$B$2:$B$950,MATCH(connections!$A851,games!$A$2:$A$950,0)),""))</f>
        <v>2008</v>
      </c>
      <c r="U851">
        <f>IF(connections!$A851="","",IFERROR(INDEX(games!$B$2:$B$950,MATCH(connections!$B851,games!$A$2:$A$950,0)),""))</f>
        <v>2015</v>
      </c>
      <c r="V851">
        <f t="shared" si="181"/>
        <v>7</v>
      </c>
    </row>
    <row r="852" spans="1:22" x14ac:dyDescent="0.25">
      <c r="A852" t="str">
        <f>IF(games!$A852="","",games!$A852)</f>
        <v>Voids Vigil</v>
      </c>
      <c r="B852">
        <f>IF($A852="","",games!$B852)</f>
        <v>2024</v>
      </c>
      <c r="C852" t="str">
        <f>IF($A852="","",games!$C852)</f>
        <v>Action</v>
      </c>
      <c r="D852">
        <f>IF($A852="","",COUNTIF(connections!$A$2:$A$1473,$A852)+COUNTIF(connections!$B$2:$B$1473,$A852))</f>
        <v>2</v>
      </c>
      <c r="E852">
        <f t="shared" si="169"/>
        <v>1</v>
      </c>
      <c r="F852">
        <f t="shared" si="170"/>
        <v>2</v>
      </c>
      <c r="G852">
        <f t="shared" si="171"/>
        <v>2024</v>
      </c>
      <c r="H852">
        <f t="shared" si="172"/>
        <v>1.046</v>
      </c>
      <c r="I852" t="e">
        <f t="shared" si="173"/>
        <v>#N/A</v>
      </c>
      <c r="J852" t="e">
        <f t="shared" si="174"/>
        <v>#N/A</v>
      </c>
      <c r="K852" t="e">
        <f t="shared" si="175"/>
        <v>#N/A</v>
      </c>
      <c r="L852" t="e">
        <f t="shared" si="176"/>
        <v>#N/A</v>
      </c>
      <c r="M852" t="e">
        <f t="shared" si="177"/>
        <v>#N/A</v>
      </c>
      <c r="N852" t="e">
        <f t="shared" si="178"/>
        <v>#N/A</v>
      </c>
      <c r="O852">
        <f t="shared" si="179"/>
        <v>2.0008520000000001</v>
      </c>
      <c r="P852" t="str">
        <f>IF(OR($A852="",games!$H852=""),"",games!$H852)</f>
        <v/>
      </c>
      <c r="Q852" t="str">
        <f t="shared" si="180"/>
        <v/>
      </c>
      <c r="T852">
        <f>IF(connections!$A852="","",IFERROR(INDEX(games!$B$2:$B$950,MATCH(connections!$A852,games!$A$2:$A$950,0)),""))</f>
        <v>2011</v>
      </c>
      <c r="U852">
        <f>IF(connections!$A852="","",IFERROR(INDEX(games!$B$2:$B$950,MATCH(connections!$B852,games!$A$2:$A$950,0)),""))</f>
        <v>2015</v>
      </c>
      <c r="V852">
        <f t="shared" si="181"/>
        <v>4</v>
      </c>
    </row>
    <row r="853" spans="1:22" x14ac:dyDescent="0.25">
      <c r="A853" t="str">
        <f>IF(games!$A853="","",games!$A853)</f>
        <v>Voin</v>
      </c>
      <c r="B853">
        <f>IF($A853="","",games!$B853)</f>
        <v>2024</v>
      </c>
      <c r="C853" t="str">
        <f>IF($A853="","",games!$C853)</f>
        <v>Action</v>
      </c>
      <c r="D853">
        <f>IF($A853="","",COUNTIF(connections!$A$2:$A$1473,$A853)+COUNTIF(connections!$B$2:$B$1473,$A853))</f>
        <v>2</v>
      </c>
      <c r="E853">
        <f t="shared" si="169"/>
        <v>1</v>
      </c>
      <c r="F853">
        <f t="shared" si="170"/>
        <v>3</v>
      </c>
      <c r="G853">
        <f t="shared" si="171"/>
        <v>2024</v>
      </c>
      <c r="H853">
        <f t="shared" si="172"/>
        <v>1.069</v>
      </c>
      <c r="I853" t="e">
        <f t="shared" si="173"/>
        <v>#N/A</v>
      </c>
      <c r="J853" t="e">
        <f t="shared" si="174"/>
        <v>#N/A</v>
      </c>
      <c r="K853" t="e">
        <f t="shared" si="175"/>
        <v>#N/A</v>
      </c>
      <c r="L853" t="e">
        <f t="shared" si="176"/>
        <v>#N/A</v>
      </c>
      <c r="M853" t="e">
        <f t="shared" si="177"/>
        <v>#N/A</v>
      </c>
      <c r="N853" t="e">
        <f t="shared" si="178"/>
        <v>#N/A</v>
      </c>
      <c r="O853">
        <f t="shared" si="179"/>
        <v>2.0008530000000002</v>
      </c>
      <c r="P853" t="str">
        <f>IF(OR($A853="",games!$H853=""),"",games!$H853)</f>
        <v/>
      </c>
      <c r="Q853" t="str">
        <f t="shared" si="180"/>
        <v/>
      </c>
      <c r="T853">
        <f>IF(connections!$A853="","",IFERROR(INDEX(games!$B$2:$B$950,MATCH(connections!$A853,games!$A$2:$A$950,0)),""))</f>
        <v>2019</v>
      </c>
      <c r="U853">
        <f>IF(connections!$A853="","",IFERROR(INDEX(games!$B$2:$B$950,MATCH(connections!$B853,games!$A$2:$A$950,0)),""))</f>
        <v>2025</v>
      </c>
      <c r="V853">
        <f t="shared" si="181"/>
        <v>6</v>
      </c>
    </row>
    <row r="854" spans="1:22" x14ac:dyDescent="0.25">
      <c r="A854" t="str">
        <f>IF(games!$A854="","",games!$A854)</f>
        <v>Waku Waku Puyo Puyo Dungeon</v>
      </c>
      <c r="B854">
        <f>IF($A854="","",games!$B854)</f>
        <v>1998</v>
      </c>
      <c r="C854" t="str">
        <f>IF($A854="","",games!$C854)</f>
        <v>Traditional</v>
      </c>
      <c r="D854">
        <f>IF($A854="","",COUNTIF(connections!$A$2:$A$1473,$A854)+COUNTIF(connections!$B$2:$B$1473,$A854))</f>
        <v>1</v>
      </c>
      <c r="E854">
        <f t="shared" si="169"/>
        <v>4</v>
      </c>
      <c r="F854">
        <f t="shared" si="170"/>
        <v>4</v>
      </c>
      <c r="G854" t="e">
        <f t="shared" si="171"/>
        <v>#N/A</v>
      </c>
      <c r="H854" t="e">
        <f t="shared" si="172"/>
        <v>#N/A</v>
      </c>
      <c r="I854" t="e">
        <f t="shared" si="173"/>
        <v>#N/A</v>
      </c>
      <c r="J854" t="e">
        <f t="shared" si="174"/>
        <v>#N/A</v>
      </c>
      <c r="K854" t="e">
        <f t="shared" si="175"/>
        <v>#N/A</v>
      </c>
      <c r="L854" t="e">
        <f t="shared" si="176"/>
        <v>#N/A</v>
      </c>
      <c r="M854">
        <f t="shared" si="177"/>
        <v>1998</v>
      </c>
      <c r="N854">
        <f t="shared" si="178"/>
        <v>4.0919999999999996</v>
      </c>
      <c r="O854">
        <f t="shared" si="179"/>
        <v>1.0008539999999999</v>
      </c>
      <c r="P854" t="str">
        <f>IF(OR($A854="",games!$H854=""),"",games!$H854)</f>
        <v>Yes</v>
      </c>
      <c r="Q854">
        <f t="shared" si="180"/>
        <v>1.0008539999999999</v>
      </c>
      <c r="T854">
        <f>IF(connections!$A854="","",IFERROR(INDEX(games!$B$2:$B$950,MATCH(connections!$A854,games!$A$2:$A$950,0)),""))</f>
        <v>2023</v>
      </c>
      <c r="U854">
        <f>IF(connections!$A854="","",IFERROR(INDEX(games!$B$2:$B$950,MATCH(connections!$B854,games!$A$2:$A$950,0)),""))</f>
        <v>2026</v>
      </c>
      <c r="V854">
        <f t="shared" si="181"/>
        <v>3</v>
      </c>
    </row>
    <row r="855" spans="1:22" x14ac:dyDescent="0.25">
      <c r="A855" t="str">
        <f>IF(games!$A855="","",games!$A855)</f>
        <v>Wall World</v>
      </c>
      <c r="B855">
        <f>IF($A855="","",games!$B855)</f>
        <v>2023</v>
      </c>
      <c r="C855" t="str">
        <f>IF($A855="","",games!$C855)</f>
        <v>Strategy</v>
      </c>
      <c r="D855">
        <f>IF($A855="","",COUNTIF(connections!$A$2:$A$1473,$A855)+COUNTIF(connections!$B$2:$B$1473,$A855))</f>
        <v>2</v>
      </c>
      <c r="E855">
        <f t="shared" si="169"/>
        <v>2</v>
      </c>
      <c r="F855">
        <f t="shared" si="170"/>
        <v>5</v>
      </c>
      <c r="G855" t="e">
        <f t="shared" si="171"/>
        <v>#N/A</v>
      </c>
      <c r="H855" t="e">
        <f t="shared" si="172"/>
        <v>#N/A</v>
      </c>
      <c r="I855">
        <f t="shared" si="173"/>
        <v>2023</v>
      </c>
      <c r="J855">
        <f t="shared" si="174"/>
        <v>2.1150000000000002</v>
      </c>
      <c r="K855" t="e">
        <f t="shared" si="175"/>
        <v>#N/A</v>
      </c>
      <c r="L855" t="e">
        <f t="shared" si="176"/>
        <v>#N/A</v>
      </c>
      <c r="M855" t="e">
        <f t="shared" si="177"/>
        <v>#N/A</v>
      </c>
      <c r="N855" t="e">
        <f t="shared" si="178"/>
        <v>#N/A</v>
      </c>
      <c r="O855">
        <f t="shared" si="179"/>
        <v>2.0008550000000001</v>
      </c>
      <c r="P855" t="str">
        <f>IF(OR($A855="",games!$H855=""),"",games!$H855)</f>
        <v>Yes</v>
      </c>
      <c r="Q855">
        <f t="shared" si="180"/>
        <v>2.0008550000000001</v>
      </c>
      <c r="T855">
        <f>IF(connections!$A855="","",IFERROR(INDEX(games!$B$2:$B$950,MATCH(connections!$A855,games!$A$2:$A$950,0)),""))</f>
        <v>2021</v>
      </c>
      <c r="U855">
        <f>IF(connections!$A855="","",IFERROR(INDEX(games!$B$2:$B$950,MATCH(connections!$B855,games!$A$2:$A$950,0)),""))</f>
        <v>2026</v>
      </c>
      <c r="V855">
        <f t="shared" si="181"/>
        <v>5</v>
      </c>
    </row>
    <row r="856" spans="1:22" x14ac:dyDescent="0.25">
      <c r="A856" t="str">
        <f>IF(games!$A856="","",games!$A856)</f>
        <v>Wall World 2</v>
      </c>
      <c r="B856">
        <f>IF($A856="","",games!$B856)</f>
        <v>2025</v>
      </c>
      <c r="C856" t="str">
        <f>IF($A856="","",games!$C856)</f>
        <v>Strategy</v>
      </c>
      <c r="D856">
        <f>IF($A856="","",COUNTIF(connections!$A$2:$A$1473,$A856)+COUNTIF(connections!$B$2:$B$1473,$A856))</f>
        <v>1</v>
      </c>
      <c r="E856">
        <f t="shared" si="169"/>
        <v>2</v>
      </c>
      <c r="F856">
        <f t="shared" si="170"/>
        <v>6</v>
      </c>
      <c r="G856" t="e">
        <f t="shared" si="171"/>
        <v>#N/A</v>
      </c>
      <c r="H856" t="e">
        <f t="shared" si="172"/>
        <v>#N/A</v>
      </c>
      <c r="I856">
        <f t="shared" si="173"/>
        <v>2025</v>
      </c>
      <c r="J856">
        <f t="shared" si="174"/>
        <v>2.1379999999999999</v>
      </c>
      <c r="K856" t="e">
        <f t="shared" si="175"/>
        <v>#N/A</v>
      </c>
      <c r="L856" t="e">
        <f t="shared" si="176"/>
        <v>#N/A</v>
      </c>
      <c r="M856" t="e">
        <f t="shared" si="177"/>
        <v>#N/A</v>
      </c>
      <c r="N856" t="e">
        <f t="shared" si="178"/>
        <v>#N/A</v>
      </c>
      <c r="O856">
        <f t="shared" si="179"/>
        <v>1.000856</v>
      </c>
      <c r="P856" t="str">
        <f>IF(OR($A856="",games!$H856=""),"",games!$H856)</f>
        <v/>
      </c>
      <c r="Q856" t="str">
        <f t="shared" si="180"/>
        <v/>
      </c>
      <c r="T856">
        <f>IF(connections!$A856="","",IFERROR(INDEX(games!$B$2:$B$950,MATCH(connections!$A856,games!$A$2:$A$950,0)),""))</f>
        <v>2025</v>
      </c>
      <c r="U856">
        <f>IF(connections!$A856="","",IFERROR(INDEX(games!$B$2:$B$950,MATCH(connections!$B856,games!$A$2:$A$950,0)),""))</f>
        <v>2026</v>
      </c>
      <c r="V856">
        <f t="shared" si="181"/>
        <v>1</v>
      </c>
    </row>
    <row r="857" spans="1:22" x14ac:dyDescent="0.25">
      <c r="A857" t="str">
        <f>IF(games!$A857="","",games!$A857)</f>
        <v>Wanderburg</v>
      </c>
      <c r="B857">
        <f>IF($A857="","",games!$B857)</f>
        <v>2026</v>
      </c>
      <c r="C857" t="str">
        <f>IF($A857="","",games!$C857)</f>
        <v>Action</v>
      </c>
      <c r="D857">
        <f>IF($A857="","",COUNTIF(connections!$A$2:$A$1473,$A857)+COUNTIF(connections!$B$2:$B$1473,$A857))</f>
        <v>2</v>
      </c>
      <c r="E857">
        <f t="shared" si="169"/>
        <v>1</v>
      </c>
      <c r="F857">
        <f t="shared" si="170"/>
        <v>7</v>
      </c>
      <c r="G857">
        <f t="shared" si="171"/>
        <v>2026</v>
      </c>
      <c r="H857">
        <f t="shared" si="172"/>
        <v>1.161</v>
      </c>
      <c r="I857" t="e">
        <f t="shared" si="173"/>
        <v>#N/A</v>
      </c>
      <c r="J857" t="e">
        <f t="shared" si="174"/>
        <v>#N/A</v>
      </c>
      <c r="K857" t="e">
        <f t="shared" si="175"/>
        <v>#N/A</v>
      </c>
      <c r="L857" t="e">
        <f t="shared" si="176"/>
        <v>#N/A</v>
      </c>
      <c r="M857" t="e">
        <f t="shared" si="177"/>
        <v>#N/A</v>
      </c>
      <c r="N857" t="e">
        <f t="shared" si="178"/>
        <v>#N/A</v>
      </c>
      <c r="O857">
        <f t="shared" si="179"/>
        <v>2.0008569999999999</v>
      </c>
      <c r="P857" t="str">
        <f>IF(OR($A857="",games!$H857=""),"",games!$H857)</f>
        <v/>
      </c>
      <c r="Q857" t="str">
        <f t="shared" si="180"/>
        <v/>
      </c>
      <c r="T857">
        <f>IF(connections!$A857="","",IFERROR(INDEX(games!$B$2:$B$950,MATCH(connections!$A857,games!$A$2:$A$950,0)),""))</f>
        <v>2018</v>
      </c>
      <c r="U857">
        <f>IF(connections!$A857="","",IFERROR(INDEX(games!$B$2:$B$950,MATCH(connections!$B857,games!$A$2:$A$950,0)),""))</f>
        <v>2023</v>
      </c>
      <c r="V857">
        <f t="shared" si="181"/>
        <v>5</v>
      </c>
    </row>
    <row r="858" spans="1:22" x14ac:dyDescent="0.25">
      <c r="A858" t="str">
        <f>IF(games!$A858="","",games!$A858)</f>
        <v>Warhammer Survivors</v>
      </c>
      <c r="B858">
        <f>IF($A858="","",games!$B858)</f>
        <v>2026</v>
      </c>
      <c r="C858" t="str">
        <f>IF($A858="","",games!$C858)</f>
        <v>Action</v>
      </c>
      <c r="D858">
        <f>IF($A858="","",COUNTIF(connections!$A$2:$A$1473,$A858)+COUNTIF(connections!$B$2:$B$1473,$A858))</f>
        <v>1</v>
      </c>
      <c r="E858">
        <f t="shared" si="169"/>
        <v>1</v>
      </c>
      <c r="F858">
        <f t="shared" si="170"/>
        <v>8</v>
      </c>
      <c r="G858">
        <f t="shared" si="171"/>
        <v>2026</v>
      </c>
      <c r="H858">
        <f t="shared" si="172"/>
        <v>1.1839999999999999</v>
      </c>
      <c r="I858" t="e">
        <f t="shared" si="173"/>
        <v>#N/A</v>
      </c>
      <c r="J858" t="e">
        <f t="shared" si="174"/>
        <v>#N/A</v>
      </c>
      <c r="K858" t="e">
        <f t="shared" si="175"/>
        <v>#N/A</v>
      </c>
      <c r="L858" t="e">
        <f t="shared" si="176"/>
        <v>#N/A</v>
      </c>
      <c r="M858" t="e">
        <f t="shared" si="177"/>
        <v>#N/A</v>
      </c>
      <c r="N858" t="e">
        <f t="shared" si="178"/>
        <v>#N/A</v>
      </c>
      <c r="O858">
        <f t="shared" si="179"/>
        <v>1.000858</v>
      </c>
      <c r="P858" t="str">
        <f>IF(OR($A858="",games!$H858=""),"",games!$H858)</f>
        <v/>
      </c>
      <c r="Q858" t="str">
        <f t="shared" si="180"/>
        <v/>
      </c>
      <c r="T858">
        <f>IF(connections!$A858="","",IFERROR(INDEX(games!$B$2:$B$950,MATCH(connections!$A858,games!$A$2:$A$950,0)),""))</f>
        <v>2017</v>
      </c>
      <c r="U858">
        <f>IF(connections!$A858="","",IFERROR(INDEX(games!$B$2:$B$950,MATCH(connections!$B858,games!$A$2:$A$950,0)),""))</f>
        <v>2021</v>
      </c>
      <c r="V858">
        <f t="shared" si="181"/>
        <v>4</v>
      </c>
    </row>
    <row r="859" spans="1:22" x14ac:dyDescent="0.25">
      <c r="A859" t="str">
        <f>IF(games!$A859="","",games!$A859)</f>
        <v>WarpVector</v>
      </c>
      <c r="B859">
        <f>IF($A859="","",games!$B859)</f>
        <v>2023</v>
      </c>
      <c r="C859" t="str">
        <f>IF($A859="","",games!$C859)</f>
        <v>Traditional</v>
      </c>
      <c r="D859">
        <f>IF($A859="","",COUNTIF(connections!$A$2:$A$1473,$A859)+COUNTIF(connections!$B$2:$B$1473,$A859))</f>
        <v>2</v>
      </c>
      <c r="E859">
        <f t="shared" si="169"/>
        <v>4</v>
      </c>
      <c r="F859">
        <f t="shared" si="170"/>
        <v>9</v>
      </c>
      <c r="G859" t="e">
        <f t="shared" si="171"/>
        <v>#N/A</v>
      </c>
      <c r="H859" t="e">
        <f t="shared" si="172"/>
        <v>#N/A</v>
      </c>
      <c r="I859" t="e">
        <f t="shared" si="173"/>
        <v>#N/A</v>
      </c>
      <c r="J859" t="e">
        <f t="shared" si="174"/>
        <v>#N/A</v>
      </c>
      <c r="K859" t="e">
        <f t="shared" si="175"/>
        <v>#N/A</v>
      </c>
      <c r="L859" t="e">
        <f t="shared" si="176"/>
        <v>#N/A</v>
      </c>
      <c r="M859">
        <f t="shared" si="177"/>
        <v>2023</v>
      </c>
      <c r="N859">
        <f t="shared" si="178"/>
        <v>4.2069999999999999</v>
      </c>
      <c r="O859">
        <f t="shared" si="179"/>
        <v>2.0008590000000002</v>
      </c>
      <c r="P859" t="str">
        <f>IF(OR($A859="",games!$H859=""),"",games!$H859)</f>
        <v/>
      </c>
      <c r="Q859" t="str">
        <f t="shared" si="180"/>
        <v/>
      </c>
      <c r="T859">
        <f>IF(connections!$A859="","",IFERROR(INDEX(games!$B$2:$B$950,MATCH(connections!$A859,games!$A$2:$A$950,0)),""))</f>
        <v>2011</v>
      </c>
      <c r="U859">
        <f>IF(connections!$A859="","",IFERROR(INDEX(games!$B$2:$B$950,MATCH(connections!$B859,games!$A$2:$A$950,0)),""))</f>
        <v>2021</v>
      </c>
      <c r="V859">
        <f t="shared" si="181"/>
        <v>10</v>
      </c>
    </row>
    <row r="860" spans="1:22" x14ac:dyDescent="0.25">
      <c r="A860" t="str">
        <f>IF(games!$A860="","",games!$A860)</f>
        <v>Warriors: Abyss</v>
      </c>
      <c r="B860">
        <f>IF($A860="","",games!$B860)</f>
        <v>2025</v>
      </c>
      <c r="C860" t="str">
        <f>IF($A860="","",games!$C860)</f>
        <v>Action</v>
      </c>
      <c r="D860">
        <f>IF($A860="","",COUNTIF(connections!$A$2:$A$1473,$A860)+COUNTIF(connections!$B$2:$B$1473,$A860))</f>
        <v>1</v>
      </c>
      <c r="E860">
        <f t="shared" si="169"/>
        <v>1</v>
      </c>
      <c r="F860">
        <f t="shared" si="170"/>
        <v>10</v>
      </c>
      <c r="G860">
        <f t="shared" si="171"/>
        <v>2025</v>
      </c>
      <c r="H860">
        <f t="shared" si="172"/>
        <v>1.23</v>
      </c>
      <c r="I860" t="e">
        <f t="shared" si="173"/>
        <v>#N/A</v>
      </c>
      <c r="J860" t="e">
        <f t="shared" si="174"/>
        <v>#N/A</v>
      </c>
      <c r="K860" t="e">
        <f t="shared" si="175"/>
        <v>#N/A</v>
      </c>
      <c r="L860" t="e">
        <f t="shared" si="176"/>
        <v>#N/A</v>
      </c>
      <c r="M860" t="e">
        <f t="shared" si="177"/>
        <v>#N/A</v>
      </c>
      <c r="N860" t="e">
        <f t="shared" si="178"/>
        <v>#N/A</v>
      </c>
      <c r="O860">
        <f t="shared" si="179"/>
        <v>1.0008600000000001</v>
      </c>
      <c r="P860" t="str">
        <f>IF(OR($A860="",games!$H860=""),"",games!$H860)</f>
        <v>Yes</v>
      </c>
      <c r="Q860">
        <f t="shared" si="180"/>
        <v>1.0008600000000001</v>
      </c>
      <c r="T860">
        <f>IF(connections!$A860="","",IFERROR(INDEX(games!$B$2:$B$950,MATCH(connections!$A860,games!$A$2:$A$950,0)),""))</f>
        <v>2023</v>
      </c>
      <c r="U860">
        <f>IF(connections!$A860="","",IFERROR(INDEX(games!$B$2:$B$950,MATCH(connections!$B860,games!$A$2:$A$950,0)),""))</f>
        <v>2026</v>
      </c>
      <c r="V860">
        <f t="shared" si="181"/>
        <v>3</v>
      </c>
    </row>
    <row r="861" spans="1:22" x14ac:dyDescent="0.25">
      <c r="A861" t="str">
        <f>IF(games!$A861="","",games!$A861)</f>
        <v>Warsim: The Realm of Aslona</v>
      </c>
      <c r="B861">
        <f>IF($A861="","",games!$B861)</f>
        <v>2017</v>
      </c>
      <c r="C861" t="str">
        <f>IF($A861="","",games!$C861)</f>
        <v>Strategy</v>
      </c>
      <c r="D861">
        <f>IF($A861="","",COUNTIF(connections!$A$2:$A$1473,$A861)+COUNTIF(connections!$B$2:$B$1473,$A861))</f>
        <v>1</v>
      </c>
      <c r="E861">
        <f t="shared" si="169"/>
        <v>2</v>
      </c>
      <c r="F861">
        <f t="shared" si="170"/>
        <v>11</v>
      </c>
      <c r="G861" t="e">
        <f t="shared" si="171"/>
        <v>#N/A</v>
      </c>
      <c r="H861" t="e">
        <f t="shared" si="172"/>
        <v>#N/A</v>
      </c>
      <c r="I861">
        <f t="shared" si="173"/>
        <v>2017</v>
      </c>
      <c r="J861">
        <f t="shared" si="174"/>
        <v>2.2530000000000001</v>
      </c>
      <c r="K861" t="e">
        <f t="shared" si="175"/>
        <v>#N/A</v>
      </c>
      <c r="L861" t="e">
        <f t="shared" si="176"/>
        <v>#N/A</v>
      </c>
      <c r="M861" t="e">
        <f t="shared" si="177"/>
        <v>#N/A</v>
      </c>
      <c r="N861" t="e">
        <f t="shared" si="178"/>
        <v>#N/A</v>
      </c>
      <c r="O861">
        <f t="shared" si="179"/>
        <v>1.000861</v>
      </c>
      <c r="P861" t="str">
        <f>IF(OR($A861="",games!$H861=""),"",games!$H861)</f>
        <v>Yes</v>
      </c>
      <c r="Q861">
        <f t="shared" si="180"/>
        <v>1.000861</v>
      </c>
      <c r="T861">
        <f>IF(connections!$A861="","",IFERROR(INDEX(games!$B$2:$B$950,MATCH(connections!$A861,games!$A$2:$A$950,0)),""))</f>
        <v>2016</v>
      </c>
      <c r="U861">
        <f>IF(connections!$A861="","",IFERROR(INDEX(games!$B$2:$B$950,MATCH(connections!$B861,games!$A$2:$A$950,0)),""))</f>
        <v>2025</v>
      </c>
      <c r="V861">
        <f t="shared" si="181"/>
        <v>9</v>
      </c>
    </row>
    <row r="862" spans="1:22" x14ac:dyDescent="0.25">
      <c r="A862" t="str">
        <f>IF(games!$A862="","",games!$A862)</f>
        <v>Wayward</v>
      </c>
      <c r="B862">
        <f>IF($A862="","",games!$B862)</f>
        <v>2011</v>
      </c>
      <c r="C862" t="str">
        <f>IF($A862="","",games!$C862)</f>
        <v>Traditional</v>
      </c>
      <c r="D862">
        <f>IF($A862="","",COUNTIF(connections!$A$2:$A$1473,$A862)+COUNTIF(connections!$B$2:$B$1473,$A862))</f>
        <v>2</v>
      </c>
      <c r="E862">
        <f t="shared" si="169"/>
        <v>4</v>
      </c>
      <c r="F862">
        <f t="shared" si="170"/>
        <v>12</v>
      </c>
      <c r="G862" t="e">
        <f t="shared" si="171"/>
        <v>#N/A</v>
      </c>
      <c r="H862" t="e">
        <f t="shared" si="172"/>
        <v>#N/A</v>
      </c>
      <c r="I862" t="e">
        <f t="shared" si="173"/>
        <v>#N/A</v>
      </c>
      <c r="J862" t="e">
        <f t="shared" si="174"/>
        <v>#N/A</v>
      </c>
      <c r="K862" t="e">
        <f t="shared" si="175"/>
        <v>#N/A</v>
      </c>
      <c r="L862" t="e">
        <f t="shared" si="176"/>
        <v>#N/A</v>
      </c>
      <c r="M862">
        <f t="shared" si="177"/>
        <v>2011</v>
      </c>
      <c r="N862">
        <f t="shared" si="178"/>
        <v>4.2759999999999998</v>
      </c>
      <c r="O862">
        <f t="shared" si="179"/>
        <v>2.0008620000000001</v>
      </c>
      <c r="P862" t="str">
        <f>IF(OR($A862="",games!$H862=""),"",games!$H862)</f>
        <v/>
      </c>
      <c r="Q862" t="str">
        <f t="shared" si="180"/>
        <v/>
      </c>
      <c r="T862">
        <f>IF(connections!$A862="","",IFERROR(INDEX(games!$B$2:$B$950,MATCH(connections!$A862,games!$A$2:$A$950,0)),""))</f>
        <v>2015</v>
      </c>
      <c r="U862">
        <f>IF(connections!$A862="","",IFERROR(INDEX(games!$B$2:$B$950,MATCH(connections!$B862,games!$A$2:$A$950,0)),""))</f>
        <v>2025</v>
      </c>
      <c r="V862">
        <f t="shared" si="181"/>
        <v>10</v>
      </c>
    </row>
    <row r="863" spans="1:22" x14ac:dyDescent="0.25">
      <c r="A863" t="str">
        <f>IF(games!$A863="","",games!$A863)</f>
        <v>WazHack</v>
      </c>
      <c r="B863">
        <f>IF($A863="","",games!$B863)</f>
        <v>2012</v>
      </c>
      <c r="C863" t="str">
        <f>IF($A863="","",games!$C863)</f>
        <v>Strategy</v>
      </c>
      <c r="D863">
        <f>IF($A863="","",COUNTIF(connections!$A$2:$A$1473,$A863)+COUNTIF(connections!$B$2:$B$1473,$A863))</f>
        <v>1</v>
      </c>
      <c r="E863">
        <f t="shared" si="169"/>
        <v>2</v>
      </c>
      <c r="F863">
        <f t="shared" si="170"/>
        <v>13</v>
      </c>
      <c r="G863" t="e">
        <f t="shared" si="171"/>
        <v>#N/A</v>
      </c>
      <c r="H863" t="e">
        <f t="shared" si="172"/>
        <v>#N/A</v>
      </c>
      <c r="I863">
        <f t="shared" si="173"/>
        <v>2012</v>
      </c>
      <c r="J863">
        <f t="shared" si="174"/>
        <v>2.2989999999999999</v>
      </c>
      <c r="K863" t="e">
        <f t="shared" si="175"/>
        <v>#N/A</v>
      </c>
      <c r="L863" t="e">
        <f t="shared" si="176"/>
        <v>#N/A</v>
      </c>
      <c r="M863" t="e">
        <f t="shared" si="177"/>
        <v>#N/A</v>
      </c>
      <c r="N863" t="e">
        <f t="shared" si="178"/>
        <v>#N/A</v>
      </c>
      <c r="O863">
        <f t="shared" si="179"/>
        <v>1.0008630000000001</v>
      </c>
      <c r="P863" t="str">
        <f>IF(OR($A863="",games!$H863=""),"",games!$H863)</f>
        <v>Yes</v>
      </c>
      <c r="Q863">
        <f t="shared" si="180"/>
        <v>1.0008630000000001</v>
      </c>
      <c r="T863">
        <f>IF(connections!$A863="","",IFERROR(INDEX(games!$B$2:$B$950,MATCH(connections!$A863,games!$A$2:$A$950,0)),""))</f>
        <v>2024</v>
      </c>
      <c r="U863">
        <f>IF(connections!$A863="","",IFERROR(INDEX(games!$B$2:$B$950,MATCH(connections!$B863,games!$A$2:$A$950,0)),""))</f>
        <v>2026</v>
      </c>
      <c r="V863">
        <f t="shared" si="181"/>
        <v>2</v>
      </c>
    </row>
    <row r="864" spans="1:22" x14ac:dyDescent="0.25">
      <c r="A864" t="str">
        <f>IF(games!$A864="","",games!$A864)</f>
        <v>We Need To Go Deeper</v>
      </c>
      <c r="B864">
        <f>IF($A864="","",games!$B864)</f>
        <v>2017</v>
      </c>
      <c r="C864" t="str">
        <f>IF($A864="","",games!$C864)</f>
        <v>Action</v>
      </c>
      <c r="D864">
        <f>IF($A864="","",COUNTIF(connections!$A$2:$A$1473,$A864)+COUNTIF(connections!$B$2:$B$1473,$A864))</f>
        <v>0</v>
      </c>
      <c r="E864">
        <f t="shared" si="169"/>
        <v>1</v>
      </c>
      <c r="F864">
        <f t="shared" si="170"/>
        <v>14</v>
      </c>
      <c r="G864">
        <f t="shared" si="171"/>
        <v>2017</v>
      </c>
      <c r="H864">
        <f t="shared" si="172"/>
        <v>1.3220000000000001</v>
      </c>
      <c r="I864" t="e">
        <f t="shared" si="173"/>
        <v>#N/A</v>
      </c>
      <c r="J864" t="e">
        <f t="shared" si="174"/>
        <v>#N/A</v>
      </c>
      <c r="K864" t="e">
        <f t="shared" si="175"/>
        <v>#N/A</v>
      </c>
      <c r="L864" t="e">
        <f t="shared" si="176"/>
        <v>#N/A</v>
      </c>
      <c r="M864" t="e">
        <f t="shared" si="177"/>
        <v>#N/A</v>
      </c>
      <c r="N864" t="e">
        <f t="shared" si="178"/>
        <v>#N/A</v>
      </c>
      <c r="O864">
        <f t="shared" si="179"/>
        <v>8.6399999999999997E-4</v>
      </c>
      <c r="P864" t="str">
        <f>IF(OR($A864="",games!$H864=""),"",games!$H864)</f>
        <v>Yes</v>
      </c>
      <c r="Q864">
        <f t="shared" si="180"/>
        <v>8.6399999999999997E-4</v>
      </c>
      <c r="T864">
        <f>IF(connections!$A864="","",IFERROR(INDEX(games!$B$2:$B$950,MATCH(connections!$A864,games!$A$2:$A$950,0)),""))</f>
        <v>2015</v>
      </c>
      <c r="U864">
        <f>IF(connections!$A864="","",IFERROR(INDEX(games!$B$2:$B$950,MATCH(connections!$B864,games!$A$2:$A$950,0)),""))</f>
        <v>2026</v>
      </c>
      <c r="V864">
        <f t="shared" si="181"/>
        <v>11</v>
      </c>
    </row>
    <row r="865" spans="1:22" x14ac:dyDescent="0.25">
      <c r="A865" t="str">
        <f>IF(games!$A865="","",games!$A865)</f>
        <v>Weird Worlds: Return to Infinite Space</v>
      </c>
      <c r="B865">
        <f>IF($A865="","",games!$B865)</f>
        <v>2005</v>
      </c>
      <c r="C865" t="str">
        <f>IF($A865="","",games!$C865)</f>
        <v>Strategy</v>
      </c>
      <c r="D865">
        <f>IF($A865="","",COUNTIF(connections!$A$2:$A$1473,$A865)+COUNTIF(connections!$B$2:$B$1473,$A865))</f>
        <v>3</v>
      </c>
      <c r="E865">
        <f t="shared" si="169"/>
        <v>2</v>
      </c>
      <c r="F865">
        <f t="shared" si="170"/>
        <v>15</v>
      </c>
      <c r="G865" t="e">
        <f t="shared" si="171"/>
        <v>#N/A</v>
      </c>
      <c r="H865" t="e">
        <f t="shared" si="172"/>
        <v>#N/A</v>
      </c>
      <c r="I865">
        <f t="shared" si="173"/>
        <v>2005</v>
      </c>
      <c r="J865">
        <f t="shared" si="174"/>
        <v>2.3449999999999998</v>
      </c>
      <c r="K865" t="e">
        <f t="shared" si="175"/>
        <v>#N/A</v>
      </c>
      <c r="L865" t="e">
        <f t="shared" si="176"/>
        <v>#N/A</v>
      </c>
      <c r="M865" t="e">
        <f t="shared" si="177"/>
        <v>#N/A</v>
      </c>
      <c r="N865" t="e">
        <f t="shared" si="178"/>
        <v>#N/A</v>
      </c>
      <c r="O865">
        <f t="shared" si="179"/>
        <v>3.0008650000000001</v>
      </c>
      <c r="P865" t="str">
        <f>IF(OR($A865="",games!$H865=""),"",games!$H865)</f>
        <v>Yes</v>
      </c>
      <c r="Q865">
        <f t="shared" si="180"/>
        <v>3.0008650000000001</v>
      </c>
      <c r="T865">
        <f>IF(connections!$A865="","",IFERROR(INDEX(games!$B$2:$B$950,MATCH(connections!$A865,games!$A$2:$A$950,0)),""))</f>
        <v>2020</v>
      </c>
      <c r="U865">
        <f>IF(connections!$A865="","",IFERROR(INDEX(games!$B$2:$B$950,MATCH(connections!$B865,games!$A$2:$A$950,0)),""))</f>
        <v>2026</v>
      </c>
      <c r="V865">
        <f t="shared" si="181"/>
        <v>6</v>
      </c>
    </row>
    <row r="866" spans="1:22" x14ac:dyDescent="0.25">
      <c r="A866" t="str">
        <f>IF(games!$A866="","",games!$A866)</f>
        <v>West of Dead</v>
      </c>
      <c r="B866">
        <f>IF($A866="","",games!$B866)</f>
        <v>2020</v>
      </c>
      <c r="C866" t="str">
        <f>IF($A866="","",games!$C866)</f>
        <v>Action</v>
      </c>
      <c r="D866">
        <f>IF($A866="","",COUNTIF(connections!$A$2:$A$1473,$A866)+COUNTIF(connections!$B$2:$B$1473,$A866))</f>
        <v>1</v>
      </c>
      <c r="E866">
        <f t="shared" si="169"/>
        <v>1</v>
      </c>
      <c r="F866">
        <f t="shared" si="170"/>
        <v>16</v>
      </c>
      <c r="G866">
        <f t="shared" si="171"/>
        <v>2020</v>
      </c>
      <c r="H866">
        <f t="shared" si="172"/>
        <v>1.3679999999999999</v>
      </c>
      <c r="I866" t="e">
        <f t="shared" si="173"/>
        <v>#N/A</v>
      </c>
      <c r="J866" t="e">
        <f t="shared" si="174"/>
        <v>#N/A</v>
      </c>
      <c r="K866" t="e">
        <f t="shared" si="175"/>
        <v>#N/A</v>
      </c>
      <c r="L866" t="e">
        <f t="shared" si="176"/>
        <v>#N/A</v>
      </c>
      <c r="M866" t="e">
        <f t="shared" si="177"/>
        <v>#N/A</v>
      </c>
      <c r="N866" t="e">
        <f t="shared" si="178"/>
        <v>#N/A</v>
      </c>
      <c r="O866">
        <f t="shared" si="179"/>
        <v>1.000866</v>
      </c>
      <c r="P866" t="str">
        <f>IF(OR($A866="",games!$H866=""),"",games!$H866)</f>
        <v>Yes</v>
      </c>
      <c r="Q866">
        <f t="shared" si="180"/>
        <v>1.000866</v>
      </c>
      <c r="T866">
        <f>IF(connections!$A866="","",IFERROR(INDEX(games!$B$2:$B$950,MATCH(connections!$A866,games!$A$2:$A$950,0)),""))</f>
        <v>1980</v>
      </c>
      <c r="U866">
        <f>IF(connections!$A866="","",IFERROR(INDEX(games!$B$2:$B$950,MATCH(connections!$B866,games!$A$2:$A$950,0)),""))</f>
        <v>1987</v>
      </c>
      <c r="V866">
        <f t="shared" si="181"/>
        <v>7</v>
      </c>
    </row>
    <row r="867" spans="1:22" x14ac:dyDescent="0.25">
      <c r="A867" t="str">
        <f>IF(games!$A867="","",games!$A867)</f>
        <v>Whisker Squadron: Survivor</v>
      </c>
      <c r="B867">
        <f>IF($A867="","",games!$B867)</f>
        <v>2025</v>
      </c>
      <c r="C867" t="str">
        <f>IF($A867="","",games!$C867)</f>
        <v>Action</v>
      </c>
      <c r="D867">
        <f>IF($A867="","",COUNTIF(connections!$A$2:$A$1473,$A867)+COUNTIF(connections!$B$2:$B$1473,$A867))</f>
        <v>1</v>
      </c>
      <c r="E867">
        <f t="shared" si="169"/>
        <v>1</v>
      </c>
      <c r="F867">
        <f t="shared" si="170"/>
        <v>17</v>
      </c>
      <c r="G867">
        <f t="shared" si="171"/>
        <v>2025</v>
      </c>
      <c r="H867">
        <f t="shared" si="172"/>
        <v>1.391</v>
      </c>
      <c r="I867" t="e">
        <f t="shared" si="173"/>
        <v>#N/A</v>
      </c>
      <c r="J867" t="e">
        <f t="shared" si="174"/>
        <v>#N/A</v>
      </c>
      <c r="K867" t="e">
        <f t="shared" si="175"/>
        <v>#N/A</v>
      </c>
      <c r="L867" t="e">
        <f t="shared" si="176"/>
        <v>#N/A</v>
      </c>
      <c r="M867" t="e">
        <f t="shared" si="177"/>
        <v>#N/A</v>
      </c>
      <c r="N867" t="e">
        <f t="shared" si="178"/>
        <v>#N/A</v>
      </c>
      <c r="O867">
        <f t="shared" si="179"/>
        <v>1.000867</v>
      </c>
      <c r="P867" t="str">
        <f>IF(OR($A867="",games!$H867=""),"",games!$H867)</f>
        <v/>
      </c>
      <c r="Q867" t="str">
        <f t="shared" si="180"/>
        <v/>
      </c>
      <c r="T867">
        <f>IF(connections!$A867="","",IFERROR(INDEX(games!$B$2:$B$950,MATCH(connections!$A867,games!$A$2:$A$950,0)),""))</f>
        <v>1993</v>
      </c>
      <c r="U867">
        <f>IF(connections!$A867="","",IFERROR(INDEX(games!$B$2:$B$950,MATCH(connections!$B867,games!$A$2:$A$950,0)),""))</f>
        <v>2015</v>
      </c>
      <c r="V867">
        <f t="shared" si="181"/>
        <v>22</v>
      </c>
    </row>
    <row r="868" spans="1:22" x14ac:dyDescent="0.25">
      <c r="A868" t="str">
        <f>IF(games!$A868="","",games!$A868)</f>
        <v>White Knuckle</v>
      </c>
      <c r="B868">
        <f>IF($A868="","",games!$B868)</f>
        <v>2025</v>
      </c>
      <c r="C868" t="str">
        <f>IF($A868="","",games!$C868)</f>
        <v>Action</v>
      </c>
      <c r="D868">
        <f>IF($A868="","",COUNTIF(connections!$A$2:$A$1473,$A868)+COUNTIF(connections!$B$2:$B$1473,$A868))</f>
        <v>0</v>
      </c>
      <c r="E868">
        <f t="shared" si="169"/>
        <v>1</v>
      </c>
      <c r="F868">
        <f t="shared" si="170"/>
        <v>18</v>
      </c>
      <c r="G868">
        <f t="shared" si="171"/>
        <v>2025</v>
      </c>
      <c r="H868">
        <f t="shared" si="172"/>
        <v>1.4139999999999999</v>
      </c>
      <c r="I868" t="e">
        <f t="shared" si="173"/>
        <v>#N/A</v>
      </c>
      <c r="J868" t="e">
        <f t="shared" si="174"/>
        <v>#N/A</v>
      </c>
      <c r="K868" t="e">
        <f t="shared" si="175"/>
        <v>#N/A</v>
      </c>
      <c r="L868" t="e">
        <f t="shared" si="176"/>
        <v>#N/A</v>
      </c>
      <c r="M868" t="e">
        <f t="shared" si="177"/>
        <v>#N/A</v>
      </c>
      <c r="N868" t="e">
        <f t="shared" si="178"/>
        <v>#N/A</v>
      </c>
      <c r="O868">
        <f t="shared" si="179"/>
        <v>8.6799999999999996E-4</v>
      </c>
      <c r="P868" t="str">
        <f>IF(OR($A868="",games!$H868=""),"",games!$H868)</f>
        <v/>
      </c>
      <c r="Q868" t="str">
        <f t="shared" si="180"/>
        <v/>
      </c>
      <c r="T868">
        <f>IF(connections!$A868="","",IFERROR(INDEX(games!$B$2:$B$950,MATCH(connections!$A868,games!$A$2:$A$950,0)),""))</f>
        <v>2017</v>
      </c>
      <c r="U868">
        <f>IF(connections!$A868="","",IFERROR(INDEX(games!$B$2:$B$950,MATCH(connections!$B868,games!$A$2:$A$950,0)),""))</f>
        <v>2019</v>
      </c>
      <c r="V868">
        <f t="shared" si="181"/>
        <v>2</v>
      </c>
    </row>
    <row r="869" spans="1:22" x14ac:dyDescent="0.25">
      <c r="A869" t="str">
        <f>IF(games!$A869="","",games!$A869)</f>
        <v>Wild Bastards</v>
      </c>
      <c r="B869">
        <f>IF($A869="","",games!$B869)</f>
        <v>2024</v>
      </c>
      <c r="C869" t="str">
        <f>IF($A869="","",games!$C869)</f>
        <v>Action</v>
      </c>
      <c r="D869">
        <f>IF($A869="","",COUNTIF(connections!$A$2:$A$1473,$A869)+COUNTIF(connections!$B$2:$B$1473,$A869))</f>
        <v>1</v>
      </c>
      <c r="E869">
        <f t="shared" si="169"/>
        <v>1</v>
      </c>
      <c r="F869">
        <f t="shared" si="170"/>
        <v>19</v>
      </c>
      <c r="G869">
        <f t="shared" si="171"/>
        <v>2024</v>
      </c>
      <c r="H869">
        <f t="shared" si="172"/>
        <v>1.4370000000000001</v>
      </c>
      <c r="I869" t="e">
        <f t="shared" si="173"/>
        <v>#N/A</v>
      </c>
      <c r="J869" t="e">
        <f t="shared" si="174"/>
        <v>#N/A</v>
      </c>
      <c r="K869" t="e">
        <f t="shared" si="175"/>
        <v>#N/A</v>
      </c>
      <c r="L869" t="e">
        <f t="shared" si="176"/>
        <v>#N/A</v>
      </c>
      <c r="M869" t="e">
        <f t="shared" si="177"/>
        <v>#N/A</v>
      </c>
      <c r="N869" t="e">
        <f t="shared" si="178"/>
        <v>#N/A</v>
      </c>
      <c r="O869">
        <f t="shared" si="179"/>
        <v>1.000869</v>
      </c>
      <c r="P869" t="str">
        <f>IF(OR($A869="",games!$H869=""),"",games!$H869)</f>
        <v/>
      </c>
      <c r="Q869" t="str">
        <f t="shared" si="180"/>
        <v/>
      </c>
      <c r="T869">
        <f>IF(connections!$A869="","",IFERROR(INDEX(games!$B$2:$B$950,MATCH(connections!$A869,games!$A$2:$A$950,0)),""))</f>
        <v>2015</v>
      </c>
      <c r="U869">
        <f>IF(connections!$A869="","",IFERROR(INDEX(games!$B$2:$B$950,MATCH(connections!$B869,games!$A$2:$A$950,0)),""))</f>
        <v>2017</v>
      </c>
      <c r="V869">
        <f t="shared" si="181"/>
        <v>2</v>
      </c>
    </row>
    <row r="870" spans="1:22" x14ac:dyDescent="0.25">
      <c r="A870" t="str">
        <f>IF(games!$A870="","",games!$A870)</f>
        <v>Wildermyth</v>
      </c>
      <c r="B870">
        <f>IF($A870="","",games!$B870)</f>
        <v>2019</v>
      </c>
      <c r="C870" t="str">
        <f>IF($A870="","",games!$C870)</f>
        <v>Strategy</v>
      </c>
      <c r="D870">
        <f>IF($A870="","",COUNTIF(connections!$A$2:$A$1473,$A870)+COUNTIF(connections!$B$2:$B$1473,$A870))</f>
        <v>0</v>
      </c>
      <c r="E870">
        <f t="shared" si="169"/>
        <v>2</v>
      </c>
      <c r="F870">
        <f t="shared" si="170"/>
        <v>20</v>
      </c>
      <c r="G870" t="e">
        <f t="shared" si="171"/>
        <v>#N/A</v>
      </c>
      <c r="H870" t="e">
        <f t="shared" si="172"/>
        <v>#N/A</v>
      </c>
      <c r="I870">
        <f t="shared" si="173"/>
        <v>2019</v>
      </c>
      <c r="J870">
        <f t="shared" si="174"/>
        <v>2.46</v>
      </c>
      <c r="K870" t="e">
        <f t="shared" si="175"/>
        <v>#N/A</v>
      </c>
      <c r="L870" t="e">
        <f t="shared" si="176"/>
        <v>#N/A</v>
      </c>
      <c r="M870" t="e">
        <f t="shared" si="177"/>
        <v>#N/A</v>
      </c>
      <c r="N870" t="e">
        <f t="shared" si="178"/>
        <v>#N/A</v>
      </c>
      <c r="O870">
        <f t="shared" si="179"/>
        <v>8.7000000000000001E-4</v>
      </c>
      <c r="P870" t="str">
        <f>IF(OR($A870="",games!$H870=""),"",games!$H870)</f>
        <v/>
      </c>
      <c r="Q870" t="str">
        <f t="shared" si="180"/>
        <v/>
      </c>
      <c r="T870">
        <f>IF(connections!$A870="","",IFERROR(INDEX(games!$B$2:$B$950,MATCH(connections!$A870,games!$A$2:$A$950,0)),""))</f>
        <v>2023</v>
      </c>
      <c r="U870">
        <f>IF(connections!$A870="","",IFERROR(INDEX(games!$B$2:$B$950,MATCH(connections!$B870,games!$A$2:$A$950,0)),""))</f>
        <v>2025</v>
      </c>
      <c r="V870">
        <f t="shared" si="181"/>
        <v>2</v>
      </c>
    </row>
    <row r="871" spans="1:22" x14ac:dyDescent="0.25">
      <c r="A871" t="str">
        <f>IF(games!$A871="","",games!$A871)</f>
        <v>Wildfrost</v>
      </c>
      <c r="B871">
        <f>IF($A871="","",games!$B871)</f>
        <v>2023</v>
      </c>
      <c r="C871" t="str">
        <f>IF($A871="","",games!$C871)</f>
        <v>Deckbuilder</v>
      </c>
      <c r="D871">
        <f>IF($A871="","",COUNTIF(connections!$A$2:$A$1473,$A871)+COUNTIF(connections!$B$2:$B$1473,$A871))</f>
        <v>8</v>
      </c>
      <c r="E871">
        <f t="shared" si="169"/>
        <v>3</v>
      </c>
      <c r="F871">
        <f t="shared" si="170"/>
        <v>21</v>
      </c>
      <c r="G871" t="e">
        <f t="shared" si="171"/>
        <v>#N/A</v>
      </c>
      <c r="H871" t="e">
        <f t="shared" si="172"/>
        <v>#N/A</v>
      </c>
      <c r="I871" t="e">
        <f t="shared" si="173"/>
        <v>#N/A</v>
      </c>
      <c r="J871" t="e">
        <f t="shared" si="174"/>
        <v>#N/A</v>
      </c>
      <c r="K871">
        <f t="shared" si="175"/>
        <v>2023</v>
      </c>
      <c r="L871">
        <f t="shared" si="176"/>
        <v>3.4830000000000001</v>
      </c>
      <c r="M871" t="e">
        <f t="shared" si="177"/>
        <v>#N/A</v>
      </c>
      <c r="N871" t="e">
        <f t="shared" si="178"/>
        <v>#N/A</v>
      </c>
      <c r="O871">
        <f t="shared" si="179"/>
        <v>8.0008710000000001</v>
      </c>
      <c r="P871" t="str">
        <f>IF(OR($A871="",games!$H871=""),"",games!$H871)</f>
        <v>Yes</v>
      </c>
      <c r="Q871">
        <f t="shared" si="180"/>
        <v>8.0008710000000001</v>
      </c>
      <c r="T871">
        <f>IF(connections!$A871="","",IFERROR(INDEX(games!$B$2:$B$950,MATCH(connections!$A871,games!$A$2:$A$950,0)),""))</f>
        <v>2024</v>
      </c>
      <c r="U871">
        <f>IF(connections!$A871="","",IFERROR(INDEX(games!$B$2:$B$950,MATCH(connections!$B871,games!$A$2:$A$950,0)),""))</f>
        <v>2025</v>
      </c>
      <c r="V871">
        <f t="shared" si="181"/>
        <v>1</v>
      </c>
    </row>
    <row r="872" spans="1:22" x14ac:dyDescent="0.25">
      <c r="A872" t="str">
        <f>IF(games!$A872="","",games!$A872)</f>
        <v>Windblown</v>
      </c>
      <c r="B872">
        <f>IF($A872="","",games!$B872)</f>
        <v>2024</v>
      </c>
      <c r="C872" t="str">
        <f>IF($A872="","",games!$C872)</f>
        <v>Action</v>
      </c>
      <c r="D872">
        <f>IF($A872="","",COUNTIF(connections!$A$2:$A$1473,$A872)+COUNTIF(connections!$B$2:$B$1473,$A872))</f>
        <v>1</v>
      </c>
      <c r="E872">
        <f t="shared" si="169"/>
        <v>1</v>
      </c>
      <c r="F872">
        <f t="shared" si="170"/>
        <v>22</v>
      </c>
      <c r="G872">
        <f t="shared" si="171"/>
        <v>2024</v>
      </c>
      <c r="H872">
        <f t="shared" si="172"/>
        <v>1.506</v>
      </c>
      <c r="I872" t="e">
        <f t="shared" si="173"/>
        <v>#N/A</v>
      </c>
      <c r="J872" t="e">
        <f t="shared" si="174"/>
        <v>#N/A</v>
      </c>
      <c r="K872" t="e">
        <f t="shared" si="175"/>
        <v>#N/A</v>
      </c>
      <c r="L872" t="e">
        <f t="shared" si="176"/>
        <v>#N/A</v>
      </c>
      <c r="M872" t="e">
        <f t="shared" si="177"/>
        <v>#N/A</v>
      </c>
      <c r="N872" t="e">
        <f t="shared" si="178"/>
        <v>#N/A</v>
      </c>
      <c r="O872">
        <f t="shared" si="179"/>
        <v>1.000872</v>
      </c>
      <c r="P872" t="str">
        <f>IF(OR($A872="",games!$H872=""),"",games!$H872)</f>
        <v/>
      </c>
      <c r="Q872" t="str">
        <f t="shared" si="180"/>
        <v/>
      </c>
      <c r="T872">
        <f>IF(connections!$A872="","",IFERROR(INDEX(games!$B$2:$B$950,MATCH(connections!$A872,games!$A$2:$A$950,0)),""))</f>
        <v>2021</v>
      </c>
      <c r="U872">
        <f>IF(connections!$A872="","",IFERROR(INDEX(games!$B$2:$B$950,MATCH(connections!$B872,games!$A$2:$A$950,0)),""))</f>
        <v>2025</v>
      </c>
      <c r="V872">
        <f t="shared" si="181"/>
        <v>4</v>
      </c>
    </row>
    <row r="873" spans="1:22" x14ac:dyDescent="0.25">
      <c r="A873" t="str">
        <f>IF(games!$A873="","",games!$A873)</f>
        <v>Winnie's Hole</v>
      </c>
      <c r="B873">
        <f>IF($A873="","",games!$B873)</f>
        <v>2026</v>
      </c>
      <c r="C873" t="str">
        <f>IF($A873="","",games!$C873)</f>
        <v>Deckbuilder</v>
      </c>
      <c r="D873">
        <f>IF($A873="","",COUNTIF(connections!$A$2:$A$1473,$A873)+COUNTIF(connections!$B$2:$B$1473,$A873))</f>
        <v>4</v>
      </c>
      <c r="E873">
        <f t="shared" si="169"/>
        <v>3</v>
      </c>
      <c r="F873">
        <f t="shared" si="170"/>
        <v>23</v>
      </c>
      <c r="G873" t="e">
        <f t="shared" si="171"/>
        <v>#N/A</v>
      </c>
      <c r="H873" t="e">
        <f t="shared" si="172"/>
        <v>#N/A</v>
      </c>
      <c r="I873" t="e">
        <f t="shared" si="173"/>
        <v>#N/A</v>
      </c>
      <c r="J873" t="e">
        <f t="shared" si="174"/>
        <v>#N/A</v>
      </c>
      <c r="K873">
        <f t="shared" si="175"/>
        <v>2026</v>
      </c>
      <c r="L873">
        <f t="shared" si="176"/>
        <v>3.5289999999999999</v>
      </c>
      <c r="M873" t="e">
        <f t="shared" si="177"/>
        <v>#N/A</v>
      </c>
      <c r="N873" t="e">
        <f t="shared" si="178"/>
        <v>#N/A</v>
      </c>
      <c r="O873">
        <f t="shared" si="179"/>
        <v>4.0008730000000003</v>
      </c>
      <c r="P873" t="str">
        <f>IF(OR($A873="",games!$H873=""),"",games!$H873)</f>
        <v/>
      </c>
      <c r="Q873" t="str">
        <f t="shared" si="180"/>
        <v/>
      </c>
      <c r="T873">
        <f>IF(connections!$A873="","",IFERROR(INDEX(games!$B$2:$B$950,MATCH(connections!$A873,games!$A$2:$A$950,0)),""))</f>
        <v>2012</v>
      </c>
      <c r="U873">
        <f>IF(connections!$A873="","",IFERROR(INDEX(games!$B$2:$B$950,MATCH(connections!$B873,games!$A$2:$A$950,0)),""))</f>
        <v>2020</v>
      </c>
      <c r="V873">
        <f t="shared" si="181"/>
        <v>8</v>
      </c>
    </row>
    <row r="874" spans="1:22" x14ac:dyDescent="0.25">
      <c r="A874" t="str">
        <f>IF(games!$A874="","",games!$A874)</f>
        <v>Wireworks</v>
      </c>
      <c r="B874">
        <f>IF($A874="","",games!$B874)</f>
        <v>2026</v>
      </c>
      <c r="C874" t="str">
        <f>IF($A874="","",games!$C874)</f>
        <v>Strategy</v>
      </c>
      <c r="D874">
        <f>IF($A874="","",COUNTIF(connections!$A$2:$A$1473,$A874)+COUNTIF(connections!$B$2:$B$1473,$A874))</f>
        <v>0</v>
      </c>
      <c r="E874">
        <f t="shared" si="169"/>
        <v>2</v>
      </c>
      <c r="F874">
        <f t="shared" si="170"/>
        <v>24</v>
      </c>
      <c r="G874" t="e">
        <f t="shared" si="171"/>
        <v>#N/A</v>
      </c>
      <c r="H874" t="e">
        <f t="shared" si="172"/>
        <v>#N/A</v>
      </c>
      <c r="I874">
        <f t="shared" si="173"/>
        <v>2026</v>
      </c>
      <c r="J874">
        <f t="shared" si="174"/>
        <v>2.552</v>
      </c>
      <c r="K874" t="e">
        <f t="shared" si="175"/>
        <v>#N/A</v>
      </c>
      <c r="L874" t="e">
        <f t="shared" si="176"/>
        <v>#N/A</v>
      </c>
      <c r="M874" t="e">
        <f t="shared" si="177"/>
        <v>#N/A</v>
      </c>
      <c r="N874" t="e">
        <f t="shared" si="178"/>
        <v>#N/A</v>
      </c>
      <c r="O874">
        <f t="shared" si="179"/>
        <v>8.7399999999999999E-4</v>
      </c>
      <c r="P874" t="str">
        <f>IF(OR($A874="",games!$H874=""),"",games!$H874)</f>
        <v/>
      </c>
      <c r="Q874" t="str">
        <f t="shared" si="180"/>
        <v/>
      </c>
      <c r="T874">
        <f>IF(connections!$A874="","",IFERROR(INDEX(games!$B$2:$B$950,MATCH(connections!$A874,games!$A$2:$A$950,0)),""))</f>
        <v>2015</v>
      </c>
      <c r="U874">
        <f>IF(connections!$A874="","",IFERROR(INDEX(games!$B$2:$B$950,MATCH(connections!$B874,games!$A$2:$A$950,0)),""))</f>
        <v>2020</v>
      </c>
      <c r="V874">
        <f t="shared" si="181"/>
        <v>5</v>
      </c>
    </row>
    <row r="875" spans="1:22" x14ac:dyDescent="0.25">
      <c r="A875" t="str">
        <f>IF(games!$A875="","",games!$A875)</f>
        <v>Witchfire</v>
      </c>
      <c r="B875">
        <f>IF($A875="","",games!$B875)</f>
        <v>2023</v>
      </c>
      <c r="C875" t="str">
        <f>IF($A875="","",games!$C875)</f>
        <v>Action</v>
      </c>
      <c r="D875">
        <f>IF($A875="","",COUNTIF(connections!$A$2:$A$1473,$A875)+COUNTIF(connections!$B$2:$B$1473,$A875))</f>
        <v>3</v>
      </c>
      <c r="E875">
        <f t="shared" si="169"/>
        <v>1</v>
      </c>
      <c r="F875">
        <f t="shared" si="170"/>
        <v>25</v>
      </c>
      <c r="G875">
        <f t="shared" si="171"/>
        <v>2023</v>
      </c>
      <c r="H875">
        <f t="shared" si="172"/>
        <v>1.575</v>
      </c>
      <c r="I875" t="e">
        <f t="shared" si="173"/>
        <v>#N/A</v>
      </c>
      <c r="J875" t="e">
        <f t="shared" si="174"/>
        <v>#N/A</v>
      </c>
      <c r="K875" t="e">
        <f t="shared" si="175"/>
        <v>#N/A</v>
      </c>
      <c r="L875" t="e">
        <f t="shared" si="176"/>
        <v>#N/A</v>
      </c>
      <c r="M875" t="e">
        <f t="shared" si="177"/>
        <v>#N/A</v>
      </c>
      <c r="N875" t="e">
        <f t="shared" si="178"/>
        <v>#N/A</v>
      </c>
      <c r="O875">
        <f t="shared" si="179"/>
        <v>3.0008750000000002</v>
      </c>
      <c r="P875" t="str">
        <f>IF(OR($A875="",games!$H875=""),"",games!$H875)</f>
        <v/>
      </c>
      <c r="Q875" t="str">
        <f t="shared" si="180"/>
        <v/>
      </c>
      <c r="T875">
        <f>IF(connections!$A875="","",IFERROR(INDEX(games!$B$2:$B$950,MATCH(connections!$A875,games!$A$2:$A$950,0)),""))</f>
        <v>2017</v>
      </c>
      <c r="U875">
        <f>IF(connections!$A875="","",IFERROR(INDEX(games!$B$2:$B$950,MATCH(connections!$B875,games!$A$2:$A$950,0)),""))</f>
        <v>2020</v>
      </c>
      <c r="V875">
        <f t="shared" si="181"/>
        <v>3</v>
      </c>
    </row>
    <row r="876" spans="1:22" x14ac:dyDescent="0.25">
      <c r="A876" t="str">
        <f>IF(games!$A876="","",games!$A876)</f>
        <v>Witch's Apocalyptic Journey</v>
      </c>
      <c r="B876">
        <f>IF($A876="","",games!$B876)</f>
        <v>2026</v>
      </c>
      <c r="C876" t="str">
        <f>IF($A876="","",games!$C876)</f>
        <v>Deckbuilder</v>
      </c>
      <c r="D876">
        <f>IF($A876="","",COUNTIF(connections!$A$2:$A$1473,$A876)+COUNTIF(connections!$B$2:$B$1473,$A876))</f>
        <v>1</v>
      </c>
      <c r="E876">
        <f t="shared" si="169"/>
        <v>3</v>
      </c>
      <c r="F876">
        <f t="shared" si="170"/>
        <v>26</v>
      </c>
      <c r="G876" t="e">
        <f t="shared" si="171"/>
        <v>#N/A</v>
      </c>
      <c r="H876" t="e">
        <f t="shared" si="172"/>
        <v>#N/A</v>
      </c>
      <c r="I876" t="e">
        <f t="shared" si="173"/>
        <v>#N/A</v>
      </c>
      <c r="J876" t="e">
        <f t="shared" si="174"/>
        <v>#N/A</v>
      </c>
      <c r="K876">
        <f t="shared" si="175"/>
        <v>2026</v>
      </c>
      <c r="L876">
        <f t="shared" si="176"/>
        <v>3.5979999999999999</v>
      </c>
      <c r="M876" t="e">
        <f t="shared" si="177"/>
        <v>#N/A</v>
      </c>
      <c r="N876" t="e">
        <f t="shared" si="178"/>
        <v>#N/A</v>
      </c>
      <c r="O876">
        <f t="shared" si="179"/>
        <v>1.0008760000000001</v>
      </c>
      <c r="P876" t="str">
        <f>IF(OR($A876="",games!$H876=""),"",games!$H876)</f>
        <v/>
      </c>
      <c r="Q876" t="str">
        <f t="shared" si="180"/>
        <v/>
      </c>
      <c r="T876">
        <f>IF(connections!$A876="","",IFERROR(INDEX(games!$B$2:$B$950,MATCH(connections!$A876,games!$A$2:$A$950,0)),""))</f>
        <v>1995</v>
      </c>
      <c r="U876">
        <f>IF(connections!$A876="","",IFERROR(INDEX(games!$B$2:$B$950,MATCH(connections!$B876,games!$A$2:$A$950,0)),""))</f>
        <v>2014</v>
      </c>
      <c r="V876">
        <f t="shared" si="181"/>
        <v>19</v>
      </c>
    </row>
    <row r="877" spans="1:22" x14ac:dyDescent="0.25">
      <c r="A877" t="str">
        <f>IF(games!$A877="","",games!$A877)</f>
        <v>Wizard of Legend</v>
      </c>
      <c r="B877">
        <f>IF($A877="","",games!$B877)</f>
        <v>2018</v>
      </c>
      <c r="C877" t="str">
        <f>IF($A877="","",games!$C877)</f>
        <v>Action</v>
      </c>
      <c r="D877">
        <f>IF($A877="","",COUNTIF(connections!$A$2:$A$1473,$A877)+COUNTIF(connections!$B$2:$B$1473,$A877))</f>
        <v>5</v>
      </c>
      <c r="E877">
        <f t="shared" si="169"/>
        <v>1</v>
      </c>
      <c r="F877">
        <f t="shared" si="170"/>
        <v>27</v>
      </c>
      <c r="G877">
        <f t="shared" si="171"/>
        <v>2018</v>
      </c>
      <c r="H877">
        <f t="shared" si="172"/>
        <v>1.621</v>
      </c>
      <c r="I877" t="e">
        <f t="shared" si="173"/>
        <v>#N/A</v>
      </c>
      <c r="J877" t="e">
        <f t="shared" si="174"/>
        <v>#N/A</v>
      </c>
      <c r="K877" t="e">
        <f t="shared" si="175"/>
        <v>#N/A</v>
      </c>
      <c r="L877" t="e">
        <f t="shared" si="176"/>
        <v>#N/A</v>
      </c>
      <c r="M877" t="e">
        <f t="shared" si="177"/>
        <v>#N/A</v>
      </c>
      <c r="N877" t="e">
        <f t="shared" si="178"/>
        <v>#N/A</v>
      </c>
      <c r="O877">
        <f t="shared" si="179"/>
        <v>5.000877</v>
      </c>
      <c r="P877" t="str">
        <f>IF(OR($A877="",games!$H877=""),"",games!$H877)</f>
        <v>Yes</v>
      </c>
      <c r="Q877">
        <f t="shared" si="180"/>
        <v>5.000877</v>
      </c>
      <c r="T877">
        <f>IF(connections!$A877="","",IFERROR(INDEX(games!$B$2:$B$950,MATCH(connections!$A877,games!$A$2:$A$950,0)),""))</f>
        <v>1993</v>
      </c>
      <c r="U877">
        <f>IF(connections!$A877="","",IFERROR(INDEX(games!$B$2:$B$950,MATCH(connections!$B877,games!$A$2:$A$950,0)),""))</f>
        <v>2014</v>
      </c>
      <c r="V877">
        <f t="shared" si="181"/>
        <v>21</v>
      </c>
    </row>
    <row r="878" spans="1:22" x14ac:dyDescent="0.25">
      <c r="A878" t="str">
        <f>IF(games!$A878="","",games!$A878)</f>
        <v>Wizard of Legend 2</v>
      </c>
      <c r="B878">
        <f>IF($A878="","",games!$B878)</f>
        <v>2024</v>
      </c>
      <c r="C878" t="str">
        <f>IF($A878="","",games!$C878)</f>
        <v>Action</v>
      </c>
      <c r="D878">
        <f>IF($A878="","",COUNTIF(connections!$A$2:$A$1473,$A878)+COUNTIF(connections!$B$2:$B$1473,$A878))</f>
        <v>1</v>
      </c>
      <c r="E878">
        <f t="shared" si="169"/>
        <v>1</v>
      </c>
      <c r="F878">
        <f t="shared" si="170"/>
        <v>28</v>
      </c>
      <c r="G878">
        <f t="shared" si="171"/>
        <v>2024</v>
      </c>
      <c r="H878">
        <f t="shared" si="172"/>
        <v>1.6440000000000001</v>
      </c>
      <c r="I878" t="e">
        <f t="shared" si="173"/>
        <v>#N/A</v>
      </c>
      <c r="J878" t="e">
        <f t="shared" si="174"/>
        <v>#N/A</v>
      </c>
      <c r="K878" t="e">
        <f t="shared" si="175"/>
        <v>#N/A</v>
      </c>
      <c r="L878" t="e">
        <f t="shared" si="176"/>
        <v>#N/A</v>
      </c>
      <c r="M878" t="e">
        <f t="shared" si="177"/>
        <v>#N/A</v>
      </c>
      <c r="N878" t="e">
        <f t="shared" si="178"/>
        <v>#N/A</v>
      </c>
      <c r="O878">
        <f t="shared" si="179"/>
        <v>1.0008779999999999</v>
      </c>
      <c r="P878" t="str">
        <f>IF(OR($A878="",games!$H878=""),"",games!$H878)</f>
        <v>Yes</v>
      </c>
      <c r="Q878">
        <f t="shared" si="180"/>
        <v>1.0008779999999999</v>
      </c>
      <c r="T878">
        <f>IF(connections!$A878="","",IFERROR(INDEX(games!$B$2:$B$950,MATCH(connections!$A878,games!$A$2:$A$950,0)),""))</f>
        <v>2012</v>
      </c>
      <c r="U878">
        <f>IF(connections!$A878="","",IFERROR(INDEX(games!$B$2:$B$950,MATCH(connections!$B878,games!$A$2:$A$950,0)),""))</f>
        <v>2019</v>
      </c>
      <c r="V878">
        <f t="shared" si="181"/>
        <v>7</v>
      </c>
    </row>
    <row r="879" spans="1:22" x14ac:dyDescent="0.25">
      <c r="A879" t="str">
        <f>IF(games!$A879="","",games!$A879)</f>
        <v>WizardChess</v>
      </c>
      <c r="B879">
        <f>IF($A879="","",games!$B879)</f>
        <v>2021</v>
      </c>
      <c r="C879" t="str">
        <f>IF($A879="","",games!$C879)</f>
        <v>Strategy</v>
      </c>
      <c r="D879">
        <f>IF($A879="","",COUNTIF(connections!$A$2:$A$1473,$A879)+COUNTIF(connections!$B$2:$B$1473,$A879))</f>
        <v>1</v>
      </c>
      <c r="E879">
        <f t="shared" si="169"/>
        <v>2</v>
      </c>
      <c r="F879">
        <f t="shared" si="170"/>
        <v>29</v>
      </c>
      <c r="G879" t="e">
        <f t="shared" si="171"/>
        <v>#N/A</v>
      </c>
      <c r="H879" t="e">
        <f t="shared" si="172"/>
        <v>#N/A</v>
      </c>
      <c r="I879">
        <f t="shared" si="173"/>
        <v>2021</v>
      </c>
      <c r="J879">
        <f t="shared" si="174"/>
        <v>2.6669999999999998</v>
      </c>
      <c r="K879" t="e">
        <f t="shared" si="175"/>
        <v>#N/A</v>
      </c>
      <c r="L879" t="e">
        <f t="shared" si="176"/>
        <v>#N/A</v>
      </c>
      <c r="M879" t="e">
        <f t="shared" si="177"/>
        <v>#N/A</v>
      </c>
      <c r="N879" t="e">
        <f t="shared" si="178"/>
        <v>#N/A</v>
      </c>
      <c r="O879">
        <f t="shared" si="179"/>
        <v>1.0008790000000001</v>
      </c>
      <c r="P879" t="str">
        <f>IF(OR($A879="",games!$H879=""),"",games!$H879)</f>
        <v>Yes</v>
      </c>
      <c r="Q879">
        <f t="shared" si="180"/>
        <v>1.0008790000000001</v>
      </c>
      <c r="T879">
        <f>IF(connections!$A879="","",IFERROR(INDEX(games!$B$2:$B$950,MATCH(connections!$A879,games!$A$2:$A$950,0)),""))</f>
        <v>2015</v>
      </c>
      <c r="U879">
        <f>IF(connections!$A879="","",IFERROR(INDEX(games!$B$2:$B$950,MATCH(connections!$B879,games!$A$2:$A$950,0)),""))</f>
        <v>2026</v>
      </c>
      <c r="V879">
        <f t="shared" si="181"/>
        <v>11</v>
      </c>
    </row>
    <row r="880" spans="1:22" x14ac:dyDescent="0.25">
      <c r="A880" t="str">
        <f>IF(games!$A880="","",games!$A880)</f>
        <v>Word Play</v>
      </c>
      <c r="B880">
        <f>IF($A880="","",games!$B880)</f>
        <v>2025</v>
      </c>
      <c r="C880" t="str">
        <f>IF($A880="","",games!$C880)</f>
        <v>Deckbuilder</v>
      </c>
      <c r="D880">
        <f>IF($A880="","",COUNTIF(connections!$A$2:$A$1473,$A880)+COUNTIF(connections!$B$2:$B$1473,$A880))</f>
        <v>1</v>
      </c>
      <c r="E880">
        <f t="shared" si="169"/>
        <v>3</v>
      </c>
      <c r="F880">
        <f t="shared" si="170"/>
        <v>30</v>
      </c>
      <c r="G880" t="e">
        <f t="shared" si="171"/>
        <v>#N/A</v>
      </c>
      <c r="H880" t="e">
        <f t="shared" si="172"/>
        <v>#N/A</v>
      </c>
      <c r="I880" t="e">
        <f t="shared" si="173"/>
        <v>#N/A</v>
      </c>
      <c r="J880" t="e">
        <f t="shared" si="174"/>
        <v>#N/A</v>
      </c>
      <c r="K880">
        <f t="shared" si="175"/>
        <v>2025</v>
      </c>
      <c r="L880">
        <f t="shared" si="176"/>
        <v>3.69</v>
      </c>
      <c r="M880" t="e">
        <f t="shared" si="177"/>
        <v>#N/A</v>
      </c>
      <c r="N880" t="e">
        <f t="shared" si="178"/>
        <v>#N/A</v>
      </c>
      <c r="O880">
        <f t="shared" si="179"/>
        <v>1.00088</v>
      </c>
      <c r="P880" t="str">
        <f>IF(OR($A880="",games!$H880=""),"",games!$H880)</f>
        <v/>
      </c>
      <c r="Q880" t="str">
        <f t="shared" si="180"/>
        <v/>
      </c>
      <c r="T880">
        <f>IF(connections!$A880="","",IFERROR(INDEX(games!$B$2:$B$950,MATCH(connections!$A880,games!$A$2:$A$950,0)),""))</f>
        <v>2017</v>
      </c>
      <c r="U880">
        <f>IF(connections!$A880="","",IFERROR(INDEX(games!$B$2:$B$950,MATCH(connections!$B880,games!$A$2:$A$950,0)),""))</f>
        <v>2026</v>
      </c>
      <c r="V880">
        <f t="shared" si="181"/>
        <v>9</v>
      </c>
    </row>
    <row r="881" spans="1:22" x14ac:dyDescent="0.25">
      <c r="A881" t="str">
        <f>IF(games!$A881="","",games!$A881)</f>
        <v>Wordatro!</v>
      </c>
      <c r="B881">
        <f>IF($A881="","",games!$B881)</f>
        <v>2025</v>
      </c>
      <c r="C881" t="str">
        <f>IF($A881="","",games!$C881)</f>
        <v>Deckbuilder</v>
      </c>
      <c r="D881">
        <f>IF($A881="","",COUNTIF(connections!$A$2:$A$1473,$A881)+COUNTIF(connections!$B$2:$B$1473,$A881))</f>
        <v>1</v>
      </c>
      <c r="E881">
        <f t="shared" si="169"/>
        <v>3</v>
      </c>
      <c r="F881">
        <f t="shared" si="170"/>
        <v>31</v>
      </c>
      <c r="G881" t="e">
        <f t="shared" si="171"/>
        <v>#N/A</v>
      </c>
      <c r="H881" t="e">
        <f t="shared" si="172"/>
        <v>#N/A</v>
      </c>
      <c r="I881" t="e">
        <f t="shared" si="173"/>
        <v>#N/A</v>
      </c>
      <c r="J881" t="e">
        <f t="shared" si="174"/>
        <v>#N/A</v>
      </c>
      <c r="K881">
        <f t="shared" si="175"/>
        <v>2025</v>
      </c>
      <c r="L881">
        <f t="shared" si="176"/>
        <v>3.7130000000000001</v>
      </c>
      <c r="M881" t="e">
        <f t="shared" si="177"/>
        <v>#N/A</v>
      </c>
      <c r="N881" t="e">
        <f t="shared" si="178"/>
        <v>#N/A</v>
      </c>
      <c r="O881">
        <f t="shared" si="179"/>
        <v>1.0008809999999999</v>
      </c>
      <c r="P881" t="str">
        <f>IF(OR($A881="",games!$H881=""),"",games!$H881)</f>
        <v>Yes</v>
      </c>
      <c r="Q881">
        <f t="shared" si="180"/>
        <v>1.0008809999999999</v>
      </c>
      <c r="T881">
        <f>IF(connections!$A881="","",IFERROR(INDEX(games!$B$2:$B$950,MATCH(connections!$A881,games!$A$2:$A$950,0)),""))</f>
        <v>2022</v>
      </c>
      <c r="U881">
        <f>IF(connections!$A881="","",IFERROR(INDEX(games!$B$2:$B$950,MATCH(connections!$B881,games!$A$2:$A$950,0)),""))</f>
        <v>2026</v>
      </c>
      <c r="V881">
        <f t="shared" si="181"/>
        <v>4</v>
      </c>
    </row>
    <row r="882" spans="1:22" x14ac:dyDescent="0.25">
      <c r="A882" t="str">
        <f>IF(games!$A882="","",games!$A882)</f>
        <v>Words Can Kill</v>
      </c>
      <c r="B882">
        <f>IF($A882="","",games!$B882)</f>
        <v>2022</v>
      </c>
      <c r="C882" t="str">
        <f>IF($A882="","",games!$C882)</f>
        <v>Deckbuilder</v>
      </c>
      <c r="D882">
        <f>IF($A882="","",COUNTIF(connections!$A$2:$A$1473,$A882)+COUNTIF(connections!$B$2:$B$1473,$A882))</f>
        <v>2</v>
      </c>
      <c r="E882">
        <f t="shared" si="169"/>
        <v>3</v>
      </c>
      <c r="F882">
        <f t="shared" si="170"/>
        <v>32</v>
      </c>
      <c r="G882" t="e">
        <f t="shared" si="171"/>
        <v>#N/A</v>
      </c>
      <c r="H882" t="e">
        <f t="shared" si="172"/>
        <v>#N/A</v>
      </c>
      <c r="I882" t="e">
        <f t="shared" si="173"/>
        <v>#N/A</v>
      </c>
      <c r="J882" t="e">
        <f t="shared" si="174"/>
        <v>#N/A</v>
      </c>
      <c r="K882">
        <f t="shared" si="175"/>
        <v>2022</v>
      </c>
      <c r="L882">
        <f t="shared" si="176"/>
        <v>3.7359999999999998</v>
      </c>
      <c r="M882" t="e">
        <f t="shared" si="177"/>
        <v>#N/A</v>
      </c>
      <c r="N882" t="e">
        <f t="shared" si="178"/>
        <v>#N/A</v>
      </c>
      <c r="O882">
        <f t="shared" si="179"/>
        <v>2.0008819999999998</v>
      </c>
      <c r="P882" t="str">
        <f>IF(OR($A882="",games!$H882=""),"",games!$H882)</f>
        <v>Yes</v>
      </c>
      <c r="Q882">
        <f t="shared" si="180"/>
        <v>2.0008819999999998</v>
      </c>
      <c r="T882">
        <f>IF(connections!$A882="","",IFERROR(INDEX(games!$B$2:$B$950,MATCH(connections!$A882,games!$A$2:$A$950,0)),""))</f>
        <v>2018</v>
      </c>
      <c r="U882">
        <f>IF(connections!$A882="","",IFERROR(INDEX(games!$B$2:$B$950,MATCH(connections!$B882,games!$A$2:$A$950,0)),""))</f>
        <v>2026</v>
      </c>
      <c r="V882">
        <f t="shared" si="181"/>
        <v>8</v>
      </c>
    </row>
    <row r="883" spans="1:22" x14ac:dyDescent="0.25">
      <c r="A883" t="str">
        <f>IF(games!$A883="","",games!$A883)</f>
        <v>Worlds Upon The Wind</v>
      </c>
      <c r="B883">
        <f>IF($A883="","",games!$B883)</f>
        <v>2026</v>
      </c>
      <c r="C883" t="str">
        <f>IF($A883="","",games!$C883)</f>
        <v>Deckbuilder</v>
      </c>
      <c r="D883">
        <f>IF($A883="","",COUNTIF(connections!$A$2:$A$1473,$A883)+COUNTIF(connections!$B$2:$B$1473,$A883))</f>
        <v>1</v>
      </c>
      <c r="E883">
        <f t="shared" si="169"/>
        <v>3</v>
      </c>
      <c r="F883">
        <f t="shared" si="170"/>
        <v>33</v>
      </c>
      <c r="G883" t="e">
        <f t="shared" si="171"/>
        <v>#N/A</v>
      </c>
      <c r="H883" t="e">
        <f t="shared" si="172"/>
        <v>#N/A</v>
      </c>
      <c r="I883" t="e">
        <f t="shared" si="173"/>
        <v>#N/A</v>
      </c>
      <c r="J883" t="e">
        <f t="shared" si="174"/>
        <v>#N/A</v>
      </c>
      <c r="K883">
        <f t="shared" si="175"/>
        <v>2026</v>
      </c>
      <c r="L883">
        <f t="shared" si="176"/>
        <v>3.7589999999999999</v>
      </c>
      <c r="M883" t="e">
        <f t="shared" si="177"/>
        <v>#N/A</v>
      </c>
      <c r="N883" t="e">
        <f t="shared" si="178"/>
        <v>#N/A</v>
      </c>
      <c r="O883">
        <f t="shared" si="179"/>
        <v>1.000883</v>
      </c>
      <c r="P883" t="str">
        <f>IF(OR($A883="",games!$H883=""),"",games!$H883)</f>
        <v/>
      </c>
      <c r="Q883" t="str">
        <f t="shared" si="180"/>
        <v/>
      </c>
      <c r="T883">
        <f>IF(connections!$A883="","",IFERROR(INDEX(games!$B$2:$B$950,MATCH(connections!$A883,games!$A$2:$A$950,0)),""))</f>
        <v>2021</v>
      </c>
      <c r="U883">
        <f>IF(connections!$A883="","",IFERROR(INDEX(games!$B$2:$B$950,MATCH(connections!$B883,games!$A$2:$A$950,0)),""))</f>
        <v>2026</v>
      </c>
      <c r="V883">
        <f t="shared" si="181"/>
        <v>5</v>
      </c>
    </row>
    <row r="884" spans="1:22" x14ac:dyDescent="0.25">
      <c r="A884" t="str">
        <f>IF(games!$A884="","",games!$A884)</f>
        <v>Yasha: Legends of the Demon Blade</v>
      </c>
      <c r="B884">
        <f>IF($A884="","",games!$B884)</f>
        <v>2025</v>
      </c>
      <c r="C884" t="str">
        <f>IF($A884="","",games!$C884)</f>
        <v>Action</v>
      </c>
      <c r="D884">
        <f>IF($A884="","",COUNTIF(connections!$A$2:$A$1473,$A884)+COUNTIF(connections!$B$2:$B$1473,$A884))</f>
        <v>1</v>
      </c>
      <c r="E884">
        <f t="shared" si="169"/>
        <v>1</v>
      </c>
      <c r="F884">
        <f t="shared" si="170"/>
        <v>0</v>
      </c>
      <c r="G884">
        <f t="shared" si="171"/>
        <v>2025</v>
      </c>
      <c r="H884">
        <f t="shared" si="172"/>
        <v>1</v>
      </c>
      <c r="I884" t="e">
        <f t="shared" si="173"/>
        <v>#N/A</v>
      </c>
      <c r="J884" t="e">
        <f t="shared" si="174"/>
        <v>#N/A</v>
      </c>
      <c r="K884" t="e">
        <f t="shared" si="175"/>
        <v>#N/A</v>
      </c>
      <c r="L884" t="e">
        <f t="shared" si="176"/>
        <v>#N/A</v>
      </c>
      <c r="M884" t="e">
        <f t="shared" si="177"/>
        <v>#N/A</v>
      </c>
      <c r="N884" t="e">
        <f t="shared" si="178"/>
        <v>#N/A</v>
      </c>
      <c r="O884">
        <f t="shared" si="179"/>
        <v>1.0008840000000001</v>
      </c>
      <c r="P884" t="str">
        <f>IF(OR($A884="",games!$H884=""),"",games!$H884)</f>
        <v/>
      </c>
      <c r="Q884" t="str">
        <f t="shared" si="180"/>
        <v/>
      </c>
      <c r="T884">
        <f>IF(connections!$A884="","",IFERROR(INDEX(games!$B$2:$B$950,MATCH(connections!$A884,games!$A$2:$A$950,0)),""))</f>
        <v>1996</v>
      </c>
      <c r="U884">
        <f>IF(connections!$A884="","",IFERROR(INDEX(games!$B$2:$B$950,MATCH(connections!$B884,games!$A$2:$A$950,0)),""))</f>
        <v>2014</v>
      </c>
      <c r="V884">
        <f t="shared" si="181"/>
        <v>18</v>
      </c>
    </row>
    <row r="885" spans="1:22" x14ac:dyDescent="0.25">
      <c r="A885" t="str">
        <f>IF(games!$A885="","",games!$A885)</f>
        <v>Yet Another Zombie Survivors</v>
      </c>
      <c r="B885">
        <f>IF($A885="","",games!$B885)</f>
        <v>2023</v>
      </c>
      <c r="C885" t="str">
        <f>IF($A885="","",games!$C885)</f>
        <v>Action</v>
      </c>
      <c r="D885">
        <f>IF($A885="","",COUNTIF(connections!$A$2:$A$1473,$A885)+COUNTIF(connections!$B$2:$B$1473,$A885))</f>
        <v>1</v>
      </c>
      <c r="E885">
        <f t="shared" si="169"/>
        <v>1</v>
      </c>
      <c r="F885">
        <f t="shared" si="170"/>
        <v>1</v>
      </c>
      <c r="G885">
        <f t="shared" si="171"/>
        <v>2023</v>
      </c>
      <c r="H885">
        <f t="shared" si="172"/>
        <v>1.0229999999999999</v>
      </c>
      <c r="I885" t="e">
        <f t="shared" si="173"/>
        <v>#N/A</v>
      </c>
      <c r="J885" t="e">
        <f t="shared" si="174"/>
        <v>#N/A</v>
      </c>
      <c r="K885" t="e">
        <f t="shared" si="175"/>
        <v>#N/A</v>
      </c>
      <c r="L885" t="e">
        <f t="shared" si="176"/>
        <v>#N/A</v>
      </c>
      <c r="M885" t="e">
        <f t="shared" si="177"/>
        <v>#N/A</v>
      </c>
      <c r="N885" t="e">
        <f t="shared" si="178"/>
        <v>#N/A</v>
      </c>
      <c r="O885">
        <f t="shared" si="179"/>
        <v>1.000885</v>
      </c>
      <c r="P885" t="str">
        <f>IF(OR($A885="",games!$H885=""),"",games!$H885)</f>
        <v>Yes</v>
      </c>
      <c r="Q885">
        <f t="shared" si="180"/>
        <v>1.000885</v>
      </c>
      <c r="T885">
        <f>IF(connections!$A885="","",IFERROR(INDEX(games!$B$2:$B$950,MATCH(connections!$A885,games!$A$2:$A$950,0)),""))</f>
        <v>2013</v>
      </c>
      <c r="U885">
        <f>IF(connections!$A885="","",IFERROR(INDEX(games!$B$2:$B$950,MATCH(connections!$B885,games!$A$2:$A$950,0)),""))</f>
        <v>2014</v>
      </c>
      <c r="V885">
        <f t="shared" si="181"/>
        <v>1</v>
      </c>
    </row>
    <row r="886" spans="1:22" x14ac:dyDescent="0.25">
      <c r="A886" t="str">
        <f>IF(games!$A886="","",games!$A886)</f>
        <v>Yohane the Parhelion: Numazu in the Mirage</v>
      </c>
      <c r="B886">
        <f>IF($A886="","",games!$B886)</f>
        <v>2024</v>
      </c>
      <c r="C886" t="str">
        <f>IF($A886="","",games!$C886)</f>
        <v>Deckbuilder</v>
      </c>
      <c r="D886">
        <f>IF($A886="","",COUNTIF(connections!$A$2:$A$1473,$A886)+COUNTIF(connections!$B$2:$B$1473,$A886))</f>
        <v>1</v>
      </c>
      <c r="E886">
        <f t="shared" si="169"/>
        <v>3</v>
      </c>
      <c r="F886">
        <f t="shared" si="170"/>
        <v>2</v>
      </c>
      <c r="G886" t="e">
        <f t="shared" si="171"/>
        <v>#N/A</v>
      </c>
      <c r="H886" t="e">
        <f t="shared" si="172"/>
        <v>#N/A</v>
      </c>
      <c r="I886" t="e">
        <f t="shared" si="173"/>
        <v>#N/A</v>
      </c>
      <c r="J886" t="e">
        <f t="shared" si="174"/>
        <v>#N/A</v>
      </c>
      <c r="K886">
        <f t="shared" si="175"/>
        <v>2024</v>
      </c>
      <c r="L886">
        <f t="shared" si="176"/>
        <v>3.0459999999999998</v>
      </c>
      <c r="M886" t="e">
        <f t="shared" si="177"/>
        <v>#N/A</v>
      </c>
      <c r="N886" t="e">
        <f t="shared" si="178"/>
        <v>#N/A</v>
      </c>
      <c r="O886">
        <f t="shared" si="179"/>
        <v>1.0008859999999999</v>
      </c>
      <c r="P886" t="str">
        <f>IF(OR($A886="",games!$H886=""),"",games!$H886)</f>
        <v>Yes</v>
      </c>
      <c r="Q886">
        <f t="shared" si="180"/>
        <v>1.0008859999999999</v>
      </c>
      <c r="T886">
        <f>IF(connections!$A886="","",IFERROR(INDEX(games!$B$2:$B$950,MATCH(connections!$A886,games!$A$2:$A$950,0)),""))</f>
        <v>2012</v>
      </c>
      <c r="U886">
        <f>IF(connections!$A886="","",IFERROR(INDEX(games!$B$2:$B$950,MATCH(connections!$B886,games!$A$2:$A$950,0)),""))</f>
        <v>2014</v>
      </c>
      <c r="V886">
        <f t="shared" si="181"/>
        <v>2</v>
      </c>
    </row>
    <row r="887" spans="1:22" x14ac:dyDescent="0.25">
      <c r="A887" t="str">
        <f>IF(games!$A887="","",games!$A887)</f>
        <v>Youdanji</v>
      </c>
      <c r="B887">
        <f>IF($A887="","",games!$B887)</f>
        <v>2017</v>
      </c>
      <c r="C887" t="str">
        <f>IF($A887="","",games!$C887)</f>
        <v>Traditional</v>
      </c>
      <c r="D887">
        <f>IF($A887="","",COUNTIF(connections!$A$2:$A$1473,$A887)+COUNTIF(connections!$B$2:$B$1473,$A887))</f>
        <v>1</v>
      </c>
      <c r="E887">
        <f t="shared" si="169"/>
        <v>4</v>
      </c>
      <c r="F887">
        <f t="shared" si="170"/>
        <v>3</v>
      </c>
      <c r="G887" t="e">
        <f t="shared" si="171"/>
        <v>#N/A</v>
      </c>
      <c r="H887" t="e">
        <f t="shared" si="172"/>
        <v>#N/A</v>
      </c>
      <c r="I887" t="e">
        <f t="shared" si="173"/>
        <v>#N/A</v>
      </c>
      <c r="J887" t="e">
        <f t="shared" si="174"/>
        <v>#N/A</v>
      </c>
      <c r="K887" t="e">
        <f t="shared" si="175"/>
        <v>#N/A</v>
      </c>
      <c r="L887" t="e">
        <f t="shared" si="176"/>
        <v>#N/A</v>
      </c>
      <c r="M887">
        <f t="shared" si="177"/>
        <v>2017</v>
      </c>
      <c r="N887">
        <f t="shared" si="178"/>
        <v>4.069</v>
      </c>
      <c r="O887">
        <f t="shared" si="179"/>
        <v>1.0008870000000001</v>
      </c>
      <c r="P887" t="str">
        <f>IF(OR($A887="",games!$H887=""),"",games!$H887)</f>
        <v/>
      </c>
      <c r="Q887" t="str">
        <f t="shared" si="180"/>
        <v/>
      </c>
      <c r="T887">
        <f>IF(connections!$A887="","",IFERROR(INDEX(games!$B$2:$B$950,MATCH(connections!$A887,games!$A$2:$A$950,0)),""))</f>
        <v>2011</v>
      </c>
      <c r="U887">
        <f>IF(connections!$A887="","",IFERROR(INDEX(games!$B$2:$B$950,MATCH(connections!$B887,games!$A$2:$A$950,0)),""))</f>
        <v>2014</v>
      </c>
      <c r="V887">
        <f t="shared" si="181"/>
        <v>3</v>
      </c>
    </row>
    <row r="888" spans="1:22" x14ac:dyDescent="0.25">
      <c r="A888" t="str">
        <f>IF(games!$A888="","",games!$A888)</f>
        <v>Z.H.P. Unlosing Ranger VS Darkdeath Evilman</v>
      </c>
      <c r="B888">
        <f>IF($A888="","",games!$B888)</f>
        <v>2010</v>
      </c>
      <c r="C888" t="str">
        <f>IF($A888="","",games!$C888)</f>
        <v>Traditional</v>
      </c>
      <c r="D888">
        <f>IF($A888="","",COUNTIF(connections!$A$2:$A$1473,$A888)+COUNTIF(connections!$B$2:$B$1473,$A888))</f>
        <v>2</v>
      </c>
      <c r="E888">
        <f t="shared" si="169"/>
        <v>4</v>
      </c>
      <c r="F888">
        <f t="shared" si="170"/>
        <v>4</v>
      </c>
      <c r="G888" t="e">
        <f t="shared" si="171"/>
        <v>#N/A</v>
      </c>
      <c r="H888" t="e">
        <f t="shared" si="172"/>
        <v>#N/A</v>
      </c>
      <c r="I888" t="e">
        <f t="shared" si="173"/>
        <v>#N/A</v>
      </c>
      <c r="J888" t="e">
        <f t="shared" si="174"/>
        <v>#N/A</v>
      </c>
      <c r="K888" t="e">
        <f t="shared" si="175"/>
        <v>#N/A</v>
      </c>
      <c r="L888" t="e">
        <f t="shared" si="176"/>
        <v>#N/A</v>
      </c>
      <c r="M888">
        <f t="shared" si="177"/>
        <v>2010</v>
      </c>
      <c r="N888">
        <f t="shared" si="178"/>
        <v>4.0919999999999996</v>
      </c>
      <c r="O888">
        <f t="shared" si="179"/>
        <v>2.0008879999999998</v>
      </c>
      <c r="P888" t="str">
        <f>IF(OR($A888="",games!$H888=""),"",games!$H888)</f>
        <v>Yes</v>
      </c>
      <c r="Q888">
        <f t="shared" si="180"/>
        <v>2.0008879999999998</v>
      </c>
      <c r="T888">
        <f>IF(connections!$A888="","",IFERROR(INDEX(games!$B$2:$B$950,MATCH(connections!$A888,games!$A$2:$A$950,0)),""))</f>
        <v>1987</v>
      </c>
      <c r="U888">
        <f>IF(connections!$A888="","",IFERROR(INDEX(games!$B$2:$B$950,MATCH(connections!$B888,games!$A$2:$A$950,0)),""))</f>
        <v>2022</v>
      </c>
      <c r="V888">
        <f t="shared" si="181"/>
        <v>35</v>
      </c>
    </row>
    <row r="889" spans="1:22" x14ac:dyDescent="0.25">
      <c r="A889" t="str">
        <f>IF(games!$A889="","",games!$A889)</f>
        <v>Zangband</v>
      </c>
      <c r="B889">
        <f>IF($A889="","",games!$B889)</f>
        <v>1994</v>
      </c>
      <c r="C889" t="str">
        <f>IF($A889="","",games!$C889)</f>
        <v>Traditional</v>
      </c>
      <c r="D889">
        <f>IF($A889="","",COUNTIF(connections!$A$2:$A$1473,$A889)+COUNTIF(connections!$B$2:$B$1473,$A889))</f>
        <v>4</v>
      </c>
      <c r="E889">
        <f t="shared" si="169"/>
        <v>4</v>
      </c>
      <c r="F889">
        <f t="shared" si="170"/>
        <v>5</v>
      </c>
      <c r="G889" t="e">
        <f t="shared" si="171"/>
        <v>#N/A</v>
      </c>
      <c r="H889" t="e">
        <f t="shared" si="172"/>
        <v>#N/A</v>
      </c>
      <c r="I889" t="e">
        <f t="shared" si="173"/>
        <v>#N/A</v>
      </c>
      <c r="J889" t="e">
        <f t="shared" si="174"/>
        <v>#N/A</v>
      </c>
      <c r="K889" t="e">
        <f t="shared" si="175"/>
        <v>#N/A</v>
      </c>
      <c r="L889" t="e">
        <f t="shared" si="176"/>
        <v>#N/A</v>
      </c>
      <c r="M889">
        <f t="shared" si="177"/>
        <v>1994</v>
      </c>
      <c r="N889">
        <f t="shared" si="178"/>
        <v>4.1150000000000002</v>
      </c>
      <c r="O889">
        <f t="shared" si="179"/>
        <v>4.0008889999999999</v>
      </c>
      <c r="P889" t="str">
        <f>IF(OR($A889="",games!$H889=""),"",games!$H889)</f>
        <v>Yes</v>
      </c>
      <c r="Q889">
        <f t="shared" si="180"/>
        <v>4.0008889999999999</v>
      </c>
      <c r="T889">
        <f>IF(connections!$A889="","",IFERROR(INDEX(games!$B$2:$B$950,MATCH(connections!$A889,games!$A$2:$A$950,0)),""))</f>
        <v>2017</v>
      </c>
      <c r="U889">
        <f>IF(connections!$A889="","",IFERROR(INDEX(games!$B$2:$B$950,MATCH(connections!$B889,games!$A$2:$A$950,0)),""))</f>
        <v>2025</v>
      </c>
      <c r="V889">
        <f t="shared" si="181"/>
        <v>8</v>
      </c>
    </row>
    <row r="890" spans="1:22" x14ac:dyDescent="0.25">
      <c r="A890" t="str">
        <f>IF(games!$A890="","",games!$A890)</f>
        <v>Zet Zillions</v>
      </c>
      <c r="B890">
        <f>IF($A890="","",games!$B890)</f>
        <v>2024</v>
      </c>
      <c r="C890" t="str">
        <f>IF($A890="","",games!$C890)</f>
        <v>Deckbuilder</v>
      </c>
      <c r="D890">
        <f>IF($A890="","",COUNTIF(connections!$A$2:$A$1473,$A890)+COUNTIF(connections!$B$2:$B$1473,$A890))</f>
        <v>2</v>
      </c>
      <c r="E890">
        <f t="shared" si="169"/>
        <v>3</v>
      </c>
      <c r="F890">
        <f t="shared" si="170"/>
        <v>6</v>
      </c>
      <c r="G890" t="e">
        <f t="shared" si="171"/>
        <v>#N/A</v>
      </c>
      <c r="H890" t="e">
        <f t="shared" si="172"/>
        <v>#N/A</v>
      </c>
      <c r="I890" t="e">
        <f t="shared" si="173"/>
        <v>#N/A</v>
      </c>
      <c r="J890" t="e">
        <f t="shared" si="174"/>
        <v>#N/A</v>
      </c>
      <c r="K890">
        <f t="shared" si="175"/>
        <v>2024</v>
      </c>
      <c r="L890">
        <f t="shared" si="176"/>
        <v>3.1379999999999999</v>
      </c>
      <c r="M890" t="e">
        <f t="shared" si="177"/>
        <v>#N/A</v>
      </c>
      <c r="N890" t="e">
        <f t="shared" si="178"/>
        <v>#N/A</v>
      </c>
      <c r="O890">
        <f t="shared" si="179"/>
        <v>2.0008900000000001</v>
      </c>
      <c r="P890" t="str">
        <f>IF(OR($A890="",games!$H890=""),"",games!$H890)</f>
        <v>Yes</v>
      </c>
      <c r="Q890">
        <f t="shared" si="180"/>
        <v>2.0008900000000001</v>
      </c>
      <c r="T890">
        <f>IF(connections!$A890="","",IFERROR(INDEX(games!$B$2:$B$950,MATCH(connections!$A890,games!$A$2:$A$950,0)),""))</f>
        <v>2005</v>
      </c>
      <c r="U890">
        <f>IF(connections!$A890="","",IFERROR(INDEX(games!$B$2:$B$950,MATCH(connections!$B890,games!$A$2:$A$950,0)),""))</f>
        <v>2025</v>
      </c>
      <c r="V890">
        <f t="shared" si="181"/>
        <v>20</v>
      </c>
    </row>
    <row r="891" spans="1:22" x14ac:dyDescent="0.25">
      <c r="A891" t="str">
        <f>IF(games!$A891="","",games!$A891)</f>
        <v>Ziggurat</v>
      </c>
      <c r="B891">
        <f>IF($A891="","",games!$B891)</f>
        <v>2014</v>
      </c>
      <c r="C891" t="str">
        <f>IF($A891="","",games!$C891)</f>
        <v>Action</v>
      </c>
      <c r="D891">
        <f>IF($A891="","",COUNTIF(connections!$A$2:$A$1473,$A891)+COUNTIF(connections!$B$2:$B$1473,$A891))</f>
        <v>3</v>
      </c>
      <c r="E891">
        <f t="shared" si="169"/>
        <v>1</v>
      </c>
      <c r="F891">
        <f t="shared" si="170"/>
        <v>7</v>
      </c>
      <c r="G891">
        <f t="shared" si="171"/>
        <v>2014</v>
      </c>
      <c r="H891">
        <f t="shared" si="172"/>
        <v>1.161</v>
      </c>
      <c r="I891" t="e">
        <f t="shared" si="173"/>
        <v>#N/A</v>
      </c>
      <c r="J891" t="e">
        <f t="shared" si="174"/>
        <v>#N/A</v>
      </c>
      <c r="K891" t="e">
        <f t="shared" si="175"/>
        <v>#N/A</v>
      </c>
      <c r="L891" t="e">
        <f t="shared" si="176"/>
        <v>#N/A</v>
      </c>
      <c r="M891" t="e">
        <f t="shared" si="177"/>
        <v>#N/A</v>
      </c>
      <c r="N891" t="e">
        <f t="shared" si="178"/>
        <v>#N/A</v>
      </c>
      <c r="O891">
        <f t="shared" si="179"/>
        <v>3.0008910000000002</v>
      </c>
      <c r="P891" t="str">
        <f>IF(OR($A891="",games!$H891=""),"",games!$H891)</f>
        <v>Yes</v>
      </c>
      <c r="Q891">
        <f t="shared" si="180"/>
        <v>3.0008910000000002</v>
      </c>
      <c r="T891">
        <f>IF(connections!$A891="","",IFERROR(INDEX(games!$B$2:$B$950,MATCH(connections!$A891,games!$A$2:$A$950,0)),""))</f>
        <v>2011</v>
      </c>
      <c r="U891">
        <f>IF(connections!$A891="","",IFERROR(INDEX(games!$B$2:$B$950,MATCH(connections!$B891,games!$A$2:$A$950,0)),""))</f>
        <v>2023</v>
      </c>
      <c r="V891">
        <f t="shared" si="181"/>
        <v>12</v>
      </c>
    </row>
    <row r="892" spans="1:22" x14ac:dyDescent="0.25">
      <c r="A892" t="str">
        <f>IF(games!$A892="","",games!$A892)</f>
        <v>Ziggurat 2</v>
      </c>
      <c r="B892">
        <f>IF($A892="","",games!$B892)</f>
        <v>2020</v>
      </c>
      <c r="C892" t="str">
        <f>IF($A892="","",games!$C892)</f>
        <v>Action</v>
      </c>
      <c r="D892">
        <f>IF($A892="","",COUNTIF(connections!$A$2:$A$1473,$A892)+COUNTIF(connections!$B$2:$B$1473,$A892))</f>
        <v>1</v>
      </c>
      <c r="E892">
        <f t="shared" si="169"/>
        <v>1</v>
      </c>
      <c r="F892">
        <f t="shared" si="170"/>
        <v>8</v>
      </c>
      <c r="G892">
        <f t="shared" si="171"/>
        <v>2020</v>
      </c>
      <c r="H892">
        <f t="shared" si="172"/>
        <v>1.1839999999999999</v>
      </c>
      <c r="I892" t="e">
        <f t="shared" si="173"/>
        <v>#N/A</v>
      </c>
      <c r="J892" t="e">
        <f t="shared" si="174"/>
        <v>#N/A</v>
      </c>
      <c r="K892" t="e">
        <f t="shared" si="175"/>
        <v>#N/A</v>
      </c>
      <c r="L892" t="e">
        <f t="shared" si="176"/>
        <v>#N/A</v>
      </c>
      <c r="M892" t="e">
        <f t="shared" si="177"/>
        <v>#N/A</v>
      </c>
      <c r="N892" t="e">
        <f t="shared" si="178"/>
        <v>#N/A</v>
      </c>
      <c r="O892">
        <f t="shared" si="179"/>
        <v>1.0008919999999999</v>
      </c>
      <c r="P892" t="str">
        <f>IF(OR($A892="",games!$H892=""),"",games!$H892)</f>
        <v>Yes</v>
      </c>
      <c r="Q892">
        <f t="shared" si="180"/>
        <v>1.0008919999999999</v>
      </c>
      <c r="T892">
        <f>IF(connections!$A892="","",IFERROR(INDEX(games!$B$2:$B$950,MATCH(connections!$A892,games!$A$2:$A$950,0)),""))</f>
        <v>2016</v>
      </c>
      <c r="U892">
        <f>IF(connections!$A892="","",IFERROR(INDEX(games!$B$2:$B$950,MATCH(connections!$B892,games!$A$2:$A$950,0)),""))</f>
        <v>2026</v>
      </c>
      <c r="V892">
        <f t="shared" si="181"/>
        <v>10</v>
      </c>
    </row>
    <row r="893" spans="1:22" x14ac:dyDescent="0.25">
      <c r="A893" t="str">
        <f>IF(games!$A893="","",games!$A893)</f>
        <v>ZMAngband</v>
      </c>
      <c r="B893">
        <f>IF($A893="","",games!$B893)</f>
        <v>2025</v>
      </c>
      <c r="C893" t="str">
        <f>IF($A893="","",games!$C893)</f>
        <v>Traditional</v>
      </c>
      <c r="D893">
        <f>IF($A893="","",COUNTIF(connections!$A$2:$A$1473,$A893)+COUNTIF(connections!$B$2:$B$1473,$A893))</f>
        <v>6</v>
      </c>
      <c r="E893">
        <f t="shared" si="169"/>
        <v>4</v>
      </c>
      <c r="F893">
        <f t="shared" si="170"/>
        <v>9</v>
      </c>
      <c r="G893" t="e">
        <f t="shared" si="171"/>
        <v>#N/A</v>
      </c>
      <c r="H893" t="e">
        <f t="shared" si="172"/>
        <v>#N/A</v>
      </c>
      <c r="I893" t="e">
        <f t="shared" si="173"/>
        <v>#N/A</v>
      </c>
      <c r="J893" t="e">
        <f t="shared" si="174"/>
        <v>#N/A</v>
      </c>
      <c r="K893" t="e">
        <f t="shared" si="175"/>
        <v>#N/A</v>
      </c>
      <c r="L893" t="e">
        <f t="shared" si="176"/>
        <v>#N/A</v>
      </c>
      <c r="M893">
        <f t="shared" si="177"/>
        <v>2025</v>
      </c>
      <c r="N893">
        <f t="shared" si="178"/>
        <v>4.2069999999999999</v>
      </c>
      <c r="O893">
        <f t="shared" si="179"/>
        <v>6.0008929999999996</v>
      </c>
      <c r="P893" t="str">
        <f>IF(OR($A893="",games!$H893=""),"",games!$H893)</f>
        <v>Yes</v>
      </c>
      <c r="Q893">
        <f t="shared" si="180"/>
        <v>6.0008929999999996</v>
      </c>
      <c r="T893">
        <f>IF(connections!$A893="","",IFERROR(INDEX(games!$B$2:$B$950,MATCH(connections!$A893,games!$A$2:$A$950,0)),""))</f>
        <v>2023</v>
      </c>
      <c r="U893">
        <f>IF(connections!$A893="","",IFERROR(INDEX(games!$B$2:$B$950,MATCH(connections!$B893,games!$A$2:$A$950,0)),""))</f>
        <v>2025</v>
      </c>
      <c r="V893">
        <f t="shared" si="181"/>
        <v>2</v>
      </c>
    </row>
    <row r="894" spans="1:22" x14ac:dyDescent="0.25">
      <c r="A894" t="str">
        <f>IF(games!$A894="","",games!$A894)</f>
        <v>Zoeti</v>
      </c>
      <c r="B894">
        <f>IF($A894="","",games!$B894)</f>
        <v>2023</v>
      </c>
      <c r="C894" t="str">
        <f>IF($A894="","",games!$C894)</f>
        <v>Deckbuilder</v>
      </c>
      <c r="D894">
        <f>IF($A894="","",COUNTIF(connections!$A$2:$A$1473,$A894)+COUNTIF(connections!$B$2:$B$1473,$A894))</f>
        <v>3</v>
      </c>
      <c r="E894">
        <f t="shared" si="169"/>
        <v>3</v>
      </c>
      <c r="F894">
        <f t="shared" si="170"/>
        <v>10</v>
      </c>
      <c r="G894" t="e">
        <f t="shared" si="171"/>
        <v>#N/A</v>
      </c>
      <c r="H894" t="e">
        <f t="shared" si="172"/>
        <v>#N/A</v>
      </c>
      <c r="I894" t="e">
        <f t="shared" si="173"/>
        <v>#N/A</v>
      </c>
      <c r="J894" t="e">
        <f t="shared" si="174"/>
        <v>#N/A</v>
      </c>
      <c r="K894">
        <f t="shared" si="175"/>
        <v>2023</v>
      </c>
      <c r="L894">
        <f t="shared" si="176"/>
        <v>3.23</v>
      </c>
      <c r="M894" t="e">
        <f t="shared" si="177"/>
        <v>#N/A</v>
      </c>
      <c r="N894" t="e">
        <f t="shared" si="178"/>
        <v>#N/A</v>
      </c>
      <c r="O894">
        <f t="shared" si="179"/>
        <v>3.0008940000000002</v>
      </c>
      <c r="P894" t="str">
        <f>IF(OR($A894="",games!$H894=""),"",games!$H894)</f>
        <v>Yes</v>
      </c>
      <c r="Q894">
        <f t="shared" si="180"/>
        <v>3.0008940000000002</v>
      </c>
      <c r="T894">
        <f>IF(connections!$A894="","",IFERROR(INDEX(games!$B$2:$B$950,MATCH(connections!$A894,games!$A$2:$A$950,0)),""))</f>
        <v>2016</v>
      </c>
      <c r="U894">
        <f>IF(connections!$A894="","",IFERROR(INDEX(games!$B$2:$B$950,MATCH(connections!$B894,games!$A$2:$A$950,0)),""))</f>
        <v>2021</v>
      </c>
      <c r="V894">
        <f t="shared" si="181"/>
        <v>5</v>
      </c>
    </row>
    <row r="895" spans="1:22" x14ac:dyDescent="0.25">
      <c r="A895" t="str">
        <f>IF(games!$A895="","",games!$A895)</f>
        <v>Zoominoes</v>
      </c>
      <c r="B895">
        <f>IF($A895="","",games!$B895)</f>
        <v>2026</v>
      </c>
      <c r="C895" t="str">
        <f>IF($A895="","",games!$C895)</f>
        <v>Deckbuilder</v>
      </c>
      <c r="D895">
        <f>IF($A895="","",COUNTIF(connections!$A$2:$A$1473,$A895)+COUNTIF(connections!$B$2:$B$1473,$A895))</f>
        <v>1</v>
      </c>
      <c r="E895">
        <f t="shared" si="169"/>
        <v>3</v>
      </c>
      <c r="F895">
        <f t="shared" si="170"/>
        <v>11</v>
      </c>
      <c r="G895" t="e">
        <f t="shared" si="171"/>
        <v>#N/A</v>
      </c>
      <c r="H895" t="e">
        <f t="shared" si="172"/>
        <v>#N/A</v>
      </c>
      <c r="I895" t="e">
        <f t="shared" si="173"/>
        <v>#N/A</v>
      </c>
      <c r="J895" t="e">
        <f t="shared" si="174"/>
        <v>#N/A</v>
      </c>
      <c r="K895">
        <f t="shared" si="175"/>
        <v>2026</v>
      </c>
      <c r="L895">
        <f t="shared" si="176"/>
        <v>3.2530000000000001</v>
      </c>
      <c r="M895" t="e">
        <f t="shared" si="177"/>
        <v>#N/A</v>
      </c>
      <c r="N895" t="e">
        <f t="shared" si="178"/>
        <v>#N/A</v>
      </c>
      <c r="O895">
        <f t="shared" si="179"/>
        <v>1.0008950000000001</v>
      </c>
      <c r="P895" t="str">
        <f>IF(OR($A895="",games!$H895=""),"",games!$H895)</f>
        <v/>
      </c>
      <c r="Q895" t="str">
        <f t="shared" si="180"/>
        <v/>
      </c>
      <c r="T895">
        <f>IF(connections!$A895="","",IFERROR(INDEX(games!$B$2:$B$950,MATCH(connections!$A895,games!$A$2:$A$950,0)),""))</f>
        <v>2011</v>
      </c>
      <c r="U895">
        <f>IF(connections!$A895="","",IFERROR(INDEX(games!$B$2:$B$950,MATCH(connections!$B895,games!$A$2:$A$950,0)),""))</f>
        <v>2021</v>
      </c>
      <c r="V895">
        <f t="shared" si="181"/>
        <v>10</v>
      </c>
    </row>
    <row r="896" spans="1:22" x14ac:dyDescent="0.25">
      <c r="A896" t="str">
        <f>IF(games!$A896="","",games!$A896)</f>
        <v>Zorbus</v>
      </c>
      <c r="B896">
        <f>IF($A896="","",games!$B896)</f>
        <v>2022</v>
      </c>
      <c r="C896" t="str">
        <f>IF($A896="","",games!$C896)</f>
        <v>Traditional</v>
      </c>
      <c r="D896">
        <f>IF($A896="","",COUNTIF(connections!$A$2:$A$1473,$A896)+COUNTIF(connections!$B$2:$B$1473,$A896))</f>
        <v>1</v>
      </c>
      <c r="E896">
        <f t="shared" si="169"/>
        <v>4</v>
      </c>
      <c r="F896">
        <f t="shared" si="170"/>
        <v>12</v>
      </c>
      <c r="G896" t="e">
        <f t="shared" si="171"/>
        <v>#N/A</v>
      </c>
      <c r="H896" t="e">
        <f t="shared" si="172"/>
        <v>#N/A</v>
      </c>
      <c r="I896" t="e">
        <f t="shared" si="173"/>
        <v>#N/A</v>
      </c>
      <c r="J896" t="e">
        <f t="shared" si="174"/>
        <v>#N/A</v>
      </c>
      <c r="K896" t="e">
        <f t="shared" si="175"/>
        <v>#N/A</v>
      </c>
      <c r="L896" t="e">
        <f t="shared" si="176"/>
        <v>#N/A</v>
      </c>
      <c r="M896">
        <f t="shared" si="177"/>
        <v>2022</v>
      </c>
      <c r="N896">
        <f t="shared" si="178"/>
        <v>4.2759999999999998</v>
      </c>
      <c r="O896">
        <f t="shared" si="179"/>
        <v>1.000896</v>
      </c>
      <c r="P896" t="str">
        <f>IF(OR($A896="",games!$H896=""),"",games!$H896)</f>
        <v>Yes</v>
      </c>
      <c r="Q896">
        <f t="shared" si="180"/>
        <v>1.000896</v>
      </c>
      <c r="T896">
        <f>IF(connections!$A896="","",IFERROR(INDEX(games!$B$2:$B$950,MATCH(connections!$A896,games!$A$2:$A$950,0)),""))</f>
        <v>2006</v>
      </c>
      <c r="U896">
        <f>IF(connections!$A896="","",IFERROR(INDEX(games!$B$2:$B$950,MATCH(connections!$B896,games!$A$2:$A$950,0)),""))</f>
        <v>2023</v>
      </c>
      <c r="V896">
        <f t="shared" si="181"/>
        <v>17</v>
      </c>
    </row>
    <row r="897" spans="1:22" x14ac:dyDescent="0.25">
      <c r="A897" t="str">
        <f>IF(games!$A897="","",games!$A897)</f>
        <v/>
      </c>
      <c r="B897" t="str">
        <f>IF($A897="","",games!$B897)</f>
        <v/>
      </c>
      <c r="C897" t="str">
        <f>IF($A897="","",games!$C897)</f>
        <v/>
      </c>
      <c r="D897" t="str">
        <f>IF($A897="","",COUNTIF(connections!$A$2:$A$1473,$A897)+COUNTIF(connections!$B$2:$B$1473,$A897))</f>
        <v/>
      </c>
      <c r="E897" t="str">
        <f t="shared" si="169"/>
        <v/>
      </c>
      <c r="F897" t="str">
        <f t="shared" si="170"/>
        <v/>
      </c>
      <c r="G897" t="e">
        <f t="shared" si="171"/>
        <v>#N/A</v>
      </c>
      <c r="H897" t="e">
        <f t="shared" si="172"/>
        <v>#N/A</v>
      </c>
      <c r="I897" t="e">
        <f t="shared" si="173"/>
        <v>#N/A</v>
      </c>
      <c r="J897" t="e">
        <f t="shared" si="174"/>
        <v>#N/A</v>
      </c>
      <c r="K897" t="e">
        <f t="shared" si="175"/>
        <v>#N/A</v>
      </c>
      <c r="L897" t="e">
        <f t="shared" si="176"/>
        <v>#N/A</v>
      </c>
      <c r="M897" t="e">
        <f t="shared" si="177"/>
        <v>#N/A</v>
      </c>
      <c r="N897" t="e">
        <f t="shared" si="178"/>
        <v>#N/A</v>
      </c>
      <c r="O897" t="str">
        <f t="shared" si="179"/>
        <v/>
      </c>
      <c r="P897" t="str">
        <f>IF(OR($A897="",games!$H897=""),"",games!$H897)</f>
        <v/>
      </c>
      <c r="Q897" t="str">
        <f t="shared" si="180"/>
        <v/>
      </c>
      <c r="T897">
        <f>IF(connections!$A897="","",IFERROR(INDEX(games!$B$2:$B$950,MATCH(connections!$A897,games!$A$2:$A$950,0)),""))</f>
        <v>2020</v>
      </c>
      <c r="U897">
        <f>IF(connections!$A897="","",IFERROR(INDEX(games!$B$2:$B$950,MATCH(connections!$B897,games!$A$2:$A$950,0)),""))</f>
        <v>2023</v>
      </c>
      <c r="V897">
        <f t="shared" si="181"/>
        <v>3</v>
      </c>
    </row>
    <row r="898" spans="1:22" x14ac:dyDescent="0.25">
      <c r="A898" t="str">
        <f>IF(games!$A898="","",games!$A898)</f>
        <v/>
      </c>
      <c r="B898" t="str">
        <f>IF($A898="","",games!$B898)</f>
        <v/>
      </c>
      <c r="C898" t="str">
        <f>IF($A898="","",games!$C898)</f>
        <v/>
      </c>
      <c r="D898" t="str">
        <f>IF($A898="","",COUNTIF(connections!$A$2:$A$1473,$A898)+COUNTIF(connections!$B$2:$B$1473,$A898))</f>
        <v/>
      </c>
      <c r="E898" t="str">
        <f t="shared" ref="E898:E950" si="182">IF($A898="","",IFERROR(MATCH($C898,$R$2:$R$5,0),0))</f>
        <v/>
      </c>
      <c r="F898" t="str">
        <f t="shared" ref="F898:F950" si="183">IF($A898="","",MOD(ROW(),34))</f>
        <v/>
      </c>
      <c r="G898" t="e">
        <f t="shared" ref="G898:G950" si="184">IF($A898="",NA(),IF($C898="Action",$B898,NA()))</f>
        <v>#N/A</v>
      </c>
      <c r="H898" t="e">
        <f t="shared" ref="H898:H950" si="185">IF($A898="",NA(),IF($C898="Action",1+$F898*0.023,NA()))</f>
        <v>#N/A</v>
      </c>
      <c r="I898" t="e">
        <f t="shared" ref="I898:I950" si="186">IF($A898="",NA(),IF($C898="Strategy",$B898,NA()))</f>
        <v>#N/A</v>
      </c>
      <c r="J898" t="e">
        <f t="shared" ref="J898:J950" si="187">IF($A898="",NA(),IF($C898="Strategy",2+$F898*0.023,NA()))</f>
        <v>#N/A</v>
      </c>
      <c r="K898" t="e">
        <f t="shared" ref="K898:K950" si="188">IF($A898="",NA(),IF($C898="Deckbuilder",$B898,NA()))</f>
        <v>#N/A</v>
      </c>
      <c r="L898" t="e">
        <f t="shared" ref="L898:L950" si="189">IF($A898="",NA(),IF($C898="Deckbuilder",3+$F898*0.023,NA()))</f>
        <v>#N/A</v>
      </c>
      <c r="M898" t="e">
        <f t="shared" ref="M898:M950" si="190">IF($A898="",NA(),IF($C898="Traditional",$B898,NA()))</f>
        <v>#N/A</v>
      </c>
      <c r="N898" t="e">
        <f t="shared" ref="N898:N950" si="191">IF($A898="",NA(),IF($C898="Traditional",4+$F898*0.023,NA()))</f>
        <v>#N/A</v>
      </c>
      <c r="O898" t="str">
        <f t="shared" ref="O898:O950" si="192">IF($A898="","",$D898+ROW()/1000000)</f>
        <v/>
      </c>
      <c r="P898" t="str">
        <f>IF(OR($A898="",games!$H898=""),"",games!$H898)</f>
        <v/>
      </c>
      <c r="Q898" t="str">
        <f t="shared" ref="Q898:Q950" si="193">IF(OR($A898="",$P898&lt;&gt;"Yes"),"",$D898+ROW()/1000000)</f>
        <v/>
      </c>
      <c r="T898">
        <f>IF(connections!$A898="","",IFERROR(INDEX(games!$B$2:$B$950,MATCH(connections!$A898,games!$A$2:$A$950,0)),""))</f>
        <v>1998</v>
      </c>
      <c r="U898">
        <f>IF(connections!$A898="","",IFERROR(INDEX(games!$B$2:$B$950,MATCH(connections!$B898,games!$A$2:$A$950,0)),""))</f>
        <v>2023</v>
      </c>
      <c r="V898">
        <f t="shared" ref="V898:V961" si="194">IF(OR($T898="",$U898=""),"",$U898-$T898)</f>
        <v>25</v>
      </c>
    </row>
    <row r="899" spans="1:22" x14ac:dyDescent="0.25">
      <c r="A899" t="str">
        <f>IF(games!$A899="","",games!$A899)</f>
        <v/>
      </c>
      <c r="B899" t="str">
        <f>IF($A899="","",games!$B899)</f>
        <v/>
      </c>
      <c r="C899" t="str">
        <f>IF($A899="","",games!$C899)</f>
        <v/>
      </c>
      <c r="D899" t="str">
        <f>IF($A899="","",COUNTIF(connections!$A$2:$A$1473,$A899)+COUNTIF(connections!$B$2:$B$1473,$A899))</f>
        <v/>
      </c>
      <c r="E899" t="str">
        <f t="shared" si="182"/>
        <v/>
      </c>
      <c r="F899" t="str">
        <f t="shared" si="183"/>
        <v/>
      </c>
      <c r="G899" t="e">
        <f t="shared" si="184"/>
        <v>#N/A</v>
      </c>
      <c r="H899" t="e">
        <f t="shared" si="185"/>
        <v>#N/A</v>
      </c>
      <c r="I899" t="e">
        <f t="shared" si="186"/>
        <v>#N/A</v>
      </c>
      <c r="J899" t="e">
        <f t="shared" si="187"/>
        <v>#N/A</v>
      </c>
      <c r="K899" t="e">
        <f t="shared" si="188"/>
        <v>#N/A</v>
      </c>
      <c r="L899" t="e">
        <f t="shared" si="189"/>
        <v>#N/A</v>
      </c>
      <c r="M899" t="e">
        <f t="shared" si="190"/>
        <v>#N/A</v>
      </c>
      <c r="N899" t="e">
        <f t="shared" si="191"/>
        <v>#N/A</v>
      </c>
      <c r="O899" t="str">
        <f t="shared" si="192"/>
        <v/>
      </c>
      <c r="P899" t="str">
        <f>IF(OR($A899="",games!$H899=""),"",games!$H899)</f>
        <v/>
      </c>
      <c r="Q899" t="str">
        <f t="shared" si="193"/>
        <v/>
      </c>
      <c r="T899">
        <f>IF(connections!$A899="","",IFERROR(INDEX(games!$B$2:$B$950,MATCH(connections!$A899,games!$A$2:$A$950,0)),""))</f>
        <v>2016</v>
      </c>
      <c r="U899">
        <f>IF(connections!$A899="","",IFERROR(INDEX(games!$B$2:$B$950,MATCH(connections!$B899,games!$A$2:$A$950,0)),""))</f>
        <v>2026</v>
      </c>
      <c r="V899">
        <f t="shared" si="194"/>
        <v>10</v>
      </c>
    </row>
    <row r="900" spans="1:22" x14ac:dyDescent="0.25">
      <c r="A900" t="str">
        <f>IF(games!$A900="","",games!$A900)</f>
        <v/>
      </c>
      <c r="B900" t="str">
        <f>IF($A900="","",games!$B900)</f>
        <v/>
      </c>
      <c r="C900" t="str">
        <f>IF($A900="","",games!$C900)</f>
        <v/>
      </c>
      <c r="D900" t="str">
        <f>IF($A900="","",COUNTIF(connections!$A$2:$A$1473,$A900)+COUNTIF(connections!$B$2:$B$1473,$A900))</f>
        <v/>
      </c>
      <c r="E900" t="str">
        <f t="shared" si="182"/>
        <v/>
      </c>
      <c r="F900" t="str">
        <f t="shared" si="183"/>
        <v/>
      </c>
      <c r="G900" t="e">
        <f t="shared" si="184"/>
        <v>#N/A</v>
      </c>
      <c r="H900" t="e">
        <f t="shared" si="185"/>
        <v>#N/A</v>
      </c>
      <c r="I900" t="e">
        <f t="shared" si="186"/>
        <v>#N/A</v>
      </c>
      <c r="J900" t="e">
        <f t="shared" si="187"/>
        <v>#N/A</v>
      </c>
      <c r="K900" t="e">
        <f t="shared" si="188"/>
        <v>#N/A</v>
      </c>
      <c r="L900" t="e">
        <f t="shared" si="189"/>
        <v>#N/A</v>
      </c>
      <c r="M900" t="e">
        <f t="shared" si="190"/>
        <v>#N/A</v>
      </c>
      <c r="N900" t="e">
        <f t="shared" si="191"/>
        <v>#N/A</v>
      </c>
      <c r="O900" t="str">
        <f t="shared" si="192"/>
        <v/>
      </c>
      <c r="P900" t="str">
        <f>IF(OR($A900="",games!$H900=""),"",games!$H900)</f>
        <v/>
      </c>
      <c r="Q900" t="str">
        <f t="shared" si="193"/>
        <v/>
      </c>
      <c r="T900">
        <f>IF(connections!$A900="","",IFERROR(INDEX(games!$B$2:$B$950,MATCH(connections!$A900,games!$A$2:$A$950,0)),""))</f>
        <v>2019</v>
      </c>
      <c r="U900">
        <f>IF(connections!$A900="","",IFERROR(INDEX(games!$B$2:$B$950,MATCH(connections!$B900,games!$A$2:$A$950,0)),""))</f>
        <v>2026</v>
      </c>
      <c r="V900">
        <f t="shared" si="194"/>
        <v>7</v>
      </c>
    </row>
    <row r="901" spans="1:22" x14ac:dyDescent="0.25">
      <c r="A901" t="str">
        <f>IF(games!$A901="","",games!$A901)</f>
        <v/>
      </c>
      <c r="B901" t="str">
        <f>IF($A901="","",games!$B901)</f>
        <v/>
      </c>
      <c r="C901" t="str">
        <f>IF($A901="","",games!$C901)</f>
        <v/>
      </c>
      <c r="D901" t="str">
        <f>IF($A901="","",COUNTIF(connections!$A$2:$A$1473,$A901)+COUNTIF(connections!$B$2:$B$1473,$A901))</f>
        <v/>
      </c>
      <c r="E901" t="str">
        <f t="shared" si="182"/>
        <v/>
      </c>
      <c r="F901" t="str">
        <f t="shared" si="183"/>
        <v/>
      </c>
      <c r="G901" t="e">
        <f t="shared" si="184"/>
        <v>#N/A</v>
      </c>
      <c r="H901" t="e">
        <f t="shared" si="185"/>
        <v>#N/A</v>
      </c>
      <c r="I901" t="e">
        <f t="shared" si="186"/>
        <v>#N/A</v>
      </c>
      <c r="J901" t="e">
        <f t="shared" si="187"/>
        <v>#N/A</v>
      </c>
      <c r="K901" t="e">
        <f t="shared" si="188"/>
        <v>#N/A</v>
      </c>
      <c r="L901" t="e">
        <f t="shared" si="189"/>
        <v>#N/A</v>
      </c>
      <c r="M901" t="e">
        <f t="shared" si="190"/>
        <v>#N/A</v>
      </c>
      <c r="N901" t="e">
        <f t="shared" si="191"/>
        <v>#N/A</v>
      </c>
      <c r="O901" t="str">
        <f t="shared" si="192"/>
        <v/>
      </c>
      <c r="P901" t="str">
        <f>IF(OR($A901="",games!$H901=""),"",games!$H901)</f>
        <v/>
      </c>
      <c r="Q901" t="str">
        <f t="shared" si="193"/>
        <v/>
      </c>
      <c r="T901">
        <f>IF(connections!$A901="","",IFERROR(INDEX(games!$B$2:$B$950,MATCH(connections!$A901,games!$A$2:$A$950,0)),""))</f>
        <v>2011</v>
      </c>
      <c r="U901">
        <f>IF(connections!$A901="","",IFERROR(INDEX(games!$B$2:$B$950,MATCH(connections!$B901,games!$A$2:$A$950,0)),""))</f>
        <v>2026</v>
      </c>
      <c r="V901">
        <f t="shared" si="194"/>
        <v>15</v>
      </c>
    </row>
    <row r="902" spans="1:22" x14ac:dyDescent="0.25">
      <c r="A902" t="str">
        <f>IF(games!$A902="","",games!$A902)</f>
        <v/>
      </c>
      <c r="B902" t="str">
        <f>IF($A902="","",games!$B902)</f>
        <v/>
      </c>
      <c r="C902" t="str">
        <f>IF($A902="","",games!$C902)</f>
        <v/>
      </c>
      <c r="D902" t="str">
        <f>IF($A902="","",COUNTIF(connections!$A$2:$A$1473,$A902)+COUNTIF(connections!$B$2:$B$1473,$A902))</f>
        <v/>
      </c>
      <c r="E902" t="str">
        <f t="shared" si="182"/>
        <v/>
      </c>
      <c r="F902" t="str">
        <f t="shared" si="183"/>
        <v/>
      </c>
      <c r="G902" t="e">
        <f t="shared" si="184"/>
        <v>#N/A</v>
      </c>
      <c r="H902" t="e">
        <f t="shared" si="185"/>
        <v>#N/A</v>
      </c>
      <c r="I902" t="e">
        <f t="shared" si="186"/>
        <v>#N/A</v>
      </c>
      <c r="J902" t="e">
        <f t="shared" si="187"/>
        <v>#N/A</v>
      </c>
      <c r="K902" t="e">
        <f t="shared" si="188"/>
        <v>#N/A</v>
      </c>
      <c r="L902" t="e">
        <f t="shared" si="189"/>
        <v>#N/A</v>
      </c>
      <c r="M902" t="e">
        <f t="shared" si="190"/>
        <v>#N/A</v>
      </c>
      <c r="N902" t="e">
        <f t="shared" si="191"/>
        <v>#N/A</v>
      </c>
      <c r="O902" t="str">
        <f t="shared" si="192"/>
        <v/>
      </c>
      <c r="P902" t="str">
        <f>IF(OR($A902="",games!$H902=""),"",games!$H902)</f>
        <v/>
      </c>
      <c r="Q902" t="str">
        <f t="shared" si="193"/>
        <v/>
      </c>
      <c r="T902">
        <f>IF(connections!$A902="","",IFERROR(INDEX(games!$B$2:$B$950,MATCH(connections!$A902,games!$A$2:$A$950,0)),""))</f>
        <v>1987</v>
      </c>
      <c r="U902">
        <f>IF(connections!$A902="","",IFERROR(INDEX(games!$B$2:$B$950,MATCH(connections!$B902,games!$A$2:$A$950,0)),""))</f>
        <v>2015</v>
      </c>
      <c r="V902">
        <f t="shared" si="194"/>
        <v>28</v>
      </c>
    </row>
    <row r="903" spans="1:22" x14ac:dyDescent="0.25">
      <c r="A903" t="str">
        <f>IF(games!$A903="","",games!$A903)</f>
        <v/>
      </c>
      <c r="B903" t="str">
        <f>IF($A903="","",games!$B903)</f>
        <v/>
      </c>
      <c r="C903" t="str">
        <f>IF($A903="","",games!$C903)</f>
        <v/>
      </c>
      <c r="D903" t="str">
        <f>IF($A903="","",COUNTIF(connections!$A$2:$A$1473,$A903)+COUNTIF(connections!$B$2:$B$1473,$A903))</f>
        <v/>
      </c>
      <c r="E903" t="str">
        <f t="shared" si="182"/>
        <v/>
      </c>
      <c r="F903" t="str">
        <f t="shared" si="183"/>
        <v/>
      </c>
      <c r="G903" t="e">
        <f t="shared" si="184"/>
        <v>#N/A</v>
      </c>
      <c r="H903" t="e">
        <f t="shared" si="185"/>
        <v>#N/A</v>
      </c>
      <c r="I903" t="e">
        <f t="shared" si="186"/>
        <v>#N/A</v>
      </c>
      <c r="J903" t="e">
        <f t="shared" si="187"/>
        <v>#N/A</v>
      </c>
      <c r="K903" t="e">
        <f t="shared" si="188"/>
        <v>#N/A</v>
      </c>
      <c r="L903" t="e">
        <f t="shared" si="189"/>
        <v>#N/A</v>
      </c>
      <c r="M903" t="e">
        <f t="shared" si="190"/>
        <v>#N/A</v>
      </c>
      <c r="N903" t="e">
        <f t="shared" si="191"/>
        <v>#N/A</v>
      </c>
      <c r="O903" t="str">
        <f t="shared" si="192"/>
        <v/>
      </c>
      <c r="P903" t="str">
        <f>IF(OR($A903="",games!$H903=""),"",games!$H903)</f>
        <v/>
      </c>
      <c r="Q903" t="str">
        <f t="shared" si="193"/>
        <v/>
      </c>
      <c r="T903">
        <f>IF(connections!$A903="","",IFERROR(INDEX(games!$B$2:$B$950,MATCH(connections!$A903,games!$A$2:$A$950,0)),""))</f>
        <v>2018</v>
      </c>
      <c r="U903">
        <f>IF(connections!$A903="","",IFERROR(INDEX(games!$B$2:$B$950,MATCH(connections!$B903,games!$A$2:$A$950,0)),""))</f>
        <v>2021</v>
      </c>
      <c r="V903">
        <f t="shared" si="194"/>
        <v>3</v>
      </c>
    </row>
    <row r="904" spans="1:22" x14ac:dyDescent="0.25">
      <c r="A904" t="str">
        <f>IF(games!$A904="","",games!$A904)</f>
        <v/>
      </c>
      <c r="B904" t="str">
        <f>IF($A904="","",games!$B904)</f>
        <v/>
      </c>
      <c r="C904" t="str">
        <f>IF($A904="","",games!$C904)</f>
        <v/>
      </c>
      <c r="D904" t="str">
        <f>IF($A904="","",COUNTIF(connections!$A$2:$A$1473,$A904)+COUNTIF(connections!$B$2:$B$1473,$A904))</f>
        <v/>
      </c>
      <c r="E904" t="str">
        <f t="shared" si="182"/>
        <v/>
      </c>
      <c r="F904" t="str">
        <f t="shared" si="183"/>
        <v/>
      </c>
      <c r="G904" t="e">
        <f t="shared" si="184"/>
        <v>#N/A</v>
      </c>
      <c r="H904" t="e">
        <f t="shared" si="185"/>
        <v>#N/A</v>
      </c>
      <c r="I904" t="e">
        <f t="shared" si="186"/>
        <v>#N/A</v>
      </c>
      <c r="J904" t="e">
        <f t="shared" si="187"/>
        <v>#N/A</v>
      </c>
      <c r="K904" t="e">
        <f t="shared" si="188"/>
        <v>#N/A</v>
      </c>
      <c r="L904" t="e">
        <f t="shared" si="189"/>
        <v>#N/A</v>
      </c>
      <c r="M904" t="e">
        <f t="shared" si="190"/>
        <v>#N/A</v>
      </c>
      <c r="N904" t="e">
        <f t="shared" si="191"/>
        <v>#N/A</v>
      </c>
      <c r="O904" t="str">
        <f t="shared" si="192"/>
        <v/>
      </c>
      <c r="P904" t="str">
        <f>IF(OR($A904="",games!$H904=""),"",games!$H904)</f>
        <v/>
      </c>
      <c r="Q904" t="str">
        <f t="shared" si="193"/>
        <v/>
      </c>
      <c r="T904">
        <f>IF(connections!$A904="","",IFERROR(INDEX(games!$B$2:$B$950,MATCH(connections!$A904,games!$A$2:$A$950,0)),""))</f>
        <v>2017</v>
      </c>
      <c r="U904">
        <f>IF(connections!$A904="","",IFERROR(INDEX(games!$B$2:$B$950,MATCH(connections!$B904,games!$A$2:$A$950,0)),""))</f>
        <v>2021</v>
      </c>
      <c r="V904">
        <f t="shared" si="194"/>
        <v>4</v>
      </c>
    </row>
    <row r="905" spans="1:22" x14ac:dyDescent="0.25">
      <c r="A905" t="str">
        <f>IF(games!$A905="","",games!$A905)</f>
        <v/>
      </c>
      <c r="B905" t="str">
        <f>IF($A905="","",games!$B905)</f>
        <v/>
      </c>
      <c r="C905" t="str">
        <f>IF($A905="","",games!$C905)</f>
        <v/>
      </c>
      <c r="D905" t="str">
        <f>IF($A905="","",COUNTIF(connections!$A$2:$A$1473,$A905)+COUNTIF(connections!$B$2:$B$1473,$A905))</f>
        <v/>
      </c>
      <c r="E905" t="str">
        <f t="shared" si="182"/>
        <v/>
      </c>
      <c r="F905" t="str">
        <f t="shared" si="183"/>
        <v/>
      </c>
      <c r="G905" t="e">
        <f t="shared" si="184"/>
        <v>#N/A</v>
      </c>
      <c r="H905" t="e">
        <f t="shared" si="185"/>
        <v>#N/A</v>
      </c>
      <c r="I905" t="e">
        <f t="shared" si="186"/>
        <v>#N/A</v>
      </c>
      <c r="J905" t="e">
        <f t="shared" si="187"/>
        <v>#N/A</v>
      </c>
      <c r="K905" t="e">
        <f t="shared" si="188"/>
        <v>#N/A</v>
      </c>
      <c r="L905" t="e">
        <f t="shared" si="189"/>
        <v>#N/A</v>
      </c>
      <c r="M905" t="e">
        <f t="shared" si="190"/>
        <v>#N/A</v>
      </c>
      <c r="N905" t="e">
        <f t="shared" si="191"/>
        <v>#N/A</v>
      </c>
      <c r="O905" t="str">
        <f t="shared" si="192"/>
        <v/>
      </c>
      <c r="P905" t="str">
        <f>IF(OR($A905="",games!$H905=""),"",games!$H905)</f>
        <v/>
      </c>
      <c r="Q905" t="str">
        <f t="shared" si="193"/>
        <v/>
      </c>
      <c r="T905">
        <f>IF(connections!$A905="","",IFERROR(INDEX(games!$B$2:$B$950,MATCH(connections!$A905,games!$A$2:$A$950,0)),""))</f>
        <v>2022</v>
      </c>
      <c r="U905">
        <f>IF(connections!$A905="","",IFERROR(INDEX(games!$B$2:$B$950,MATCH(connections!$B905,games!$A$2:$A$950,0)),""))</f>
        <v>2026</v>
      </c>
      <c r="V905">
        <f t="shared" si="194"/>
        <v>4</v>
      </c>
    </row>
    <row r="906" spans="1:22" x14ac:dyDescent="0.25">
      <c r="A906" t="str">
        <f>IF(games!$A906="","",games!$A906)</f>
        <v/>
      </c>
      <c r="B906" t="str">
        <f>IF($A906="","",games!$B906)</f>
        <v/>
      </c>
      <c r="C906" t="str">
        <f>IF($A906="","",games!$C906)</f>
        <v/>
      </c>
      <c r="D906" t="str">
        <f>IF($A906="","",COUNTIF(connections!$A$2:$A$1473,$A906)+COUNTIF(connections!$B$2:$B$1473,$A906))</f>
        <v/>
      </c>
      <c r="E906" t="str">
        <f t="shared" si="182"/>
        <v/>
      </c>
      <c r="F906" t="str">
        <f t="shared" si="183"/>
        <v/>
      </c>
      <c r="G906" t="e">
        <f t="shared" si="184"/>
        <v>#N/A</v>
      </c>
      <c r="H906" t="e">
        <f t="shared" si="185"/>
        <v>#N/A</v>
      </c>
      <c r="I906" t="e">
        <f t="shared" si="186"/>
        <v>#N/A</v>
      </c>
      <c r="J906" t="e">
        <f t="shared" si="187"/>
        <v>#N/A</v>
      </c>
      <c r="K906" t="e">
        <f t="shared" si="188"/>
        <v>#N/A</v>
      </c>
      <c r="L906" t="e">
        <f t="shared" si="189"/>
        <v>#N/A</v>
      </c>
      <c r="M906" t="e">
        <f t="shared" si="190"/>
        <v>#N/A</v>
      </c>
      <c r="N906" t="e">
        <f t="shared" si="191"/>
        <v>#N/A</v>
      </c>
      <c r="O906" t="str">
        <f t="shared" si="192"/>
        <v/>
      </c>
      <c r="P906" t="str">
        <f>IF(OR($A906="",games!$H906=""),"",games!$H906)</f>
        <v/>
      </c>
      <c r="Q906" t="str">
        <f t="shared" si="193"/>
        <v/>
      </c>
      <c r="T906">
        <f>IF(connections!$A906="","",IFERROR(INDEX(games!$B$2:$B$950,MATCH(connections!$A906,games!$A$2:$A$950,0)),""))</f>
        <v>2021</v>
      </c>
      <c r="U906">
        <f>IF(connections!$A906="","",IFERROR(INDEX(games!$B$2:$B$950,MATCH(connections!$B906,games!$A$2:$A$950,0)),""))</f>
        <v>2026</v>
      </c>
      <c r="V906">
        <f t="shared" si="194"/>
        <v>5</v>
      </c>
    </row>
    <row r="907" spans="1:22" x14ac:dyDescent="0.25">
      <c r="A907" t="str">
        <f>IF(games!$A907="","",games!$A907)</f>
        <v/>
      </c>
      <c r="B907" t="str">
        <f>IF($A907="","",games!$B907)</f>
        <v/>
      </c>
      <c r="C907" t="str">
        <f>IF($A907="","",games!$C907)</f>
        <v/>
      </c>
      <c r="D907" t="str">
        <f>IF($A907="","",COUNTIF(connections!$A$2:$A$1473,$A907)+COUNTIF(connections!$B$2:$B$1473,$A907))</f>
        <v/>
      </c>
      <c r="E907" t="str">
        <f t="shared" si="182"/>
        <v/>
      </c>
      <c r="F907" t="str">
        <f t="shared" si="183"/>
        <v/>
      </c>
      <c r="G907" t="e">
        <f t="shared" si="184"/>
        <v>#N/A</v>
      </c>
      <c r="H907" t="e">
        <f t="shared" si="185"/>
        <v>#N/A</v>
      </c>
      <c r="I907" t="e">
        <f t="shared" si="186"/>
        <v>#N/A</v>
      </c>
      <c r="J907" t="e">
        <f t="shared" si="187"/>
        <v>#N/A</v>
      </c>
      <c r="K907" t="e">
        <f t="shared" si="188"/>
        <v>#N/A</v>
      </c>
      <c r="L907" t="e">
        <f t="shared" si="189"/>
        <v>#N/A</v>
      </c>
      <c r="M907" t="e">
        <f t="shared" si="190"/>
        <v>#N/A</v>
      </c>
      <c r="N907" t="e">
        <f t="shared" si="191"/>
        <v>#N/A</v>
      </c>
      <c r="O907" t="str">
        <f t="shared" si="192"/>
        <v/>
      </c>
      <c r="P907" t="str">
        <f>IF(OR($A907="",games!$H907=""),"",games!$H907)</f>
        <v/>
      </c>
      <c r="Q907" t="str">
        <f t="shared" si="193"/>
        <v/>
      </c>
      <c r="T907">
        <f>IF(connections!$A907="","",IFERROR(INDEX(games!$B$2:$B$950,MATCH(connections!$A907,games!$A$2:$A$950,0)),""))</f>
        <v>2017</v>
      </c>
      <c r="U907">
        <f>IF(connections!$A907="","",IFERROR(INDEX(games!$B$2:$B$950,MATCH(connections!$B907,games!$A$2:$A$950,0)),""))</f>
        <v>2022</v>
      </c>
      <c r="V907">
        <f t="shared" si="194"/>
        <v>5</v>
      </c>
    </row>
    <row r="908" spans="1:22" x14ac:dyDescent="0.25">
      <c r="A908" t="str">
        <f>IF(games!$A908="","",games!$A908)</f>
        <v/>
      </c>
      <c r="B908" t="str">
        <f>IF($A908="","",games!$B908)</f>
        <v/>
      </c>
      <c r="C908" t="str">
        <f>IF($A908="","",games!$C908)</f>
        <v/>
      </c>
      <c r="D908" t="str">
        <f>IF($A908="","",COUNTIF(connections!$A$2:$A$1473,$A908)+COUNTIF(connections!$B$2:$B$1473,$A908))</f>
        <v/>
      </c>
      <c r="E908" t="str">
        <f t="shared" si="182"/>
        <v/>
      </c>
      <c r="F908" t="str">
        <f t="shared" si="183"/>
        <v/>
      </c>
      <c r="G908" t="e">
        <f t="shared" si="184"/>
        <v>#N/A</v>
      </c>
      <c r="H908" t="e">
        <f t="shared" si="185"/>
        <v>#N/A</v>
      </c>
      <c r="I908" t="e">
        <f t="shared" si="186"/>
        <v>#N/A</v>
      </c>
      <c r="J908" t="e">
        <f t="shared" si="187"/>
        <v>#N/A</v>
      </c>
      <c r="K908" t="e">
        <f t="shared" si="188"/>
        <v>#N/A</v>
      </c>
      <c r="L908" t="e">
        <f t="shared" si="189"/>
        <v>#N/A</v>
      </c>
      <c r="M908" t="e">
        <f t="shared" si="190"/>
        <v>#N/A</v>
      </c>
      <c r="N908" t="e">
        <f t="shared" si="191"/>
        <v>#N/A</v>
      </c>
      <c r="O908" t="str">
        <f t="shared" si="192"/>
        <v/>
      </c>
      <c r="P908" t="str">
        <f>IF(OR($A908="",games!$H908=""),"",games!$H908)</f>
        <v/>
      </c>
      <c r="Q908" t="str">
        <f t="shared" si="193"/>
        <v/>
      </c>
      <c r="T908">
        <f>IF(connections!$A908="","",IFERROR(INDEX(games!$B$2:$B$950,MATCH(connections!$A908,games!$A$2:$A$950,0)),""))</f>
        <v>2023</v>
      </c>
      <c r="U908">
        <f>IF(connections!$A908="","",IFERROR(INDEX(games!$B$2:$B$950,MATCH(connections!$B908,games!$A$2:$A$950,0)),""))</f>
        <v>2026</v>
      </c>
      <c r="V908">
        <f t="shared" si="194"/>
        <v>3</v>
      </c>
    </row>
    <row r="909" spans="1:22" x14ac:dyDescent="0.25">
      <c r="A909" t="str">
        <f>IF(games!$A909="","",games!$A909)</f>
        <v/>
      </c>
      <c r="B909" t="str">
        <f>IF($A909="","",games!$B909)</f>
        <v/>
      </c>
      <c r="C909" t="str">
        <f>IF($A909="","",games!$C909)</f>
        <v/>
      </c>
      <c r="D909" t="str">
        <f>IF($A909="","",COUNTIF(connections!$A$2:$A$1473,$A909)+COUNTIF(connections!$B$2:$B$1473,$A909))</f>
        <v/>
      </c>
      <c r="E909" t="str">
        <f t="shared" si="182"/>
        <v/>
      </c>
      <c r="F909" t="str">
        <f t="shared" si="183"/>
        <v/>
      </c>
      <c r="G909" t="e">
        <f t="shared" si="184"/>
        <v>#N/A</v>
      </c>
      <c r="H909" t="e">
        <f t="shared" si="185"/>
        <v>#N/A</v>
      </c>
      <c r="I909" t="e">
        <f t="shared" si="186"/>
        <v>#N/A</v>
      </c>
      <c r="J909" t="e">
        <f t="shared" si="187"/>
        <v>#N/A</v>
      </c>
      <c r="K909" t="e">
        <f t="shared" si="188"/>
        <v>#N/A</v>
      </c>
      <c r="L909" t="e">
        <f t="shared" si="189"/>
        <v>#N/A</v>
      </c>
      <c r="M909" t="e">
        <f t="shared" si="190"/>
        <v>#N/A</v>
      </c>
      <c r="N909" t="e">
        <f t="shared" si="191"/>
        <v>#N/A</v>
      </c>
      <c r="O909" t="str">
        <f t="shared" si="192"/>
        <v/>
      </c>
      <c r="P909" t="str">
        <f>IF(OR($A909="",games!$H909=""),"",games!$H909)</f>
        <v/>
      </c>
      <c r="Q909" t="str">
        <f t="shared" si="193"/>
        <v/>
      </c>
      <c r="T909">
        <f>IF(connections!$A909="","",IFERROR(INDEX(games!$B$2:$B$950,MATCH(connections!$A909,games!$A$2:$A$950,0)),""))</f>
        <v>2024</v>
      </c>
      <c r="U909">
        <f>IF(connections!$A909="","",IFERROR(INDEX(games!$B$2:$B$950,MATCH(connections!$B909,games!$A$2:$A$950,0)),""))</f>
        <v>2026</v>
      </c>
      <c r="V909">
        <f t="shared" si="194"/>
        <v>2</v>
      </c>
    </row>
    <row r="910" spans="1:22" x14ac:dyDescent="0.25">
      <c r="A910" t="str">
        <f>IF(games!$A910="","",games!$A910)</f>
        <v/>
      </c>
      <c r="B910" t="str">
        <f>IF($A910="","",games!$B910)</f>
        <v/>
      </c>
      <c r="C910" t="str">
        <f>IF($A910="","",games!$C910)</f>
        <v/>
      </c>
      <c r="D910" t="str">
        <f>IF($A910="","",COUNTIF(connections!$A$2:$A$1473,$A910)+COUNTIF(connections!$B$2:$B$1473,$A910))</f>
        <v/>
      </c>
      <c r="E910" t="str">
        <f t="shared" si="182"/>
        <v/>
      </c>
      <c r="F910" t="str">
        <f t="shared" si="183"/>
        <v/>
      </c>
      <c r="G910" t="e">
        <f t="shared" si="184"/>
        <v>#N/A</v>
      </c>
      <c r="H910" t="e">
        <f t="shared" si="185"/>
        <v>#N/A</v>
      </c>
      <c r="I910" t="e">
        <f t="shared" si="186"/>
        <v>#N/A</v>
      </c>
      <c r="J910" t="e">
        <f t="shared" si="187"/>
        <v>#N/A</v>
      </c>
      <c r="K910" t="e">
        <f t="shared" si="188"/>
        <v>#N/A</v>
      </c>
      <c r="L910" t="e">
        <f t="shared" si="189"/>
        <v>#N/A</v>
      </c>
      <c r="M910" t="e">
        <f t="shared" si="190"/>
        <v>#N/A</v>
      </c>
      <c r="N910" t="e">
        <f t="shared" si="191"/>
        <v>#N/A</v>
      </c>
      <c r="O910" t="str">
        <f t="shared" si="192"/>
        <v/>
      </c>
      <c r="P910" t="str">
        <f>IF(OR($A910="",games!$H910=""),"",games!$H910)</f>
        <v/>
      </c>
      <c r="Q910" t="str">
        <f t="shared" si="193"/>
        <v/>
      </c>
      <c r="T910">
        <f>IF(connections!$A910="","",IFERROR(INDEX(games!$B$2:$B$950,MATCH(connections!$A910,games!$A$2:$A$950,0)),""))</f>
        <v>2022</v>
      </c>
      <c r="U910">
        <f>IF(connections!$A910="","",IFERROR(INDEX(games!$B$2:$B$950,MATCH(connections!$B910,games!$A$2:$A$950,0)),""))</f>
        <v>2026</v>
      </c>
      <c r="V910">
        <f t="shared" si="194"/>
        <v>4</v>
      </c>
    </row>
    <row r="911" spans="1:22" x14ac:dyDescent="0.25">
      <c r="A911" t="str">
        <f>IF(games!$A911="","",games!$A911)</f>
        <v/>
      </c>
      <c r="B911" t="str">
        <f>IF($A911="","",games!$B911)</f>
        <v/>
      </c>
      <c r="C911" t="str">
        <f>IF($A911="","",games!$C911)</f>
        <v/>
      </c>
      <c r="D911" t="str">
        <f>IF($A911="","",COUNTIF(connections!$A$2:$A$1473,$A911)+COUNTIF(connections!$B$2:$B$1473,$A911))</f>
        <v/>
      </c>
      <c r="E911" t="str">
        <f t="shared" si="182"/>
        <v/>
      </c>
      <c r="F911" t="str">
        <f t="shared" si="183"/>
        <v/>
      </c>
      <c r="G911" t="e">
        <f t="shared" si="184"/>
        <v>#N/A</v>
      </c>
      <c r="H911" t="e">
        <f t="shared" si="185"/>
        <v>#N/A</v>
      </c>
      <c r="I911" t="e">
        <f t="shared" si="186"/>
        <v>#N/A</v>
      </c>
      <c r="J911" t="e">
        <f t="shared" si="187"/>
        <v>#N/A</v>
      </c>
      <c r="K911" t="e">
        <f t="shared" si="188"/>
        <v>#N/A</v>
      </c>
      <c r="L911" t="e">
        <f t="shared" si="189"/>
        <v>#N/A</v>
      </c>
      <c r="M911" t="e">
        <f t="shared" si="190"/>
        <v>#N/A</v>
      </c>
      <c r="N911" t="e">
        <f t="shared" si="191"/>
        <v>#N/A</v>
      </c>
      <c r="O911" t="str">
        <f t="shared" si="192"/>
        <v/>
      </c>
      <c r="P911" t="str">
        <f>IF(OR($A911="",games!$H911=""),"",games!$H911)</f>
        <v/>
      </c>
      <c r="Q911" t="str">
        <f t="shared" si="193"/>
        <v/>
      </c>
      <c r="T911">
        <f>IF(connections!$A911="","",IFERROR(INDEX(games!$B$2:$B$950,MATCH(connections!$A911,games!$A$2:$A$950,0)),""))</f>
        <v>2022</v>
      </c>
      <c r="U911">
        <f>IF(connections!$A911="","",IFERROR(INDEX(games!$B$2:$B$950,MATCH(connections!$B911,games!$A$2:$A$950,0)),""))</f>
        <v>2026</v>
      </c>
      <c r="V911">
        <f t="shared" si="194"/>
        <v>4</v>
      </c>
    </row>
    <row r="912" spans="1:22" x14ac:dyDescent="0.25">
      <c r="A912" t="str">
        <f>IF(games!$A912="","",games!$A912)</f>
        <v/>
      </c>
      <c r="B912" t="str">
        <f>IF($A912="","",games!$B912)</f>
        <v/>
      </c>
      <c r="C912" t="str">
        <f>IF($A912="","",games!$C912)</f>
        <v/>
      </c>
      <c r="D912" t="str">
        <f>IF($A912="","",COUNTIF(connections!$A$2:$A$1473,$A912)+COUNTIF(connections!$B$2:$B$1473,$A912))</f>
        <v/>
      </c>
      <c r="E912" t="str">
        <f t="shared" si="182"/>
        <v/>
      </c>
      <c r="F912" t="str">
        <f t="shared" si="183"/>
        <v/>
      </c>
      <c r="G912" t="e">
        <f t="shared" si="184"/>
        <v>#N/A</v>
      </c>
      <c r="H912" t="e">
        <f t="shared" si="185"/>
        <v>#N/A</v>
      </c>
      <c r="I912" t="e">
        <f t="shared" si="186"/>
        <v>#N/A</v>
      </c>
      <c r="J912" t="e">
        <f t="shared" si="187"/>
        <v>#N/A</v>
      </c>
      <c r="K912" t="e">
        <f t="shared" si="188"/>
        <v>#N/A</v>
      </c>
      <c r="L912" t="e">
        <f t="shared" si="189"/>
        <v>#N/A</v>
      </c>
      <c r="M912" t="e">
        <f t="shared" si="190"/>
        <v>#N/A</v>
      </c>
      <c r="N912" t="e">
        <f t="shared" si="191"/>
        <v>#N/A</v>
      </c>
      <c r="O912" t="str">
        <f t="shared" si="192"/>
        <v/>
      </c>
      <c r="P912" t="str">
        <f>IF(OR($A912="",games!$H912=""),"",games!$H912)</f>
        <v/>
      </c>
      <c r="Q912" t="str">
        <f t="shared" si="193"/>
        <v/>
      </c>
      <c r="T912">
        <f>IF(connections!$A912="","",IFERROR(INDEX(games!$B$2:$B$950,MATCH(connections!$A912,games!$A$2:$A$950,0)),""))</f>
        <v>2025</v>
      </c>
      <c r="U912">
        <f>IF(connections!$A912="","",IFERROR(INDEX(games!$B$2:$B$950,MATCH(connections!$B912,games!$A$2:$A$950,0)),""))</f>
        <v>2026</v>
      </c>
      <c r="V912">
        <f t="shared" si="194"/>
        <v>1</v>
      </c>
    </row>
    <row r="913" spans="1:22" x14ac:dyDescent="0.25">
      <c r="A913" t="str">
        <f>IF(games!$A913="","",games!$A913)</f>
        <v/>
      </c>
      <c r="B913" t="str">
        <f>IF($A913="","",games!$B913)</f>
        <v/>
      </c>
      <c r="C913" t="str">
        <f>IF($A913="","",games!$C913)</f>
        <v/>
      </c>
      <c r="D913" t="str">
        <f>IF($A913="","",COUNTIF(connections!$A$2:$A$1473,$A913)+COUNTIF(connections!$B$2:$B$1473,$A913))</f>
        <v/>
      </c>
      <c r="E913" t="str">
        <f t="shared" si="182"/>
        <v/>
      </c>
      <c r="F913" t="str">
        <f t="shared" si="183"/>
        <v/>
      </c>
      <c r="G913" t="e">
        <f t="shared" si="184"/>
        <v>#N/A</v>
      </c>
      <c r="H913" t="e">
        <f t="shared" si="185"/>
        <v>#N/A</v>
      </c>
      <c r="I913" t="e">
        <f t="shared" si="186"/>
        <v>#N/A</v>
      </c>
      <c r="J913" t="e">
        <f t="shared" si="187"/>
        <v>#N/A</v>
      </c>
      <c r="K913" t="e">
        <f t="shared" si="188"/>
        <v>#N/A</v>
      </c>
      <c r="L913" t="e">
        <f t="shared" si="189"/>
        <v>#N/A</v>
      </c>
      <c r="M913" t="e">
        <f t="shared" si="190"/>
        <v>#N/A</v>
      </c>
      <c r="N913" t="e">
        <f t="shared" si="191"/>
        <v>#N/A</v>
      </c>
      <c r="O913" t="str">
        <f t="shared" si="192"/>
        <v/>
      </c>
      <c r="P913" t="str">
        <f>IF(OR($A913="",games!$H913=""),"",games!$H913)</f>
        <v/>
      </c>
      <c r="Q913" t="str">
        <f t="shared" si="193"/>
        <v/>
      </c>
      <c r="T913">
        <f>IF(connections!$A913="","",IFERROR(INDEX(games!$B$2:$B$950,MATCH(connections!$A913,games!$A$2:$A$950,0)),""))</f>
        <v>2022</v>
      </c>
      <c r="U913">
        <f>IF(connections!$A913="","",IFERROR(INDEX(games!$B$2:$B$950,MATCH(connections!$B913,games!$A$2:$A$950,0)),""))</f>
        <v>2026</v>
      </c>
      <c r="V913">
        <f t="shared" si="194"/>
        <v>4</v>
      </c>
    </row>
    <row r="914" spans="1:22" x14ac:dyDescent="0.25">
      <c r="A914" t="str">
        <f>IF(games!$A914="","",games!$A914)</f>
        <v/>
      </c>
      <c r="B914" t="str">
        <f>IF($A914="","",games!$B914)</f>
        <v/>
      </c>
      <c r="C914" t="str">
        <f>IF($A914="","",games!$C914)</f>
        <v/>
      </c>
      <c r="D914" t="str">
        <f>IF($A914="","",COUNTIF(connections!$A$2:$A$1473,$A914)+COUNTIF(connections!$B$2:$B$1473,$A914))</f>
        <v/>
      </c>
      <c r="E914" t="str">
        <f t="shared" si="182"/>
        <v/>
      </c>
      <c r="F914" t="str">
        <f t="shared" si="183"/>
        <v/>
      </c>
      <c r="G914" t="e">
        <f t="shared" si="184"/>
        <v>#N/A</v>
      </c>
      <c r="H914" t="e">
        <f t="shared" si="185"/>
        <v>#N/A</v>
      </c>
      <c r="I914" t="e">
        <f t="shared" si="186"/>
        <v>#N/A</v>
      </c>
      <c r="J914" t="e">
        <f t="shared" si="187"/>
        <v>#N/A</v>
      </c>
      <c r="K914" t="e">
        <f t="shared" si="188"/>
        <v>#N/A</v>
      </c>
      <c r="L914" t="e">
        <f t="shared" si="189"/>
        <v>#N/A</v>
      </c>
      <c r="M914" t="e">
        <f t="shared" si="190"/>
        <v>#N/A</v>
      </c>
      <c r="N914" t="e">
        <f t="shared" si="191"/>
        <v>#N/A</v>
      </c>
      <c r="O914" t="str">
        <f t="shared" si="192"/>
        <v/>
      </c>
      <c r="P914" t="str">
        <f>IF(OR($A914="",games!$H914=""),"",games!$H914)</f>
        <v/>
      </c>
      <c r="Q914" t="str">
        <f t="shared" si="193"/>
        <v/>
      </c>
      <c r="T914">
        <f>IF(connections!$A914="","",IFERROR(INDEX(games!$B$2:$B$950,MATCH(connections!$A914,games!$A$2:$A$950,0)),""))</f>
        <v>2025</v>
      </c>
      <c r="U914">
        <f>IF(connections!$A914="","",IFERROR(INDEX(games!$B$2:$B$950,MATCH(connections!$B914,games!$A$2:$A$950,0)),""))</f>
        <v>2026</v>
      </c>
      <c r="V914">
        <f t="shared" si="194"/>
        <v>1</v>
      </c>
    </row>
    <row r="915" spans="1:22" x14ac:dyDescent="0.25">
      <c r="A915" t="str">
        <f>IF(games!$A915="","",games!$A915)</f>
        <v/>
      </c>
      <c r="B915" t="str">
        <f>IF($A915="","",games!$B915)</f>
        <v/>
      </c>
      <c r="C915" t="str">
        <f>IF($A915="","",games!$C915)</f>
        <v/>
      </c>
      <c r="D915" t="str">
        <f>IF($A915="","",COUNTIF(connections!$A$2:$A$1473,$A915)+COUNTIF(connections!$B$2:$B$1473,$A915))</f>
        <v/>
      </c>
      <c r="E915" t="str">
        <f t="shared" si="182"/>
        <v/>
      </c>
      <c r="F915" t="str">
        <f t="shared" si="183"/>
        <v/>
      </c>
      <c r="G915" t="e">
        <f t="shared" si="184"/>
        <v>#N/A</v>
      </c>
      <c r="H915" t="e">
        <f t="shared" si="185"/>
        <v>#N/A</v>
      </c>
      <c r="I915" t="e">
        <f t="shared" si="186"/>
        <v>#N/A</v>
      </c>
      <c r="J915" t="e">
        <f t="shared" si="187"/>
        <v>#N/A</v>
      </c>
      <c r="K915" t="e">
        <f t="shared" si="188"/>
        <v>#N/A</v>
      </c>
      <c r="L915" t="e">
        <f t="shared" si="189"/>
        <v>#N/A</v>
      </c>
      <c r="M915" t="e">
        <f t="shared" si="190"/>
        <v>#N/A</v>
      </c>
      <c r="N915" t="e">
        <f t="shared" si="191"/>
        <v>#N/A</v>
      </c>
      <c r="O915" t="str">
        <f t="shared" si="192"/>
        <v/>
      </c>
      <c r="P915" t="str">
        <f>IF(OR($A915="",games!$H915=""),"",games!$H915)</f>
        <v/>
      </c>
      <c r="Q915" t="str">
        <f t="shared" si="193"/>
        <v/>
      </c>
      <c r="T915">
        <f>IF(connections!$A915="","",IFERROR(INDEX(games!$B$2:$B$950,MATCH(connections!$A915,games!$A$2:$A$950,0)),""))</f>
        <v>2024</v>
      </c>
      <c r="U915">
        <f>IF(connections!$A915="","",IFERROR(INDEX(games!$B$2:$B$950,MATCH(connections!$B915,games!$A$2:$A$950,0)),""))</f>
        <v>2026</v>
      </c>
      <c r="V915">
        <f t="shared" si="194"/>
        <v>2</v>
      </c>
    </row>
    <row r="916" spans="1:22" x14ac:dyDescent="0.25">
      <c r="A916" t="str">
        <f>IF(games!$A916="","",games!$A916)</f>
        <v/>
      </c>
      <c r="B916" t="str">
        <f>IF($A916="","",games!$B916)</f>
        <v/>
      </c>
      <c r="C916" t="str">
        <f>IF($A916="","",games!$C916)</f>
        <v/>
      </c>
      <c r="D916" t="str">
        <f>IF($A916="","",COUNTIF(connections!$A$2:$A$1473,$A916)+COUNTIF(connections!$B$2:$B$1473,$A916))</f>
        <v/>
      </c>
      <c r="E916" t="str">
        <f t="shared" si="182"/>
        <v/>
      </c>
      <c r="F916" t="str">
        <f t="shared" si="183"/>
        <v/>
      </c>
      <c r="G916" t="e">
        <f t="shared" si="184"/>
        <v>#N/A</v>
      </c>
      <c r="H916" t="e">
        <f t="shared" si="185"/>
        <v>#N/A</v>
      </c>
      <c r="I916" t="e">
        <f t="shared" si="186"/>
        <v>#N/A</v>
      </c>
      <c r="J916" t="e">
        <f t="shared" si="187"/>
        <v>#N/A</v>
      </c>
      <c r="K916" t="e">
        <f t="shared" si="188"/>
        <v>#N/A</v>
      </c>
      <c r="L916" t="e">
        <f t="shared" si="189"/>
        <v>#N/A</v>
      </c>
      <c r="M916" t="e">
        <f t="shared" si="190"/>
        <v>#N/A</v>
      </c>
      <c r="N916" t="e">
        <f t="shared" si="191"/>
        <v>#N/A</v>
      </c>
      <c r="O916" t="str">
        <f t="shared" si="192"/>
        <v/>
      </c>
      <c r="P916" t="str">
        <f>IF(OR($A916="",games!$H916=""),"",games!$H916)</f>
        <v/>
      </c>
      <c r="Q916" t="str">
        <f t="shared" si="193"/>
        <v/>
      </c>
      <c r="T916">
        <f>IF(connections!$A916="","",IFERROR(INDEX(games!$B$2:$B$950,MATCH(connections!$A916,games!$A$2:$A$950,0)),""))</f>
        <v>2025</v>
      </c>
      <c r="U916">
        <f>IF(connections!$A916="","",IFERROR(INDEX(games!$B$2:$B$950,MATCH(connections!$B916,games!$A$2:$A$950,0)),""))</f>
        <v>2026</v>
      </c>
      <c r="V916">
        <f t="shared" si="194"/>
        <v>1</v>
      </c>
    </row>
    <row r="917" spans="1:22" x14ac:dyDescent="0.25">
      <c r="A917" t="str">
        <f>IF(games!$A917="","",games!$A917)</f>
        <v/>
      </c>
      <c r="B917" t="str">
        <f>IF($A917="","",games!$B917)</f>
        <v/>
      </c>
      <c r="C917" t="str">
        <f>IF($A917="","",games!$C917)</f>
        <v/>
      </c>
      <c r="D917" t="str">
        <f>IF($A917="","",COUNTIF(connections!$A$2:$A$1473,$A917)+COUNTIF(connections!$B$2:$B$1473,$A917))</f>
        <v/>
      </c>
      <c r="E917" t="str">
        <f t="shared" si="182"/>
        <v/>
      </c>
      <c r="F917" t="str">
        <f t="shared" si="183"/>
        <v/>
      </c>
      <c r="G917" t="e">
        <f t="shared" si="184"/>
        <v>#N/A</v>
      </c>
      <c r="H917" t="e">
        <f t="shared" si="185"/>
        <v>#N/A</v>
      </c>
      <c r="I917" t="e">
        <f t="shared" si="186"/>
        <v>#N/A</v>
      </c>
      <c r="J917" t="e">
        <f t="shared" si="187"/>
        <v>#N/A</v>
      </c>
      <c r="K917" t="e">
        <f t="shared" si="188"/>
        <v>#N/A</v>
      </c>
      <c r="L917" t="e">
        <f t="shared" si="189"/>
        <v>#N/A</v>
      </c>
      <c r="M917" t="e">
        <f t="shared" si="190"/>
        <v>#N/A</v>
      </c>
      <c r="N917" t="e">
        <f t="shared" si="191"/>
        <v>#N/A</v>
      </c>
      <c r="O917" t="str">
        <f t="shared" si="192"/>
        <v/>
      </c>
      <c r="P917" t="str">
        <f>IF(OR($A917="",games!$H917=""),"",games!$H917)</f>
        <v/>
      </c>
      <c r="Q917" t="str">
        <f t="shared" si="193"/>
        <v/>
      </c>
      <c r="T917">
        <f>IF(connections!$A917="","",IFERROR(INDEX(games!$B$2:$B$950,MATCH(connections!$A917,games!$A$2:$A$950,0)),""))</f>
        <v>2011</v>
      </c>
      <c r="U917">
        <f>IF(connections!$A917="","",IFERROR(INDEX(games!$B$2:$B$950,MATCH(connections!$B917,games!$A$2:$A$950,0)),""))</f>
        <v>2026</v>
      </c>
      <c r="V917">
        <f t="shared" si="194"/>
        <v>15</v>
      </c>
    </row>
    <row r="918" spans="1:22" x14ac:dyDescent="0.25">
      <c r="A918" t="str">
        <f>IF(games!$A918="","",games!$A918)</f>
        <v/>
      </c>
      <c r="B918" t="str">
        <f>IF($A918="","",games!$B918)</f>
        <v/>
      </c>
      <c r="C918" t="str">
        <f>IF($A918="","",games!$C918)</f>
        <v/>
      </c>
      <c r="D918" t="str">
        <f>IF($A918="","",COUNTIF(connections!$A$2:$A$1473,$A918)+COUNTIF(connections!$B$2:$B$1473,$A918))</f>
        <v/>
      </c>
      <c r="E918" t="str">
        <f t="shared" si="182"/>
        <v/>
      </c>
      <c r="F918" t="str">
        <f t="shared" si="183"/>
        <v/>
      </c>
      <c r="G918" t="e">
        <f t="shared" si="184"/>
        <v>#N/A</v>
      </c>
      <c r="H918" t="e">
        <f t="shared" si="185"/>
        <v>#N/A</v>
      </c>
      <c r="I918" t="e">
        <f t="shared" si="186"/>
        <v>#N/A</v>
      </c>
      <c r="J918" t="e">
        <f t="shared" si="187"/>
        <v>#N/A</v>
      </c>
      <c r="K918" t="e">
        <f t="shared" si="188"/>
        <v>#N/A</v>
      </c>
      <c r="L918" t="e">
        <f t="shared" si="189"/>
        <v>#N/A</v>
      </c>
      <c r="M918" t="e">
        <f t="shared" si="190"/>
        <v>#N/A</v>
      </c>
      <c r="N918" t="e">
        <f t="shared" si="191"/>
        <v>#N/A</v>
      </c>
      <c r="O918" t="str">
        <f t="shared" si="192"/>
        <v/>
      </c>
      <c r="P918" t="str">
        <f>IF(OR($A918="",games!$H918=""),"",games!$H918)</f>
        <v/>
      </c>
      <c r="Q918" t="str">
        <f t="shared" si="193"/>
        <v/>
      </c>
      <c r="T918">
        <f>IF(connections!$A918="","",IFERROR(INDEX(games!$B$2:$B$950,MATCH(connections!$A918,games!$A$2:$A$950,0)),""))</f>
        <v>2020</v>
      </c>
      <c r="U918">
        <f>IF(connections!$A918="","",IFERROR(INDEX(games!$B$2:$B$950,MATCH(connections!$B918,games!$A$2:$A$950,0)),""))</f>
        <v>2024</v>
      </c>
      <c r="V918">
        <f t="shared" si="194"/>
        <v>4</v>
      </c>
    </row>
    <row r="919" spans="1:22" x14ac:dyDescent="0.25">
      <c r="A919" t="str">
        <f>IF(games!$A919="","",games!$A919)</f>
        <v/>
      </c>
      <c r="B919" t="str">
        <f>IF($A919="","",games!$B919)</f>
        <v/>
      </c>
      <c r="C919" t="str">
        <f>IF($A919="","",games!$C919)</f>
        <v/>
      </c>
      <c r="D919" t="str">
        <f>IF($A919="","",COUNTIF(connections!$A$2:$A$1473,$A919)+COUNTIF(connections!$B$2:$B$1473,$A919))</f>
        <v/>
      </c>
      <c r="E919" t="str">
        <f t="shared" si="182"/>
        <v/>
      </c>
      <c r="F919" t="str">
        <f t="shared" si="183"/>
        <v/>
      </c>
      <c r="G919" t="e">
        <f t="shared" si="184"/>
        <v>#N/A</v>
      </c>
      <c r="H919" t="e">
        <f t="shared" si="185"/>
        <v>#N/A</v>
      </c>
      <c r="I919" t="e">
        <f t="shared" si="186"/>
        <v>#N/A</v>
      </c>
      <c r="J919" t="e">
        <f t="shared" si="187"/>
        <v>#N/A</v>
      </c>
      <c r="K919" t="e">
        <f t="shared" si="188"/>
        <v>#N/A</v>
      </c>
      <c r="L919" t="e">
        <f t="shared" si="189"/>
        <v>#N/A</v>
      </c>
      <c r="M919" t="e">
        <f t="shared" si="190"/>
        <v>#N/A</v>
      </c>
      <c r="N919" t="e">
        <f t="shared" si="191"/>
        <v>#N/A</v>
      </c>
      <c r="O919" t="str">
        <f t="shared" si="192"/>
        <v/>
      </c>
      <c r="P919" t="str">
        <f>IF(OR($A919="",games!$H919=""),"",games!$H919)</f>
        <v/>
      </c>
      <c r="Q919" t="str">
        <f t="shared" si="193"/>
        <v/>
      </c>
      <c r="T919">
        <f>IF(connections!$A919="","",IFERROR(INDEX(games!$B$2:$B$950,MATCH(connections!$A919,games!$A$2:$A$950,0)),""))</f>
        <v>2022</v>
      </c>
      <c r="U919">
        <f>IF(connections!$A919="","",IFERROR(INDEX(games!$B$2:$B$950,MATCH(connections!$B919,games!$A$2:$A$950,0)),""))</f>
        <v>2024</v>
      </c>
      <c r="V919">
        <f t="shared" si="194"/>
        <v>2</v>
      </c>
    </row>
    <row r="920" spans="1:22" x14ac:dyDescent="0.25">
      <c r="A920" t="str">
        <f>IF(games!$A920="","",games!$A920)</f>
        <v/>
      </c>
      <c r="B920" t="str">
        <f>IF($A920="","",games!$B920)</f>
        <v/>
      </c>
      <c r="C920" t="str">
        <f>IF($A920="","",games!$C920)</f>
        <v/>
      </c>
      <c r="D920" t="str">
        <f>IF($A920="","",COUNTIF(connections!$A$2:$A$1473,$A920)+COUNTIF(connections!$B$2:$B$1473,$A920))</f>
        <v/>
      </c>
      <c r="E920" t="str">
        <f t="shared" si="182"/>
        <v/>
      </c>
      <c r="F920" t="str">
        <f t="shared" si="183"/>
        <v/>
      </c>
      <c r="G920" t="e">
        <f t="shared" si="184"/>
        <v>#N/A</v>
      </c>
      <c r="H920" t="e">
        <f t="shared" si="185"/>
        <v>#N/A</v>
      </c>
      <c r="I920" t="e">
        <f t="shared" si="186"/>
        <v>#N/A</v>
      </c>
      <c r="J920" t="e">
        <f t="shared" si="187"/>
        <v>#N/A</v>
      </c>
      <c r="K920" t="e">
        <f t="shared" si="188"/>
        <v>#N/A</v>
      </c>
      <c r="L920" t="e">
        <f t="shared" si="189"/>
        <v>#N/A</v>
      </c>
      <c r="M920" t="e">
        <f t="shared" si="190"/>
        <v>#N/A</v>
      </c>
      <c r="N920" t="e">
        <f t="shared" si="191"/>
        <v>#N/A</v>
      </c>
      <c r="O920" t="str">
        <f t="shared" si="192"/>
        <v/>
      </c>
      <c r="P920" t="str">
        <f>IF(OR($A920="",games!$H920=""),"",games!$H920)</f>
        <v/>
      </c>
      <c r="Q920" t="str">
        <f t="shared" si="193"/>
        <v/>
      </c>
      <c r="T920">
        <f>IF(connections!$A920="","",IFERROR(INDEX(games!$B$2:$B$950,MATCH(connections!$A920,games!$A$2:$A$950,0)),""))</f>
        <v>2021</v>
      </c>
      <c r="U920">
        <f>IF(connections!$A920="","",IFERROR(INDEX(games!$B$2:$B$950,MATCH(connections!$B920,games!$A$2:$A$950,0)),""))</f>
        <v>2024</v>
      </c>
      <c r="V920">
        <f t="shared" si="194"/>
        <v>3</v>
      </c>
    </row>
    <row r="921" spans="1:22" x14ac:dyDescent="0.25">
      <c r="A921" t="str">
        <f>IF(games!$A921="","",games!$A921)</f>
        <v/>
      </c>
      <c r="B921" t="str">
        <f>IF($A921="","",games!$B921)</f>
        <v/>
      </c>
      <c r="C921" t="str">
        <f>IF($A921="","",games!$C921)</f>
        <v/>
      </c>
      <c r="D921" t="str">
        <f>IF($A921="","",COUNTIF(connections!$A$2:$A$1473,$A921)+COUNTIF(connections!$B$2:$B$1473,$A921))</f>
        <v/>
      </c>
      <c r="E921" t="str">
        <f t="shared" si="182"/>
        <v/>
      </c>
      <c r="F921" t="str">
        <f t="shared" si="183"/>
        <v/>
      </c>
      <c r="G921" t="e">
        <f t="shared" si="184"/>
        <v>#N/A</v>
      </c>
      <c r="H921" t="e">
        <f t="shared" si="185"/>
        <v>#N/A</v>
      </c>
      <c r="I921" t="e">
        <f t="shared" si="186"/>
        <v>#N/A</v>
      </c>
      <c r="J921" t="e">
        <f t="shared" si="187"/>
        <v>#N/A</v>
      </c>
      <c r="K921" t="e">
        <f t="shared" si="188"/>
        <v>#N/A</v>
      </c>
      <c r="L921" t="e">
        <f t="shared" si="189"/>
        <v>#N/A</v>
      </c>
      <c r="M921" t="e">
        <f t="shared" si="190"/>
        <v>#N/A</v>
      </c>
      <c r="N921" t="e">
        <f t="shared" si="191"/>
        <v>#N/A</v>
      </c>
      <c r="O921" t="str">
        <f t="shared" si="192"/>
        <v/>
      </c>
      <c r="P921" t="str">
        <f>IF(OR($A921="",games!$H921=""),"",games!$H921)</f>
        <v/>
      </c>
      <c r="Q921" t="str">
        <f t="shared" si="193"/>
        <v/>
      </c>
      <c r="T921">
        <f>IF(connections!$A921="","",IFERROR(INDEX(games!$B$2:$B$950,MATCH(connections!$A921,games!$A$2:$A$950,0)),""))</f>
        <v>1996</v>
      </c>
      <c r="U921">
        <f>IF(connections!$A921="","",IFERROR(INDEX(games!$B$2:$B$950,MATCH(connections!$B921,games!$A$2:$A$950,0)),""))</f>
        <v>2023</v>
      </c>
      <c r="V921">
        <f t="shared" si="194"/>
        <v>27</v>
      </c>
    </row>
    <row r="922" spans="1:22" x14ac:dyDescent="0.25">
      <c r="A922" t="str">
        <f>IF(games!$A922="","",games!$A922)</f>
        <v/>
      </c>
      <c r="B922" t="str">
        <f>IF($A922="","",games!$B922)</f>
        <v/>
      </c>
      <c r="C922" t="str">
        <f>IF($A922="","",games!$C922)</f>
        <v/>
      </c>
      <c r="D922" t="str">
        <f>IF($A922="","",COUNTIF(connections!$A$2:$A$1473,$A922)+COUNTIF(connections!$B$2:$B$1473,$A922))</f>
        <v/>
      </c>
      <c r="E922" t="str">
        <f t="shared" si="182"/>
        <v/>
      </c>
      <c r="F922" t="str">
        <f t="shared" si="183"/>
        <v/>
      </c>
      <c r="G922" t="e">
        <f t="shared" si="184"/>
        <v>#N/A</v>
      </c>
      <c r="H922" t="e">
        <f t="shared" si="185"/>
        <v>#N/A</v>
      </c>
      <c r="I922" t="e">
        <f t="shared" si="186"/>
        <v>#N/A</v>
      </c>
      <c r="J922" t="e">
        <f t="shared" si="187"/>
        <v>#N/A</v>
      </c>
      <c r="K922" t="e">
        <f t="shared" si="188"/>
        <v>#N/A</v>
      </c>
      <c r="L922" t="e">
        <f t="shared" si="189"/>
        <v>#N/A</v>
      </c>
      <c r="M922" t="e">
        <f t="shared" si="190"/>
        <v>#N/A</v>
      </c>
      <c r="N922" t="e">
        <f t="shared" si="191"/>
        <v>#N/A</v>
      </c>
      <c r="O922" t="str">
        <f t="shared" si="192"/>
        <v/>
      </c>
      <c r="P922" t="str">
        <f>IF(OR($A922="",games!$H922=""),"",games!$H922)</f>
        <v/>
      </c>
      <c r="Q922" t="str">
        <f t="shared" si="193"/>
        <v/>
      </c>
      <c r="T922">
        <f>IF(connections!$A922="","",IFERROR(INDEX(games!$B$2:$B$950,MATCH(connections!$A922,games!$A$2:$A$950,0)),""))</f>
        <v>2021</v>
      </c>
      <c r="U922">
        <f>IF(connections!$A922="","",IFERROR(INDEX(games!$B$2:$B$950,MATCH(connections!$B922,games!$A$2:$A$950,0)),""))</f>
        <v>2023</v>
      </c>
      <c r="V922">
        <f t="shared" si="194"/>
        <v>2</v>
      </c>
    </row>
    <row r="923" spans="1:22" x14ac:dyDescent="0.25">
      <c r="A923" t="str">
        <f>IF(games!$A923="","",games!$A923)</f>
        <v/>
      </c>
      <c r="B923" t="str">
        <f>IF($A923="","",games!$B923)</f>
        <v/>
      </c>
      <c r="C923" t="str">
        <f>IF($A923="","",games!$C923)</f>
        <v/>
      </c>
      <c r="D923" t="str">
        <f>IF($A923="","",COUNTIF(connections!$A$2:$A$1473,$A923)+COUNTIF(connections!$B$2:$B$1473,$A923))</f>
        <v/>
      </c>
      <c r="E923" t="str">
        <f t="shared" si="182"/>
        <v/>
      </c>
      <c r="F923" t="str">
        <f t="shared" si="183"/>
        <v/>
      </c>
      <c r="G923" t="e">
        <f t="shared" si="184"/>
        <v>#N/A</v>
      </c>
      <c r="H923" t="e">
        <f t="shared" si="185"/>
        <v>#N/A</v>
      </c>
      <c r="I923" t="e">
        <f t="shared" si="186"/>
        <v>#N/A</v>
      </c>
      <c r="J923" t="e">
        <f t="shared" si="187"/>
        <v>#N/A</v>
      </c>
      <c r="K923" t="e">
        <f t="shared" si="188"/>
        <v>#N/A</v>
      </c>
      <c r="L923" t="e">
        <f t="shared" si="189"/>
        <v>#N/A</v>
      </c>
      <c r="M923" t="e">
        <f t="shared" si="190"/>
        <v>#N/A</v>
      </c>
      <c r="N923" t="e">
        <f t="shared" si="191"/>
        <v>#N/A</v>
      </c>
      <c r="O923" t="str">
        <f t="shared" si="192"/>
        <v/>
      </c>
      <c r="P923" t="str">
        <f>IF(OR($A923="",games!$H923=""),"",games!$H923)</f>
        <v/>
      </c>
      <c r="Q923" t="str">
        <f t="shared" si="193"/>
        <v/>
      </c>
      <c r="T923">
        <f>IF(connections!$A923="","",IFERROR(INDEX(games!$B$2:$B$950,MATCH(connections!$A923,games!$A$2:$A$950,0)),""))</f>
        <v>2023</v>
      </c>
      <c r="U923">
        <f>IF(connections!$A923="","",IFERROR(INDEX(games!$B$2:$B$950,MATCH(connections!$B923,games!$A$2:$A$950,0)),""))</f>
        <v>2025</v>
      </c>
      <c r="V923">
        <f t="shared" si="194"/>
        <v>2</v>
      </c>
    </row>
    <row r="924" spans="1:22" x14ac:dyDescent="0.25">
      <c r="A924" t="str">
        <f>IF(games!$A924="","",games!$A924)</f>
        <v/>
      </c>
      <c r="B924" t="str">
        <f>IF($A924="","",games!$B924)</f>
        <v/>
      </c>
      <c r="C924" t="str">
        <f>IF($A924="","",games!$C924)</f>
        <v/>
      </c>
      <c r="D924" t="str">
        <f>IF($A924="","",COUNTIF(connections!$A$2:$A$1473,$A924)+COUNTIF(connections!$B$2:$B$1473,$A924))</f>
        <v/>
      </c>
      <c r="E924" t="str">
        <f t="shared" si="182"/>
        <v/>
      </c>
      <c r="F924" t="str">
        <f t="shared" si="183"/>
        <v/>
      </c>
      <c r="G924" t="e">
        <f t="shared" si="184"/>
        <v>#N/A</v>
      </c>
      <c r="H924" t="e">
        <f t="shared" si="185"/>
        <v>#N/A</v>
      </c>
      <c r="I924" t="e">
        <f t="shared" si="186"/>
        <v>#N/A</v>
      </c>
      <c r="J924" t="e">
        <f t="shared" si="187"/>
        <v>#N/A</v>
      </c>
      <c r="K924" t="e">
        <f t="shared" si="188"/>
        <v>#N/A</v>
      </c>
      <c r="L924" t="e">
        <f t="shared" si="189"/>
        <v>#N/A</v>
      </c>
      <c r="M924" t="e">
        <f t="shared" si="190"/>
        <v>#N/A</v>
      </c>
      <c r="N924" t="e">
        <f t="shared" si="191"/>
        <v>#N/A</v>
      </c>
      <c r="O924" t="str">
        <f t="shared" si="192"/>
        <v/>
      </c>
      <c r="P924" t="str">
        <f>IF(OR($A924="",games!$H924=""),"",games!$H924)</f>
        <v/>
      </c>
      <c r="Q924" t="str">
        <f t="shared" si="193"/>
        <v/>
      </c>
      <c r="T924">
        <f>IF(connections!$A924="","",IFERROR(INDEX(games!$B$2:$B$950,MATCH(connections!$A924,games!$A$2:$A$950,0)),""))</f>
        <v>2009</v>
      </c>
      <c r="U924">
        <f>IF(connections!$A924="","",IFERROR(INDEX(games!$B$2:$B$950,MATCH(connections!$B924,games!$A$2:$A$950,0)),""))</f>
        <v>2012</v>
      </c>
      <c r="V924">
        <f t="shared" si="194"/>
        <v>3</v>
      </c>
    </row>
    <row r="925" spans="1:22" x14ac:dyDescent="0.25">
      <c r="A925" t="str">
        <f>IF(games!$A925="","",games!$A925)</f>
        <v/>
      </c>
      <c r="B925" t="str">
        <f>IF($A925="","",games!$B925)</f>
        <v/>
      </c>
      <c r="C925" t="str">
        <f>IF($A925="","",games!$C925)</f>
        <v/>
      </c>
      <c r="D925" t="str">
        <f>IF($A925="","",COUNTIF(connections!$A$2:$A$1473,$A925)+COUNTIF(connections!$B$2:$B$1473,$A925))</f>
        <v/>
      </c>
      <c r="E925" t="str">
        <f t="shared" si="182"/>
        <v/>
      </c>
      <c r="F925" t="str">
        <f t="shared" si="183"/>
        <v/>
      </c>
      <c r="G925" t="e">
        <f t="shared" si="184"/>
        <v>#N/A</v>
      </c>
      <c r="H925" t="e">
        <f t="shared" si="185"/>
        <v>#N/A</v>
      </c>
      <c r="I925" t="e">
        <f t="shared" si="186"/>
        <v>#N/A</v>
      </c>
      <c r="J925" t="e">
        <f t="shared" si="187"/>
        <v>#N/A</v>
      </c>
      <c r="K925" t="e">
        <f t="shared" si="188"/>
        <v>#N/A</v>
      </c>
      <c r="L925" t="e">
        <f t="shared" si="189"/>
        <v>#N/A</v>
      </c>
      <c r="M925" t="e">
        <f t="shared" si="190"/>
        <v>#N/A</v>
      </c>
      <c r="N925" t="e">
        <f t="shared" si="191"/>
        <v>#N/A</v>
      </c>
      <c r="O925" t="str">
        <f t="shared" si="192"/>
        <v/>
      </c>
      <c r="P925" t="str">
        <f>IF(OR($A925="",games!$H925=""),"",games!$H925)</f>
        <v/>
      </c>
      <c r="Q925" t="str">
        <f t="shared" si="193"/>
        <v/>
      </c>
      <c r="T925">
        <f>IF(connections!$A925="","",IFERROR(INDEX(games!$B$2:$B$950,MATCH(connections!$A925,games!$A$2:$A$950,0)),""))</f>
        <v>2023</v>
      </c>
      <c r="U925">
        <f>IF(connections!$A925="","",IFERROR(INDEX(games!$B$2:$B$950,MATCH(connections!$B925,games!$A$2:$A$950,0)),""))</f>
        <v>2026</v>
      </c>
      <c r="V925">
        <f t="shared" si="194"/>
        <v>3</v>
      </c>
    </row>
    <row r="926" spans="1:22" x14ac:dyDescent="0.25">
      <c r="A926" t="str">
        <f>IF(games!$A926="","",games!$A926)</f>
        <v/>
      </c>
      <c r="B926" t="str">
        <f>IF($A926="","",games!$B926)</f>
        <v/>
      </c>
      <c r="C926" t="str">
        <f>IF($A926="","",games!$C926)</f>
        <v/>
      </c>
      <c r="D926" t="str">
        <f>IF($A926="","",COUNTIF(connections!$A$2:$A$1473,$A926)+COUNTIF(connections!$B$2:$B$1473,$A926))</f>
        <v/>
      </c>
      <c r="E926" t="str">
        <f t="shared" si="182"/>
        <v/>
      </c>
      <c r="F926" t="str">
        <f t="shared" si="183"/>
        <v/>
      </c>
      <c r="G926" t="e">
        <f t="shared" si="184"/>
        <v>#N/A</v>
      </c>
      <c r="H926" t="e">
        <f t="shared" si="185"/>
        <v>#N/A</v>
      </c>
      <c r="I926" t="e">
        <f t="shared" si="186"/>
        <v>#N/A</v>
      </c>
      <c r="J926" t="e">
        <f t="shared" si="187"/>
        <v>#N/A</v>
      </c>
      <c r="K926" t="e">
        <f t="shared" si="188"/>
        <v>#N/A</v>
      </c>
      <c r="L926" t="e">
        <f t="shared" si="189"/>
        <v>#N/A</v>
      </c>
      <c r="M926" t="e">
        <f t="shared" si="190"/>
        <v>#N/A</v>
      </c>
      <c r="N926" t="e">
        <f t="shared" si="191"/>
        <v>#N/A</v>
      </c>
      <c r="O926" t="str">
        <f t="shared" si="192"/>
        <v/>
      </c>
      <c r="P926" t="str">
        <f>IF(OR($A926="",games!$H926=""),"",games!$H926)</f>
        <v/>
      </c>
      <c r="Q926" t="str">
        <f t="shared" si="193"/>
        <v/>
      </c>
      <c r="T926">
        <f>IF(connections!$A926="","",IFERROR(INDEX(games!$B$2:$B$950,MATCH(connections!$A926,games!$A$2:$A$950,0)),""))</f>
        <v>2021</v>
      </c>
      <c r="U926">
        <f>IF(connections!$A926="","",IFERROR(INDEX(games!$B$2:$B$950,MATCH(connections!$B926,games!$A$2:$A$950,0)),""))</f>
        <v>2021</v>
      </c>
      <c r="V926">
        <f t="shared" si="194"/>
        <v>0</v>
      </c>
    </row>
    <row r="927" spans="1:22" x14ac:dyDescent="0.25">
      <c r="A927" t="str">
        <f>IF(games!$A927="","",games!$A927)</f>
        <v/>
      </c>
      <c r="B927" t="str">
        <f>IF($A927="","",games!$B927)</f>
        <v/>
      </c>
      <c r="C927" t="str">
        <f>IF($A927="","",games!$C927)</f>
        <v/>
      </c>
      <c r="D927" t="str">
        <f>IF($A927="","",COUNTIF(connections!$A$2:$A$1473,$A927)+COUNTIF(connections!$B$2:$B$1473,$A927))</f>
        <v/>
      </c>
      <c r="E927" t="str">
        <f t="shared" si="182"/>
        <v/>
      </c>
      <c r="F927" t="str">
        <f t="shared" si="183"/>
        <v/>
      </c>
      <c r="G927" t="e">
        <f t="shared" si="184"/>
        <v>#N/A</v>
      </c>
      <c r="H927" t="e">
        <f t="shared" si="185"/>
        <v>#N/A</v>
      </c>
      <c r="I927" t="e">
        <f t="shared" si="186"/>
        <v>#N/A</v>
      </c>
      <c r="J927" t="e">
        <f t="shared" si="187"/>
        <v>#N/A</v>
      </c>
      <c r="K927" t="e">
        <f t="shared" si="188"/>
        <v>#N/A</v>
      </c>
      <c r="L927" t="e">
        <f t="shared" si="189"/>
        <v>#N/A</v>
      </c>
      <c r="M927" t="e">
        <f t="shared" si="190"/>
        <v>#N/A</v>
      </c>
      <c r="N927" t="e">
        <f t="shared" si="191"/>
        <v>#N/A</v>
      </c>
      <c r="O927" t="str">
        <f t="shared" si="192"/>
        <v/>
      </c>
      <c r="P927" t="str">
        <f>IF(OR($A927="",games!$H927=""),"",games!$H927)</f>
        <v/>
      </c>
      <c r="Q927" t="str">
        <f t="shared" si="193"/>
        <v/>
      </c>
      <c r="T927">
        <f>IF(connections!$A927="","",IFERROR(INDEX(games!$B$2:$B$950,MATCH(connections!$A927,games!$A$2:$A$950,0)),""))</f>
        <v>2017</v>
      </c>
      <c r="U927">
        <f>IF(connections!$A927="","",IFERROR(INDEX(games!$B$2:$B$950,MATCH(connections!$B927,games!$A$2:$A$950,0)),""))</f>
        <v>2026</v>
      </c>
      <c r="V927">
        <f t="shared" si="194"/>
        <v>9</v>
      </c>
    </row>
    <row r="928" spans="1:22" x14ac:dyDescent="0.25">
      <c r="A928" t="str">
        <f>IF(games!$A928="","",games!$A928)</f>
        <v/>
      </c>
      <c r="B928" t="str">
        <f>IF($A928="","",games!$B928)</f>
        <v/>
      </c>
      <c r="C928" t="str">
        <f>IF($A928="","",games!$C928)</f>
        <v/>
      </c>
      <c r="D928" t="str">
        <f>IF($A928="","",COUNTIF(connections!$A$2:$A$1473,$A928)+COUNTIF(connections!$B$2:$B$1473,$A928))</f>
        <v/>
      </c>
      <c r="E928" t="str">
        <f t="shared" si="182"/>
        <v/>
      </c>
      <c r="F928" t="str">
        <f t="shared" si="183"/>
        <v/>
      </c>
      <c r="G928" t="e">
        <f t="shared" si="184"/>
        <v>#N/A</v>
      </c>
      <c r="H928" t="e">
        <f t="shared" si="185"/>
        <v>#N/A</v>
      </c>
      <c r="I928" t="e">
        <f t="shared" si="186"/>
        <v>#N/A</v>
      </c>
      <c r="J928" t="e">
        <f t="shared" si="187"/>
        <v>#N/A</v>
      </c>
      <c r="K928" t="e">
        <f t="shared" si="188"/>
        <v>#N/A</v>
      </c>
      <c r="L928" t="e">
        <f t="shared" si="189"/>
        <v>#N/A</v>
      </c>
      <c r="M928" t="e">
        <f t="shared" si="190"/>
        <v>#N/A</v>
      </c>
      <c r="N928" t="e">
        <f t="shared" si="191"/>
        <v>#N/A</v>
      </c>
      <c r="O928" t="str">
        <f t="shared" si="192"/>
        <v/>
      </c>
      <c r="P928" t="str">
        <f>IF(OR($A928="",games!$H928=""),"",games!$H928)</f>
        <v/>
      </c>
      <c r="Q928" t="str">
        <f t="shared" si="193"/>
        <v/>
      </c>
      <c r="T928">
        <f>IF(connections!$A928="","",IFERROR(INDEX(games!$B$2:$B$950,MATCH(connections!$A928,games!$A$2:$A$950,0)),""))</f>
        <v>2021</v>
      </c>
      <c r="U928">
        <f>IF(connections!$A928="","",IFERROR(INDEX(games!$B$2:$B$950,MATCH(connections!$B928,games!$A$2:$A$950,0)),""))</f>
        <v>2022</v>
      </c>
      <c r="V928">
        <f t="shared" si="194"/>
        <v>1</v>
      </c>
    </row>
    <row r="929" spans="1:22" x14ac:dyDescent="0.25">
      <c r="A929" t="str">
        <f>IF(games!$A929="","",games!$A929)</f>
        <v/>
      </c>
      <c r="B929" t="str">
        <f>IF($A929="","",games!$B929)</f>
        <v/>
      </c>
      <c r="C929" t="str">
        <f>IF($A929="","",games!$C929)</f>
        <v/>
      </c>
      <c r="D929" t="str">
        <f>IF($A929="","",COUNTIF(connections!$A$2:$A$1473,$A929)+COUNTIF(connections!$B$2:$B$1473,$A929))</f>
        <v/>
      </c>
      <c r="E929" t="str">
        <f t="shared" si="182"/>
        <v/>
      </c>
      <c r="F929" t="str">
        <f t="shared" si="183"/>
        <v/>
      </c>
      <c r="G929" t="e">
        <f t="shared" si="184"/>
        <v>#N/A</v>
      </c>
      <c r="H929" t="e">
        <f t="shared" si="185"/>
        <v>#N/A</v>
      </c>
      <c r="I929" t="e">
        <f t="shared" si="186"/>
        <v>#N/A</v>
      </c>
      <c r="J929" t="e">
        <f t="shared" si="187"/>
        <v>#N/A</v>
      </c>
      <c r="K929" t="e">
        <f t="shared" si="188"/>
        <v>#N/A</v>
      </c>
      <c r="L929" t="e">
        <f t="shared" si="189"/>
        <v>#N/A</v>
      </c>
      <c r="M929" t="e">
        <f t="shared" si="190"/>
        <v>#N/A</v>
      </c>
      <c r="N929" t="e">
        <f t="shared" si="191"/>
        <v>#N/A</v>
      </c>
      <c r="O929" t="str">
        <f t="shared" si="192"/>
        <v/>
      </c>
      <c r="P929" t="str">
        <f>IF(OR($A929="",games!$H929=""),"",games!$H929)</f>
        <v/>
      </c>
      <c r="Q929" t="str">
        <f t="shared" si="193"/>
        <v/>
      </c>
      <c r="T929">
        <f>IF(connections!$A929="","",IFERROR(INDEX(games!$B$2:$B$950,MATCH(connections!$A929,games!$A$2:$A$950,0)),""))</f>
        <v>2017</v>
      </c>
      <c r="U929">
        <f>IF(connections!$A929="","",IFERROR(INDEX(games!$B$2:$B$950,MATCH(connections!$B929,games!$A$2:$A$950,0)),""))</f>
        <v>2026</v>
      </c>
      <c r="V929">
        <f t="shared" si="194"/>
        <v>9</v>
      </c>
    </row>
    <row r="930" spans="1:22" x14ac:dyDescent="0.25">
      <c r="A930" t="str">
        <f>IF(games!$A930="","",games!$A930)</f>
        <v/>
      </c>
      <c r="B930" t="str">
        <f>IF($A930="","",games!$B930)</f>
        <v/>
      </c>
      <c r="C930" t="str">
        <f>IF($A930="","",games!$C930)</f>
        <v/>
      </c>
      <c r="D930" t="str">
        <f>IF($A930="","",COUNTIF(connections!$A$2:$A$1473,$A930)+COUNTIF(connections!$B$2:$B$1473,$A930))</f>
        <v/>
      </c>
      <c r="E930" t="str">
        <f t="shared" si="182"/>
        <v/>
      </c>
      <c r="F930" t="str">
        <f t="shared" si="183"/>
        <v/>
      </c>
      <c r="G930" t="e">
        <f t="shared" si="184"/>
        <v>#N/A</v>
      </c>
      <c r="H930" t="e">
        <f t="shared" si="185"/>
        <v>#N/A</v>
      </c>
      <c r="I930" t="e">
        <f t="shared" si="186"/>
        <v>#N/A</v>
      </c>
      <c r="J930" t="e">
        <f t="shared" si="187"/>
        <v>#N/A</v>
      </c>
      <c r="K930" t="e">
        <f t="shared" si="188"/>
        <v>#N/A</v>
      </c>
      <c r="L930" t="e">
        <f t="shared" si="189"/>
        <v>#N/A</v>
      </c>
      <c r="M930" t="e">
        <f t="shared" si="190"/>
        <v>#N/A</v>
      </c>
      <c r="N930" t="e">
        <f t="shared" si="191"/>
        <v>#N/A</v>
      </c>
      <c r="O930" t="str">
        <f t="shared" si="192"/>
        <v/>
      </c>
      <c r="P930" t="str">
        <f>IF(OR($A930="",games!$H930=""),"",games!$H930)</f>
        <v/>
      </c>
      <c r="Q930" t="str">
        <f t="shared" si="193"/>
        <v/>
      </c>
      <c r="T930">
        <f>IF(connections!$A930="","",IFERROR(INDEX(games!$B$2:$B$950,MATCH(connections!$A930,games!$A$2:$A$950,0)),""))</f>
        <v>2019</v>
      </c>
      <c r="U930">
        <f>IF(connections!$A930="","",IFERROR(INDEX(games!$B$2:$B$950,MATCH(connections!$B930,games!$A$2:$A$950,0)),""))</f>
        <v>2021</v>
      </c>
      <c r="V930">
        <f t="shared" si="194"/>
        <v>2</v>
      </c>
    </row>
    <row r="931" spans="1:22" x14ac:dyDescent="0.25">
      <c r="A931" t="str">
        <f>IF(games!$A931="","",games!$A931)</f>
        <v/>
      </c>
      <c r="B931" t="str">
        <f>IF($A931="","",games!$B931)</f>
        <v/>
      </c>
      <c r="C931" t="str">
        <f>IF($A931="","",games!$C931)</f>
        <v/>
      </c>
      <c r="D931" t="str">
        <f>IF($A931="","",COUNTIF(connections!$A$2:$A$1473,$A931)+COUNTIF(connections!$B$2:$B$1473,$A931))</f>
        <v/>
      </c>
      <c r="E931" t="str">
        <f t="shared" si="182"/>
        <v/>
      </c>
      <c r="F931" t="str">
        <f t="shared" si="183"/>
        <v/>
      </c>
      <c r="G931" t="e">
        <f t="shared" si="184"/>
        <v>#N/A</v>
      </c>
      <c r="H931" t="e">
        <f t="shared" si="185"/>
        <v>#N/A</v>
      </c>
      <c r="I931" t="e">
        <f t="shared" si="186"/>
        <v>#N/A</v>
      </c>
      <c r="J931" t="e">
        <f t="shared" si="187"/>
        <v>#N/A</v>
      </c>
      <c r="K931" t="e">
        <f t="shared" si="188"/>
        <v>#N/A</v>
      </c>
      <c r="L931" t="e">
        <f t="shared" si="189"/>
        <v>#N/A</v>
      </c>
      <c r="M931" t="e">
        <f t="shared" si="190"/>
        <v>#N/A</v>
      </c>
      <c r="N931" t="e">
        <f t="shared" si="191"/>
        <v>#N/A</v>
      </c>
      <c r="O931" t="str">
        <f t="shared" si="192"/>
        <v/>
      </c>
      <c r="P931" t="str">
        <f>IF(OR($A931="",games!$H931=""),"",games!$H931)</f>
        <v/>
      </c>
      <c r="Q931" t="str">
        <f t="shared" si="193"/>
        <v/>
      </c>
      <c r="T931">
        <f>IF(connections!$A931="","",IFERROR(INDEX(games!$B$2:$B$950,MATCH(connections!$A931,games!$A$2:$A$950,0)),""))</f>
        <v>2021</v>
      </c>
      <c r="U931">
        <f>IF(connections!$A931="","",IFERROR(INDEX(games!$B$2:$B$950,MATCH(connections!$B931,games!$A$2:$A$950,0)),""))</f>
        <v>2026</v>
      </c>
      <c r="V931">
        <f t="shared" si="194"/>
        <v>5</v>
      </c>
    </row>
    <row r="932" spans="1:22" x14ac:dyDescent="0.25">
      <c r="A932" t="str">
        <f>IF(games!$A932="","",games!$A932)</f>
        <v/>
      </c>
      <c r="B932" t="str">
        <f>IF($A932="","",games!$B932)</f>
        <v/>
      </c>
      <c r="C932" t="str">
        <f>IF($A932="","",games!$C932)</f>
        <v/>
      </c>
      <c r="D932" t="str">
        <f>IF($A932="","",COUNTIF(connections!$A$2:$A$1473,$A932)+COUNTIF(connections!$B$2:$B$1473,$A932))</f>
        <v/>
      </c>
      <c r="E932" t="str">
        <f t="shared" si="182"/>
        <v/>
      </c>
      <c r="F932" t="str">
        <f t="shared" si="183"/>
        <v/>
      </c>
      <c r="G932" t="e">
        <f t="shared" si="184"/>
        <v>#N/A</v>
      </c>
      <c r="H932" t="e">
        <f t="shared" si="185"/>
        <v>#N/A</v>
      </c>
      <c r="I932" t="e">
        <f t="shared" si="186"/>
        <v>#N/A</v>
      </c>
      <c r="J932" t="e">
        <f t="shared" si="187"/>
        <v>#N/A</v>
      </c>
      <c r="K932" t="e">
        <f t="shared" si="188"/>
        <v>#N/A</v>
      </c>
      <c r="L932" t="e">
        <f t="shared" si="189"/>
        <v>#N/A</v>
      </c>
      <c r="M932" t="e">
        <f t="shared" si="190"/>
        <v>#N/A</v>
      </c>
      <c r="N932" t="e">
        <f t="shared" si="191"/>
        <v>#N/A</v>
      </c>
      <c r="O932" t="str">
        <f t="shared" si="192"/>
        <v/>
      </c>
      <c r="P932" t="str">
        <f>IF(OR($A932="",games!$H932=""),"",games!$H932)</f>
        <v/>
      </c>
      <c r="Q932" t="str">
        <f t="shared" si="193"/>
        <v/>
      </c>
      <c r="T932">
        <f>IF(connections!$A932="","",IFERROR(INDEX(games!$B$2:$B$950,MATCH(connections!$A932,games!$A$2:$A$950,0)),""))</f>
        <v>2017</v>
      </c>
      <c r="U932">
        <f>IF(connections!$A932="","",IFERROR(INDEX(games!$B$2:$B$950,MATCH(connections!$B932,games!$A$2:$A$950,0)),""))</f>
        <v>2026</v>
      </c>
      <c r="V932">
        <f t="shared" si="194"/>
        <v>9</v>
      </c>
    </row>
    <row r="933" spans="1:22" x14ac:dyDescent="0.25">
      <c r="A933" t="str">
        <f>IF(games!$A933="","",games!$A933)</f>
        <v/>
      </c>
      <c r="B933" t="str">
        <f>IF($A933="","",games!$B933)</f>
        <v/>
      </c>
      <c r="C933" t="str">
        <f>IF($A933="","",games!$C933)</f>
        <v/>
      </c>
      <c r="D933" t="str">
        <f>IF($A933="","",COUNTIF(connections!$A$2:$A$1473,$A933)+COUNTIF(connections!$B$2:$B$1473,$A933))</f>
        <v/>
      </c>
      <c r="E933" t="str">
        <f t="shared" si="182"/>
        <v/>
      </c>
      <c r="F933" t="str">
        <f t="shared" si="183"/>
        <v/>
      </c>
      <c r="G933" t="e">
        <f t="shared" si="184"/>
        <v>#N/A</v>
      </c>
      <c r="H933" t="e">
        <f t="shared" si="185"/>
        <v>#N/A</v>
      </c>
      <c r="I933" t="e">
        <f t="shared" si="186"/>
        <v>#N/A</v>
      </c>
      <c r="J933" t="e">
        <f t="shared" si="187"/>
        <v>#N/A</v>
      </c>
      <c r="K933" t="e">
        <f t="shared" si="188"/>
        <v>#N/A</v>
      </c>
      <c r="L933" t="e">
        <f t="shared" si="189"/>
        <v>#N/A</v>
      </c>
      <c r="M933" t="e">
        <f t="shared" si="190"/>
        <v>#N/A</v>
      </c>
      <c r="N933" t="e">
        <f t="shared" si="191"/>
        <v>#N/A</v>
      </c>
      <c r="O933" t="str">
        <f t="shared" si="192"/>
        <v/>
      </c>
      <c r="P933" t="str">
        <f>IF(OR($A933="",games!$H933=""),"",games!$H933)</f>
        <v/>
      </c>
      <c r="Q933" t="str">
        <f t="shared" si="193"/>
        <v/>
      </c>
      <c r="T933">
        <f>IF(connections!$A933="","",IFERROR(INDEX(games!$B$2:$B$950,MATCH(connections!$A933,games!$A$2:$A$950,0)),""))</f>
        <v>2007</v>
      </c>
      <c r="U933">
        <f>IF(connections!$A933="","",IFERROR(INDEX(games!$B$2:$B$950,MATCH(connections!$B933,games!$A$2:$A$950,0)),""))</f>
        <v>2009</v>
      </c>
      <c r="V933">
        <f t="shared" si="194"/>
        <v>2</v>
      </c>
    </row>
    <row r="934" spans="1:22" x14ac:dyDescent="0.25">
      <c r="A934" t="str">
        <f>IF(games!$A934="","",games!$A934)</f>
        <v/>
      </c>
      <c r="B934" t="str">
        <f>IF($A934="","",games!$B934)</f>
        <v/>
      </c>
      <c r="C934" t="str">
        <f>IF($A934="","",games!$C934)</f>
        <v/>
      </c>
      <c r="D934" t="str">
        <f>IF($A934="","",COUNTIF(connections!$A$2:$A$1473,$A934)+COUNTIF(connections!$B$2:$B$1473,$A934))</f>
        <v/>
      </c>
      <c r="E934" t="str">
        <f t="shared" si="182"/>
        <v/>
      </c>
      <c r="F934" t="str">
        <f t="shared" si="183"/>
        <v/>
      </c>
      <c r="G934" t="e">
        <f t="shared" si="184"/>
        <v>#N/A</v>
      </c>
      <c r="H934" t="e">
        <f t="shared" si="185"/>
        <v>#N/A</v>
      </c>
      <c r="I934" t="e">
        <f t="shared" si="186"/>
        <v>#N/A</v>
      </c>
      <c r="J934" t="e">
        <f t="shared" si="187"/>
        <v>#N/A</v>
      </c>
      <c r="K934" t="e">
        <f t="shared" si="188"/>
        <v>#N/A</v>
      </c>
      <c r="L934" t="e">
        <f t="shared" si="189"/>
        <v>#N/A</v>
      </c>
      <c r="M934" t="e">
        <f t="shared" si="190"/>
        <v>#N/A</v>
      </c>
      <c r="N934" t="e">
        <f t="shared" si="191"/>
        <v>#N/A</v>
      </c>
      <c r="O934" t="str">
        <f t="shared" si="192"/>
        <v/>
      </c>
      <c r="P934" t="str">
        <f>IF(OR($A934="",games!$H934=""),"",games!$H934)</f>
        <v/>
      </c>
      <c r="Q934" t="str">
        <f t="shared" si="193"/>
        <v/>
      </c>
      <c r="T934">
        <f>IF(connections!$A934="","",IFERROR(INDEX(games!$B$2:$B$950,MATCH(connections!$A934,games!$A$2:$A$950,0)),""))</f>
        <v>2005</v>
      </c>
      <c r="U934">
        <f>IF(connections!$A934="","",IFERROR(INDEX(games!$B$2:$B$950,MATCH(connections!$B934,games!$A$2:$A$950,0)),""))</f>
        <v>2007</v>
      </c>
      <c r="V934">
        <f t="shared" si="194"/>
        <v>2</v>
      </c>
    </row>
    <row r="935" spans="1:22" x14ac:dyDescent="0.25">
      <c r="A935" t="str">
        <f>IF(games!$A935="","",games!$A935)</f>
        <v/>
      </c>
      <c r="B935" t="str">
        <f>IF($A935="","",games!$B935)</f>
        <v/>
      </c>
      <c r="C935" t="str">
        <f>IF($A935="","",games!$C935)</f>
        <v/>
      </c>
      <c r="D935" t="str">
        <f>IF($A935="","",COUNTIF(connections!$A$2:$A$1473,$A935)+COUNTIF(connections!$B$2:$B$1473,$A935))</f>
        <v/>
      </c>
      <c r="E935" t="str">
        <f t="shared" si="182"/>
        <v/>
      </c>
      <c r="F935" t="str">
        <f t="shared" si="183"/>
        <v/>
      </c>
      <c r="G935" t="e">
        <f t="shared" si="184"/>
        <v>#N/A</v>
      </c>
      <c r="H935" t="e">
        <f t="shared" si="185"/>
        <v>#N/A</v>
      </c>
      <c r="I935" t="e">
        <f t="shared" si="186"/>
        <v>#N/A</v>
      </c>
      <c r="J935" t="e">
        <f t="shared" si="187"/>
        <v>#N/A</v>
      </c>
      <c r="K935" t="e">
        <f t="shared" si="188"/>
        <v>#N/A</v>
      </c>
      <c r="L935" t="e">
        <f t="shared" si="189"/>
        <v>#N/A</v>
      </c>
      <c r="M935" t="e">
        <f t="shared" si="190"/>
        <v>#N/A</v>
      </c>
      <c r="N935" t="e">
        <f t="shared" si="191"/>
        <v>#N/A</v>
      </c>
      <c r="O935" t="str">
        <f t="shared" si="192"/>
        <v/>
      </c>
      <c r="P935" t="str">
        <f>IF(OR($A935="",games!$H935=""),"",games!$H935)</f>
        <v/>
      </c>
      <c r="Q935" t="str">
        <f t="shared" si="193"/>
        <v/>
      </c>
      <c r="T935">
        <f>IF(connections!$A935="","",IFERROR(INDEX(games!$B$2:$B$950,MATCH(connections!$A935,games!$A$2:$A$950,0)),""))</f>
        <v>2005</v>
      </c>
      <c r="U935">
        <f>IF(connections!$A935="","",IFERROR(INDEX(games!$B$2:$B$950,MATCH(connections!$B935,games!$A$2:$A$950,0)),""))</f>
        <v>2012</v>
      </c>
      <c r="V935">
        <f t="shared" si="194"/>
        <v>7</v>
      </c>
    </row>
    <row r="936" spans="1:22" x14ac:dyDescent="0.25">
      <c r="A936" t="str">
        <f>IF(games!$A936="","",games!$A936)</f>
        <v/>
      </c>
      <c r="B936" t="str">
        <f>IF($A936="","",games!$B936)</f>
        <v/>
      </c>
      <c r="C936" t="str">
        <f>IF($A936="","",games!$C936)</f>
        <v/>
      </c>
      <c r="D936" t="str">
        <f>IF($A936="","",COUNTIF(connections!$A$2:$A$1473,$A936)+COUNTIF(connections!$B$2:$B$1473,$A936))</f>
        <v/>
      </c>
      <c r="E936" t="str">
        <f t="shared" si="182"/>
        <v/>
      </c>
      <c r="F936" t="str">
        <f t="shared" si="183"/>
        <v/>
      </c>
      <c r="G936" t="e">
        <f t="shared" si="184"/>
        <v>#N/A</v>
      </c>
      <c r="H936" t="e">
        <f t="shared" si="185"/>
        <v>#N/A</v>
      </c>
      <c r="I936" t="e">
        <f t="shared" si="186"/>
        <v>#N/A</v>
      </c>
      <c r="J936" t="e">
        <f t="shared" si="187"/>
        <v>#N/A</v>
      </c>
      <c r="K936" t="e">
        <f t="shared" si="188"/>
        <v>#N/A</v>
      </c>
      <c r="L936" t="e">
        <f t="shared" si="189"/>
        <v>#N/A</v>
      </c>
      <c r="M936" t="e">
        <f t="shared" si="190"/>
        <v>#N/A</v>
      </c>
      <c r="N936" t="e">
        <f t="shared" si="191"/>
        <v>#N/A</v>
      </c>
      <c r="O936" t="str">
        <f t="shared" si="192"/>
        <v/>
      </c>
      <c r="P936" t="str">
        <f>IF(OR($A936="",games!$H936=""),"",games!$H936)</f>
        <v/>
      </c>
      <c r="Q936" t="str">
        <f t="shared" si="193"/>
        <v/>
      </c>
      <c r="T936">
        <f>IF(connections!$A936="","",IFERROR(INDEX(games!$B$2:$B$950,MATCH(connections!$A936,games!$A$2:$A$950,0)),""))</f>
        <v>1993</v>
      </c>
      <c r="U936">
        <f>IF(connections!$A936="","",IFERROR(INDEX(games!$B$2:$B$950,MATCH(connections!$B936,games!$A$2:$A$950,0)),""))</f>
        <v>2005</v>
      </c>
      <c r="V936">
        <f t="shared" si="194"/>
        <v>12</v>
      </c>
    </row>
    <row r="937" spans="1:22" x14ac:dyDescent="0.25">
      <c r="A937" t="str">
        <f>IF(games!$A937="","",games!$A937)</f>
        <v/>
      </c>
      <c r="B937" t="str">
        <f>IF($A937="","",games!$B937)</f>
        <v/>
      </c>
      <c r="C937" t="str">
        <f>IF($A937="","",games!$C937)</f>
        <v/>
      </c>
      <c r="D937" t="str">
        <f>IF($A937="","",COUNTIF(connections!$A$2:$A$1473,$A937)+COUNTIF(connections!$B$2:$B$1473,$A937))</f>
        <v/>
      </c>
      <c r="E937" t="str">
        <f t="shared" si="182"/>
        <v/>
      </c>
      <c r="F937" t="str">
        <f t="shared" si="183"/>
        <v/>
      </c>
      <c r="G937" t="e">
        <f t="shared" si="184"/>
        <v>#N/A</v>
      </c>
      <c r="H937" t="e">
        <f t="shared" si="185"/>
        <v>#N/A</v>
      </c>
      <c r="I937" t="e">
        <f t="shared" si="186"/>
        <v>#N/A</v>
      </c>
      <c r="J937" t="e">
        <f t="shared" si="187"/>
        <v>#N/A</v>
      </c>
      <c r="K937" t="e">
        <f t="shared" si="188"/>
        <v>#N/A</v>
      </c>
      <c r="L937" t="e">
        <f t="shared" si="189"/>
        <v>#N/A</v>
      </c>
      <c r="M937" t="e">
        <f t="shared" si="190"/>
        <v>#N/A</v>
      </c>
      <c r="N937" t="e">
        <f t="shared" si="191"/>
        <v>#N/A</v>
      </c>
      <c r="O937" t="str">
        <f t="shared" si="192"/>
        <v/>
      </c>
      <c r="P937" t="str">
        <f>IF(OR($A937="",games!$H937=""),"",games!$H937)</f>
        <v/>
      </c>
      <c r="Q937" t="str">
        <f t="shared" si="193"/>
        <v/>
      </c>
      <c r="T937">
        <f>IF(connections!$A937="","",IFERROR(INDEX(games!$B$2:$B$950,MATCH(connections!$A937,games!$A$2:$A$950,0)),""))</f>
        <v>2005</v>
      </c>
      <c r="U937">
        <f>IF(connections!$A937="","",IFERROR(INDEX(games!$B$2:$B$950,MATCH(connections!$B937,games!$A$2:$A$950,0)),""))</f>
        <v>2020</v>
      </c>
      <c r="V937">
        <f t="shared" si="194"/>
        <v>15</v>
      </c>
    </row>
    <row r="938" spans="1:22" x14ac:dyDescent="0.25">
      <c r="A938" t="str">
        <f>IF(games!$A938="","",games!$A938)</f>
        <v/>
      </c>
      <c r="B938" t="str">
        <f>IF($A938="","",games!$B938)</f>
        <v/>
      </c>
      <c r="C938" t="str">
        <f>IF($A938="","",games!$C938)</f>
        <v/>
      </c>
      <c r="D938" t="str">
        <f>IF($A938="","",COUNTIF(connections!$A$2:$A$1473,$A938)+COUNTIF(connections!$B$2:$B$1473,$A938))</f>
        <v/>
      </c>
      <c r="E938" t="str">
        <f t="shared" si="182"/>
        <v/>
      </c>
      <c r="F938" t="str">
        <f t="shared" si="183"/>
        <v/>
      </c>
      <c r="G938" t="e">
        <f t="shared" si="184"/>
        <v>#N/A</v>
      </c>
      <c r="H938" t="e">
        <f t="shared" si="185"/>
        <v>#N/A</v>
      </c>
      <c r="I938" t="e">
        <f t="shared" si="186"/>
        <v>#N/A</v>
      </c>
      <c r="J938" t="e">
        <f t="shared" si="187"/>
        <v>#N/A</v>
      </c>
      <c r="K938" t="e">
        <f t="shared" si="188"/>
        <v>#N/A</v>
      </c>
      <c r="L938" t="e">
        <f t="shared" si="189"/>
        <v>#N/A</v>
      </c>
      <c r="M938" t="e">
        <f t="shared" si="190"/>
        <v>#N/A</v>
      </c>
      <c r="N938" t="e">
        <f t="shared" si="191"/>
        <v>#N/A</v>
      </c>
      <c r="O938" t="str">
        <f t="shared" si="192"/>
        <v/>
      </c>
      <c r="P938" t="str">
        <f>IF(OR($A938="",games!$H938=""),"",games!$H938)</f>
        <v/>
      </c>
      <c r="Q938" t="str">
        <f t="shared" si="193"/>
        <v/>
      </c>
      <c r="T938">
        <f>IF(connections!$A938="","",IFERROR(INDEX(games!$B$2:$B$950,MATCH(connections!$A938,games!$A$2:$A$950,0)),""))</f>
        <v>2005</v>
      </c>
      <c r="U938">
        <f>IF(connections!$A938="","",IFERROR(INDEX(games!$B$2:$B$950,MATCH(connections!$B938,games!$A$2:$A$950,0)),""))</f>
        <v>2015</v>
      </c>
      <c r="V938">
        <f t="shared" si="194"/>
        <v>10</v>
      </c>
    </row>
    <row r="939" spans="1:22" x14ac:dyDescent="0.25">
      <c r="A939" t="str">
        <f>IF(games!$A939="","",games!$A939)</f>
        <v/>
      </c>
      <c r="B939" t="str">
        <f>IF($A939="","",games!$B939)</f>
        <v/>
      </c>
      <c r="C939" t="str">
        <f>IF($A939="","",games!$C939)</f>
        <v/>
      </c>
      <c r="D939" t="str">
        <f>IF($A939="","",COUNTIF(connections!$A$2:$A$1473,$A939)+COUNTIF(connections!$B$2:$B$1473,$A939))</f>
        <v/>
      </c>
      <c r="E939" t="str">
        <f t="shared" si="182"/>
        <v/>
      </c>
      <c r="F939" t="str">
        <f t="shared" si="183"/>
        <v/>
      </c>
      <c r="G939" t="e">
        <f t="shared" si="184"/>
        <v>#N/A</v>
      </c>
      <c r="H939" t="e">
        <f t="shared" si="185"/>
        <v>#N/A</v>
      </c>
      <c r="I939" t="e">
        <f t="shared" si="186"/>
        <v>#N/A</v>
      </c>
      <c r="J939" t="e">
        <f t="shared" si="187"/>
        <v>#N/A</v>
      </c>
      <c r="K939" t="e">
        <f t="shared" si="188"/>
        <v>#N/A</v>
      </c>
      <c r="L939" t="e">
        <f t="shared" si="189"/>
        <v>#N/A</v>
      </c>
      <c r="M939" t="e">
        <f t="shared" si="190"/>
        <v>#N/A</v>
      </c>
      <c r="N939" t="e">
        <f t="shared" si="191"/>
        <v>#N/A</v>
      </c>
      <c r="O939" t="str">
        <f t="shared" si="192"/>
        <v/>
      </c>
      <c r="P939" t="str">
        <f>IF(OR($A939="",games!$H939=""),"",games!$H939)</f>
        <v/>
      </c>
      <c r="Q939" t="str">
        <f t="shared" si="193"/>
        <v/>
      </c>
      <c r="T939">
        <f>IF(connections!$A939="","",IFERROR(INDEX(games!$B$2:$B$950,MATCH(connections!$A939,games!$A$2:$A$950,0)),""))</f>
        <v>2021</v>
      </c>
      <c r="U939">
        <f>IF(connections!$A939="","",IFERROR(INDEX(games!$B$2:$B$950,MATCH(connections!$B939,games!$A$2:$A$950,0)),""))</f>
        <v>2026</v>
      </c>
      <c r="V939">
        <f t="shared" si="194"/>
        <v>5</v>
      </c>
    </row>
    <row r="940" spans="1:22" x14ac:dyDescent="0.25">
      <c r="A940" t="str">
        <f>IF(games!$A940="","",games!$A940)</f>
        <v/>
      </c>
      <c r="B940" t="str">
        <f>IF($A940="","",games!$B940)</f>
        <v/>
      </c>
      <c r="C940" t="str">
        <f>IF($A940="","",games!$C940)</f>
        <v/>
      </c>
      <c r="D940" t="str">
        <f>IF($A940="","",COUNTIF(connections!$A$2:$A$1473,$A940)+COUNTIF(connections!$B$2:$B$1473,$A940))</f>
        <v/>
      </c>
      <c r="E940" t="str">
        <f t="shared" si="182"/>
        <v/>
      </c>
      <c r="F940" t="str">
        <f t="shared" si="183"/>
        <v/>
      </c>
      <c r="G940" t="e">
        <f t="shared" si="184"/>
        <v>#N/A</v>
      </c>
      <c r="H940" t="e">
        <f t="shared" si="185"/>
        <v>#N/A</v>
      </c>
      <c r="I940" t="e">
        <f t="shared" si="186"/>
        <v>#N/A</v>
      </c>
      <c r="J940" t="e">
        <f t="shared" si="187"/>
        <v>#N/A</v>
      </c>
      <c r="K940" t="e">
        <f t="shared" si="188"/>
        <v>#N/A</v>
      </c>
      <c r="L940" t="e">
        <f t="shared" si="189"/>
        <v>#N/A</v>
      </c>
      <c r="M940" t="e">
        <f t="shared" si="190"/>
        <v>#N/A</v>
      </c>
      <c r="N940" t="e">
        <f t="shared" si="191"/>
        <v>#N/A</v>
      </c>
      <c r="O940" t="str">
        <f t="shared" si="192"/>
        <v/>
      </c>
      <c r="P940" t="str">
        <f>IF(OR($A940="",games!$H940=""),"",games!$H940)</f>
        <v/>
      </c>
      <c r="Q940" t="str">
        <f t="shared" si="193"/>
        <v/>
      </c>
      <c r="T940">
        <f>IF(connections!$A940="","",IFERROR(INDEX(games!$B$2:$B$950,MATCH(connections!$A940,games!$A$2:$A$950,0)),""))</f>
        <v>2020</v>
      </c>
      <c r="U940">
        <f>IF(connections!$A940="","",IFERROR(INDEX(games!$B$2:$B$950,MATCH(connections!$B940,games!$A$2:$A$950,0)),""))</f>
        <v>2024</v>
      </c>
      <c r="V940">
        <f t="shared" si="194"/>
        <v>4</v>
      </c>
    </row>
    <row r="941" spans="1:22" x14ac:dyDescent="0.25">
      <c r="A941" t="str">
        <f>IF(games!$A941="","",games!$A941)</f>
        <v/>
      </c>
      <c r="B941" t="str">
        <f>IF($A941="","",games!$B941)</f>
        <v/>
      </c>
      <c r="C941" t="str">
        <f>IF($A941="","",games!$C941)</f>
        <v/>
      </c>
      <c r="D941" t="str">
        <f>IF($A941="","",COUNTIF(connections!$A$2:$A$1473,$A941)+COUNTIF(connections!$B$2:$B$1473,$A941))</f>
        <v/>
      </c>
      <c r="E941" t="str">
        <f t="shared" si="182"/>
        <v/>
      </c>
      <c r="F941" t="str">
        <f t="shared" si="183"/>
        <v/>
      </c>
      <c r="G941" t="e">
        <f t="shared" si="184"/>
        <v>#N/A</v>
      </c>
      <c r="H941" t="e">
        <f t="shared" si="185"/>
        <v>#N/A</v>
      </c>
      <c r="I941" t="e">
        <f t="shared" si="186"/>
        <v>#N/A</v>
      </c>
      <c r="J941" t="e">
        <f t="shared" si="187"/>
        <v>#N/A</v>
      </c>
      <c r="K941" t="e">
        <f t="shared" si="188"/>
        <v>#N/A</v>
      </c>
      <c r="L941" t="e">
        <f t="shared" si="189"/>
        <v>#N/A</v>
      </c>
      <c r="M941" t="e">
        <f t="shared" si="190"/>
        <v>#N/A</v>
      </c>
      <c r="N941" t="e">
        <f t="shared" si="191"/>
        <v>#N/A</v>
      </c>
      <c r="O941" t="str">
        <f t="shared" si="192"/>
        <v/>
      </c>
      <c r="P941" t="str">
        <f>IF(OR($A941="",games!$H941=""),"",games!$H941)</f>
        <v/>
      </c>
      <c r="Q941" t="str">
        <f t="shared" si="193"/>
        <v/>
      </c>
      <c r="T941">
        <f>IF(connections!$A941="","",IFERROR(INDEX(games!$B$2:$B$950,MATCH(connections!$A941,games!$A$2:$A$950,0)),""))</f>
        <v>2021</v>
      </c>
      <c r="U941">
        <f>IF(connections!$A941="","",IFERROR(INDEX(games!$B$2:$B$950,MATCH(connections!$B941,games!$A$2:$A$950,0)),""))</f>
        <v>2025</v>
      </c>
      <c r="V941">
        <f t="shared" si="194"/>
        <v>4</v>
      </c>
    </row>
    <row r="942" spans="1:22" x14ac:dyDescent="0.25">
      <c r="A942" t="str">
        <f>IF(games!$A942="","",games!$A942)</f>
        <v/>
      </c>
      <c r="B942" t="str">
        <f>IF($A942="","",games!$B942)</f>
        <v/>
      </c>
      <c r="C942" t="str">
        <f>IF($A942="","",games!$C942)</f>
        <v/>
      </c>
      <c r="D942" t="str">
        <f>IF($A942="","",COUNTIF(connections!$A$2:$A$1473,$A942)+COUNTIF(connections!$B$2:$B$1473,$A942))</f>
        <v/>
      </c>
      <c r="E942" t="str">
        <f t="shared" si="182"/>
        <v/>
      </c>
      <c r="F942" t="str">
        <f t="shared" si="183"/>
        <v/>
      </c>
      <c r="G942" t="e">
        <f t="shared" si="184"/>
        <v>#N/A</v>
      </c>
      <c r="H942" t="e">
        <f t="shared" si="185"/>
        <v>#N/A</v>
      </c>
      <c r="I942" t="e">
        <f t="shared" si="186"/>
        <v>#N/A</v>
      </c>
      <c r="J942" t="e">
        <f t="shared" si="187"/>
        <v>#N/A</v>
      </c>
      <c r="K942" t="e">
        <f t="shared" si="188"/>
        <v>#N/A</v>
      </c>
      <c r="L942" t="e">
        <f t="shared" si="189"/>
        <v>#N/A</v>
      </c>
      <c r="M942" t="e">
        <f t="shared" si="190"/>
        <v>#N/A</v>
      </c>
      <c r="N942" t="e">
        <f t="shared" si="191"/>
        <v>#N/A</v>
      </c>
      <c r="O942" t="str">
        <f t="shared" si="192"/>
        <v/>
      </c>
      <c r="P942" t="str">
        <f>IF(OR($A942="",games!$H942=""),"",games!$H942)</f>
        <v/>
      </c>
      <c r="Q942" t="str">
        <f t="shared" si="193"/>
        <v/>
      </c>
      <c r="T942">
        <f>IF(connections!$A942="","",IFERROR(INDEX(games!$B$2:$B$950,MATCH(connections!$A942,games!$A$2:$A$950,0)),""))</f>
        <v>2024</v>
      </c>
      <c r="U942">
        <f>IF(connections!$A942="","",IFERROR(INDEX(games!$B$2:$B$950,MATCH(connections!$B942,games!$A$2:$A$950,0)),""))</f>
        <v>2025</v>
      </c>
      <c r="V942">
        <f t="shared" si="194"/>
        <v>1</v>
      </c>
    </row>
    <row r="943" spans="1:22" x14ac:dyDescent="0.25">
      <c r="A943" t="str">
        <f>IF(games!$A943="","",games!$A943)</f>
        <v/>
      </c>
      <c r="B943" t="str">
        <f>IF($A943="","",games!$B943)</f>
        <v/>
      </c>
      <c r="C943" t="str">
        <f>IF($A943="","",games!$C943)</f>
        <v/>
      </c>
      <c r="D943" t="str">
        <f>IF($A943="","",COUNTIF(connections!$A$2:$A$1473,$A943)+COUNTIF(connections!$B$2:$B$1473,$A943))</f>
        <v/>
      </c>
      <c r="E943" t="str">
        <f t="shared" si="182"/>
        <v/>
      </c>
      <c r="F943" t="str">
        <f t="shared" si="183"/>
        <v/>
      </c>
      <c r="G943" t="e">
        <f t="shared" si="184"/>
        <v>#N/A</v>
      </c>
      <c r="H943" t="e">
        <f t="shared" si="185"/>
        <v>#N/A</v>
      </c>
      <c r="I943" t="e">
        <f t="shared" si="186"/>
        <v>#N/A</v>
      </c>
      <c r="J943" t="e">
        <f t="shared" si="187"/>
        <v>#N/A</v>
      </c>
      <c r="K943" t="e">
        <f t="shared" si="188"/>
        <v>#N/A</v>
      </c>
      <c r="L943" t="e">
        <f t="shared" si="189"/>
        <v>#N/A</v>
      </c>
      <c r="M943" t="e">
        <f t="shared" si="190"/>
        <v>#N/A</v>
      </c>
      <c r="N943" t="e">
        <f t="shared" si="191"/>
        <v>#N/A</v>
      </c>
      <c r="O943" t="str">
        <f t="shared" si="192"/>
        <v/>
      </c>
      <c r="P943" t="str">
        <f>IF(OR($A943="",games!$H943=""),"",games!$H943)</f>
        <v/>
      </c>
      <c r="Q943" t="str">
        <f t="shared" si="193"/>
        <v/>
      </c>
      <c r="T943">
        <f>IF(connections!$A943="","",IFERROR(INDEX(games!$B$2:$B$950,MATCH(connections!$A943,games!$A$2:$A$950,0)),""))</f>
        <v>2017</v>
      </c>
      <c r="U943">
        <f>IF(connections!$A943="","",IFERROR(INDEX(games!$B$2:$B$950,MATCH(connections!$B943,games!$A$2:$A$950,0)),""))</f>
        <v>2025</v>
      </c>
      <c r="V943">
        <f t="shared" si="194"/>
        <v>8</v>
      </c>
    </row>
    <row r="944" spans="1:22" x14ac:dyDescent="0.25">
      <c r="A944" t="str">
        <f>IF(games!$A944="","",games!$A944)</f>
        <v/>
      </c>
      <c r="B944" t="str">
        <f>IF($A944="","",games!$B944)</f>
        <v/>
      </c>
      <c r="C944" t="str">
        <f>IF($A944="","",games!$C944)</f>
        <v/>
      </c>
      <c r="D944" t="str">
        <f>IF($A944="","",COUNTIF(connections!$A$2:$A$1473,$A944)+COUNTIF(connections!$B$2:$B$1473,$A944))</f>
        <v/>
      </c>
      <c r="E944" t="str">
        <f t="shared" si="182"/>
        <v/>
      </c>
      <c r="F944" t="str">
        <f t="shared" si="183"/>
        <v/>
      </c>
      <c r="G944" t="e">
        <f t="shared" si="184"/>
        <v>#N/A</v>
      </c>
      <c r="H944" t="e">
        <f t="shared" si="185"/>
        <v>#N/A</v>
      </c>
      <c r="I944" t="e">
        <f t="shared" si="186"/>
        <v>#N/A</v>
      </c>
      <c r="J944" t="e">
        <f t="shared" si="187"/>
        <v>#N/A</v>
      </c>
      <c r="K944" t="e">
        <f t="shared" si="188"/>
        <v>#N/A</v>
      </c>
      <c r="L944" t="e">
        <f t="shared" si="189"/>
        <v>#N/A</v>
      </c>
      <c r="M944" t="e">
        <f t="shared" si="190"/>
        <v>#N/A</v>
      </c>
      <c r="N944" t="e">
        <f t="shared" si="191"/>
        <v>#N/A</v>
      </c>
      <c r="O944" t="str">
        <f t="shared" si="192"/>
        <v/>
      </c>
      <c r="P944" t="str">
        <f>IF(OR($A944="",games!$H944=""),"",games!$H944)</f>
        <v/>
      </c>
      <c r="Q944" t="str">
        <f t="shared" si="193"/>
        <v/>
      </c>
      <c r="T944">
        <f>IF(connections!$A944="","",IFERROR(INDEX(games!$B$2:$B$950,MATCH(connections!$A944,games!$A$2:$A$950,0)),""))</f>
        <v>1994</v>
      </c>
      <c r="U944">
        <f>IF(connections!$A944="","",IFERROR(INDEX(games!$B$2:$B$950,MATCH(connections!$B944,games!$A$2:$A$950,0)),""))</f>
        <v>2003</v>
      </c>
      <c r="V944">
        <f t="shared" si="194"/>
        <v>9</v>
      </c>
    </row>
    <row r="945" spans="1:22" x14ac:dyDescent="0.25">
      <c r="A945" t="str">
        <f>IF(games!$A945="","",games!$A945)</f>
        <v/>
      </c>
      <c r="B945" t="str">
        <f>IF($A945="","",games!$B945)</f>
        <v/>
      </c>
      <c r="C945" t="str">
        <f>IF($A945="","",games!$C945)</f>
        <v/>
      </c>
      <c r="D945" t="str">
        <f>IF($A945="","",COUNTIF(connections!$A$2:$A$1473,$A945)+COUNTIF(connections!$B$2:$B$1473,$A945))</f>
        <v/>
      </c>
      <c r="E945" t="str">
        <f t="shared" si="182"/>
        <v/>
      </c>
      <c r="F945" t="str">
        <f t="shared" si="183"/>
        <v/>
      </c>
      <c r="G945" t="e">
        <f t="shared" si="184"/>
        <v>#N/A</v>
      </c>
      <c r="H945" t="e">
        <f t="shared" si="185"/>
        <v>#N/A</v>
      </c>
      <c r="I945" t="e">
        <f t="shared" si="186"/>
        <v>#N/A</v>
      </c>
      <c r="J945" t="e">
        <f t="shared" si="187"/>
        <v>#N/A</v>
      </c>
      <c r="K945" t="e">
        <f t="shared" si="188"/>
        <v>#N/A</v>
      </c>
      <c r="L945" t="e">
        <f t="shared" si="189"/>
        <v>#N/A</v>
      </c>
      <c r="M945" t="e">
        <f t="shared" si="190"/>
        <v>#N/A</v>
      </c>
      <c r="N945" t="e">
        <f t="shared" si="191"/>
        <v>#N/A</v>
      </c>
      <c r="O945" t="str">
        <f t="shared" si="192"/>
        <v/>
      </c>
      <c r="P945" t="str">
        <f>IF(OR($A945="",games!$H945=""),"",games!$H945)</f>
        <v/>
      </c>
      <c r="Q945" t="str">
        <f t="shared" si="193"/>
        <v/>
      </c>
      <c r="T945">
        <f>IF(connections!$A945="","",IFERROR(INDEX(games!$B$2:$B$950,MATCH(connections!$A945,games!$A$2:$A$950,0)),""))</f>
        <v>1990</v>
      </c>
      <c r="U945">
        <f>IF(connections!$A945="","",IFERROR(INDEX(games!$B$2:$B$950,MATCH(connections!$B945,games!$A$2:$A$950,0)),""))</f>
        <v>2003</v>
      </c>
      <c r="V945">
        <f t="shared" si="194"/>
        <v>13</v>
      </c>
    </row>
    <row r="946" spans="1:22" x14ac:dyDescent="0.25">
      <c r="A946" t="str">
        <f>IF(games!$A946="","",games!$A946)</f>
        <v/>
      </c>
      <c r="B946" t="str">
        <f>IF($A946="","",games!$B946)</f>
        <v/>
      </c>
      <c r="C946" t="str">
        <f>IF($A946="","",games!$C946)</f>
        <v/>
      </c>
      <c r="D946" t="str">
        <f>IF($A946="","",COUNTIF(connections!$A$2:$A$1473,$A946)+COUNTIF(connections!$B$2:$B$1473,$A946))</f>
        <v/>
      </c>
      <c r="E946" t="str">
        <f t="shared" si="182"/>
        <v/>
      </c>
      <c r="F946" t="str">
        <f t="shared" si="183"/>
        <v/>
      </c>
      <c r="G946" t="e">
        <f t="shared" si="184"/>
        <v>#N/A</v>
      </c>
      <c r="H946" t="e">
        <f t="shared" si="185"/>
        <v>#N/A</v>
      </c>
      <c r="I946" t="e">
        <f t="shared" si="186"/>
        <v>#N/A</v>
      </c>
      <c r="J946" t="e">
        <f t="shared" si="187"/>
        <v>#N/A</v>
      </c>
      <c r="K946" t="e">
        <f t="shared" si="188"/>
        <v>#N/A</v>
      </c>
      <c r="L946" t="e">
        <f t="shared" si="189"/>
        <v>#N/A</v>
      </c>
      <c r="M946" t="e">
        <f t="shared" si="190"/>
        <v>#N/A</v>
      </c>
      <c r="N946" t="e">
        <f t="shared" si="191"/>
        <v>#N/A</v>
      </c>
      <c r="O946" t="str">
        <f t="shared" si="192"/>
        <v/>
      </c>
      <c r="P946" t="str">
        <f>IF(OR($A946="",games!$H946=""),"",games!$H946)</f>
        <v/>
      </c>
      <c r="Q946" t="str">
        <f t="shared" si="193"/>
        <v/>
      </c>
      <c r="T946">
        <f>IF(connections!$A946="","",IFERROR(INDEX(games!$B$2:$B$950,MATCH(connections!$A946,games!$A$2:$A$950,0)),""))</f>
        <v>1996</v>
      </c>
      <c r="U946">
        <f>IF(connections!$A946="","",IFERROR(INDEX(games!$B$2:$B$950,MATCH(connections!$B946,games!$A$2:$A$950,0)),""))</f>
        <v>2003</v>
      </c>
      <c r="V946">
        <f t="shared" si="194"/>
        <v>7</v>
      </c>
    </row>
    <row r="947" spans="1:22" x14ac:dyDescent="0.25">
      <c r="A947" t="str">
        <f>IF(games!$A947="","",games!$A947)</f>
        <v/>
      </c>
      <c r="B947" t="str">
        <f>IF($A947="","",games!$B947)</f>
        <v/>
      </c>
      <c r="C947" t="str">
        <f>IF($A947="","",games!$C947)</f>
        <v/>
      </c>
      <c r="D947" t="str">
        <f>IF($A947="","",COUNTIF(connections!$A$2:$A$1473,$A947)+COUNTIF(connections!$B$2:$B$1473,$A947))</f>
        <v/>
      </c>
      <c r="E947" t="str">
        <f t="shared" si="182"/>
        <v/>
      </c>
      <c r="F947" t="str">
        <f t="shared" si="183"/>
        <v/>
      </c>
      <c r="G947" t="e">
        <f t="shared" si="184"/>
        <v>#N/A</v>
      </c>
      <c r="H947" t="e">
        <f t="shared" si="185"/>
        <v>#N/A</v>
      </c>
      <c r="I947" t="e">
        <f t="shared" si="186"/>
        <v>#N/A</v>
      </c>
      <c r="J947" t="e">
        <f t="shared" si="187"/>
        <v>#N/A</v>
      </c>
      <c r="K947" t="e">
        <f t="shared" si="188"/>
        <v>#N/A</v>
      </c>
      <c r="L947" t="e">
        <f t="shared" si="189"/>
        <v>#N/A</v>
      </c>
      <c r="M947" t="e">
        <f t="shared" si="190"/>
        <v>#N/A</v>
      </c>
      <c r="N947" t="e">
        <f t="shared" si="191"/>
        <v>#N/A</v>
      </c>
      <c r="O947" t="str">
        <f t="shared" si="192"/>
        <v/>
      </c>
      <c r="P947" t="str">
        <f>IF(OR($A947="",games!$H947=""),"",games!$H947)</f>
        <v/>
      </c>
      <c r="Q947" t="str">
        <f t="shared" si="193"/>
        <v/>
      </c>
      <c r="T947">
        <f>IF(connections!$A947="","",IFERROR(INDEX(games!$B$2:$B$950,MATCH(connections!$A947,games!$A$2:$A$950,0)),""))</f>
        <v>1995</v>
      </c>
      <c r="U947">
        <f>IF(connections!$A947="","",IFERROR(INDEX(games!$B$2:$B$950,MATCH(connections!$B947,games!$A$2:$A$950,0)),""))</f>
        <v>2003</v>
      </c>
      <c r="V947">
        <f t="shared" si="194"/>
        <v>8</v>
      </c>
    </row>
    <row r="948" spans="1:22" x14ac:dyDescent="0.25">
      <c r="A948" t="str">
        <f>IF(games!$A948="","",games!$A948)</f>
        <v/>
      </c>
      <c r="B948" t="str">
        <f>IF($A948="","",games!$B948)</f>
        <v/>
      </c>
      <c r="C948" t="str">
        <f>IF($A948="","",games!$C948)</f>
        <v/>
      </c>
      <c r="D948" t="str">
        <f>IF($A948="","",COUNTIF(connections!$A$2:$A$1473,$A948)+COUNTIF(connections!$B$2:$B$1473,$A948))</f>
        <v/>
      </c>
      <c r="E948" t="str">
        <f t="shared" si="182"/>
        <v/>
      </c>
      <c r="F948" t="str">
        <f t="shared" si="183"/>
        <v/>
      </c>
      <c r="G948" t="e">
        <f t="shared" si="184"/>
        <v>#N/A</v>
      </c>
      <c r="H948" t="e">
        <f t="shared" si="185"/>
        <v>#N/A</v>
      </c>
      <c r="I948" t="e">
        <f t="shared" si="186"/>
        <v>#N/A</v>
      </c>
      <c r="J948" t="e">
        <f t="shared" si="187"/>
        <v>#N/A</v>
      </c>
      <c r="K948" t="e">
        <f t="shared" si="188"/>
        <v>#N/A</v>
      </c>
      <c r="L948" t="e">
        <f t="shared" si="189"/>
        <v>#N/A</v>
      </c>
      <c r="M948" t="e">
        <f t="shared" si="190"/>
        <v>#N/A</v>
      </c>
      <c r="N948" t="e">
        <f t="shared" si="191"/>
        <v>#N/A</v>
      </c>
      <c r="O948" t="str">
        <f t="shared" si="192"/>
        <v/>
      </c>
      <c r="P948" t="str">
        <f>IF(OR($A948="",games!$H948=""),"",games!$H948)</f>
        <v/>
      </c>
      <c r="Q948" t="str">
        <f t="shared" si="193"/>
        <v/>
      </c>
      <c r="T948">
        <f>IF(connections!$A948="","",IFERROR(INDEX(games!$B$2:$B$950,MATCH(connections!$A948,games!$A$2:$A$950,0)),""))</f>
        <v>1983</v>
      </c>
      <c r="U948">
        <f>IF(connections!$A948="","",IFERROR(INDEX(games!$B$2:$B$950,MATCH(connections!$B948,games!$A$2:$A$950,0)),""))</f>
        <v>2003</v>
      </c>
      <c r="V948">
        <f t="shared" si="194"/>
        <v>20</v>
      </c>
    </row>
    <row r="949" spans="1:22" x14ac:dyDescent="0.25">
      <c r="A949" t="str">
        <f>IF(games!$A949="","",games!$A949)</f>
        <v/>
      </c>
      <c r="B949" t="str">
        <f>IF($A949="","",games!$B949)</f>
        <v/>
      </c>
      <c r="C949" t="str">
        <f>IF($A949="","",games!$C949)</f>
        <v/>
      </c>
      <c r="D949" t="str">
        <f>IF($A949="","",COUNTIF(connections!$A$2:$A$1473,$A949)+COUNTIF(connections!$B$2:$B$1473,$A949))</f>
        <v/>
      </c>
      <c r="E949" t="str">
        <f t="shared" si="182"/>
        <v/>
      </c>
      <c r="F949" t="str">
        <f t="shared" si="183"/>
        <v/>
      </c>
      <c r="G949" t="e">
        <f t="shared" si="184"/>
        <v>#N/A</v>
      </c>
      <c r="H949" t="e">
        <f t="shared" si="185"/>
        <v>#N/A</v>
      </c>
      <c r="I949" t="e">
        <f t="shared" si="186"/>
        <v>#N/A</v>
      </c>
      <c r="J949" t="e">
        <f t="shared" si="187"/>
        <v>#N/A</v>
      </c>
      <c r="K949" t="e">
        <f t="shared" si="188"/>
        <v>#N/A</v>
      </c>
      <c r="L949" t="e">
        <f t="shared" si="189"/>
        <v>#N/A</v>
      </c>
      <c r="M949" t="e">
        <f t="shared" si="190"/>
        <v>#N/A</v>
      </c>
      <c r="N949" t="e">
        <f t="shared" si="191"/>
        <v>#N/A</v>
      </c>
      <c r="O949" t="str">
        <f t="shared" si="192"/>
        <v/>
      </c>
      <c r="P949" t="str">
        <f>IF(OR($A949="",games!$H949=""),"",games!$H949)</f>
        <v/>
      </c>
      <c r="Q949" t="str">
        <f t="shared" si="193"/>
        <v/>
      </c>
      <c r="T949">
        <f>IF(connections!$A949="","",IFERROR(INDEX(games!$B$2:$B$950,MATCH(connections!$A949,games!$A$2:$A$950,0)),""))</f>
        <v>1987</v>
      </c>
      <c r="U949">
        <f>IF(connections!$A949="","",IFERROR(INDEX(games!$B$2:$B$950,MATCH(connections!$B949,games!$A$2:$A$950,0)),""))</f>
        <v>2003</v>
      </c>
      <c r="V949">
        <f t="shared" si="194"/>
        <v>16</v>
      </c>
    </row>
    <row r="950" spans="1:22" x14ac:dyDescent="0.25">
      <c r="A950" t="str">
        <f>IF(games!$A950="","",games!$A950)</f>
        <v/>
      </c>
      <c r="B950" t="str">
        <f>IF($A950="","",games!$B950)</f>
        <v/>
      </c>
      <c r="C950" t="str">
        <f>IF($A950="","",games!$C950)</f>
        <v/>
      </c>
      <c r="D950" t="str">
        <f>IF($A950="","",COUNTIF(connections!$A$2:$A$1473,$A950)+COUNTIF(connections!$B$2:$B$1473,$A950))</f>
        <v/>
      </c>
      <c r="E950" t="str">
        <f t="shared" si="182"/>
        <v/>
      </c>
      <c r="F950" t="str">
        <f t="shared" si="183"/>
        <v/>
      </c>
      <c r="G950" t="e">
        <f t="shared" si="184"/>
        <v>#N/A</v>
      </c>
      <c r="H950" t="e">
        <f t="shared" si="185"/>
        <v>#N/A</v>
      </c>
      <c r="I950" t="e">
        <f t="shared" si="186"/>
        <v>#N/A</v>
      </c>
      <c r="J950" t="e">
        <f t="shared" si="187"/>
        <v>#N/A</v>
      </c>
      <c r="K950" t="e">
        <f t="shared" si="188"/>
        <v>#N/A</v>
      </c>
      <c r="L950" t="e">
        <f t="shared" si="189"/>
        <v>#N/A</v>
      </c>
      <c r="M950" t="e">
        <f t="shared" si="190"/>
        <v>#N/A</v>
      </c>
      <c r="N950" t="e">
        <f t="shared" si="191"/>
        <v>#N/A</v>
      </c>
      <c r="O950" t="str">
        <f t="shared" si="192"/>
        <v/>
      </c>
      <c r="P950" t="str">
        <f>IF(OR($A950="",games!$H950=""),"",games!$H950)</f>
        <v/>
      </c>
      <c r="Q950" t="str">
        <f t="shared" si="193"/>
        <v/>
      </c>
      <c r="T950">
        <f>IF(connections!$A950="","",IFERROR(INDEX(games!$B$2:$B$950,MATCH(connections!$A950,games!$A$2:$A$950,0)),""))</f>
        <v>2019</v>
      </c>
      <c r="U950">
        <f>IF(connections!$A950="","",IFERROR(INDEX(games!$B$2:$B$950,MATCH(connections!$B950,games!$A$2:$A$950,0)),""))</f>
        <v>2024</v>
      </c>
      <c r="V950">
        <f t="shared" si="194"/>
        <v>5</v>
      </c>
    </row>
    <row r="951" spans="1:22" x14ac:dyDescent="0.25">
      <c r="T951">
        <f>IF(connections!$A951="","",IFERROR(INDEX(games!$B$2:$B$950,MATCH(connections!$A951,games!$A$2:$A$950,0)),""))</f>
        <v>2011</v>
      </c>
      <c r="U951">
        <f>IF(connections!$A951="","",IFERROR(INDEX(games!$B$2:$B$950,MATCH(connections!$B951,games!$A$2:$A$950,0)),""))</f>
        <v>2026</v>
      </c>
      <c r="V951">
        <f t="shared" si="194"/>
        <v>15</v>
      </c>
    </row>
    <row r="952" spans="1:22" x14ac:dyDescent="0.25">
      <c r="T952">
        <f>IF(connections!$A952="","",IFERROR(INDEX(games!$B$2:$B$950,MATCH(connections!$A952,games!$A$2:$A$950,0)),""))</f>
        <v>2019</v>
      </c>
      <c r="U952">
        <f>IF(connections!$A952="","",IFERROR(INDEX(games!$B$2:$B$950,MATCH(connections!$B952,games!$A$2:$A$950,0)),""))</f>
        <v>2026</v>
      </c>
      <c r="V952">
        <f t="shared" si="194"/>
        <v>7</v>
      </c>
    </row>
    <row r="953" spans="1:22" x14ac:dyDescent="0.25">
      <c r="T953">
        <f>IF(connections!$A953="","",IFERROR(INDEX(games!$B$2:$B$950,MATCH(connections!$A953,games!$A$2:$A$950,0)),""))</f>
        <v>2019</v>
      </c>
      <c r="U953">
        <f>IF(connections!$A953="","",IFERROR(INDEX(games!$B$2:$B$950,MATCH(connections!$B953,games!$A$2:$A$950,0)),""))</f>
        <v>2022</v>
      </c>
      <c r="V953">
        <f t="shared" si="194"/>
        <v>3</v>
      </c>
    </row>
    <row r="954" spans="1:22" x14ac:dyDescent="0.25">
      <c r="T954">
        <f>IF(connections!$A954="","",IFERROR(INDEX(games!$B$2:$B$950,MATCH(connections!$A954,games!$A$2:$A$950,0)),""))</f>
        <v>2013</v>
      </c>
      <c r="U954">
        <f>IF(connections!$A954="","",IFERROR(INDEX(games!$B$2:$B$950,MATCH(connections!$B954,games!$A$2:$A$950,0)),""))</f>
        <v>2022</v>
      </c>
      <c r="V954">
        <f t="shared" si="194"/>
        <v>9</v>
      </c>
    </row>
    <row r="955" spans="1:22" x14ac:dyDescent="0.25">
      <c r="T955">
        <f>IF(connections!$A955="","",IFERROR(INDEX(games!$B$2:$B$950,MATCH(connections!$A955,games!$A$2:$A$950,0)),""))</f>
        <v>2018</v>
      </c>
      <c r="U955">
        <f>IF(connections!$A955="","",IFERROR(INDEX(games!$B$2:$B$950,MATCH(connections!$B955,games!$A$2:$A$950,0)),""))</f>
        <v>2022</v>
      </c>
      <c r="V955">
        <f t="shared" si="194"/>
        <v>4</v>
      </c>
    </row>
    <row r="956" spans="1:22" x14ac:dyDescent="0.25">
      <c r="T956">
        <f>IF(connections!$A956="","",IFERROR(INDEX(games!$B$2:$B$950,MATCH(connections!$A956,games!$A$2:$A$950,0)),""))</f>
        <v>2022</v>
      </c>
      <c r="U956">
        <f>IF(connections!$A956="","",IFERROR(INDEX(games!$B$2:$B$950,MATCH(connections!$B956,games!$A$2:$A$950,0)),""))</f>
        <v>2024</v>
      </c>
      <c r="V956">
        <f t="shared" si="194"/>
        <v>2</v>
      </c>
    </row>
    <row r="957" spans="1:22" x14ac:dyDescent="0.25">
      <c r="T957">
        <f>IF(connections!$A957="","",IFERROR(INDEX(games!$B$2:$B$950,MATCH(connections!$A957,games!$A$2:$A$950,0)),""))</f>
        <v>2002</v>
      </c>
      <c r="U957">
        <f>IF(connections!$A957="","",IFERROR(INDEX(games!$B$2:$B$950,MATCH(connections!$B957,games!$A$2:$A$950,0)),""))</f>
        <v>2023</v>
      </c>
      <c r="V957">
        <f t="shared" si="194"/>
        <v>21</v>
      </c>
    </row>
    <row r="958" spans="1:22" x14ac:dyDescent="0.25">
      <c r="T958">
        <f>IF(connections!$A958="","",IFERROR(INDEX(games!$B$2:$B$950,MATCH(connections!$A958,games!$A$2:$A$950,0)),""))</f>
        <v>1980</v>
      </c>
      <c r="U958">
        <f>IF(connections!$A958="","",IFERROR(INDEX(games!$B$2:$B$950,MATCH(connections!$B958,games!$A$2:$A$950,0)),""))</f>
        <v>2023</v>
      </c>
      <c r="V958">
        <f t="shared" si="194"/>
        <v>43</v>
      </c>
    </row>
    <row r="959" spans="1:22" x14ac:dyDescent="0.25">
      <c r="T959">
        <f>IF(connections!$A959="","",IFERROR(INDEX(games!$B$2:$B$950,MATCH(connections!$A959,games!$A$2:$A$950,0)),""))</f>
        <v>2010</v>
      </c>
      <c r="U959">
        <f>IF(connections!$A959="","",IFERROR(INDEX(games!$B$2:$B$950,MATCH(connections!$B959,games!$A$2:$A$950,0)),""))</f>
        <v>2014</v>
      </c>
      <c r="V959">
        <f t="shared" si="194"/>
        <v>4</v>
      </c>
    </row>
    <row r="960" spans="1:22" x14ac:dyDescent="0.25">
      <c r="T960">
        <f>IF(connections!$A960="","",IFERROR(INDEX(games!$B$2:$B$950,MATCH(connections!$A960,games!$A$2:$A$950,0)),""))</f>
        <v>2011</v>
      </c>
      <c r="U960">
        <f>IF(connections!$A960="","",IFERROR(INDEX(games!$B$2:$B$950,MATCH(connections!$B960,games!$A$2:$A$950,0)),""))</f>
        <v>2014</v>
      </c>
      <c r="V960">
        <f t="shared" si="194"/>
        <v>3</v>
      </c>
    </row>
    <row r="961" spans="20:22" x14ac:dyDescent="0.25">
      <c r="T961">
        <f>IF(connections!$A961="","",IFERROR(INDEX(games!$B$2:$B$950,MATCH(connections!$A961,games!$A$2:$A$950,0)),""))</f>
        <v>2019</v>
      </c>
      <c r="U961">
        <f>IF(connections!$A961="","",IFERROR(INDEX(games!$B$2:$B$950,MATCH(connections!$B961,games!$A$2:$A$950,0)),""))</f>
        <v>2024</v>
      </c>
      <c r="V961">
        <f t="shared" si="194"/>
        <v>5</v>
      </c>
    </row>
    <row r="962" spans="20:22" x14ac:dyDescent="0.25">
      <c r="T962">
        <f>IF(connections!$A962="","",IFERROR(INDEX(games!$B$2:$B$950,MATCH(connections!$A962,games!$A$2:$A$950,0)),""))</f>
        <v>2023</v>
      </c>
      <c r="U962">
        <f>IF(connections!$A962="","",IFERROR(INDEX(games!$B$2:$B$950,MATCH(connections!$B962,games!$A$2:$A$950,0)),""))</f>
        <v>2026</v>
      </c>
      <c r="V962">
        <f t="shared" ref="V962:V1025" si="195">IF(OR($T962="",$U962=""),"",$U962-$T962)</f>
        <v>3</v>
      </c>
    </row>
    <row r="963" spans="20:22" x14ac:dyDescent="0.25">
      <c r="T963">
        <f>IF(connections!$A963="","",IFERROR(INDEX(games!$B$2:$B$950,MATCH(connections!$A963,games!$A$2:$A$950,0)),""))</f>
        <v>2024</v>
      </c>
      <c r="U963">
        <f>IF(connections!$A963="","",IFERROR(INDEX(games!$B$2:$B$950,MATCH(connections!$B963,games!$A$2:$A$950,0)),""))</f>
        <v>2026</v>
      </c>
      <c r="V963">
        <f t="shared" si="195"/>
        <v>2</v>
      </c>
    </row>
    <row r="964" spans="20:22" x14ac:dyDescent="0.25">
      <c r="T964">
        <f>IF(connections!$A964="","",IFERROR(INDEX(games!$B$2:$B$950,MATCH(connections!$A964,games!$A$2:$A$950,0)),""))</f>
        <v>2014</v>
      </c>
      <c r="U964">
        <f>IF(connections!$A964="","",IFERROR(INDEX(games!$B$2:$B$950,MATCH(connections!$B964,games!$A$2:$A$950,0)),""))</f>
        <v>2024</v>
      </c>
      <c r="V964">
        <f t="shared" si="195"/>
        <v>10</v>
      </c>
    </row>
    <row r="965" spans="20:22" x14ac:dyDescent="0.25">
      <c r="T965">
        <f>IF(connections!$A965="","",IFERROR(INDEX(games!$B$2:$B$950,MATCH(connections!$A965,games!$A$2:$A$950,0)),""))</f>
        <v>2022</v>
      </c>
      <c r="U965">
        <f>IF(connections!$A965="","",IFERROR(INDEX(games!$B$2:$B$950,MATCH(connections!$B965,games!$A$2:$A$950,0)),""))</f>
        <v>2024</v>
      </c>
      <c r="V965">
        <f t="shared" si="195"/>
        <v>2</v>
      </c>
    </row>
    <row r="966" spans="20:22" x14ac:dyDescent="0.25">
      <c r="T966">
        <f>IF(connections!$A966="","",IFERROR(INDEX(games!$B$2:$B$950,MATCH(connections!$A966,games!$A$2:$A$950,0)),""))</f>
        <v>1987</v>
      </c>
      <c r="U966">
        <f>IF(connections!$A966="","",IFERROR(INDEX(games!$B$2:$B$950,MATCH(connections!$B966,games!$A$2:$A$950,0)),""))</f>
        <v>1992</v>
      </c>
      <c r="V966">
        <f t="shared" si="195"/>
        <v>5</v>
      </c>
    </row>
    <row r="967" spans="20:22" x14ac:dyDescent="0.25">
      <c r="T967">
        <f>IF(connections!$A967="","",IFERROR(INDEX(games!$B$2:$B$950,MATCH(connections!$A967,games!$A$2:$A$950,0)),""))</f>
        <v>1980</v>
      </c>
      <c r="U967">
        <f>IF(connections!$A967="","",IFERROR(INDEX(games!$B$2:$B$950,MATCH(connections!$B967,games!$A$2:$A$950,0)),""))</f>
        <v>1992</v>
      </c>
      <c r="V967">
        <f t="shared" si="195"/>
        <v>12</v>
      </c>
    </row>
    <row r="968" spans="20:22" x14ac:dyDescent="0.25">
      <c r="T968">
        <f>IF(connections!$A968="","",IFERROR(INDEX(games!$B$2:$B$950,MATCH(connections!$A968,games!$A$2:$A$950,0)),""))</f>
        <v>2016</v>
      </c>
      <c r="U968">
        <f>IF(connections!$A968="","",IFERROR(INDEX(games!$B$2:$B$950,MATCH(connections!$B968,games!$A$2:$A$950,0)),""))</f>
        <v>2024</v>
      </c>
      <c r="V968">
        <f t="shared" si="195"/>
        <v>8</v>
      </c>
    </row>
    <row r="969" spans="20:22" x14ac:dyDescent="0.25">
      <c r="T969">
        <f>IF(connections!$A969="","",IFERROR(INDEX(games!$B$2:$B$950,MATCH(connections!$A969,games!$A$2:$A$950,0)),""))</f>
        <v>2015</v>
      </c>
      <c r="U969">
        <f>IF(connections!$A969="","",IFERROR(INDEX(games!$B$2:$B$950,MATCH(connections!$B969,games!$A$2:$A$950,0)),""))</f>
        <v>2024</v>
      </c>
      <c r="V969">
        <f t="shared" si="195"/>
        <v>9</v>
      </c>
    </row>
    <row r="970" spans="20:22" x14ac:dyDescent="0.25">
      <c r="T970">
        <f>IF(connections!$A970="","",IFERROR(INDEX(games!$B$2:$B$950,MATCH(connections!$A970,games!$A$2:$A$950,0)),""))</f>
        <v>2011</v>
      </c>
      <c r="U970">
        <f>IF(connections!$A970="","",IFERROR(INDEX(games!$B$2:$B$950,MATCH(connections!$B970,games!$A$2:$A$950,0)),""))</f>
        <v>2015</v>
      </c>
      <c r="V970">
        <f t="shared" si="195"/>
        <v>4</v>
      </c>
    </row>
    <row r="971" spans="20:22" x14ac:dyDescent="0.25">
      <c r="T971">
        <f>IF(connections!$A971="","",IFERROR(INDEX(games!$B$2:$B$950,MATCH(connections!$A971,games!$A$2:$A$950,0)),""))</f>
        <v>2012</v>
      </c>
      <c r="U971">
        <f>IF(connections!$A971="","",IFERROR(INDEX(games!$B$2:$B$950,MATCH(connections!$B971,games!$A$2:$A$950,0)),""))</f>
        <v>2026</v>
      </c>
      <c r="V971">
        <f t="shared" si="195"/>
        <v>14</v>
      </c>
    </row>
    <row r="972" spans="20:22" x14ac:dyDescent="0.25">
      <c r="T972">
        <f>IF(connections!$A972="","",IFERROR(INDEX(games!$B$2:$B$950,MATCH(connections!$A972,games!$A$2:$A$950,0)),""))</f>
        <v>2016</v>
      </c>
      <c r="U972">
        <f>IF(connections!$A972="","",IFERROR(INDEX(games!$B$2:$B$950,MATCH(connections!$B972,games!$A$2:$A$950,0)),""))</f>
        <v>2019</v>
      </c>
      <c r="V972">
        <f t="shared" si="195"/>
        <v>3</v>
      </c>
    </row>
    <row r="973" spans="20:22" x14ac:dyDescent="0.25">
      <c r="T973">
        <f>IF(connections!$A973="","",IFERROR(INDEX(games!$B$2:$B$950,MATCH(connections!$A973,games!$A$2:$A$950,0)),""))</f>
        <v>2017</v>
      </c>
      <c r="U973">
        <f>IF(connections!$A973="","",IFERROR(INDEX(games!$B$2:$B$950,MATCH(connections!$B973,games!$A$2:$A$950,0)),""))</f>
        <v>2019</v>
      </c>
      <c r="V973">
        <f t="shared" si="195"/>
        <v>2</v>
      </c>
    </row>
    <row r="974" spans="20:22" x14ac:dyDescent="0.25">
      <c r="T974">
        <f>IF(connections!$A974="","",IFERROR(INDEX(games!$B$2:$B$950,MATCH(connections!$A974,games!$A$2:$A$950,0)),""))</f>
        <v>2020</v>
      </c>
      <c r="U974">
        <f>IF(connections!$A974="","",IFERROR(INDEX(games!$B$2:$B$950,MATCH(connections!$B974,games!$A$2:$A$950,0)),""))</f>
        <v>2023</v>
      </c>
      <c r="V974">
        <f t="shared" si="195"/>
        <v>3</v>
      </c>
    </row>
    <row r="975" spans="20:22" x14ac:dyDescent="0.25">
      <c r="T975">
        <f>IF(connections!$A975="","",IFERROR(INDEX(games!$B$2:$B$950,MATCH(connections!$A975,games!$A$2:$A$950,0)),""))</f>
        <v>2018</v>
      </c>
      <c r="U975">
        <f>IF(connections!$A975="","",IFERROR(INDEX(games!$B$2:$B$950,MATCH(connections!$B975,games!$A$2:$A$950,0)),""))</f>
        <v>2025</v>
      </c>
      <c r="V975">
        <f t="shared" si="195"/>
        <v>7</v>
      </c>
    </row>
    <row r="976" spans="20:22" x14ac:dyDescent="0.25">
      <c r="T976">
        <f>IF(connections!$A976="","",IFERROR(INDEX(games!$B$2:$B$950,MATCH(connections!$A976,games!$A$2:$A$950,0)),""))</f>
        <v>2019</v>
      </c>
      <c r="U976">
        <f>IF(connections!$A976="","",IFERROR(INDEX(games!$B$2:$B$950,MATCH(connections!$B976,games!$A$2:$A$950,0)),""))</f>
        <v>2025</v>
      </c>
      <c r="V976">
        <f t="shared" si="195"/>
        <v>6</v>
      </c>
    </row>
    <row r="977" spans="20:22" x14ac:dyDescent="0.25">
      <c r="T977">
        <f>IF(connections!$A977="","",IFERROR(INDEX(games!$B$2:$B$950,MATCH(connections!$A977,games!$A$2:$A$950,0)),""))</f>
        <v>2019</v>
      </c>
      <c r="U977">
        <f>IF(connections!$A977="","",IFERROR(INDEX(games!$B$2:$B$950,MATCH(connections!$B977,games!$A$2:$A$950,0)),""))</f>
        <v>2024</v>
      </c>
      <c r="V977">
        <f t="shared" si="195"/>
        <v>5</v>
      </c>
    </row>
    <row r="978" spans="20:22" x14ac:dyDescent="0.25">
      <c r="T978">
        <f>IF(connections!$A978="","",IFERROR(INDEX(games!$B$2:$B$950,MATCH(connections!$A978,games!$A$2:$A$950,0)),""))</f>
        <v>2020</v>
      </c>
      <c r="U978">
        <f>IF(connections!$A978="","",IFERROR(INDEX(games!$B$2:$B$950,MATCH(connections!$B978,games!$A$2:$A$950,0)),""))</f>
        <v>2024</v>
      </c>
      <c r="V978">
        <f t="shared" si="195"/>
        <v>4</v>
      </c>
    </row>
    <row r="979" spans="20:22" x14ac:dyDescent="0.25">
      <c r="T979">
        <f>IF(connections!$A979="","",IFERROR(INDEX(games!$B$2:$B$950,MATCH(connections!$A979,games!$A$2:$A$950,0)),""))</f>
        <v>1987</v>
      </c>
      <c r="U979">
        <f>IF(connections!$A979="","",IFERROR(INDEX(games!$B$2:$B$950,MATCH(connections!$B979,games!$A$2:$A$950,0)),""))</f>
        <v>2010</v>
      </c>
      <c r="V979">
        <f t="shared" si="195"/>
        <v>23</v>
      </c>
    </row>
    <row r="980" spans="20:22" x14ac:dyDescent="0.25">
      <c r="T980">
        <f>IF(connections!$A980="","",IFERROR(INDEX(games!$B$2:$B$950,MATCH(connections!$A980,games!$A$2:$A$950,0)),""))</f>
        <v>2008</v>
      </c>
      <c r="U980">
        <f>IF(connections!$A980="","",IFERROR(INDEX(games!$B$2:$B$950,MATCH(connections!$B980,games!$A$2:$A$950,0)),""))</f>
        <v>2010</v>
      </c>
      <c r="V980">
        <f t="shared" si="195"/>
        <v>2</v>
      </c>
    </row>
    <row r="981" spans="20:22" x14ac:dyDescent="0.25">
      <c r="T981">
        <f>IF(connections!$A981="","",IFERROR(INDEX(games!$B$2:$B$950,MATCH(connections!$A981,games!$A$2:$A$950,0)),""))</f>
        <v>2015</v>
      </c>
      <c r="U981">
        <f>IF(connections!$A981="","",IFERROR(INDEX(games!$B$2:$B$950,MATCH(connections!$B981,games!$A$2:$A$950,0)),""))</f>
        <v>2012</v>
      </c>
      <c r="V981">
        <f t="shared" si="195"/>
        <v>-3</v>
      </c>
    </row>
    <row r="982" spans="20:22" x14ac:dyDescent="0.25">
      <c r="T982">
        <f>IF(connections!$A982="","",IFERROR(INDEX(games!$B$2:$B$950,MATCH(connections!$A982,games!$A$2:$A$950,0)),""))</f>
        <v>1980</v>
      </c>
      <c r="U982">
        <f>IF(connections!$A982="","",IFERROR(INDEX(games!$B$2:$B$950,MATCH(connections!$B982,games!$A$2:$A$950,0)),""))</f>
        <v>2012</v>
      </c>
      <c r="V982">
        <f t="shared" si="195"/>
        <v>32</v>
      </c>
    </row>
    <row r="983" spans="20:22" x14ac:dyDescent="0.25">
      <c r="T983">
        <f>IF(connections!$A983="","",IFERROR(INDEX(games!$B$2:$B$950,MATCH(connections!$A983,games!$A$2:$A$950,0)),""))</f>
        <v>2008</v>
      </c>
      <c r="U983">
        <f>IF(connections!$A983="","",IFERROR(INDEX(games!$B$2:$B$950,MATCH(connections!$B983,games!$A$2:$A$950,0)),""))</f>
        <v>2012</v>
      </c>
      <c r="V983">
        <f t="shared" si="195"/>
        <v>4</v>
      </c>
    </row>
    <row r="984" spans="20:22" x14ac:dyDescent="0.25">
      <c r="T984">
        <f>IF(connections!$A984="","",IFERROR(INDEX(games!$B$2:$B$950,MATCH(connections!$A984,games!$A$2:$A$950,0)),""))</f>
        <v>1996</v>
      </c>
      <c r="U984">
        <f>IF(connections!$A984="","",IFERROR(INDEX(games!$B$2:$B$950,MATCH(connections!$B984,games!$A$2:$A$950,0)),""))</f>
        <v>2025</v>
      </c>
      <c r="V984">
        <f t="shared" si="195"/>
        <v>29</v>
      </c>
    </row>
    <row r="985" spans="20:22" x14ac:dyDescent="0.25">
      <c r="T985">
        <f>IF(connections!$A985="","",IFERROR(INDEX(games!$B$2:$B$950,MATCH(connections!$A985,games!$A$2:$A$950,0)),""))</f>
        <v>2019</v>
      </c>
      <c r="U985">
        <f>IF(connections!$A985="","",IFERROR(INDEX(games!$B$2:$B$950,MATCH(connections!$B985,games!$A$2:$A$950,0)),""))</f>
        <v>2025</v>
      </c>
      <c r="V985">
        <f t="shared" si="195"/>
        <v>6</v>
      </c>
    </row>
    <row r="986" spans="20:22" x14ac:dyDescent="0.25">
      <c r="T986">
        <f>IF(connections!$A986="","",IFERROR(INDEX(games!$B$2:$B$950,MATCH(connections!$A986,games!$A$2:$A$950,0)),""))</f>
        <v>2012</v>
      </c>
      <c r="U986">
        <f>IF(connections!$A986="","",IFERROR(INDEX(games!$B$2:$B$950,MATCH(connections!$B986,games!$A$2:$A$950,0)),""))</f>
        <v>2015</v>
      </c>
      <c r="V986">
        <f t="shared" si="195"/>
        <v>3</v>
      </c>
    </row>
    <row r="987" spans="20:22" x14ac:dyDescent="0.25">
      <c r="T987">
        <f>IF(connections!$A987="","",IFERROR(INDEX(games!$B$2:$B$950,MATCH(connections!$A987,games!$A$2:$A$950,0)),""))</f>
        <v>2015</v>
      </c>
      <c r="U987">
        <f>IF(connections!$A987="","",IFERROR(INDEX(games!$B$2:$B$950,MATCH(connections!$B987,games!$A$2:$A$950,0)),""))</f>
        <v>2022</v>
      </c>
      <c r="V987">
        <f t="shared" si="195"/>
        <v>7</v>
      </c>
    </row>
    <row r="988" spans="20:22" x14ac:dyDescent="0.25">
      <c r="T988">
        <f>IF(connections!$A988="","",IFERROR(INDEX(games!$B$2:$B$950,MATCH(connections!$A988,games!$A$2:$A$950,0)),""))</f>
        <v>2023</v>
      </c>
      <c r="U988">
        <f>IF(connections!$A988="","",IFERROR(INDEX(games!$B$2:$B$950,MATCH(connections!$B988,games!$A$2:$A$950,0)),""))</f>
        <v>2025</v>
      </c>
      <c r="V988">
        <f t="shared" si="195"/>
        <v>2</v>
      </c>
    </row>
    <row r="989" spans="20:22" x14ac:dyDescent="0.25">
      <c r="T989">
        <f>IF(connections!$A989="","",IFERROR(INDEX(games!$B$2:$B$950,MATCH(connections!$A989,games!$A$2:$A$950,0)),""))</f>
        <v>2017</v>
      </c>
      <c r="U989">
        <f>IF(connections!$A989="","",IFERROR(INDEX(games!$B$2:$B$950,MATCH(connections!$B989,games!$A$2:$A$950,0)),""))</f>
        <v>2025</v>
      </c>
      <c r="V989">
        <f t="shared" si="195"/>
        <v>8</v>
      </c>
    </row>
    <row r="990" spans="20:22" x14ac:dyDescent="0.25">
      <c r="T990">
        <f>IF(connections!$A990="","",IFERROR(INDEX(games!$B$2:$B$950,MATCH(connections!$A990,games!$A$2:$A$950,0)),""))</f>
        <v>2021</v>
      </c>
      <c r="U990">
        <f>IF(connections!$A990="","",IFERROR(INDEX(games!$B$2:$B$950,MATCH(connections!$B990,games!$A$2:$A$950,0)),""))</f>
        <v>2023</v>
      </c>
      <c r="V990">
        <f t="shared" si="195"/>
        <v>2</v>
      </c>
    </row>
    <row r="991" spans="20:22" x14ac:dyDescent="0.25">
      <c r="T991">
        <f>IF(connections!$A991="","",IFERROR(INDEX(games!$B$2:$B$950,MATCH(connections!$A991,games!$A$2:$A$950,0)),""))</f>
        <v>2011</v>
      </c>
      <c r="U991">
        <f>IF(connections!$A991="","",IFERROR(INDEX(games!$B$2:$B$950,MATCH(connections!$B991,games!$A$2:$A$950,0)),""))</f>
        <v>2021</v>
      </c>
      <c r="V991">
        <f t="shared" si="195"/>
        <v>10</v>
      </c>
    </row>
    <row r="992" spans="20:22" x14ac:dyDescent="0.25">
      <c r="T992">
        <f>IF(connections!$A992="","",IFERROR(INDEX(games!$B$2:$B$950,MATCH(connections!$A992,games!$A$2:$A$950,0)),""))</f>
        <v>2021</v>
      </c>
      <c r="U992">
        <f>IF(connections!$A992="","",IFERROR(INDEX(games!$B$2:$B$950,MATCH(connections!$B992,games!$A$2:$A$950,0)),""))</f>
        <v>2025</v>
      </c>
      <c r="V992">
        <f t="shared" si="195"/>
        <v>4</v>
      </c>
    </row>
    <row r="993" spans="20:22" x14ac:dyDescent="0.25">
      <c r="T993">
        <f>IF(connections!$A993="","",IFERROR(INDEX(games!$B$2:$B$950,MATCH(connections!$A993,games!$A$2:$A$950,0)),""))</f>
        <v>2023</v>
      </c>
      <c r="U993">
        <f>IF(connections!$A993="","",IFERROR(INDEX(games!$B$2:$B$950,MATCH(connections!$B993,games!$A$2:$A$950,0)),""))</f>
        <v>2025</v>
      </c>
      <c r="V993">
        <f t="shared" si="195"/>
        <v>2</v>
      </c>
    </row>
    <row r="994" spans="20:22" x14ac:dyDescent="0.25">
      <c r="T994">
        <f>IF(connections!$A994="","",IFERROR(INDEX(games!$B$2:$B$950,MATCH(connections!$A994,games!$A$2:$A$950,0)),""))</f>
        <v>2009</v>
      </c>
      <c r="U994">
        <f>IF(connections!$A994="","",IFERROR(INDEX(games!$B$2:$B$950,MATCH(connections!$B994,games!$A$2:$A$950,0)),""))</f>
        <v>2020</v>
      </c>
      <c r="V994">
        <f t="shared" si="195"/>
        <v>11</v>
      </c>
    </row>
    <row r="995" spans="20:22" x14ac:dyDescent="0.25">
      <c r="T995">
        <f>IF(connections!$A995="","",IFERROR(INDEX(games!$B$2:$B$950,MATCH(connections!$A995,games!$A$2:$A$950,0)),""))</f>
        <v>1996</v>
      </c>
      <c r="U995">
        <f>IF(connections!$A995="","",IFERROR(INDEX(games!$B$2:$B$950,MATCH(connections!$B995,games!$A$2:$A$950,0)),""))</f>
        <v>2020</v>
      </c>
      <c r="V995">
        <f t="shared" si="195"/>
        <v>24</v>
      </c>
    </row>
    <row r="996" spans="20:22" x14ac:dyDescent="0.25">
      <c r="T996">
        <f>IF(connections!$A996="","",IFERROR(INDEX(games!$B$2:$B$950,MATCH(connections!$A996,games!$A$2:$A$950,0)),""))</f>
        <v>2006</v>
      </c>
      <c r="U996">
        <f>IF(connections!$A996="","",IFERROR(INDEX(games!$B$2:$B$950,MATCH(connections!$B996,games!$A$2:$A$950,0)),""))</f>
        <v>2020</v>
      </c>
      <c r="V996">
        <f t="shared" si="195"/>
        <v>14</v>
      </c>
    </row>
    <row r="997" spans="20:22" x14ac:dyDescent="0.25">
      <c r="T997">
        <f>IF(connections!$A997="","",IFERROR(INDEX(games!$B$2:$B$950,MATCH(connections!$A997,games!$A$2:$A$950,0)),""))</f>
        <v>1987</v>
      </c>
      <c r="U997">
        <f>IF(connections!$A997="","",IFERROR(INDEX(games!$B$2:$B$950,MATCH(connections!$B997,games!$A$2:$A$950,0)),""))</f>
        <v>2020</v>
      </c>
      <c r="V997">
        <f t="shared" si="195"/>
        <v>33</v>
      </c>
    </row>
    <row r="998" spans="20:22" x14ac:dyDescent="0.25">
      <c r="T998">
        <f>IF(connections!$A998="","",IFERROR(INDEX(games!$B$2:$B$950,MATCH(connections!$A998,games!$A$2:$A$950,0)),""))</f>
        <v>1998</v>
      </c>
      <c r="U998">
        <f>IF(connections!$A998="","",IFERROR(INDEX(games!$B$2:$B$950,MATCH(connections!$B998,games!$A$2:$A$950,0)),""))</f>
        <v>2020</v>
      </c>
      <c r="V998">
        <f t="shared" si="195"/>
        <v>22</v>
      </c>
    </row>
    <row r="999" spans="20:22" x14ac:dyDescent="0.25">
      <c r="T999">
        <f>IF(connections!$A999="","",IFERROR(INDEX(games!$B$2:$B$950,MATCH(connections!$A999,games!$A$2:$A$950,0)),""))</f>
        <v>2020</v>
      </c>
      <c r="U999">
        <f>IF(connections!$A999="","",IFERROR(INDEX(games!$B$2:$B$950,MATCH(connections!$B999,games!$A$2:$A$950,0)),""))</f>
        <v>2024</v>
      </c>
      <c r="V999">
        <f t="shared" si="195"/>
        <v>4</v>
      </c>
    </row>
    <row r="1000" spans="20:22" x14ac:dyDescent="0.25">
      <c r="T1000">
        <f>IF(connections!$A1000="","",IFERROR(INDEX(games!$B$2:$B$950,MATCH(connections!$A1000,games!$A$2:$A$950,0)),""))</f>
        <v>2024</v>
      </c>
      <c r="U1000">
        <f>IF(connections!$A1000="","",IFERROR(INDEX(games!$B$2:$B$950,MATCH(connections!$B1000,games!$A$2:$A$950,0)),""))</f>
        <v>2026</v>
      </c>
      <c r="V1000">
        <f t="shared" si="195"/>
        <v>2</v>
      </c>
    </row>
    <row r="1001" spans="20:22" x14ac:dyDescent="0.25">
      <c r="T1001">
        <f>IF(connections!$A1001="","",IFERROR(INDEX(games!$B$2:$B$950,MATCH(connections!$A1001,games!$A$2:$A$950,0)),""))</f>
        <v>2020</v>
      </c>
      <c r="U1001">
        <f>IF(connections!$A1001="","",IFERROR(INDEX(games!$B$2:$B$950,MATCH(connections!$B1001,games!$A$2:$A$950,0)),""))</f>
        <v>2026</v>
      </c>
      <c r="V1001">
        <f t="shared" si="195"/>
        <v>6</v>
      </c>
    </row>
    <row r="1002" spans="20:22" x14ac:dyDescent="0.25">
      <c r="T1002">
        <f>IF(connections!$A1002="","",IFERROR(INDEX(games!$B$2:$B$950,MATCH(connections!$A1002,games!$A$2:$A$950,0)),""))</f>
        <v>2021</v>
      </c>
      <c r="U1002">
        <f>IF(connections!$A1002="","",IFERROR(INDEX(games!$B$2:$B$950,MATCH(connections!$B1002,games!$A$2:$A$950,0)),""))</f>
        <v>2026</v>
      </c>
      <c r="V1002">
        <f t="shared" si="195"/>
        <v>5</v>
      </c>
    </row>
    <row r="1003" spans="20:22" x14ac:dyDescent="0.25">
      <c r="T1003">
        <f>IF(connections!$A1003="","",IFERROR(INDEX(games!$B$2:$B$950,MATCH(connections!$A1003,games!$A$2:$A$950,0)),""))</f>
        <v>2017</v>
      </c>
      <c r="U1003">
        <f>IF(connections!$A1003="","",IFERROR(INDEX(games!$B$2:$B$950,MATCH(connections!$B1003,games!$A$2:$A$950,0)),""))</f>
        <v>2022</v>
      </c>
      <c r="V1003">
        <f t="shared" si="195"/>
        <v>5</v>
      </c>
    </row>
    <row r="1004" spans="20:22" x14ac:dyDescent="0.25">
      <c r="T1004">
        <f>IF(connections!$A1004="","",IFERROR(INDEX(games!$B$2:$B$950,MATCH(connections!$A1004,games!$A$2:$A$950,0)),""))</f>
        <v>2017</v>
      </c>
      <c r="U1004">
        <f>IF(connections!$A1004="","",IFERROR(INDEX(games!$B$2:$B$950,MATCH(connections!$B1004,games!$A$2:$A$950,0)),""))</f>
        <v>2020</v>
      </c>
      <c r="V1004">
        <f t="shared" si="195"/>
        <v>3</v>
      </c>
    </row>
    <row r="1005" spans="20:22" x14ac:dyDescent="0.25">
      <c r="T1005">
        <f>IF(connections!$A1005="","",IFERROR(INDEX(games!$B$2:$B$950,MATCH(connections!$A1005,games!$A$2:$A$950,0)),""))</f>
        <v>2015</v>
      </c>
      <c r="U1005">
        <f>IF(connections!$A1005="","",IFERROR(INDEX(games!$B$2:$B$950,MATCH(connections!$B1005,games!$A$2:$A$950,0)),""))</f>
        <v>2017</v>
      </c>
      <c r="V1005">
        <f t="shared" si="195"/>
        <v>2</v>
      </c>
    </row>
    <row r="1006" spans="20:22" x14ac:dyDescent="0.25">
      <c r="T1006">
        <f>IF(connections!$A1006="","",IFERROR(INDEX(games!$B$2:$B$950,MATCH(connections!$A1006,games!$A$2:$A$950,0)),""))</f>
        <v>2013</v>
      </c>
      <c r="U1006">
        <f>IF(connections!$A1006="","",IFERROR(INDEX(games!$B$2:$B$950,MATCH(connections!$B1006,games!$A$2:$A$950,0)),""))</f>
        <v>2020</v>
      </c>
      <c r="V1006">
        <f t="shared" si="195"/>
        <v>7</v>
      </c>
    </row>
    <row r="1007" spans="20:22" x14ac:dyDescent="0.25">
      <c r="T1007">
        <f>IF(connections!$A1007="","",IFERROR(INDEX(games!$B$2:$B$950,MATCH(connections!$A1007,games!$A$2:$A$950,0)),""))</f>
        <v>2013</v>
      </c>
      <c r="U1007">
        <f>IF(connections!$A1007="","",IFERROR(INDEX(games!$B$2:$B$950,MATCH(connections!$B1007,games!$A$2:$A$950,0)),""))</f>
        <v>2023</v>
      </c>
      <c r="V1007">
        <f t="shared" si="195"/>
        <v>10</v>
      </c>
    </row>
    <row r="1008" spans="20:22" x14ac:dyDescent="0.25">
      <c r="T1008">
        <f>IF(connections!$A1008="","",IFERROR(INDEX(games!$B$2:$B$950,MATCH(connections!$A1008,games!$A$2:$A$950,0)),""))</f>
        <v>2013</v>
      </c>
      <c r="U1008">
        <f>IF(connections!$A1008="","",IFERROR(INDEX(games!$B$2:$B$950,MATCH(connections!$B1008,games!$A$2:$A$950,0)),""))</f>
        <v>2014</v>
      </c>
      <c r="V1008">
        <f t="shared" si="195"/>
        <v>1</v>
      </c>
    </row>
    <row r="1009" spans="20:22" x14ac:dyDescent="0.25">
      <c r="T1009">
        <f>IF(connections!$A1009="","",IFERROR(INDEX(games!$B$2:$B$950,MATCH(connections!$A1009,games!$A$2:$A$950,0)),""))</f>
        <v>2012</v>
      </c>
      <c r="U1009">
        <f>IF(connections!$A1009="","",IFERROR(INDEX(games!$B$2:$B$950,MATCH(connections!$B1009,games!$A$2:$A$950,0)),""))</f>
        <v>2014</v>
      </c>
      <c r="V1009">
        <f t="shared" si="195"/>
        <v>2</v>
      </c>
    </row>
    <row r="1010" spans="20:22" x14ac:dyDescent="0.25">
      <c r="T1010">
        <f>IF(connections!$A1010="","",IFERROR(INDEX(games!$B$2:$B$950,MATCH(connections!$A1010,games!$A$2:$A$950,0)),""))</f>
        <v>2018</v>
      </c>
      <c r="U1010">
        <f>IF(connections!$A1010="","",IFERROR(INDEX(games!$B$2:$B$950,MATCH(connections!$B1010,games!$A$2:$A$950,0)),""))</f>
        <v>2020</v>
      </c>
      <c r="V1010">
        <f t="shared" si="195"/>
        <v>2</v>
      </c>
    </row>
    <row r="1011" spans="20:22" x14ac:dyDescent="0.25">
      <c r="T1011">
        <f>IF(connections!$A1011="","",IFERROR(INDEX(games!$B$2:$B$950,MATCH(connections!$A1011,games!$A$2:$A$950,0)),""))</f>
        <v>2016</v>
      </c>
      <c r="U1011">
        <f>IF(connections!$A1011="","",IFERROR(INDEX(games!$B$2:$B$950,MATCH(connections!$B1011,games!$A$2:$A$950,0)),""))</f>
        <v>2020</v>
      </c>
      <c r="V1011">
        <f t="shared" si="195"/>
        <v>4</v>
      </c>
    </row>
    <row r="1012" spans="20:22" x14ac:dyDescent="0.25">
      <c r="T1012">
        <f>IF(connections!$A1012="","",IFERROR(INDEX(games!$B$2:$B$950,MATCH(connections!$A1012,games!$A$2:$A$950,0)),""))</f>
        <v>2020</v>
      </c>
      <c r="U1012">
        <f>IF(connections!$A1012="","",IFERROR(INDEX(games!$B$2:$B$950,MATCH(connections!$B1012,games!$A$2:$A$950,0)),""))</f>
        <v>2020</v>
      </c>
      <c r="V1012">
        <f t="shared" si="195"/>
        <v>0</v>
      </c>
    </row>
    <row r="1013" spans="20:22" x14ac:dyDescent="0.25">
      <c r="T1013">
        <f>IF(connections!$A1013="","",IFERROR(INDEX(games!$B$2:$B$950,MATCH(connections!$A1013,games!$A$2:$A$950,0)),""))</f>
        <v>2015</v>
      </c>
      <c r="U1013">
        <f>IF(connections!$A1013="","",IFERROR(INDEX(games!$B$2:$B$950,MATCH(connections!$B1013,games!$A$2:$A$950,0)),""))</f>
        <v>2020</v>
      </c>
      <c r="V1013">
        <f t="shared" si="195"/>
        <v>5</v>
      </c>
    </row>
    <row r="1014" spans="20:22" x14ac:dyDescent="0.25">
      <c r="T1014">
        <f>IF(connections!$A1014="","",IFERROR(INDEX(games!$B$2:$B$950,MATCH(connections!$A1014,games!$A$2:$A$950,0)),""))</f>
        <v>2015</v>
      </c>
      <c r="U1014">
        <f>IF(connections!$A1014="","",IFERROR(INDEX(games!$B$2:$B$950,MATCH(connections!$B1014,games!$A$2:$A$950,0)),""))</f>
        <v>2024</v>
      </c>
      <c r="V1014">
        <f t="shared" si="195"/>
        <v>9</v>
      </c>
    </row>
    <row r="1015" spans="20:22" x14ac:dyDescent="0.25">
      <c r="T1015">
        <f>IF(connections!$A1015="","",IFERROR(INDEX(games!$B$2:$B$950,MATCH(connections!$A1015,games!$A$2:$A$950,0)),""))</f>
        <v>2022</v>
      </c>
      <c r="U1015">
        <f>IF(connections!$A1015="","",IFERROR(INDEX(games!$B$2:$B$950,MATCH(connections!$B1015,games!$A$2:$A$950,0)),""))</f>
        <v>2024</v>
      </c>
      <c r="V1015">
        <f t="shared" si="195"/>
        <v>2</v>
      </c>
    </row>
    <row r="1016" spans="20:22" x14ac:dyDescent="0.25">
      <c r="T1016">
        <f>IF(connections!$A1016="","",IFERROR(INDEX(games!$B$2:$B$950,MATCH(connections!$A1016,games!$A$2:$A$950,0)),""))</f>
        <v>2020</v>
      </c>
      <c r="U1016">
        <f>IF(connections!$A1016="","",IFERROR(INDEX(games!$B$2:$B$950,MATCH(connections!$B1016,games!$A$2:$A$950,0)),""))</f>
        <v>2024</v>
      </c>
      <c r="V1016">
        <f t="shared" si="195"/>
        <v>4</v>
      </c>
    </row>
    <row r="1017" spans="20:22" x14ac:dyDescent="0.25">
      <c r="T1017">
        <f>IF(connections!$A1017="","",IFERROR(INDEX(games!$B$2:$B$950,MATCH(connections!$A1017,games!$A$2:$A$950,0)),""))</f>
        <v>2017</v>
      </c>
      <c r="U1017">
        <f>IF(connections!$A1017="","",IFERROR(INDEX(games!$B$2:$B$950,MATCH(connections!$B1017,games!$A$2:$A$950,0)),""))</f>
        <v>2024</v>
      </c>
      <c r="V1017">
        <f t="shared" si="195"/>
        <v>7</v>
      </c>
    </row>
    <row r="1018" spans="20:22" x14ac:dyDescent="0.25">
      <c r="T1018">
        <f>IF(connections!$A1018="","",IFERROR(INDEX(games!$B$2:$B$950,MATCH(connections!$A1018,games!$A$2:$A$950,0)),""))</f>
        <v>1994</v>
      </c>
      <c r="U1018">
        <f>IF(connections!$A1018="","",IFERROR(INDEX(games!$B$2:$B$950,MATCH(connections!$B1018,games!$A$2:$A$950,0)),""))</f>
        <v>2019</v>
      </c>
      <c r="V1018">
        <f t="shared" si="195"/>
        <v>25</v>
      </c>
    </row>
    <row r="1019" spans="20:22" x14ac:dyDescent="0.25">
      <c r="T1019">
        <f>IF(connections!$A1019="","",IFERROR(INDEX(games!$B$2:$B$950,MATCH(connections!$A1019,games!$A$2:$A$950,0)),""))</f>
        <v>1998</v>
      </c>
      <c r="U1019">
        <f>IF(connections!$A1019="","",IFERROR(INDEX(games!$B$2:$B$950,MATCH(connections!$B1019,games!$A$2:$A$950,0)),""))</f>
        <v>2019</v>
      </c>
      <c r="V1019">
        <f t="shared" si="195"/>
        <v>21</v>
      </c>
    </row>
    <row r="1020" spans="20:22" x14ac:dyDescent="0.25">
      <c r="T1020">
        <f>IF(connections!$A1020="","",IFERROR(INDEX(games!$B$2:$B$950,MATCH(connections!$A1020,games!$A$2:$A$950,0)),""))</f>
        <v>2023</v>
      </c>
      <c r="U1020">
        <f>IF(connections!$A1020="","",IFERROR(INDEX(games!$B$2:$B$950,MATCH(connections!$B1020,games!$A$2:$A$950,0)),""))</f>
        <v>2026</v>
      </c>
      <c r="V1020">
        <f t="shared" si="195"/>
        <v>3</v>
      </c>
    </row>
    <row r="1021" spans="20:22" x14ac:dyDescent="0.25">
      <c r="T1021">
        <f>IF(connections!$A1021="","",IFERROR(INDEX(games!$B$2:$B$950,MATCH(connections!$A1021,games!$A$2:$A$950,0)),""))</f>
        <v>2021</v>
      </c>
      <c r="U1021">
        <f>IF(connections!$A1021="","",IFERROR(INDEX(games!$B$2:$B$950,MATCH(connections!$B1021,games!$A$2:$A$950,0)),""))</f>
        <v>2026</v>
      </c>
      <c r="V1021">
        <f t="shared" si="195"/>
        <v>5</v>
      </c>
    </row>
    <row r="1022" spans="20:22" x14ac:dyDescent="0.25">
      <c r="T1022">
        <f>IF(connections!$A1022="","",IFERROR(INDEX(games!$B$2:$B$950,MATCH(connections!$A1022,games!$A$2:$A$950,0)),""))</f>
        <v>1980</v>
      </c>
      <c r="U1022">
        <f>IF(connections!$A1022="","",IFERROR(INDEX(games!$B$2:$B$950,MATCH(connections!$B1022,games!$A$2:$A$950,0)),""))</f>
        <v>2007</v>
      </c>
      <c r="V1022">
        <f t="shared" si="195"/>
        <v>27</v>
      </c>
    </row>
    <row r="1023" spans="20:22" x14ac:dyDescent="0.25">
      <c r="T1023">
        <f>IF(connections!$A1023="","",IFERROR(INDEX(games!$B$2:$B$950,MATCH(connections!$A1023,games!$A$2:$A$950,0)),""))</f>
        <v>2000</v>
      </c>
      <c r="U1023">
        <f>IF(connections!$A1023="","",IFERROR(INDEX(games!$B$2:$B$950,MATCH(connections!$B1023,games!$A$2:$A$950,0)),""))</f>
        <v>2007</v>
      </c>
      <c r="V1023">
        <f t="shared" si="195"/>
        <v>7</v>
      </c>
    </row>
    <row r="1024" spans="20:22" x14ac:dyDescent="0.25">
      <c r="T1024">
        <f>IF(connections!$A1024="","",IFERROR(INDEX(games!$B$2:$B$950,MATCH(connections!$A1024,games!$A$2:$A$950,0)),""))</f>
        <v>2013</v>
      </c>
      <c r="U1024">
        <f>IF(connections!$A1024="","",IFERROR(INDEX(games!$B$2:$B$950,MATCH(connections!$B1024,games!$A$2:$A$950,0)),""))</f>
        <v>2021</v>
      </c>
      <c r="V1024">
        <f t="shared" si="195"/>
        <v>8</v>
      </c>
    </row>
    <row r="1025" spans="20:22" x14ac:dyDescent="0.25">
      <c r="T1025">
        <f>IF(connections!$A1025="","",IFERROR(INDEX(games!$B$2:$B$950,MATCH(connections!$A1025,games!$A$2:$A$950,0)),""))</f>
        <v>2008</v>
      </c>
      <c r="U1025">
        <f>IF(connections!$A1025="","",IFERROR(INDEX(games!$B$2:$B$950,MATCH(connections!$B1025,games!$A$2:$A$950,0)),""))</f>
        <v>2013</v>
      </c>
      <c r="V1025">
        <f t="shared" si="195"/>
        <v>5</v>
      </c>
    </row>
    <row r="1026" spans="20:22" x14ac:dyDescent="0.25">
      <c r="T1026">
        <f>IF(connections!$A1026="","",IFERROR(INDEX(games!$B$2:$B$950,MATCH(connections!$A1026,games!$A$2:$A$950,0)),""))</f>
        <v>2011</v>
      </c>
      <c r="U1026">
        <f>IF(connections!$A1026="","",IFERROR(INDEX(games!$B$2:$B$950,MATCH(connections!$B1026,games!$A$2:$A$950,0)),""))</f>
        <v>2013</v>
      </c>
      <c r="V1026">
        <f t="shared" ref="V1026:V1089" si="196">IF(OR($T1026="",$U1026=""),"",$U1026-$T1026)</f>
        <v>2</v>
      </c>
    </row>
    <row r="1027" spans="20:22" x14ac:dyDescent="0.25">
      <c r="T1027">
        <f>IF(connections!$A1027="","",IFERROR(INDEX(games!$B$2:$B$950,MATCH(connections!$A1027,games!$A$2:$A$950,0)),""))</f>
        <v>2013</v>
      </c>
      <c r="U1027">
        <f>IF(connections!$A1027="","",IFERROR(INDEX(games!$B$2:$B$950,MATCH(connections!$B1027,games!$A$2:$A$950,0)),""))</f>
        <v>2020</v>
      </c>
      <c r="V1027">
        <f t="shared" si="196"/>
        <v>7</v>
      </c>
    </row>
    <row r="1028" spans="20:22" x14ac:dyDescent="0.25">
      <c r="T1028">
        <f>IF(connections!$A1028="","",IFERROR(INDEX(games!$B$2:$B$950,MATCH(connections!$A1028,games!$A$2:$A$950,0)),""))</f>
        <v>2017</v>
      </c>
      <c r="U1028">
        <f>IF(connections!$A1028="","",IFERROR(INDEX(games!$B$2:$B$950,MATCH(connections!$B1028,games!$A$2:$A$950,0)),""))</f>
        <v>2021</v>
      </c>
      <c r="V1028">
        <f t="shared" si="196"/>
        <v>4</v>
      </c>
    </row>
    <row r="1029" spans="20:22" x14ac:dyDescent="0.25">
      <c r="T1029">
        <f>IF(connections!$A1029="","",IFERROR(INDEX(games!$B$2:$B$950,MATCH(connections!$A1029,games!$A$2:$A$950,0)),""))</f>
        <v>2023</v>
      </c>
      <c r="U1029">
        <f>IF(connections!$A1029="","",IFERROR(INDEX(games!$B$2:$B$950,MATCH(connections!$B1029,games!$A$2:$A$950,0)),""))</f>
        <v>2024</v>
      </c>
      <c r="V1029">
        <f t="shared" si="196"/>
        <v>1</v>
      </c>
    </row>
    <row r="1030" spans="20:22" x14ac:dyDescent="0.25">
      <c r="T1030">
        <f>IF(connections!$A1030="","",IFERROR(INDEX(games!$B$2:$B$950,MATCH(connections!$A1030,games!$A$2:$A$950,0)),""))</f>
        <v>2022</v>
      </c>
      <c r="U1030">
        <f>IF(connections!$A1030="","",IFERROR(INDEX(games!$B$2:$B$950,MATCH(connections!$B1030,games!$A$2:$A$950,0)),""))</f>
        <v>2024</v>
      </c>
      <c r="V1030">
        <f t="shared" si="196"/>
        <v>2</v>
      </c>
    </row>
    <row r="1031" spans="20:22" x14ac:dyDescent="0.25">
      <c r="T1031">
        <f>IF(connections!$A1031="","",IFERROR(INDEX(games!$B$2:$B$950,MATCH(connections!$A1031,games!$A$2:$A$950,0)),""))</f>
        <v>2012</v>
      </c>
      <c r="U1031">
        <f>IF(connections!$A1031="","",IFERROR(INDEX(games!$B$2:$B$950,MATCH(connections!$B1031,games!$A$2:$A$950,0)),""))</f>
        <v>2024</v>
      </c>
      <c r="V1031">
        <f t="shared" si="196"/>
        <v>12</v>
      </c>
    </row>
    <row r="1032" spans="20:22" x14ac:dyDescent="0.25">
      <c r="T1032">
        <f>IF(connections!$A1032="","",IFERROR(INDEX(games!$B$2:$B$950,MATCH(connections!$A1032,games!$A$2:$A$950,0)),""))</f>
        <v>2018</v>
      </c>
      <c r="U1032">
        <f>IF(connections!$A1032="","",IFERROR(INDEX(games!$B$2:$B$950,MATCH(connections!$B1032,games!$A$2:$A$950,0)),""))</f>
        <v>2024</v>
      </c>
      <c r="V1032">
        <f t="shared" si="196"/>
        <v>6</v>
      </c>
    </row>
    <row r="1033" spans="20:22" x14ac:dyDescent="0.25">
      <c r="T1033">
        <f>IF(connections!$A1033="","",IFERROR(INDEX(games!$B$2:$B$950,MATCH(connections!$A1033,games!$A$2:$A$950,0)),""))</f>
        <v>2022</v>
      </c>
      <c r="U1033">
        <f>IF(connections!$A1033="","",IFERROR(INDEX(games!$B$2:$B$950,MATCH(connections!$B1033,games!$A$2:$A$950,0)),""))</f>
        <v>2024</v>
      </c>
      <c r="V1033">
        <f t="shared" si="196"/>
        <v>2</v>
      </c>
    </row>
    <row r="1034" spans="20:22" x14ac:dyDescent="0.25">
      <c r="T1034">
        <f>IF(connections!$A1034="","",IFERROR(INDEX(games!$B$2:$B$950,MATCH(connections!$A1034,games!$A$2:$A$950,0)),""))</f>
        <v>2017</v>
      </c>
      <c r="U1034">
        <f>IF(connections!$A1034="","",IFERROR(INDEX(games!$B$2:$B$950,MATCH(connections!$B1034,games!$A$2:$A$950,0)),""))</f>
        <v>2024</v>
      </c>
      <c r="V1034">
        <f t="shared" si="196"/>
        <v>7</v>
      </c>
    </row>
    <row r="1035" spans="20:22" x14ac:dyDescent="0.25">
      <c r="T1035">
        <f>IF(connections!$A1035="","",IFERROR(INDEX(games!$B$2:$B$950,MATCH(connections!$A1035,games!$A$2:$A$950,0)),""))</f>
        <v>2011</v>
      </c>
      <c r="U1035">
        <f>IF(connections!$A1035="","",IFERROR(INDEX(games!$B$2:$B$950,MATCH(connections!$B1035,games!$A$2:$A$950,0)),""))</f>
        <v>2016</v>
      </c>
      <c r="V1035">
        <f t="shared" si="196"/>
        <v>5</v>
      </c>
    </row>
    <row r="1036" spans="20:22" x14ac:dyDescent="0.25">
      <c r="T1036">
        <f>IF(connections!$A1036="","",IFERROR(INDEX(games!$B$2:$B$950,MATCH(connections!$A1036,games!$A$2:$A$950,0)),""))</f>
        <v>1982</v>
      </c>
      <c r="U1036">
        <f>IF(connections!$A1036="","",IFERROR(INDEX(games!$B$2:$B$950,MATCH(connections!$B1036,games!$A$2:$A$950,0)),""))</f>
        <v>2016</v>
      </c>
      <c r="V1036">
        <f t="shared" si="196"/>
        <v>34</v>
      </c>
    </row>
    <row r="1037" spans="20:22" x14ac:dyDescent="0.25">
      <c r="T1037">
        <f>IF(connections!$A1037="","",IFERROR(INDEX(games!$B$2:$B$950,MATCH(connections!$A1037,games!$A$2:$A$950,0)),""))</f>
        <v>2017</v>
      </c>
      <c r="U1037">
        <f>IF(connections!$A1037="","",IFERROR(INDEX(games!$B$2:$B$950,MATCH(connections!$B1037,games!$A$2:$A$950,0)),""))</f>
        <v>2022</v>
      </c>
      <c r="V1037">
        <f t="shared" si="196"/>
        <v>5</v>
      </c>
    </row>
    <row r="1038" spans="20:22" x14ac:dyDescent="0.25">
      <c r="T1038">
        <f>IF(connections!$A1038="","",IFERROR(INDEX(games!$B$2:$B$950,MATCH(connections!$A1038,games!$A$2:$A$950,0)),""))</f>
        <v>2021</v>
      </c>
      <c r="U1038">
        <f>IF(connections!$A1038="","",IFERROR(INDEX(games!$B$2:$B$950,MATCH(connections!$B1038,games!$A$2:$A$950,0)),""))</f>
        <v>2022</v>
      </c>
      <c r="V1038">
        <f t="shared" si="196"/>
        <v>1</v>
      </c>
    </row>
    <row r="1039" spans="20:22" x14ac:dyDescent="0.25">
      <c r="T1039">
        <f>IF(connections!$A1039="","",IFERROR(INDEX(games!$B$2:$B$950,MATCH(connections!$A1039,games!$A$2:$A$950,0)),""))</f>
        <v>2017</v>
      </c>
      <c r="U1039">
        <f>IF(connections!$A1039="","",IFERROR(INDEX(games!$B$2:$B$950,MATCH(connections!$B1039,games!$A$2:$A$950,0)),""))</f>
        <v>2021</v>
      </c>
      <c r="V1039">
        <f t="shared" si="196"/>
        <v>4</v>
      </c>
    </row>
    <row r="1040" spans="20:22" x14ac:dyDescent="0.25">
      <c r="T1040">
        <f>IF(connections!$A1040="","",IFERROR(INDEX(games!$B$2:$B$950,MATCH(connections!$A1040,games!$A$2:$A$950,0)),""))</f>
        <v>2009</v>
      </c>
      <c r="U1040">
        <f>IF(connections!$A1040="","",IFERROR(INDEX(games!$B$2:$B$950,MATCH(connections!$B1040,games!$A$2:$A$950,0)),""))</f>
        <v>2023</v>
      </c>
      <c r="V1040">
        <f t="shared" si="196"/>
        <v>14</v>
      </c>
    </row>
    <row r="1041" spans="20:22" x14ac:dyDescent="0.25">
      <c r="T1041">
        <f>IF(connections!$A1041="","",IFERROR(INDEX(games!$B$2:$B$950,MATCH(connections!$A1041,games!$A$2:$A$950,0)),""))</f>
        <v>1980</v>
      </c>
      <c r="U1041">
        <f>IF(connections!$A1041="","",IFERROR(INDEX(games!$B$2:$B$950,MATCH(connections!$B1041,games!$A$2:$A$950,0)),""))</f>
        <v>2023</v>
      </c>
      <c r="V1041">
        <f t="shared" si="196"/>
        <v>43</v>
      </c>
    </row>
    <row r="1042" spans="20:22" x14ac:dyDescent="0.25">
      <c r="T1042">
        <f>IF(connections!$A1042="","",IFERROR(INDEX(games!$B$2:$B$950,MATCH(connections!$A1042,games!$A$2:$A$950,0)),""))</f>
        <v>2023</v>
      </c>
      <c r="U1042">
        <f>IF(connections!$A1042="","",IFERROR(INDEX(games!$B$2:$B$950,MATCH(connections!$B1042,games!$A$2:$A$950,0)),""))</f>
        <v>2026</v>
      </c>
      <c r="V1042">
        <f t="shared" si="196"/>
        <v>3</v>
      </c>
    </row>
    <row r="1043" spans="20:22" x14ac:dyDescent="0.25">
      <c r="T1043">
        <f>IF(connections!$A1043="","",IFERROR(INDEX(games!$B$2:$B$950,MATCH(connections!$A1043,games!$A$2:$A$950,0)),""))</f>
        <v>2017</v>
      </c>
      <c r="U1043">
        <f>IF(connections!$A1043="","",IFERROR(INDEX(games!$B$2:$B$950,MATCH(connections!$B1043,games!$A$2:$A$950,0)),""))</f>
        <v>2026</v>
      </c>
      <c r="V1043">
        <f t="shared" si="196"/>
        <v>9</v>
      </c>
    </row>
    <row r="1044" spans="20:22" x14ac:dyDescent="0.25">
      <c r="T1044">
        <f>IF(connections!$A1044="","",IFERROR(INDEX(games!$B$2:$B$950,MATCH(connections!$A1044,games!$A$2:$A$950,0)),""))</f>
        <v>1980</v>
      </c>
      <c r="U1044">
        <f>IF(connections!$A1044="","",IFERROR(INDEX(games!$B$2:$B$950,MATCH(connections!$B1044,games!$A$2:$A$950,0)),""))</f>
        <v>2014</v>
      </c>
      <c r="V1044">
        <f t="shared" si="196"/>
        <v>34</v>
      </c>
    </row>
    <row r="1045" spans="20:22" x14ac:dyDescent="0.25">
      <c r="T1045">
        <f>IF(connections!$A1045="","",IFERROR(INDEX(games!$B$2:$B$950,MATCH(connections!$A1045,games!$A$2:$A$950,0)),""))</f>
        <v>2023</v>
      </c>
      <c r="U1045">
        <f>IF(connections!$A1045="","",IFERROR(INDEX(games!$B$2:$B$950,MATCH(connections!$B1045,games!$A$2:$A$950,0)),""))</f>
        <v>2024</v>
      </c>
      <c r="V1045">
        <f t="shared" si="196"/>
        <v>1</v>
      </c>
    </row>
    <row r="1046" spans="20:22" x14ac:dyDescent="0.25">
      <c r="T1046">
        <f>IF(connections!$A1046="","",IFERROR(INDEX(games!$B$2:$B$950,MATCH(connections!$A1046,games!$A$2:$A$950,0)),""))</f>
        <v>2021</v>
      </c>
      <c r="U1046">
        <f>IF(connections!$A1046="","",IFERROR(INDEX(games!$B$2:$B$950,MATCH(connections!$B1046,games!$A$2:$A$950,0)),""))</f>
        <v>2024</v>
      </c>
      <c r="V1046">
        <f t="shared" si="196"/>
        <v>3</v>
      </c>
    </row>
    <row r="1047" spans="20:22" x14ac:dyDescent="0.25">
      <c r="T1047">
        <f>IF(connections!$A1047="","",IFERROR(INDEX(games!$B$2:$B$950,MATCH(connections!$A1047,games!$A$2:$A$950,0)),""))</f>
        <v>2024</v>
      </c>
      <c r="U1047">
        <f>IF(connections!$A1047="","",IFERROR(INDEX(games!$B$2:$B$950,MATCH(connections!$B1047,games!$A$2:$A$950,0)),""))</f>
        <v>2026</v>
      </c>
      <c r="V1047">
        <f t="shared" si="196"/>
        <v>2</v>
      </c>
    </row>
    <row r="1048" spans="20:22" x14ac:dyDescent="0.25">
      <c r="T1048">
        <f>IF(connections!$A1048="","",IFERROR(INDEX(games!$B$2:$B$950,MATCH(connections!$A1048,games!$A$2:$A$950,0)),""))</f>
        <v>2023</v>
      </c>
      <c r="U1048">
        <f>IF(connections!$A1048="","",IFERROR(INDEX(games!$B$2:$B$950,MATCH(connections!$B1048,games!$A$2:$A$950,0)),""))</f>
        <v>2025</v>
      </c>
      <c r="V1048">
        <f t="shared" si="196"/>
        <v>2</v>
      </c>
    </row>
    <row r="1049" spans="20:22" x14ac:dyDescent="0.25">
      <c r="T1049">
        <f>IF(connections!$A1049="","",IFERROR(INDEX(games!$B$2:$B$950,MATCH(connections!$A1049,games!$A$2:$A$950,0)),""))</f>
        <v>2021</v>
      </c>
      <c r="U1049">
        <f>IF(connections!$A1049="","",IFERROR(INDEX(games!$B$2:$B$950,MATCH(connections!$B1049,games!$A$2:$A$950,0)),""))</f>
        <v>2025</v>
      </c>
      <c r="V1049">
        <f t="shared" si="196"/>
        <v>4</v>
      </c>
    </row>
    <row r="1050" spans="20:22" x14ac:dyDescent="0.25">
      <c r="T1050">
        <f>IF(connections!$A1050="","",IFERROR(INDEX(games!$B$2:$B$950,MATCH(connections!$A1050,games!$A$2:$A$950,0)),""))</f>
        <v>2017</v>
      </c>
      <c r="U1050">
        <f>IF(connections!$A1050="","",IFERROR(INDEX(games!$B$2:$B$950,MATCH(connections!$B1050,games!$A$2:$A$950,0)),""))</f>
        <v>2025</v>
      </c>
      <c r="V1050">
        <f t="shared" si="196"/>
        <v>8</v>
      </c>
    </row>
    <row r="1051" spans="20:22" x14ac:dyDescent="0.25">
      <c r="T1051">
        <f>IF(connections!$A1051="","",IFERROR(INDEX(games!$B$2:$B$950,MATCH(connections!$A1051,games!$A$2:$A$950,0)),""))</f>
        <v>2021</v>
      </c>
      <c r="U1051">
        <f>IF(connections!$A1051="","",IFERROR(INDEX(games!$B$2:$B$950,MATCH(connections!$B1051,games!$A$2:$A$950,0)),""))</f>
        <v>2025</v>
      </c>
      <c r="V1051">
        <f t="shared" si="196"/>
        <v>4</v>
      </c>
    </row>
    <row r="1052" spans="20:22" x14ac:dyDescent="0.25">
      <c r="T1052">
        <f>IF(connections!$A1052="","",IFERROR(INDEX(games!$B$2:$B$950,MATCH(connections!$A1052,games!$A$2:$A$950,0)),""))</f>
        <v>2022</v>
      </c>
      <c r="U1052">
        <f>IF(connections!$A1052="","",IFERROR(INDEX(games!$B$2:$B$950,MATCH(connections!$B1052,games!$A$2:$A$950,0)),""))</f>
        <v>2026</v>
      </c>
      <c r="V1052">
        <f t="shared" si="196"/>
        <v>4</v>
      </c>
    </row>
    <row r="1053" spans="20:22" x14ac:dyDescent="0.25">
      <c r="T1053">
        <f>IF(connections!$A1053="","",IFERROR(INDEX(games!$B$2:$B$950,MATCH(connections!$A1053,games!$A$2:$A$950,0)),""))</f>
        <v>2023</v>
      </c>
      <c r="U1053">
        <f>IF(connections!$A1053="","",IFERROR(INDEX(games!$B$2:$B$950,MATCH(connections!$B1053,games!$A$2:$A$950,0)),""))</f>
        <v>2025</v>
      </c>
      <c r="V1053">
        <f t="shared" si="196"/>
        <v>2</v>
      </c>
    </row>
    <row r="1054" spans="20:22" x14ac:dyDescent="0.25">
      <c r="T1054">
        <f>IF(connections!$A1054="","",IFERROR(INDEX(games!$B$2:$B$950,MATCH(connections!$A1054,games!$A$2:$A$950,0)),""))</f>
        <v>2015</v>
      </c>
      <c r="U1054">
        <f>IF(connections!$A1054="","",IFERROR(INDEX(games!$B$2:$B$950,MATCH(connections!$B1054,games!$A$2:$A$950,0)),""))</f>
        <v>2025</v>
      </c>
      <c r="V1054">
        <f t="shared" si="196"/>
        <v>10</v>
      </c>
    </row>
    <row r="1055" spans="20:22" x14ac:dyDescent="0.25">
      <c r="T1055">
        <f>IF(connections!$A1055="","",IFERROR(INDEX(games!$B$2:$B$950,MATCH(connections!$A1055,games!$A$2:$A$950,0)),""))</f>
        <v>1996</v>
      </c>
      <c r="U1055">
        <f>IF(connections!$A1055="","",IFERROR(INDEX(games!$B$2:$B$950,MATCH(connections!$B1055,games!$A$2:$A$950,0)),""))</f>
        <v>2025</v>
      </c>
      <c r="V1055">
        <f t="shared" si="196"/>
        <v>29</v>
      </c>
    </row>
    <row r="1056" spans="20:22" x14ac:dyDescent="0.25">
      <c r="T1056">
        <f>IF(connections!$A1056="","",IFERROR(INDEX(games!$B$2:$B$950,MATCH(connections!$A1056,games!$A$2:$A$950,0)),""))</f>
        <v>2021</v>
      </c>
      <c r="U1056">
        <f>IF(connections!$A1056="","",IFERROR(INDEX(games!$B$2:$B$950,MATCH(connections!$B1056,games!$A$2:$A$950,0)),""))</f>
        <v>2025</v>
      </c>
      <c r="V1056">
        <f t="shared" si="196"/>
        <v>4</v>
      </c>
    </row>
    <row r="1057" spans="20:22" x14ac:dyDescent="0.25">
      <c r="T1057">
        <f>IF(connections!$A1057="","",IFERROR(INDEX(games!$B$2:$B$950,MATCH(connections!$A1057,games!$A$2:$A$950,0)),""))</f>
        <v>2023</v>
      </c>
      <c r="U1057">
        <f>IF(connections!$A1057="","",IFERROR(INDEX(games!$B$2:$B$950,MATCH(connections!$B1057,games!$A$2:$A$950,0)),""))</f>
        <v>2026</v>
      </c>
      <c r="V1057">
        <f t="shared" si="196"/>
        <v>3</v>
      </c>
    </row>
    <row r="1058" spans="20:22" x14ac:dyDescent="0.25">
      <c r="T1058">
        <f>IF(connections!$A1058="","",IFERROR(INDEX(games!$B$2:$B$950,MATCH(connections!$A1058,games!$A$2:$A$950,0)),""))</f>
        <v>2017</v>
      </c>
      <c r="U1058">
        <f>IF(connections!$A1058="","",IFERROR(INDEX(games!$B$2:$B$950,MATCH(connections!$B1058,games!$A$2:$A$950,0)),""))</f>
        <v>2026</v>
      </c>
      <c r="V1058">
        <f t="shared" si="196"/>
        <v>9</v>
      </c>
    </row>
    <row r="1059" spans="20:22" x14ac:dyDescent="0.25">
      <c r="T1059">
        <f>IF(connections!$A1059="","",IFERROR(INDEX(games!$B$2:$B$950,MATCH(connections!$A1059,games!$A$2:$A$950,0)),""))</f>
        <v>2021</v>
      </c>
      <c r="U1059">
        <f>IF(connections!$A1059="","",IFERROR(INDEX(games!$B$2:$B$950,MATCH(connections!$B1059,games!$A$2:$A$950,0)),""))</f>
        <v>2023</v>
      </c>
      <c r="V1059">
        <f t="shared" si="196"/>
        <v>2</v>
      </c>
    </row>
    <row r="1060" spans="20:22" x14ac:dyDescent="0.25">
      <c r="T1060">
        <f>IF(connections!$A1060="","",IFERROR(INDEX(games!$B$2:$B$950,MATCH(connections!$A1060,games!$A$2:$A$950,0)),""))</f>
        <v>2017</v>
      </c>
      <c r="U1060">
        <f>IF(connections!$A1060="","",IFERROR(INDEX(games!$B$2:$B$950,MATCH(connections!$B1060,games!$A$2:$A$950,0)),""))</f>
        <v>2023</v>
      </c>
      <c r="V1060">
        <f t="shared" si="196"/>
        <v>6</v>
      </c>
    </row>
    <row r="1061" spans="20:22" x14ac:dyDescent="0.25">
      <c r="T1061">
        <f>IF(connections!$A1061="","",IFERROR(INDEX(games!$B$2:$B$950,MATCH(connections!$A1061,games!$A$2:$A$950,0)),""))</f>
        <v>2021</v>
      </c>
      <c r="U1061">
        <f>IF(connections!$A1061="","",IFERROR(INDEX(games!$B$2:$B$950,MATCH(connections!$B1061,games!$A$2:$A$950,0)),""))</f>
        <v>2022</v>
      </c>
      <c r="V1061">
        <f t="shared" si="196"/>
        <v>1</v>
      </c>
    </row>
    <row r="1062" spans="20:22" x14ac:dyDescent="0.25">
      <c r="T1062">
        <f>IF(connections!$A1062="","",IFERROR(INDEX(games!$B$2:$B$950,MATCH(connections!$A1062,games!$A$2:$A$950,0)),""))</f>
        <v>2010</v>
      </c>
      <c r="U1062">
        <f>IF(connections!$A1062="","",IFERROR(INDEX(games!$B$2:$B$950,MATCH(connections!$B1062,games!$A$2:$A$950,0)),""))</f>
        <v>2010</v>
      </c>
      <c r="V1062">
        <f t="shared" si="196"/>
        <v>0</v>
      </c>
    </row>
    <row r="1063" spans="20:22" x14ac:dyDescent="0.25">
      <c r="T1063">
        <f>IF(connections!$A1063="","",IFERROR(INDEX(games!$B$2:$B$950,MATCH(connections!$A1063,games!$A$2:$A$950,0)),""))</f>
        <v>2016</v>
      </c>
      <c r="U1063">
        <f>IF(connections!$A1063="","",IFERROR(INDEX(games!$B$2:$B$950,MATCH(connections!$B1063,games!$A$2:$A$950,0)),""))</f>
        <v>2024</v>
      </c>
      <c r="V1063">
        <f t="shared" si="196"/>
        <v>8</v>
      </c>
    </row>
    <row r="1064" spans="20:22" x14ac:dyDescent="0.25">
      <c r="T1064">
        <f>IF(connections!$A1064="","",IFERROR(INDEX(games!$B$2:$B$950,MATCH(connections!$A1064,games!$A$2:$A$950,0)),""))</f>
        <v>2015</v>
      </c>
      <c r="U1064">
        <f>IF(connections!$A1064="","",IFERROR(INDEX(games!$B$2:$B$950,MATCH(connections!$B1064,games!$A$2:$A$950,0)),""))</f>
        <v>2024</v>
      </c>
      <c r="V1064">
        <f t="shared" si="196"/>
        <v>9</v>
      </c>
    </row>
    <row r="1065" spans="20:22" x14ac:dyDescent="0.25">
      <c r="T1065">
        <f>IF(connections!$A1065="","",IFERROR(INDEX(games!$B$2:$B$950,MATCH(connections!$A1065,games!$A$2:$A$950,0)),""))</f>
        <v>2018</v>
      </c>
      <c r="U1065">
        <f>IF(connections!$A1065="","",IFERROR(INDEX(games!$B$2:$B$950,MATCH(connections!$B1065,games!$A$2:$A$950,0)),""))</f>
        <v>2024</v>
      </c>
      <c r="V1065">
        <f t="shared" si="196"/>
        <v>6</v>
      </c>
    </row>
    <row r="1066" spans="20:22" x14ac:dyDescent="0.25">
      <c r="T1066">
        <f>IF(connections!$A1066="","",IFERROR(INDEX(games!$B$2:$B$950,MATCH(connections!$A1066,games!$A$2:$A$950,0)),""))</f>
        <v>2021</v>
      </c>
      <c r="U1066">
        <f>IF(connections!$A1066="","",IFERROR(INDEX(games!$B$2:$B$950,MATCH(connections!$B1066,games!$A$2:$A$950,0)),""))</f>
        <v>2022</v>
      </c>
      <c r="V1066">
        <f t="shared" si="196"/>
        <v>1</v>
      </c>
    </row>
    <row r="1067" spans="20:22" x14ac:dyDescent="0.25">
      <c r="T1067">
        <f>IF(connections!$A1067="","",IFERROR(INDEX(games!$B$2:$B$950,MATCH(connections!$A1067,games!$A$2:$A$950,0)),""))</f>
        <v>2023</v>
      </c>
      <c r="U1067">
        <f>IF(connections!$A1067="","",IFERROR(INDEX(games!$B$2:$B$950,MATCH(connections!$B1067,games!$A$2:$A$950,0)),""))</f>
        <v>2023</v>
      </c>
      <c r="V1067">
        <f t="shared" si="196"/>
        <v>0</v>
      </c>
    </row>
    <row r="1068" spans="20:22" x14ac:dyDescent="0.25">
      <c r="T1068">
        <f>IF(connections!$A1068="","",IFERROR(INDEX(games!$B$2:$B$950,MATCH(connections!$A1068,games!$A$2:$A$950,0)),""))</f>
        <v>2011</v>
      </c>
      <c r="U1068">
        <f>IF(connections!$A1068="","",IFERROR(INDEX(games!$B$2:$B$950,MATCH(connections!$B1068,games!$A$2:$A$950,0)),""))</f>
        <v>2023</v>
      </c>
      <c r="V1068">
        <f t="shared" si="196"/>
        <v>12</v>
      </c>
    </row>
    <row r="1069" spans="20:22" x14ac:dyDescent="0.25">
      <c r="T1069">
        <f>IF(connections!$A1069="","",IFERROR(INDEX(games!$B$2:$B$950,MATCH(connections!$A1069,games!$A$2:$A$950,0)),""))</f>
        <v>2019</v>
      </c>
      <c r="U1069">
        <f>IF(connections!$A1069="","",IFERROR(INDEX(games!$B$2:$B$950,MATCH(connections!$B1069,games!$A$2:$A$950,0)),""))</f>
        <v>2020</v>
      </c>
      <c r="V1069">
        <f t="shared" si="196"/>
        <v>1</v>
      </c>
    </row>
    <row r="1070" spans="20:22" x14ac:dyDescent="0.25">
      <c r="T1070">
        <f>IF(connections!$A1070="","",IFERROR(INDEX(games!$B$2:$B$950,MATCH(connections!$A1070,games!$A$2:$A$950,0)),""))</f>
        <v>2018</v>
      </c>
      <c r="U1070">
        <f>IF(connections!$A1070="","",IFERROR(INDEX(games!$B$2:$B$950,MATCH(connections!$B1070,games!$A$2:$A$950,0)),""))</f>
        <v>2020</v>
      </c>
      <c r="V1070">
        <f t="shared" si="196"/>
        <v>2</v>
      </c>
    </row>
    <row r="1071" spans="20:22" x14ac:dyDescent="0.25">
      <c r="T1071">
        <f>IF(connections!$A1071="","",IFERROR(INDEX(games!$B$2:$B$950,MATCH(connections!$A1071,games!$A$2:$A$950,0)),""))</f>
        <v>2015</v>
      </c>
      <c r="U1071">
        <f>IF(connections!$A1071="","",IFERROR(INDEX(games!$B$2:$B$950,MATCH(connections!$B1071,games!$A$2:$A$950,0)),""))</f>
        <v>2020</v>
      </c>
      <c r="V1071">
        <f t="shared" si="196"/>
        <v>5</v>
      </c>
    </row>
    <row r="1072" spans="20:22" x14ac:dyDescent="0.25">
      <c r="T1072">
        <f>IF(connections!$A1072="","",IFERROR(INDEX(games!$B$2:$B$950,MATCH(connections!$A1072,games!$A$2:$A$950,0)),""))</f>
        <v>2017</v>
      </c>
      <c r="U1072">
        <f>IF(connections!$A1072="","",IFERROR(INDEX(games!$B$2:$B$950,MATCH(connections!$B1072,games!$A$2:$A$950,0)),""))</f>
        <v>2020</v>
      </c>
      <c r="V1072">
        <f t="shared" si="196"/>
        <v>3</v>
      </c>
    </row>
    <row r="1073" spans="20:22" x14ac:dyDescent="0.25">
      <c r="T1073">
        <f>IF(connections!$A1073="","",IFERROR(INDEX(games!$B$2:$B$950,MATCH(connections!$A1073,games!$A$2:$A$950,0)),""))</f>
        <v>2017</v>
      </c>
      <c r="U1073">
        <f>IF(connections!$A1073="","",IFERROR(INDEX(games!$B$2:$B$950,MATCH(connections!$B1073,games!$A$2:$A$950,0)),""))</f>
        <v>2020</v>
      </c>
      <c r="V1073">
        <f t="shared" si="196"/>
        <v>3</v>
      </c>
    </row>
    <row r="1074" spans="20:22" x14ac:dyDescent="0.25">
      <c r="T1074">
        <f>IF(connections!$A1074="","",IFERROR(INDEX(games!$B$2:$B$950,MATCH(connections!$A1074,games!$A$2:$A$950,0)),""))</f>
        <v>2021</v>
      </c>
      <c r="U1074">
        <f>IF(connections!$A1074="","",IFERROR(INDEX(games!$B$2:$B$950,MATCH(connections!$B1074,games!$A$2:$A$950,0)),""))</f>
        <v>2023</v>
      </c>
      <c r="V1074">
        <f t="shared" si="196"/>
        <v>2</v>
      </c>
    </row>
    <row r="1075" spans="20:22" x14ac:dyDescent="0.25">
      <c r="T1075">
        <f>IF(connections!$A1075="","",IFERROR(INDEX(games!$B$2:$B$950,MATCH(connections!$A1075,games!$A$2:$A$950,0)),""))</f>
        <v>2021</v>
      </c>
      <c r="U1075">
        <f>IF(connections!$A1075="","",IFERROR(INDEX(games!$B$2:$B$950,MATCH(connections!$B1075,games!$A$2:$A$950,0)),""))</f>
        <v>2023</v>
      </c>
      <c r="V1075">
        <f t="shared" si="196"/>
        <v>2</v>
      </c>
    </row>
    <row r="1076" spans="20:22" x14ac:dyDescent="0.25">
      <c r="T1076">
        <f>IF(connections!$A1076="","",IFERROR(INDEX(games!$B$2:$B$950,MATCH(connections!$A1076,games!$A$2:$A$950,0)),""))</f>
        <v>2017</v>
      </c>
      <c r="U1076">
        <f>IF(connections!$A1076="","",IFERROR(INDEX(games!$B$2:$B$950,MATCH(connections!$B1076,games!$A$2:$A$950,0)),""))</f>
        <v>2025</v>
      </c>
      <c r="V1076">
        <f t="shared" si="196"/>
        <v>8</v>
      </c>
    </row>
    <row r="1077" spans="20:22" x14ac:dyDescent="0.25">
      <c r="T1077">
        <f>IF(connections!$A1077="","",IFERROR(INDEX(games!$B$2:$B$950,MATCH(connections!$A1077,games!$A$2:$A$950,0)),""))</f>
        <v>2019</v>
      </c>
      <c r="U1077">
        <f>IF(connections!$A1077="","",IFERROR(INDEX(games!$B$2:$B$950,MATCH(connections!$B1077,games!$A$2:$A$950,0)),""))</f>
        <v>2025</v>
      </c>
      <c r="V1077">
        <f t="shared" si="196"/>
        <v>6</v>
      </c>
    </row>
    <row r="1078" spans="20:22" x14ac:dyDescent="0.25">
      <c r="T1078">
        <f>IF(connections!$A1078="","",IFERROR(INDEX(games!$B$2:$B$950,MATCH(connections!$A1078,games!$A$2:$A$950,0)),""))</f>
        <v>1996</v>
      </c>
      <c r="U1078">
        <f>IF(connections!$A1078="","",IFERROR(INDEX(games!$B$2:$B$950,MATCH(connections!$B1078,games!$A$2:$A$950,0)),""))</f>
        <v>2025</v>
      </c>
      <c r="V1078">
        <f t="shared" si="196"/>
        <v>29</v>
      </c>
    </row>
    <row r="1079" spans="20:22" x14ac:dyDescent="0.25">
      <c r="T1079">
        <f>IF(connections!$A1079="","",IFERROR(INDEX(games!$B$2:$B$950,MATCH(connections!$A1079,games!$A$2:$A$950,0)),""))</f>
        <v>2018</v>
      </c>
      <c r="U1079">
        <f>IF(connections!$A1079="","",IFERROR(INDEX(games!$B$2:$B$950,MATCH(connections!$B1079,games!$A$2:$A$950,0)),""))</f>
        <v>2025</v>
      </c>
      <c r="V1079">
        <f t="shared" si="196"/>
        <v>7</v>
      </c>
    </row>
    <row r="1080" spans="20:22" x14ac:dyDescent="0.25">
      <c r="T1080">
        <f>IF(connections!$A1080="","",IFERROR(INDEX(games!$B$2:$B$950,MATCH(connections!$A1080,games!$A$2:$A$950,0)),""))</f>
        <v>2016</v>
      </c>
      <c r="U1080">
        <f>IF(connections!$A1080="","",IFERROR(INDEX(games!$B$2:$B$950,MATCH(connections!$B1080,games!$A$2:$A$950,0)),""))</f>
        <v>2025</v>
      </c>
      <c r="V1080">
        <f t="shared" si="196"/>
        <v>9</v>
      </c>
    </row>
    <row r="1081" spans="20:22" x14ac:dyDescent="0.25">
      <c r="T1081">
        <f>IF(connections!$A1081="","",IFERROR(INDEX(games!$B$2:$B$950,MATCH(connections!$A1081,games!$A$2:$A$950,0)),""))</f>
        <v>2019</v>
      </c>
      <c r="U1081">
        <f>IF(connections!$A1081="","",IFERROR(INDEX(games!$B$2:$B$950,MATCH(connections!$B1081,games!$A$2:$A$950,0)),""))</f>
        <v>2025</v>
      </c>
      <c r="V1081">
        <f t="shared" si="196"/>
        <v>6</v>
      </c>
    </row>
    <row r="1082" spans="20:22" x14ac:dyDescent="0.25">
      <c r="T1082">
        <f>IF(connections!$A1082="","",IFERROR(INDEX(games!$B$2:$B$950,MATCH(connections!$A1082,games!$A$2:$A$950,0)),""))</f>
        <v>2019</v>
      </c>
      <c r="U1082">
        <f>IF(connections!$A1082="","",IFERROR(INDEX(games!$B$2:$B$950,MATCH(connections!$B1082,games!$A$2:$A$950,0)),""))</f>
        <v>2025</v>
      </c>
      <c r="V1082">
        <f t="shared" si="196"/>
        <v>6</v>
      </c>
    </row>
    <row r="1083" spans="20:22" x14ac:dyDescent="0.25">
      <c r="T1083">
        <f>IF(connections!$A1083="","",IFERROR(INDEX(games!$B$2:$B$950,MATCH(connections!$A1083,games!$A$2:$A$950,0)),""))</f>
        <v>2025</v>
      </c>
      <c r="U1083">
        <f>IF(connections!$A1083="","",IFERROR(INDEX(games!$B$2:$B$950,MATCH(connections!$B1083,games!$A$2:$A$950,0)),""))</f>
        <v>2026</v>
      </c>
      <c r="V1083">
        <f t="shared" si="196"/>
        <v>1</v>
      </c>
    </row>
    <row r="1084" spans="20:22" x14ac:dyDescent="0.25">
      <c r="T1084">
        <f>IF(connections!$A1084="","",IFERROR(INDEX(games!$B$2:$B$950,MATCH(connections!$A1084,games!$A$2:$A$950,0)),""))</f>
        <v>2019</v>
      </c>
      <c r="U1084">
        <f>IF(connections!$A1084="","",IFERROR(INDEX(games!$B$2:$B$950,MATCH(connections!$B1084,games!$A$2:$A$950,0)),""))</f>
        <v>2026</v>
      </c>
      <c r="V1084">
        <f t="shared" si="196"/>
        <v>7</v>
      </c>
    </row>
    <row r="1085" spans="20:22" x14ac:dyDescent="0.25">
      <c r="T1085">
        <f>IF(connections!$A1085="","",IFERROR(INDEX(games!$B$2:$B$950,MATCH(connections!$A1085,games!$A$2:$A$950,0)),""))</f>
        <v>2020</v>
      </c>
      <c r="U1085">
        <f>IF(connections!$A1085="","",IFERROR(INDEX(games!$B$2:$B$950,MATCH(connections!$B1085,games!$A$2:$A$950,0)),""))</f>
        <v>2026</v>
      </c>
      <c r="V1085">
        <f t="shared" si="196"/>
        <v>6</v>
      </c>
    </row>
    <row r="1086" spans="20:22" x14ac:dyDescent="0.25">
      <c r="T1086">
        <f>IF(connections!$A1086="","",IFERROR(INDEX(games!$B$2:$B$950,MATCH(connections!$A1086,games!$A$2:$A$950,0)),""))</f>
        <v>1994</v>
      </c>
      <c r="U1086">
        <f>IF(connections!$A1086="","",IFERROR(INDEX(games!$B$2:$B$950,MATCH(connections!$B1086,games!$A$2:$A$950,0)),""))</f>
        <v>2015</v>
      </c>
      <c r="V1086">
        <f t="shared" si="196"/>
        <v>21</v>
      </c>
    </row>
    <row r="1087" spans="20:22" x14ac:dyDescent="0.25">
      <c r="T1087">
        <f>IF(connections!$A1087="","",IFERROR(INDEX(games!$B$2:$B$950,MATCH(connections!$A1087,games!$A$2:$A$950,0)),""))</f>
        <v>1987</v>
      </c>
      <c r="U1087">
        <f>IF(connections!$A1087="","",IFERROR(INDEX(games!$B$2:$B$950,MATCH(connections!$B1087,games!$A$2:$A$950,0)),""))</f>
        <v>2015</v>
      </c>
      <c r="V1087">
        <f t="shared" si="196"/>
        <v>28</v>
      </c>
    </row>
    <row r="1088" spans="20:22" x14ac:dyDescent="0.25">
      <c r="T1088">
        <f>IF(connections!$A1088="","",IFERROR(INDEX(games!$B$2:$B$950,MATCH(connections!$A1088,games!$A$2:$A$950,0)),""))</f>
        <v>2015</v>
      </c>
      <c r="U1088">
        <f>IF(connections!$A1088="","",IFERROR(INDEX(games!$B$2:$B$950,MATCH(connections!$B1088,games!$A$2:$A$950,0)),""))</f>
        <v>2025</v>
      </c>
      <c r="V1088">
        <f t="shared" si="196"/>
        <v>10</v>
      </c>
    </row>
    <row r="1089" spans="20:22" x14ac:dyDescent="0.25">
      <c r="T1089">
        <f>IF(connections!$A1089="","",IFERROR(INDEX(games!$B$2:$B$950,MATCH(connections!$A1089,games!$A$2:$A$950,0)),""))</f>
        <v>2019</v>
      </c>
      <c r="U1089">
        <f>IF(connections!$A1089="","",IFERROR(INDEX(games!$B$2:$B$950,MATCH(connections!$B1089,games!$A$2:$A$950,0)),""))</f>
        <v>2025</v>
      </c>
      <c r="V1089">
        <f t="shared" si="196"/>
        <v>6</v>
      </c>
    </row>
    <row r="1090" spans="20:22" x14ac:dyDescent="0.25">
      <c r="T1090">
        <f>IF(connections!$A1090="","",IFERROR(INDEX(games!$B$2:$B$950,MATCH(connections!$A1090,games!$A$2:$A$950,0)),""))</f>
        <v>2017</v>
      </c>
      <c r="U1090">
        <f>IF(connections!$A1090="","",IFERROR(INDEX(games!$B$2:$B$950,MATCH(connections!$B1090,games!$A$2:$A$950,0)),""))</f>
        <v>2025</v>
      </c>
      <c r="V1090">
        <f t="shared" ref="V1090:V1153" si="197">IF(OR($T1090="",$U1090=""),"",$U1090-$T1090)</f>
        <v>8</v>
      </c>
    </row>
    <row r="1091" spans="20:22" x14ac:dyDescent="0.25">
      <c r="T1091">
        <f>IF(connections!$A1091="","",IFERROR(INDEX(games!$B$2:$B$950,MATCH(connections!$A1091,games!$A$2:$A$950,0)),""))</f>
        <v>2012</v>
      </c>
      <c r="U1091">
        <f>IF(connections!$A1091="","",IFERROR(INDEX(games!$B$2:$B$950,MATCH(connections!$B1091,games!$A$2:$A$950,0)),""))</f>
        <v>2025</v>
      </c>
      <c r="V1091">
        <f t="shared" si="197"/>
        <v>13</v>
      </c>
    </row>
    <row r="1092" spans="20:22" x14ac:dyDescent="0.25">
      <c r="T1092">
        <f>IF(connections!$A1092="","",IFERROR(INDEX(games!$B$2:$B$950,MATCH(connections!$A1092,games!$A$2:$A$950,0)),""))</f>
        <v>2023</v>
      </c>
      <c r="U1092">
        <f>IF(connections!$A1092="","",IFERROR(INDEX(games!$B$2:$B$950,MATCH(connections!$B1092,games!$A$2:$A$950,0)),""))</f>
        <v>2025</v>
      </c>
      <c r="V1092">
        <f t="shared" si="197"/>
        <v>2</v>
      </c>
    </row>
    <row r="1093" spans="20:22" x14ac:dyDescent="0.25">
      <c r="T1093">
        <f>IF(connections!$A1093="","",IFERROR(INDEX(games!$B$2:$B$950,MATCH(connections!$A1093,games!$A$2:$A$950,0)),""))</f>
        <v>2013</v>
      </c>
      <c r="U1093">
        <f>IF(connections!$A1093="","",IFERROR(INDEX(games!$B$2:$B$950,MATCH(connections!$B1093,games!$A$2:$A$950,0)),""))</f>
        <v>2025</v>
      </c>
      <c r="V1093">
        <f t="shared" si="197"/>
        <v>12</v>
      </c>
    </row>
    <row r="1094" spans="20:22" x14ac:dyDescent="0.25">
      <c r="T1094">
        <f>IF(connections!$A1094="","",IFERROR(INDEX(games!$B$2:$B$950,MATCH(connections!$A1094,games!$A$2:$A$950,0)),""))</f>
        <v>2022</v>
      </c>
      <c r="U1094">
        <f>IF(connections!$A1094="","",IFERROR(INDEX(games!$B$2:$B$950,MATCH(connections!$B1094,games!$A$2:$A$950,0)),""))</f>
        <v>2023</v>
      </c>
      <c r="V1094">
        <f t="shared" si="197"/>
        <v>1</v>
      </c>
    </row>
    <row r="1095" spans="20:22" x14ac:dyDescent="0.25">
      <c r="T1095">
        <f>IF(connections!$A1095="","",IFERROR(INDEX(games!$B$2:$B$950,MATCH(connections!$A1095,games!$A$2:$A$950,0)),""))</f>
        <v>2020</v>
      </c>
      <c r="U1095">
        <f>IF(connections!$A1095="","",IFERROR(INDEX(games!$B$2:$B$950,MATCH(connections!$B1095,games!$A$2:$A$950,0)),""))</f>
        <v>2023</v>
      </c>
      <c r="V1095">
        <f t="shared" si="197"/>
        <v>3</v>
      </c>
    </row>
    <row r="1096" spans="20:22" x14ac:dyDescent="0.25">
      <c r="T1096">
        <f>IF(connections!$A1096="","",IFERROR(INDEX(games!$B$2:$B$950,MATCH(connections!$A1096,games!$A$2:$A$950,0)),""))</f>
        <v>2023</v>
      </c>
      <c r="U1096">
        <f>IF(connections!$A1096="","",IFERROR(INDEX(games!$B$2:$B$950,MATCH(connections!$B1096,games!$A$2:$A$950,0)),""))</f>
        <v>2025</v>
      </c>
      <c r="V1096">
        <f t="shared" si="197"/>
        <v>2</v>
      </c>
    </row>
    <row r="1097" spans="20:22" x14ac:dyDescent="0.25">
      <c r="T1097">
        <f>IF(connections!$A1097="","",IFERROR(INDEX(games!$B$2:$B$950,MATCH(connections!$A1097,games!$A$2:$A$950,0)),""))</f>
        <v>2012</v>
      </c>
      <c r="U1097">
        <f>IF(connections!$A1097="","",IFERROR(INDEX(games!$B$2:$B$950,MATCH(connections!$B1097,games!$A$2:$A$950,0)),""))</f>
        <v>2014</v>
      </c>
      <c r="V1097">
        <f t="shared" si="197"/>
        <v>2</v>
      </c>
    </row>
    <row r="1098" spans="20:22" x14ac:dyDescent="0.25">
      <c r="T1098">
        <f>IF(connections!$A1098="","",IFERROR(INDEX(games!$B$2:$B$950,MATCH(connections!$A1098,games!$A$2:$A$950,0)),""))</f>
        <v>2019</v>
      </c>
      <c r="U1098">
        <f>IF(connections!$A1098="","",IFERROR(INDEX(games!$B$2:$B$950,MATCH(connections!$B1098,games!$A$2:$A$950,0)),""))</f>
        <v>2022</v>
      </c>
      <c r="V1098">
        <f t="shared" si="197"/>
        <v>3</v>
      </c>
    </row>
    <row r="1099" spans="20:22" x14ac:dyDescent="0.25">
      <c r="T1099">
        <f>IF(connections!$A1099="","",IFERROR(INDEX(games!$B$2:$B$950,MATCH(connections!$A1099,games!$A$2:$A$950,0)),""))</f>
        <v>2020</v>
      </c>
      <c r="U1099">
        <f>IF(connections!$A1099="","",IFERROR(INDEX(games!$B$2:$B$950,MATCH(connections!$B1099,games!$A$2:$A$950,0)),""))</f>
        <v>2022</v>
      </c>
      <c r="V1099">
        <f t="shared" si="197"/>
        <v>2</v>
      </c>
    </row>
    <row r="1100" spans="20:22" x14ac:dyDescent="0.25">
      <c r="T1100">
        <f>IF(connections!$A1100="","",IFERROR(INDEX(games!$B$2:$B$950,MATCH(connections!$A1100,games!$A$2:$A$950,0)),""))</f>
        <v>2011</v>
      </c>
      <c r="U1100">
        <f>IF(connections!$A1100="","",IFERROR(INDEX(games!$B$2:$B$950,MATCH(connections!$B1100,games!$A$2:$A$950,0)),""))</f>
        <v>2022</v>
      </c>
      <c r="V1100">
        <f t="shared" si="197"/>
        <v>11</v>
      </c>
    </row>
    <row r="1101" spans="20:22" x14ac:dyDescent="0.25">
      <c r="T1101">
        <f>IF(connections!$A1101="","",IFERROR(INDEX(games!$B$2:$B$950,MATCH(connections!$A1101,games!$A$2:$A$950,0)),""))</f>
        <v>2000</v>
      </c>
      <c r="U1101">
        <f>IF(connections!$A1101="","",IFERROR(INDEX(games!$B$2:$B$950,MATCH(connections!$B1101,games!$A$2:$A$950,0)),""))</f>
        <v>2008</v>
      </c>
      <c r="V1101">
        <f t="shared" si="197"/>
        <v>8</v>
      </c>
    </row>
    <row r="1102" spans="20:22" x14ac:dyDescent="0.25">
      <c r="T1102">
        <f>IF(connections!$A1102="","",IFERROR(INDEX(games!$B$2:$B$950,MATCH(connections!$A1102,games!$A$2:$A$950,0)),""))</f>
        <v>1995</v>
      </c>
      <c r="U1102">
        <f>IF(connections!$A1102="","",IFERROR(INDEX(games!$B$2:$B$950,MATCH(connections!$B1102,games!$A$2:$A$950,0)),""))</f>
        <v>2000</v>
      </c>
      <c r="V1102">
        <f t="shared" si="197"/>
        <v>5</v>
      </c>
    </row>
    <row r="1103" spans="20:22" x14ac:dyDescent="0.25">
      <c r="T1103">
        <f>IF(connections!$A1103="","",IFERROR(INDEX(games!$B$2:$B$950,MATCH(connections!$A1103,games!$A$2:$A$950,0)),""))</f>
        <v>2008</v>
      </c>
      <c r="U1103">
        <f>IF(connections!$A1103="","",IFERROR(INDEX(games!$B$2:$B$950,MATCH(connections!$B1103,games!$A$2:$A$950,0)),""))</f>
        <v>2010</v>
      </c>
      <c r="V1103">
        <f t="shared" si="197"/>
        <v>2</v>
      </c>
    </row>
    <row r="1104" spans="20:22" x14ac:dyDescent="0.25">
      <c r="T1104">
        <f>IF(connections!$A1104="","",IFERROR(INDEX(games!$B$2:$B$950,MATCH(connections!$A1104,games!$A$2:$A$950,0)),""))</f>
        <v>2000</v>
      </c>
      <c r="U1104">
        <f>IF(connections!$A1104="","",IFERROR(INDEX(games!$B$2:$B$950,MATCH(connections!$B1104,games!$A$2:$A$950,0)),""))</f>
        <v>2002</v>
      </c>
      <c r="V1104">
        <f t="shared" si="197"/>
        <v>2</v>
      </c>
    </row>
    <row r="1105" spans="20:22" x14ac:dyDescent="0.25">
      <c r="T1105">
        <f>IF(connections!$A1105="","",IFERROR(INDEX(games!$B$2:$B$950,MATCH(connections!$A1105,games!$A$2:$A$950,0)),""))</f>
        <v>1995</v>
      </c>
      <c r="U1105">
        <f>IF(connections!$A1105="","",IFERROR(INDEX(games!$B$2:$B$950,MATCH(connections!$B1105,games!$A$2:$A$950,0)),""))</f>
        <v>1996</v>
      </c>
      <c r="V1105">
        <f t="shared" si="197"/>
        <v>1</v>
      </c>
    </row>
    <row r="1106" spans="20:22" x14ac:dyDescent="0.25">
      <c r="T1106">
        <f>IF(connections!$A1106="","",IFERROR(INDEX(games!$B$2:$B$950,MATCH(connections!$A1106,games!$A$2:$A$950,0)),""))</f>
        <v>1996</v>
      </c>
      <c r="U1106">
        <f>IF(connections!$A1106="","",IFERROR(INDEX(games!$B$2:$B$950,MATCH(connections!$B1106,games!$A$2:$A$950,0)),""))</f>
        <v>2001</v>
      </c>
      <c r="V1106">
        <f t="shared" si="197"/>
        <v>5</v>
      </c>
    </row>
    <row r="1107" spans="20:22" x14ac:dyDescent="0.25">
      <c r="T1107">
        <f>IF(connections!$A1107="","",IFERROR(INDEX(games!$B$2:$B$950,MATCH(connections!$A1107,games!$A$2:$A$950,0)),""))</f>
        <v>2010</v>
      </c>
      <c r="U1107">
        <f>IF(connections!$A1107="","",IFERROR(INDEX(games!$B$2:$B$950,MATCH(connections!$B1107,games!$A$2:$A$950,0)),""))</f>
        <v>2024</v>
      </c>
      <c r="V1107">
        <f t="shared" si="197"/>
        <v>14</v>
      </c>
    </row>
    <row r="1108" spans="20:22" x14ac:dyDescent="0.25">
      <c r="T1108">
        <f>IF(connections!$A1108="","",IFERROR(INDEX(games!$B$2:$B$950,MATCH(connections!$A1108,games!$A$2:$A$950,0)),""))</f>
        <v>2010</v>
      </c>
      <c r="U1108">
        <f>IF(connections!$A1108="","",IFERROR(INDEX(games!$B$2:$B$950,MATCH(connections!$B1108,games!$A$2:$A$950,0)),""))</f>
        <v>2010</v>
      </c>
      <c r="V1108">
        <f t="shared" si="197"/>
        <v>0</v>
      </c>
    </row>
    <row r="1109" spans="20:22" x14ac:dyDescent="0.25">
      <c r="T1109">
        <f>IF(connections!$A1109="","",IFERROR(INDEX(games!$B$2:$B$950,MATCH(connections!$A1109,games!$A$2:$A$950,0)),""))</f>
        <v>2015</v>
      </c>
      <c r="U1109">
        <f>IF(connections!$A1109="","",IFERROR(INDEX(games!$B$2:$B$950,MATCH(connections!$B1109,games!$A$2:$A$950,0)),""))</f>
        <v>2023</v>
      </c>
      <c r="V1109">
        <f t="shared" si="197"/>
        <v>8</v>
      </c>
    </row>
    <row r="1110" spans="20:22" x14ac:dyDescent="0.25">
      <c r="T1110">
        <f>IF(connections!$A1110="","",IFERROR(INDEX(games!$B$2:$B$950,MATCH(connections!$A1110,games!$A$2:$A$950,0)),""))</f>
        <v>2015</v>
      </c>
      <c r="U1110">
        <f>IF(connections!$A1110="","",IFERROR(INDEX(games!$B$2:$B$950,MATCH(connections!$B1110,games!$A$2:$A$950,0)),""))</f>
        <v>2023</v>
      </c>
      <c r="V1110">
        <f t="shared" si="197"/>
        <v>8</v>
      </c>
    </row>
    <row r="1111" spans="20:22" x14ac:dyDescent="0.25">
      <c r="T1111">
        <f>IF(connections!$A1111="","",IFERROR(INDEX(games!$B$2:$B$950,MATCH(connections!$A1111,games!$A$2:$A$950,0)),""))</f>
        <v>2018</v>
      </c>
      <c r="U1111">
        <f>IF(connections!$A1111="","",IFERROR(INDEX(games!$B$2:$B$950,MATCH(connections!$B1111,games!$A$2:$A$950,0)),""))</f>
        <v>2023</v>
      </c>
      <c r="V1111">
        <f t="shared" si="197"/>
        <v>5</v>
      </c>
    </row>
    <row r="1112" spans="20:22" x14ac:dyDescent="0.25">
      <c r="T1112">
        <f>IF(connections!$A1112="","",IFERROR(INDEX(games!$B$2:$B$950,MATCH(connections!$A1112,games!$A$2:$A$950,0)),""))</f>
        <v>2017</v>
      </c>
      <c r="U1112">
        <f>IF(connections!$A1112="","",IFERROR(INDEX(games!$B$2:$B$950,MATCH(connections!$B1112,games!$A$2:$A$950,0)),""))</f>
        <v>2023</v>
      </c>
      <c r="V1112">
        <f t="shared" si="197"/>
        <v>6</v>
      </c>
    </row>
    <row r="1113" spans="20:22" x14ac:dyDescent="0.25">
      <c r="T1113">
        <f>IF(connections!$A1113="","",IFERROR(INDEX(games!$B$2:$B$950,MATCH(connections!$A1113,games!$A$2:$A$950,0)),""))</f>
        <v>2015</v>
      </c>
      <c r="U1113">
        <f>IF(connections!$A1113="","",IFERROR(INDEX(games!$B$2:$B$950,MATCH(connections!$B1113,games!$A$2:$A$950,0)),""))</f>
        <v>2022</v>
      </c>
      <c r="V1113">
        <f t="shared" si="197"/>
        <v>7</v>
      </c>
    </row>
    <row r="1114" spans="20:22" x14ac:dyDescent="0.25">
      <c r="T1114">
        <f>IF(connections!$A1114="","",IFERROR(INDEX(games!$B$2:$B$950,MATCH(connections!$A1114,games!$A$2:$A$950,0)),""))</f>
        <v>2008</v>
      </c>
      <c r="U1114">
        <f>IF(connections!$A1114="","",IFERROR(INDEX(games!$B$2:$B$950,MATCH(connections!$B1114,games!$A$2:$A$950,0)),""))</f>
        <v>2022</v>
      </c>
      <c r="V1114">
        <f t="shared" si="197"/>
        <v>14</v>
      </c>
    </row>
    <row r="1115" spans="20:22" x14ac:dyDescent="0.25">
      <c r="T1115">
        <f>IF(connections!$A1115="","",IFERROR(INDEX(games!$B$2:$B$950,MATCH(connections!$A1115,games!$A$2:$A$950,0)),""))</f>
        <v>2021</v>
      </c>
      <c r="U1115">
        <f>IF(connections!$A1115="","",IFERROR(INDEX(games!$B$2:$B$950,MATCH(connections!$B1115,games!$A$2:$A$950,0)),""))</f>
        <v>2026</v>
      </c>
      <c r="V1115">
        <f t="shared" si="197"/>
        <v>5</v>
      </c>
    </row>
    <row r="1116" spans="20:22" x14ac:dyDescent="0.25">
      <c r="T1116">
        <f>IF(connections!$A1116="","",IFERROR(INDEX(games!$B$2:$B$950,MATCH(connections!$A1116,games!$A$2:$A$950,0)),""))</f>
        <v>2017</v>
      </c>
      <c r="U1116">
        <f>IF(connections!$A1116="","",IFERROR(INDEX(games!$B$2:$B$950,MATCH(connections!$B1116,games!$A$2:$A$950,0)),""))</f>
        <v>2026</v>
      </c>
      <c r="V1116">
        <f t="shared" si="197"/>
        <v>9</v>
      </c>
    </row>
    <row r="1117" spans="20:22" x14ac:dyDescent="0.25">
      <c r="T1117">
        <f>IF(connections!$A1117="","",IFERROR(INDEX(games!$B$2:$B$950,MATCH(connections!$A1117,games!$A$2:$A$950,0)),""))</f>
        <v>1990</v>
      </c>
      <c r="U1117">
        <f>IF(connections!$A1117="","",IFERROR(INDEX(games!$B$2:$B$950,MATCH(connections!$B1117,games!$A$2:$A$950,0)),""))</f>
        <v>2012</v>
      </c>
      <c r="V1117">
        <f t="shared" si="197"/>
        <v>22</v>
      </c>
    </row>
    <row r="1118" spans="20:22" x14ac:dyDescent="0.25">
      <c r="T1118">
        <f>IF(connections!$A1118="","",IFERROR(INDEX(games!$B$2:$B$950,MATCH(connections!$A1118,games!$A$2:$A$950,0)),""))</f>
        <v>2025</v>
      </c>
      <c r="U1118">
        <f>IF(connections!$A1118="","",IFERROR(INDEX(games!$B$2:$B$950,MATCH(connections!$B1118,games!$A$2:$A$950,0)),""))</f>
        <v>2026</v>
      </c>
      <c r="V1118">
        <f t="shared" si="197"/>
        <v>1</v>
      </c>
    </row>
    <row r="1119" spans="20:22" x14ac:dyDescent="0.25">
      <c r="T1119">
        <f>IF(connections!$A1119="","",IFERROR(INDEX(games!$B$2:$B$950,MATCH(connections!$A1119,games!$A$2:$A$950,0)),""))</f>
        <v>2021</v>
      </c>
      <c r="U1119">
        <f>IF(connections!$A1119="","",IFERROR(INDEX(games!$B$2:$B$950,MATCH(connections!$B1119,games!$A$2:$A$950,0)),""))</f>
        <v>2026</v>
      </c>
      <c r="V1119">
        <f t="shared" si="197"/>
        <v>5</v>
      </c>
    </row>
    <row r="1120" spans="20:22" x14ac:dyDescent="0.25">
      <c r="T1120">
        <f>IF(connections!$A1120="","",IFERROR(INDEX(games!$B$2:$B$950,MATCH(connections!$A1120,games!$A$2:$A$950,0)),""))</f>
        <v>2023</v>
      </c>
      <c r="U1120">
        <f>IF(connections!$A1120="","",IFERROR(INDEX(games!$B$2:$B$950,MATCH(connections!$B1120,games!$A$2:$A$950,0)),""))</f>
        <v>2026</v>
      </c>
      <c r="V1120">
        <f t="shared" si="197"/>
        <v>3</v>
      </c>
    </row>
    <row r="1121" spans="20:22" x14ac:dyDescent="0.25">
      <c r="T1121">
        <f>IF(connections!$A1121="","",IFERROR(INDEX(games!$B$2:$B$950,MATCH(connections!$A1121,games!$A$2:$A$950,0)),""))</f>
        <v>2022</v>
      </c>
      <c r="U1121">
        <f>IF(connections!$A1121="","",IFERROR(INDEX(games!$B$2:$B$950,MATCH(connections!$B1121,games!$A$2:$A$950,0)),""))</f>
        <v>2026</v>
      </c>
      <c r="V1121">
        <f t="shared" si="197"/>
        <v>4</v>
      </c>
    </row>
    <row r="1122" spans="20:22" x14ac:dyDescent="0.25">
      <c r="T1122">
        <f>IF(connections!$A1122="","",IFERROR(INDEX(games!$B$2:$B$950,MATCH(connections!$A1122,games!$A$2:$A$950,0)),""))</f>
        <v>2008</v>
      </c>
      <c r="U1122">
        <f>IF(connections!$A1122="","",IFERROR(INDEX(games!$B$2:$B$950,MATCH(connections!$B1122,games!$A$2:$A$950,0)),""))</f>
        <v>2014</v>
      </c>
      <c r="V1122">
        <f t="shared" si="197"/>
        <v>6</v>
      </c>
    </row>
    <row r="1123" spans="20:22" x14ac:dyDescent="0.25">
      <c r="T1123">
        <f>IF(connections!$A1123="","",IFERROR(INDEX(games!$B$2:$B$950,MATCH(connections!$A1123,games!$A$2:$A$950,0)),""))</f>
        <v>2023</v>
      </c>
      <c r="U1123">
        <f>IF(connections!$A1123="","",IFERROR(INDEX(games!$B$2:$B$950,MATCH(connections!$B1123,games!$A$2:$A$950,0)),""))</f>
        <v>2024</v>
      </c>
      <c r="V1123">
        <f t="shared" si="197"/>
        <v>1</v>
      </c>
    </row>
    <row r="1124" spans="20:22" x14ac:dyDescent="0.25">
      <c r="T1124">
        <f>IF(connections!$A1124="","",IFERROR(INDEX(games!$B$2:$B$950,MATCH(connections!$A1124,games!$A$2:$A$950,0)),""))</f>
        <v>1987</v>
      </c>
      <c r="U1124">
        <f>IF(connections!$A1124="","",IFERROR(INDEX(games!$B$2:$B$950,MATCH(connections!$B1124,games!$A$2:$A$950,0)),""))</f>
        <v>2006</v>
      </c>
      <c r="V1124">
        <f t="shared" si="197"/>
        <v>19</v>
      </c>
    </row>
    <row r="1125" spans="20:22" x14ac:dyDescent="0.25">
      <c r="T1125">
        <f>IF(connections!$A1125="","",IFERROR(INDEX(games!$B$2:$B$950,MATCH(connections!$A1125,games!$A$2:$A$950,0)),""))</f>
        <v>2015</v>
      </c>
      <c r="U1125">
        <f>IF(connections!$A1125="","",IFERROR(INDEX(games!$B$2:$B$950,MATCH(connections!$B1125,games!$A$2:$A$950,0)),""))</f>
        <v>2017</v>
      </c>
      <c r="V1125">
        <f t="shared" si="197"/>
        <v>2</v>
      </c>
    </row>
    <row r="1126" spans="20:22" x14ac:dyDescent="0.25">
      <c r="T1126">
        <f>IF(connections!$A1126="","",IFERROR(INDEX(games!$B$2:$B$950,MATCH(connections!$A1126,games!$A$2:$A$950,0)),""))</f>
        <v>2014</v>
      </c>
      <c r="U1126">
        <f>IF(connections!$A1126="","",IFERROR(INDEX(games!$B$2:$B$950,MATCH(connections!$B1126,games!$A$2:$A$950,0)),""))</f>
        <v>2017</v>
      </c>
      <c r="V1126">
        <f t="shared" si="197"/>
        <v>3</v>
      </c>
    </row>
    <row r="1127" spans="20:22" x14ac:dyDescent="0.25">
      <c r="T1127">
        <f>IF(connections!$A1127="","",IFERROR(INDEX(games!$B$2:$B$950,MATCH(connections!$A1127,games!$A$2:$A$950,0)),""))</f>
        <v>2012</v>
      </c>
      <c r="U1127">
        <f>IF(connections!$A1127="","",IFERROR(INDEX(games!$B$2:$B$950,MATCH(connections!$B1127,games!$A$2:$A$950,0)),""))</f>
        <v>2017</v>
      </c>
      <c r="V1127">
        <f t="shared" si="197"/>
        <v>5</v>
      </c>
    </row>
    <row r="1128" spans="20:22" x14ac:dyDescent="0.25">
      <c r="T1128">
        <f>IF(connections!$A1128="","",IFERROR(INDEX(games!$B$2:$B$950,MATCH(connections!$A1128,games!$A$2:$A$950,0)),""))</f>
        <v>2011</v>
      </c>
      <c r="U1128">
        <f>IF(connections!$A1128="","",IFERROR(INDEX(games!$B$2:$B$950,MATCH(connections!$B1128,games!$A$2:$A$950,0)),""))</f>
        <v>2017</v>
      </c>
      <c r="V1128">
        <f t="shared" si="197"/>
        <v>6</v>
      </c>
    </row>
    <row r="1129" spans="20:22" x14ac:dyDescent="0.25">
      <c r="T1129">
        <f>IF(connections!$A1129="","",IFERROR(INDEX(games!$B$2:$B$950,MATCH(connections!$A1129,games!$A$2:$A$950,0)),""))</f>
        <v>2017</v>
      </c>
      <c r="U1129">
        <f>IF(connections!$A1129="","",IFERROR(INDEX(games!$B$2:$B$950,MATCH(connections!$B1129,games!$A$2:$A$950,0)),""))</f>
        <v>2026</v>
      </c>
      <c r="V1129">
        <f t="shared" si="197"/>
        <v>9</v>
      </c>
    </row>
    <row r="1130" spans="20:22" x14ac:dyDescent="0.25">
      <c r="T1130">
        <f>IF(connections!$A1130="","",IFERROR(INDEX(games!$B$2:$B$950,MATCH(connections!$A1130,games!$A$2:$A$950,0)),""))</f>
        <v>2012</v>
      </c>
      <c r="U1130">
        <f>IF(connections!$A1130="","",IFERROR(INDEX(games!$B$2:$B$950,MATCH(connections!$B1130,games!$A$2:$A$950,0)),""))</f>
        <v>2018</v>
      </c>
      <c r="V1130">
        <f t="shared" si="197"/>
        <v>6</v>
      </c>
    </row>
    <row r="1131" spans="20:22" x14ac:dyDescent="0.25">
      <c r="T1131">
        <f>IF(connections!$A1131="","",IFERROR(INDEX(games!$B$2:$B$950,MATCH(connections!$A1131,games!$A$2:$A$950,0)),""))</f>
        <v>2017</v>
      </c>
      <c r="U1131">
        <f>IF(connections!$A1131="","",IFERROR(INDEX(games!$B$2:$B$950,MATCH(connections!$B1131,games!$A$2:$A$950,0)),""))</f>
        <v>2018</v>
      </c>
      <c r="V1131">
        <f t="shared" si="197"/>
        <v>1</v>
      </c>
    </row>
    <row r="1132" spans="20:22" x14ac:dyDescent="0.25">
      <c r="T1132">
        <f>IF(connections!$A1132="","",IFERROR(INDEX(games!$B$2:$B$950,MATCH(connections!$A1132,games!$A$2:$A$950,0)),""))</f>
        <v>2023</v>
      </c>
      <c r="U1132">
        <f>IF(connections!$A1132="","",IFERROR(INDEX(games!$B$2:$B$950,MATCH(connections!$B1132,games!$A$2:$A$950,0)),""))</f>
        <v>2024</v>
      </c>
      <c r="V1132">
        <f t="shared" si="197"/>
        <v>1</v>
      </c>
    </row>
    <row r="1133" spans="20:22" x14ac:dyDescent="0.25">
      <c r="T1133">
        <f>IF(connections!$A1133="","",IFERROR(INDEX(games!$B$2:$B$950,MATCH(connections!$A1133,games!$A$2:$A$950,0)),""))</f>
        <v>2022</v>
      </c>
      <c r="U1133">
        <f>IF(connections!$A1133="","",IFERROR(INDEX(games!$B$2:$B$950,MATCH(connections!$B1133,games!$A$2:$A$950,0)),""))</f>
        <v>2023</v>
      </c>
      <c r="V1133">
        <f t="shared" si="197"/>
        <v>1</v>
      </c>
    </row>
    <row r="1134" spans="20:22" x14ac:dyDescent="0.25">
      <c r="T1134">
        <f>IF(connections!$A1134="","",IFERROR(INDEX(games!$B$2:$B$950,MATCH(connections!$A1134,games!$A$2:$A$950,0)),""))</f>
        <v>2022</v>
      </c>
      <c r="U1134">
        <f>IF(connections!$A1134="","",IFERROR(INDEX(games!$B$2:$B$950,MATCH(connections!$B1134,games!$A$2:$A$950,0)),""))</f>
        <v>2023</v>
      </c>
      <c r="V1134">
        <f t="shared" si="197"/>
        <v>1</v>
      </c>
    </row>
    <row r="1135" spans="20:22" x14ac:dyDescent="0.25">
      <c r="T1135">
        <f>IF(connections!$A1135="","",IFERROR(INDEX(games!$B$2:$B$950,MATCH(connections!$A1135,games!$A$2:$A$950,0)),""))</f>
        <v>2021</v>
      </c>
      <c r="U1135">
        <f>IF(connections!$A1135="","",IFERROR(INDEX(games!$B$2:$B$950,MATCH(connections!$B1135,games!$A$2:$A$950,0)),""))</f>
        <v>2023</v>
      </c>
      <c r="V1135">
        <f t="shared" si="197"/>
        <v>2</v>
      </c>
    </row>
    <row r="1136" spans="20:22" x14ac:dyDescent="0.25">
      <c r="T1136">
        <f>IF(connections!$A1136="","",IFERROR(INDEX(games!$B$2:$B$950,MATCH(connections!$A1136,games!$A$2:$A$950,0)),""))</f>
        <v>2019</v>
      </c>
      <c r="U1136">
        <f>IF(connections!$A1136="","",IFERROR(INDEX(games!$B$2:$B$950,MATCH(connections!$B1136,games!$A$2:$A$950,0)),""))</f>
        <v>2023</v>
      </c>
      <c r="V1136">
        <f t="shared" si="197"/>
        <v>4</v>
      </c>
    </row>
    <row r="1137" spans="20:22" x14ac:dyDescent="0.25">
      <c r="T1137">
        <f>IF(connections!$A1137="","",IFERROR(INDEX(games!$B$2:$B$950,MATCH(connections!$A1137,games!$A$2:$A$950,0)),""))</f>
        <v>2023</v>
      </c>
      <c r="U1137">
        <f>IF(connections!$A1137="","",IFERROR(INDEX(games!$B$2:$B$950,MATCH(connections!$B1137,games!$A$2:$A$950,0)),""))</f>
        <v>2023</v>
      </c>
      <c r="V1137">
        <f t="shared" si="197"/>
        <v>0</v>
      </c>
    </row>
    <row r="1138" spans="20:22" x14ac:dyDescent="0.25">
      <c r="T1138">
        <f>IF(connections!$A1138="","",IFERROR(INDEX(games!$B$2:$B$950,MATCH(connections!$A1138,games!$A$2:$A$950,0)),""))</f>
        <v>2022</v>
      </c>
      <c r="U1138">
        <f>IF(connections!$A1138="","",IFERROR(INDEX(games!$B$2:$B$950,MATCH(connections!$B1138,games!$A$2:$A$950,0)),""))</f>
        <v>2023</v>
      </c>
      <c r="V1138">
        <f t="shared" si="197"/>
        <v>1</v>
      </c>
    </row>
    <row r="1139" spans="20:22" x14ac:dyDescent="0.25">
      <c r="T1139">
        <f>IF(connections!$A1139="","",IFERROR(INDEX(games!$B$2:$B$950,MATCH(connections!$A1139,games!$A$2:$A$950,0)),""))</f>
        <v>2021</v>
      </c>
      <c r="U1139">
        <f>IF(connections!$A1139="","",IFERROR(INDEX(games!$B$2:$B$950,MATCH(connections!$B1139,games!$A$2:$A$950,0)),""))</f>
        <v>2023</v>
      </c>
      <c r="V1139">
        <f t="shared" si="197"/>
        <v>2</v>
      </c>
    </row>
    <row r="1140" spans="20:22" x14ac:dyDescent="0.25">
      <c r="T1140">
        <f>IF(connections!$A1140="","",IFERROR(INDEX(games!$B$2:$B$950,MATCH(connections!$A1140,games!$A$2:$A$950,0)),""))</f>
        <v>2023</v>
      </c>
      <c r="U1140">
        <f>IF(connections!$A1140="","",IFERROR(INDEX(games!$B$2:$B$950,MATCH(connections!$B1140,games!$A$2:$A$950,0)),""))</f>
        <v>2025</v>
      </c>
      <c r="V1140">
        <f t="shared" si="197"/>
        <v>2</v>
      </c>
    </row>
    <row r="1141" spans="20:22" x14ac:dyDescent="0.25">
      <c r="T1141">
        <f>IF(connections!$A1141="","",IFERROR(INDEX(games!$B$2:$B$950,MATCH(connections!$A1141,games!$A$2:$A$950,0)),""))</f>
        <v>2021</v>
      </c>
      <c r="U1141">
        <f>IF(connections!$A1141="","",IFERROR(INDEX(games!$B$2:$B$950,MATCH(connections!$B1141,games!$A$2:$A$950,0)),""))</f>
        <v>2025</v>
      </c>
      <c r="V1141">
        <f t="shared" si="197"/>
        <v>4</v>
      </c>
    </row>
    <row r="1142" spans="20:22" x14ac:dyDescent="0.25">
      <c r="T1142">
        <f>IF(connections!$A1142="","",IFERROR(INDEX(games!$B$2:$B$950,MATCH(connections!$A1142,games!$A$2:$A$950,0)),""))</f>
        <v>1995</v>
      </c>
      <c r="U1142">
        <f>IF(connections!$A1142="","",IFERROR(INDEX(games!$B$2:$B$950,MATCH(connections!$B1142,games!$A$2:$A$950,0)),""))</f>
        <v>2025</v>
      </c>
      <c r="V1142">
        <f t="shared" si="197"/>
        <v>30</v>
      </c>
    </row>
    <row r="1143" spans="20:22" x14ac:dyDescent="0.25">
      <c r="T1143">
        <f>IF(connections!$A1143="","",IFERROR(INDEX(games!$B$2:$B$950,MATCH(connections!$A1143,games!$A$2:$A$950,0)),""))</f>
        <v>2017</v>
      </c>
      <c r="U1143">
        <f>IF(connections!$A1143="","",IFERROR(INDEX(games!$B$2:$B$950,MATCH(connections!$B1143,games!$A$2:$A$950,0)),""))</f>
        <v>2025</v>
      </c>
      <c r="V1143">
        <f t="shared" si="197"/>
        <v>8</v>
      </c>
    </row>
    <row r="1144" spans="20:22" x14ac:dyDescent="0.25">
      <c r="T1144">
        <f>IF(connections!$A1144="","",IFERROR(INDEX(games!$B$2:$B$950,MATCH(connections!$A1144,games!$A$2:$A$950,0)),""))</f>
        <v>2023</v>
      </c>
      <c r="U1144">
        <f>IF(connections!$A1144="","",IFERROR(INDEX(games!$B$2:$B$950,MATCH(connections!$B1144,games!$A$2:$A$950,0)),""))</f>
        <v>2026</v>
      </c>
      <c r="V1144">
        <f t="shared" si="197"/>
        <v>3</v>
      </c>
    </row>
    <row r="1145" spans="20:22" x14ac:dyDescent="0.25">
      <c r="T1145">
        <f>IF(connections!$A1145="","",IFERROR(INDEX(games!$B$2:$B$950,MATCH(connections!$A1145,games!$A$2:$A$950,0)),""))</f>
        <v>2017</v>
      </c>
      <c r="U1145">
        <f>IF(connections!$A1145="","",IFERROR(INDEX(games!$B$2:$B$950,MATCH(connections!$B1145,games!$A$2:$A$950,0)),""))</f>
        <v>2026</v>
      </c>
      <c r="V1145">
        <f t="shared" si="197"/>
        <v>9</v>
      </c>
    </row>
    <row r="1146" spans="20:22" x14ac:dyDescent="0.25">
      <c r="T1146">
        <f>IF(connections!$A1146="","",IFERROR(INDEX(games!$B$2:$B$950,MATCH(connections!$A1146,games!$A$2:$A$950,0)),""))</f>
        <v>2023</v>
      </c>
      <c r="U1146">
        <f>IF(connections!$A1146="","",IFERROR(INDEX(games!$B$2:$B$950,MATCH(connections!$B1146,games!$A$2:$A$950,0)),""))</f>
        <v>2025</v>
      </c>
      <c r="V1146">
        <f t="shared" si="197"/>
        <v>2</v>
      </c>
    </row>
    <row r="1147" spans="20:22" x14ac:dyDescent="0.25">
      <c r="T1147">
        <f>IF(connections!$A1147="","",IFERROR(INDEX(games!$B$2:$B$950,MATCH(connections!$A1147,games!$A$2:$A$950,0)),""))</f>
        <v>2023</v>
      </c>
      <c r="U1147">
        <f>IF(connections!$A1147="","",IFERROR(INDEX(games!$B$2:$B$950,MATCH(connections!$B1147,games!$A$2:$A$950,0)),""))</f>
        <v>2025</v>
      </c>
      <c r="V1147">
        <f t="shared" si="197"/>
        <v>2</v>
      </c>
    </row>
    <row r="1148" spans="20:22" x14ac:dyDescent="0.25">
      <c r="T1148">
        <f>IF(connections!$A1148="","",IFERROR(INDEX(games!$B$2:$B$950,MATCH(connections!$A1148,games!$A$2:$A$950,0)),""))</f>
        <v>2021</v>
      </c>
      <c r="U1148">
        <f>IF(connections!$A1148="","",IFERROR(INDEX(games!$B$2:$B$950,MATCH(connections!$B1148,games!$A$2:$A$950,0)),""))</f>
        <v>2025</v>
      </c>
      <c r="V1148">
        <f t="shared" si="197"/>
        <v>4</v>
      </c>
    </row>
    <row r="1149" spans="20:22" x14ac:dyDescent="0.25">
      <c r="T1149">
        <f>IF(connections!$A1149="","",IFERROR(INDEX(games!$B$2:$B$950,MATCH(connections!$A1149,games!$A$2:$A$950,0)),""))</f>
        <v>2023</v>
      </c>
      <c r="U1149">
        <f>IF(connections!$A1149="","",IFERROR(INDEX(games!$B$2:$B$950,MATCH(connections!$B1149,games!$A$2:$A$950,0)),""))</f>
        <v>2025</v>
      </c>
      <c r="V1149">
        <f t="shared" si="197"/>
        <v>2</v>
      </c>
    </row>
    <row r="1150" spans="20:22" x14ac:dyDescent="0.25">
      <c r="T1150">
        <f>IF(connections!$A1150="","",IFERROR(INDEX(games!$B$2:$B$950,MATCH(connections!$A1150,games!$A$2:$A$950,0)),""))</f>
        <v>2019</v>
      </c>
      <c r="U1150">
        <f>IF(connections!$A1150="","",IFERROR(INDEX(games!$B$2:$B$950,MATCH(connections!$B1150,games!$A$2:$A$950,0)),""))</f>
        <v>2025</v>
      </c>
      <c r="V1150">
        <f t="shared" si="197"/>
        <v>6</v>
      </c>
    </row>
    <row r="1151" spans="20:22" x14ac:dyDescent="0.25">
      <c r="T1151">
        <f>IF(connections!$A1151="","",IFERROR(INDEX(games!$B$2:$B$950,MATCH(connections!$A1151,games!$A$2:$A$950,0)),""))</f>
        <v>2021</v>
      </c>
      <c r="U1151">
        <f>IF(connections!$A1151="","",IFERROR(INDEX(games!$B$2:$B$950,MATCH(connections!$B1151,games!$A$2:$A$950,0)),""))</f>
        <v>2025</v>
      </c>
      <c r="V1151">
        <f t="shared" si="197"/>
        <v>4</v>
      </c>
    </row>
    <row r="1152" spans="20:22" x14ac:dyDescent="0.25">
      <c r="T1152">
        <f>IF(connections!$A1152="","",IFERROR(INDEX(games!$B$2:$B$950,MATCH(connections!$A1152,games!$A$2:$A$950,0)),""))</f>
        <v>2012</v>
      </c>
      <c r="U1152">
        <f>IF(connections!$A1152="","",IFERROR(INDEX(games!$B$2:$B$950,MATCH(connections!$B1152,games!$A$2:$A$950,0)),""))</f>
        <v>2016</v>
      </c>
      <c r="V1152">
        <f t="shared" si="197"/>
        <v>4</v>
      </c>
    </row>
    <row r="1153" spans="20:22" x14ac:dyDescent="0.25">
      <c r="T1153">
        <f>IF(connections!$A1153="","",IFERROR(INDEX(games!$B$2:$B$950,MATCH(connections!$A1153,games!$A$2:$A$950,0)),""))</f>
        <v>1994</v>
      </c>
      <c r="U1153">
        <f>IF(connections!$A1153="","",IFERROR(INDEX(games!$B$2:$B$950,MATCH(connections!$B1153,games!$A$2:$A$950,0)),""))</f>
        <v>2022</v>
      </c>
      <c r="V1153">
        <f t="shared" si="197"/>
        <v>28</v>
      </c>
    </row>
    <row r="1154" spans="20:22" x14ac:dyDescent="0.25">
      <c r="T1154">
        <f>IF(connections!$A1154="","",IFERROR(INDEX(games!$B$2:$B$950,MATCH(connections!$A1154,games!$A$2:$A$950,0)),""))</f>
        <v>1992</v>
      </c>
      <c r="U1154">
        <f>IF(connections!$A1154="","",IFERROR(INDEX(games!$B$2:$B$950,MATCH(connections!$B1154,games!$A$2:$A$950,0)),""))</f>
        <v>2022</v>
      </c>
      <c r="V1154">
        <f t="shared" ref="V1154:V1217" si="198">IF(OR($T1154="",$U1154=""),"",$U1154-$T1154)</f>
        <v>30</v>
      </c>
    </row>
    <row r="1155" spans="20:22" x14ac:dyDescent="0.25">
      <c r="T1155">
        <f>IF(connections!$A1155="","",IFERROR(INDEX(games!$B$2:$B$950,MATCH(connections!$A1155,games!$A$2:$A$950,0)),""))</f>
        <v>2006</v>
      </c>
      <c r="U1155">
        <f>IF(connections!$A1155="","",IFERROR(INDEX(games!$B$2:$B$950,MATCH(connections!$B1155,games!$A$2:$A$950,0)),""))</f>
        <v>2023</v>
      </c>
      <c r="V1155">
        <f t="shared" si="198"/>
        <v>17</v>
      </c>
    </row>
    <row r="1156" spans="20:22" x14ac:dyDescent="0.25">
      <c r="T1156">
        <f>IF(connections!$A1156="","",IFERROR(INDEX(games!$B$2:$B$950,MATCH(connections!$A1156,games!$A$2:$A$950,0)),""))</f>
        <v>2022</v>
      </c>
      <c r="U1156">
        <f>IF(connections!$A1156="","",IFERROR(INDEX(games!$B$2:$B$950,MATCH(connections!$B1156,games!$A$2:$A$950,0)),""))</f>
        <v>2023</v>
      </c>
      <c r="V1156">
        <f t="shared" si="198"/>
        <v>1</v>
      </c>
    </row>
    <row r="1157" spans="20:22" x14ac:dyDescent="0.25">
      <c r="T1157">
        <f>IF(connections!$A1157="","",IFERROR(INDEX(games!$B$2:$B$950,MATCH(connections!$A1157,games!$A$2:$A$950,0)),""))</f>
        <v>2019</v>
      </c>
      <c r="U1157">
        <f>IF(connections!$A1157="","",IFERROR(INDEX(games!$B$2:$B$950,MATCH(connections!$B1157,games!$A$2:$A$950,0)),""))</f>
        <v>2022</v>
      </c>
      <c r="V1157">
        <f t="shared" si="198"/>
        <v>3</v>
      </c>
    </row>
    <row r="1158" spans="20:22" x14ac:dyDescent="0.25">
      <c r="T1158">
        <f>IF(connections!$A1158="","",IFERROR(INDEX(games!$B$2:$B$950,MATCH(connections!$A1158,games!$A$2:$A$950,0)),""))</f>
        <v>2020</v>
      </c>
      <c r="U1158">
        <f>IF(connections!$A1158="","",IFERROR(INDEX(games!$B$2:$B$950,MATCH(connections!$B1158,games!$A$2:$A$950,0)),""))</f>
        <v>2022</v>
      </c>
      <c r="V1158">
        <f t="shared" si="198"/>
        <v>2</v>
      </c>
    </row>
    <row r="1159" spans="20:22" x14ac:dyDescent="0.25">
      <c r="T1159">
        <f>IF(connections!$A1159="","",IFERROR(INDEX(games!$B$2:$B$950,MATCH(connections!$A1159,games!$A$2:$A$950,0)),""))</f>
        <v>2021</v>
      </c>
      <c r="U1159">
        <f>IF(connections!$A1159="","",IFERROR(INDEX(games!$B$2:$B$950,MATCH(connections!$B1159,games!$A$2:$A$950,0)),""))</f>
        <v>2022</v>
      </c>
      <c r="V1159">
        <f t="shared" si="198"/>
        <v>1</v>
      </c>
    </row>
    <row r="1160" spans="20:22" x14ac:dyDescent="0.25">
      <c r="T1160">
        <f>IF(connections!$A1160="","",IFERROR(INDEX(games!$B$2:$B$950,MATCH(connections!$A1160,games!$A$2:$A$950,0)),""))</f>
        <v>2018</v>
      </c>
      <c r="U1160">
        <f>IF(connections!$A1160="","",IFERROR(INDEX(games!$B$2:$B$950,MATCH(connections!$B1160,games!$A$2:$A$950,0)),""))</f>
        <v>2019</v>
      </c>
      <c r="V1160">
        <f t="shared" si="198"/>
        <v>1</v>
      </c>
    </row>
    <row r="1161" spans="20:22" x14ac:dyDescent="0.25">
      <c r="T1161">
        <f>IF(connections!$A1161="","",IFERROR(INDEX(games!$B$2:$B$950,MATCH(connections!$A1161,games!$A$2:$A$950,0)),""))</f>
        <v>2013</v>
      </c>
      <c r="U1161">
        <f>IF(connections!$A1161="","",IFERROR(INDEX(games!$B$2:$B$950,MATCH(connections!$B1161,games!$A$2:$A$950,0)),""))</f>
        <v>2019</v>
      </c>
      <c r="V1161">
        <f t="shared" si="198"/>
        <v>6</v>
      </c>
    </row>
    <row r="1162" spans="20:22" x14ac:dyDescent="0.25">
      <c r="T1162">
        <f>IF(connections!$A1162="","",IFERROR(INDEX(games!$B$2:$B$950,MATCH(connections!$A1162,games!$A$2:$A$950,0)),""))</f>
        <v>2011</v>
      </c>
      <c r="U1162">
        <f>IF(connections!$A1162="","",IFERROR(INDEX(games!$B$2:$B$950,MATCH(connections!$B1162,games!$A$2:$A$950,0)),""))</f>
        <v>2019</v>
      </c>
      <c r="V1162">
        <f t="shared" si="198"/>
        <v>8</v>
      </c>
    </row>
    <row r="1163" spans="20:22" x14ac:dyDescent="0.25">
      <c r="T1163">
        <f>IF(connections!$A1163="","",IFERROR(INDEX(games!$B$2:$B$950,MATCH(connections!$A1163,games!$A$2:$A$950,0)),""))</f>
        <v>2009</v>
      </c>
      <c r="U1163">
        <f>IF(connections!$A1163="","",IFERROR(INDEX(games!$B$2:$B$950,MATCH(connections!$B1163,games!$A$2:$A$950,0)),""))</f>
        <v>2016</v>
      </c>
      <c r="V1163">
        <f t="shared" si="198"/>
        <v>7</v>
      </c>
    </row>
    <row r="1164" spans="20:22" x14ac:dyDescent="0.25">
      <c r="T1164">
        <f>IF(connections!$A1164="","",IFERROR(INDEX(games!$B$2:$B$950,MATCH(connections!$A1164,games!$A$2:$A$950,0)),""))</f>
        <v>2002</v>
      </c>
      <c r="U1164">
        <f>IF(connections!$A1164="","",IFERROR(INDEX(games!$B$2:$B$950,MATCH(connections!$B1164,games!$A$2:$A$950,0)),""))</f>
        <v>2016</v>
      </c>
      <c r="V1164">
        <f t="shared" si="198"/>
        <v>14</v>
      </c>
    </row>
    <row r="1165" spans="20:22" x14ac:dyDescent="0.25">
      <c r="T1165">
        <f>IF(connections!$A1165="","",IFERROR(INDEX(games!$B$2:$B$950,MATCH(connections!$A1165,games!$A$2:$A$950,0)),""))</f>
        <v>2015</v>
      </c>
      <c r="U1165">
        <f>IF(connections!$A1165="","",IFERROR(INDEX(games!$B$2:$B$950,MATCH(connections!$B1165,games!$A$2:$A$950,0)),""))</f>
        <v>2024</v>
      </c>
      <c r="V1165">
        <f t="shared" si="198"/>
        <v>9</v>
      </c>
    </row>
    <row r="1166" spans="20:22" x14ac:dyDescent="0.25">
      <c r="T1166">
        <f>IF(connections!$A1166="","",IFERROR(INDEX(games!$B$2:$B$950,MATCH(connections!$A1166,games!$A$2:$A$950,0)),""))</f>
        <v>2013</v>
      </c>
      <c r="U1166">
        <f>IF(connections!$A1166="","",IFERROR(INDEX(games!$B$2:$B$950,MATCH(connections!$B1166,games!$A$2:$A$950,0)),""))</f>
        <v>2024</v>
      </c>
      <c r="V1166">
        <f t="shared" si="198"/>
        <v>11</v>
      </c>
    </row>
    <row r="1167" spans="20:22" x14ac:dyDescent="0.25">
      <c r="T1167">
        <f>IF(connections!$A1167="","",IFERROR(INDEX(games!$B$2:$B$950,MATCH(connections!$A1167,games!$A$2:$A$950,0)),""))</f>
        <v>2020</v>
      </c>
      <c r="U1167">
        <f>IF(connections!$A1167="","",IFERROR(INDEX(games!$B$2:$B$950,MATCH(connections!$B1167,games!$A$2:$A$950,0)),""))</f>
        <v>2024</v>
      </c>
      <c r="V1167">
        <f t="shared" si="198"/>
        <v>4</v>
      </c>
    </row>
    <row r="1168" spans="20:22" x14ac:dyDescent="0.25">
      <c r="T1168">
        <f>IF(connections!$A1168="","",IFERROR(INDEX(games!$B$2:$B$950,MATCH(connections!$A1168,games!$A$2:$A$950,0)),""))</f>
        <v>2019</v>
      </c>
      <c r="U1168">
        <f>IF(connections!$A1168="","",IFERROR(INDEX(games!$B$2:$B$950,MATCH(connections!$B1168,games!$A$2:$A$950,0)),""))</f>
        <v>2024</v>
      </c>
      <c r="V1168">
        <f t="shared" si="198"/>
        <v>5</v>
      </c>
    </row>
    <row r="1169" spans="20:22" x14ac:dyDescent="0.25">
      <c r="T1169">
        <f>IF(connections!$A1169="","",IFERROR(INDEX(games!$B$2:$B$950,MATCH(connections!$A1169,games!$A$2:$A$950,0)),""))</f>
        <v>2012</v>
      </c>
      <c r="U1169">
        <f>IF(connections!$A1169="","",IFERROR(INDEX(games!$B$2:$B$950,MATCH(connections!$B1169,games!$A$2:$A$950,0)),""))</f>
        <v>2019</v>
      </c>
      <c r="V1169">
        <f t="shared" si="198"/>
        <v>7</v>
      </c>
    </row>
    <row r="1170" spans="20:22" x14ac:dyDescent="0.25">
      <c r="T1170">
        <f>IF(connections!$A1170="","",IFERROR(INDEX(games!$B$2:$B$950,MATCH(connections!$A1170,games!$A$2:$A$950,0)),""))</f>
        <v>2013</v>
      </c>
      <c r="U1170">
        <f>IF(connections!$A1170="","",IFERROR(INDEX(games!$B$2:$B$950,MATCH(connections!$B1170,games!$A$2:$A$950,0)),""))</f>
        <v>2019</v>
      </c>
      <c r="V1170">
        <f t="shared" si="198"/>
        <v>6</v>
      </c>
    </row>
    <row r="1171" spans="20:22" x14ac:dyDescent="0.25">
      <c r="T1171">
        <f>IF(connections!$A1171="","",IFERROR(INDEX(games!$B$2:$B$950,MATCH(connections!$A1171,games!$A$2:$A$950,0)),""))</f>
        <v>2011</v>
      </c>
      <c r="U1171">
        <f>IF(connections!$A1171="","",IFERROR(INDEX(games!$B$2:$B$950,MATCH(connections!$B1171,games!$A$2:$A$950,0)),""))</f>
        <v>2019</v>
      </c>
      <c r="V1171">
        <f t="shared" si="198"/>
        <v>8</v>
      </c>
    </row>
    <row r="1172" spans="20:22" x14ac:dyDescent="0.25">
      <c r="T1172">
        <f>IF(connections!$A1172="","",IFERROR(INDEX(games!$B$2:$B$950,MATCH(connections!$A1172,games!$A$2:$A$950,0)),""))</f>
        <v>2021</v>
      </c>
      <c r="U1172">
        <f>IF(connections!$A1172="","",IFERROR(INDEX(games!$B$2:$B$950,MATCH(connections!$B1172,games!$A$2:$A$950,0)),""))</f>
        <v>2022</v>
      </c>
      <c r="V1172">
        <f t="shared" si="198"/>
        <v>1</v>
      </c>
    </row>
    <row r="1173" spans="20:22" x14ac:dyDescent="0.25">
      <c r="T1173">
        <f>IF(connections!$A1173="","",IFERROR(INDEX(games!$B$2:$B$950,MATCH(connections!$A1173,games!$A$2:$A$950,0)),""))</f>
        <v>2013</v>
      </c>
      <c r="U1173">
        <f>IF(connections!$A1173="","",IFERROR(INDEX(games!$B$2:$B$950,MATCH(connections!$B1173,games!$A$2:$A$950,0)),""))</f>
        <v>2023</v>
      </c>
      <c r="V1173">
        <f t="shared" si="198"/>
        <v>10</v>
      </c>
    </row>
    <row r="1174" spans="20:22" x14ac:dyDescent="0.25">
      <c r="T1174">
        <f>IF(connections!$A1174="","",IFERROR(INDEX(games!$B$2:$B$950,MATCH(connections!$A1174,games!$A$2:$A$950,0)),""))</f>
        <v>2018</v>
      </c>
      <c r="U1174">
        <f>IF(connections!$A1174="","",IFERROR(INDEX(games!$B$2:$B$950,MATCH(connections!$B1174,games!$A$2:$A$950,0)),""))</f>
        <v>2023</v>
      </c>
      <c r="V1174">
        <f t="shared" si="198"/>
        <v>5</v>
      </c>
    </row>
    <row r="1175" spans="20:22" x14ac:dyDescent="0.25">
      <c r="T1175">
        <f>IF(connections!$A1175="","",IFERROR(INDEX(games!$B$2:$B$950,MATCH(connections!$A1175,games!$A$2:$A$950,0)),""))</f>
        <v>2015</v>
      </c>
      <c r="U1175">
        <f>IF(connections!$A1175="","",IFERROR(INDEX(games!$B$2:$B$950,MATCH(connections!$B1175,games!$A$2:$A$950,0)),""))</f>
        <v>2023</v>
      </c>
      <c r="V1175">
        <f t="shared" si="198"/>
        <v>8</v>
      </c>
    </row>
    <row r="1176" spans="20:22" x14ac:dyDescent="0.25">
      <c r="T1176">
        <f>IF(connections!$A1176="","",IFERROR(INDEX(games!$B$2:$B$950,MATCH(connections!$A1176,games!$A$2:$A$950,0)),""))</f>
        <v>2019</v>
      </c>
      <c r="U1176">
        <f>IF(connections!$A1176="","",IFERROR(INDEX(games!$B$2:$B$950,MATCH(connections!$B1176,games!$A$2:$A$950,0)),""))</f>
        <v>2024</v>
      </c>
      <c r="V1176">
        <f t="shared" si="198"/>
        <v>5</v>
      </c>
    </row>
    <row r="1177" spans="20:22" x14ac:dyDescent="0.25">
      <c r="T1177">
        <f>IF(connections!$A1177="","",IFERROR(INDEX(games!$B$2:$B$950,MATCH(connections!$A1177,games!$A$2:$A$950,0)),""))</f>
        <v>2017</v>
      </c>
      <c r="U1177">
        <f>IF(connections!$A1177="","",IFERROR(INDEX(games!$B$2:$B$950,MATCH(connections!$B1177,games!$A$2:$A$950,0)),""))</f>
        <v>2024</v>
      </c>
      <c r="V1177">
        <f t="shared" si="198"/>
        <v>7</v>
      </c>
    </row>
    <row r="1178" spans="20:22" x14ac:dyDescent="0.25">
      <c r="T1178">
        <f>IF(connections!$A1178="","",IFERROR(INDEX(games!$B$2:$B$950,MATCH(connections!$A1178,games!$A$2:$A$950,0)),""))</f>
        <v>2008</v>
      </c>
      <c r="U1178">
        <f>IF(connections!$A1178="","",IFERROR(INDEX(games!$B$2:$B$950,MATCH(connections!$B1178,games!$A$2:$A$950,0)),""))</f>
        <v>2012</v>
      </c>
      <c r="V1178">
        <f t="shared" si="198"/>
        <v>4</v>
      </c>
    </row>
    <row r="1179" spans="20:22" x14ac:dyDescent="0.25">
      <c r="T1179">
        <f>IF(connections!$A1179="","",IFERROR(INDEX(games!$B$2:$B$950,MATCH(connections!$A1179,games!$A$2:$A$950,0)),""))</f>
        <v>2012</v>
      </c>
      <c r="U1179">
        <f>IF(connections!$A1179="","",IFERROR(INDEX(games!$B$2:$B$950,MATCH(connections!$B1179,games!$A$2:$A$950,0)),""))</f>
        <v>2020</v>
      </c>
      <c r="V1179">
        <f t="shared" si="198"/>
        <v>8</v>
      </c>
    </row>
    <row r="1180" spans="20:22" x14ac:dyDescent="0.25">
      <c r="T1180">
        <f>IF(connections!$A1180="","",IFERROR(INDEX(games!$B$2:$B$950,MATCH(connections!$A1180,games!$A$2:$A$950,0)),""))</f>
        <v>1987</v>
      </c>
      <c r="U1180">
        <f>IF(connections!$A1180="","",IFERROR(INDEX(games!$B$2:$B$950,MATCH(connections!$B1180,games!$A$2:$A$950,0)),""))</f>
        <v>2008</v>
      </c>
      <c r="V1180">
        <f t="shared" si="198"/>
        <v>21</v>
      </c>
    </row>
    <row r="1181" spans="20:22" x14ac:dyDescent="0.25">
      <c r="T1181">
        <f>IF(connections!$A1181="","",IFERROR(INDEX(games!$B$2:$B$950,MATCH(connections!$A1181,games!$A$2:$A$950,0)),""))</f>
        <v>2022</v>
      </c>
      <c r="U1181">
        <f>IF(connections!$A1181="","",IFERROR(INDEX(games!$B$2:$B$950,MATCH(connections!$B1181,games!$A$2:$A$950,0)),""))</f>
        <v>2024</v>
      </c>
      <c r="V1181">
        <f t="shared" si="198"/>
        <v>2</v>
      </c>
    </row>
    <row r="1182" spans="20:22" x14ac:dyDescent="0.25">
      <c r="T1182">
        <f>IF(connections!$A1182="","",IFERROR(INDEX(games!$B$2:$B$950,MATCH(connections!$A1182,games!$A$2:$A$950,0)),""))</f>
        <v>2021</v>
      </c>
      <c r="U1182">
        <f>IF(connections!$A1182="","",IFERROR(INDEX(games!$B$2:$B$950,MATCH(connections!$B1182,games!$A$2:$A$950,0)),""))</f>
        <v>2024</v>
      </c>
      <c r="V1182">
        <f t="shared" si="198"/>
        <v>3</v>
      </c>
    </row>
    <row r="1183" spans="20:22" x14ac:dyDescent="0.25">
      <c r="T1183">
        <f>IF(connections!$A1183="","",IFERROR(INDEX(games!$B$2:$B$950,MATCH(connections!$A1183,games!$A$2:$A$950,0)),""))</f>
        <v>2017</v>
      </c>
      <c r="U1183">
        <f>IF(connections!$A1183="","",IFERROR(INDEX(games!$B$2:$B$950,MATCH(connections!$B1183,games!$A$2:$A$950,0)),""))</f>
        <v>2024</v>
      </c>
      <c r="V1183">
        <f t="shared" si="198"/>
        <v>7</v>
      </c>
    </row>
    <row r="1184" spans="20:22" x14ac:dyDescent="0.25">
      <c r="T1184">
        <f>IF(connections!$A1184="","",IFERROR(INDEX(games!$B$2:$B$950,MATCH(connections!$A1184,games!$A$2:$A$950,0)),""))</f>
        <v>2019</v>
      </c>
      <c r="U1184">
        <f>IF(connections!$A1184="","",IFERROR(INDEX(games!$B$2:$B$950,MATCH(connections!$B1184,games!$A$2:$A$950,0)),""))</f>
        <v>2022</v>
      </c>
      <c r="V1184">
        <f t="shared" si="198"/>
        <v>3</v>
      </c>
    </row>
    <row r="1185" spans="20:22" x14ac:dyDescent="0.25">
      <c r="T1185">
        <f>IF(connections!$A1185="","",IFERROR(INDEX(games!$B$2:$B$950,MATCH(connections!$A1185,games!$A$2:$A$950,0)),""))</f>
        <v>2021</v>
      </c>
      <c r="U1185">
        <f>IF(connections!$A1185="","",IFERROR(INDEX(games!$B$2:$B$950,MATCH(connections!$B1185,games!$A$2:$A$950,0)),""))</f>
        <v>2022</v>
      </c>
      <c r="V1185">
        <f t="shared" si="198"/>
        <v>1</v>
      </c>
    </row>
    <row r="1186" spans="20:22" x14ac:dyDescent="0.25">
      <c r="T1186">
        <f>IF(connections!$A1186="","",IFERROR(INDEX(games!$B$2:$B$950,MATCH(connections!$A1186,games!$A$2:$A$950,0)),""))</f>
        <v>2019</v>
      </c>
      <c r="U1186">
        <f>IF(connections!$A1186="","",IFERROR(INDEX(games!$B$2:$B$950,MATCH(connections!$B1186,games!$A$2:$A$950,0)),""))</f>
        <v>2023</v>
      </c>
      <c r="V1186">
        <f t="shared" si="198"/>
        <v>4</v>
      </c>
    </row>
    <row r="1187" spans="20:22" x14ac:dyDescent="0.25">
      <c r="T1187">
        <f>IF(connections!$A1187="","",IFERROR(INDEX(games!$B$2:$B$950,MATCH(connections!$A1187,games!$A$2:$A$950,0)),""))</f>
        <v>2017</v>
      </c>
      <c r="U1187">
        <f>IF(connections!$A1187="","",IFERROR(INDEX(games!$B$2:$B$950,MATCH(connections!$B1187,games!$A$2:$A$950,0)),""))</f>
        <v>2023</v>
      </c>
      <c r="V1187">
        <f t="shared" si="198"/>
        <v>6</v>
      </c>
    </row>
    <row r="1188" spans="20:22" x14ac:dyDescent="0.25">
      <c r="T1188">
        <f>IF(connections!$A1188="","",IFERROR(INDEX(games!$B$2:$B$950,MATCH(connections!$A1188,games!$A$2:$A$950,0)),""))</f>
        <v>2008</v>
      </c>
      <c r="U1188">
        <f>IF(connections!$A1188="","",IFERROR(INDEX(games!$B$2:$B$950,MATCH(connections!$B1188,games!$A$2:$A$950,0)),""))</f>
        <v>2019</v>
      </c>
      <c r="V1188">
        <f t="shared" si="198"/>
        <v>11</v>
      </c>
    </row>
    <row r="1189" spans="20:22" x14ac:dyDescent="0.25">
      <c r="T1189">
        <f>IF(connections!$A1189="","",IFERROR(INDEX(games!$B$2:$B$950,MATCH(connections!$A1189,games!$A$2:$A$950,0)),""))</f>
        <v>1994</v>
      </c>
      <c r="U1189">
        <f>IF(connections!$A1189="","",IFERROR(INDEX(games!$B$2:$B$950,MATCH(connections!$B1189,games!$A$2:$A$950,0)),""))</f>
        <v>2014</v>
      </c>
      <c r="V1189">
        <f t="shared" si="198"/>
        <v>20</v>
      </c>
    </row>
    <row r="1190" spans="20:22" x14ac:dyDescent="0.25">
      <c r="T1190">
        <f>IF(connections!$A1190="","",IFERROR(INDEX(games!$B$2:$B$950,MATCH(connections!$A1190,games!$A$2:$A$950,0)),""))</f>
        <v>2010</v>
      </c>
      <c r="U1190">
        <f>IF(connections!$A1190="","",IFERROR(INDEX(games!$B$2:$B$950,MATCH(connections!$B1190,games!$A$2:$A$950,0)),""))</f>
        <v>2014</v>
      </c>
      <c r="V1190">
        <f t="shared" si="198"/>
        <v>4</v>
      </c>
    </row>
    <row r="1191" spans="20:22" x14ac:dyDescent="0.25">
      <c r="T1191">
        <f>IF(connections!$A1191="","",IFERROR(INDEX(games!$B$2:$B$950,MATCH(connections!$A1191,games!$A$2:$A$950,0)),""))</f>
        <v>2023</v>
      </c>
      <c r="U1191">
        <f>IF(connections!$A1191="","",IFERROR(INDEX(games!$B$2:$B$950,MATCH(connections!$B1191,games!$A$2:$A$950,0)),""))</f>
        <v>2025</v>
      </c>
      <c r="V1191">
        <f t="shared" si="198"/>
        <v>2</v>
      </c>
    </row>
    <row r="1192" spans="20:22" x14ac:dyDescent="0.25">
      <c r="T1192">
        <f>IF(connections!$A1192="","",IFERROR(INDEX(games!$B$2:$B$950,MATCH(connections!$A1192,games!$A$2:$A$950,0)),""))</f>
        <v>2021</v>
      </c>
      <c r="U1192">
        <f>IF(connections!$A1192="","",IFERROR(INDEX(games!$B$2:$B$950,MATCH(connections!$B1192,games!$A$2:$A$950,0)),""))</f>
        <v>2025</v>
      </c>
      <c r="V1192">
        <f t="shared" si="198"/>
        <v>4</v>
      </c>
    </row>
    <row r="1193" spans="20:22" x14ac:dyDescent="0.25">
      <c r="T1193">
        <f>IF(connections!$A1193="","",IFERROR(INDEX(games!$B$2:$B$950,MATCH(connections!$A1193,games!$A$2:$A$950,0)),""))</f>
        <v>2011</v>
      </c>
      <c r="U1193">
        <f>IF(connections!$A1193="","",IFERROR(INDEX(games!$B$2:$B$950,MATCH(connections!$B1193,games!$A$2:$A$950,0)),""))</f>
        <v>2017</v>
      </c>
      <c r="V1193">
        <f t="shared" si="198"/>
        <v>6</v>
      </c>
    </row>
    <row r="1194" spans="20:22" x14ac:dyDescent="0.25">
      <c r="T1194">
        <f>IF(connections!$A1194="","",IFERROR(INDEX(games!$B$2:$B$950,MATCH(connections!$A1194,games!$A$2:$A$950,0)),""))</f>
        <v>2018</v>
      </c>
      <c r="U1194">
        <f>IF(connections!$A1194="","",IFERROR(INDEX(games!$B$2:$B$950,MATCH(connections!$B1194,games!$A$2:$A$950,0)),""))</f>
        <v>2020</v>
      </c>
      <c r="V1194">
        <f t="shared" si="198"/>
        <v>2</v>
      </c>
    </row>
    <row r="1195" spans="20:22" x14ac:dyDescent="0.25">
      <c r="T1195">
        <f>IF(connections!$A1195="","",IFERROR(INDEX(games!$B$2:$B$950,MATCH(connections!$A1195,games!$A$2:$A$950,0)),""))</f>
        <v>2018</v>
      </c>
      <c r="U1195">
        <f>IF(connections!$A1195="","",IFERROR(INDEX(games!$B$2:$B$950,MATCH(connections!$B1195,games!$A$2:$A$950,0)),""))</f>
        <v>2020</v>
      </c>
      <c r="V1195">
        <f t="shared" si="198"/>
        <v>2</v>
      </c>
    </row>
    <row r="1196" spans="20:22" x14ac:dyDescent="0.25">
      <c r="T1196">
        <f>IF(connections!$A1196="","",IFERROR(INDEX(games!$B$2:$B$950,MATCH(connections!$A1196,games!$A$2:$A$950,0)),""))</f>
        <v>2017</v>
      </c>
      <c r="U1196">
        <f>IF(connections!$A1196="","",IFERROR(INDEX(games!$B$2:$B$950,MATCH(connections!$B1196,games!$A$2:$A$950,0)),""))</f>
        <v>2020</v>
      </c>
      <c r="V1196">
        <f t="shared" si="198"/>
        <v>3</v>
      </c>
    </row>
    <row r="1197" spans="20:22" x14ac:dyDescent="0.25">
      <c r="T1197">
        <f>IF(connections!$A1197="","",IFERROR(INDEX(games!$B$2:$B$950,MATCH(connections!$A1197,games!$A$2:$A$950,0)),""))</f>
        <v>2022</v>
      </c>
      <c r="U1197">
        <f>IF(connections!$A1197="","",IFERROR(INDEX(games!$B$2:$B$950,MATCH(connections!$B1197,games!$A$2:$A$950,0)),""))</f>
        <v>2023</v>
      </c>
      <c r="V1197">
        <f t="shared" si="198"/>
        <v>1</v>
      </c>
    </row>
    <row r="1198" spans="20:22" x14ac:dyDescent="0.25">
      <c r="T1198">
        <f>IF(connections!$A1198="","",IFERROR(INDEX(games!$B$2:$B$950,MATCH(connections!$A1198,games!$A$2:$A$950,0)),""))</f>
        <v>2022</v>
      </c>
      <c r="U1198">
        <f>IF(connections!$A1198="","",IFERROR(INDEX(games!$B$2:$B$950,MATCH(connections!$B1198,games!$A$2:$A$950,0)),""))</f>
        <v>2023</v>
      </c>
      <c r="V1198">
        <f t="shared" si="198"/>
        <v>1</v>
      </c>
    </row>
    <row r="1199" spans="20:22" x14ac:dyDescent="0.25">
      <c r="T1199">
        <f>IF(connections!$A1199="","",IFERROR(INDEX(games!$B$2:$B$950,MATCH(connections!$A1199,games!$A$2:$A$950,0)),""))</f>
        <v>2022</v>
      </c>
      <c r="U1199">
        <f>IF(connections!$A1199="","",IFERROR(INDEX(games!$B$2:$B$950,MATCH(connections!$B1199,games!$A$2:$A$950,0)),""))</f>
        <v>2023</v>
      </c>
      <c r="V1199">
        <f t="shared" si="198"/>
        <v>1</v>
      </c>
    </row>
    <row r="1200" spans="20:22" x14ac:dyDescent="0.25">
      <c r="T1200">
        <f>IF(connections!$A1200="","",IFERROR(INDEX(games!$B$2:$B$950,MATCH(connections!$A1200,games!$A$2:$A$950,0)),""))</f>
        <v>2019</v>
      </c>
      <c r="U1200">
        <f>IF(connections!$A1200="","",IFERROR(INDEX(games!$B$2:$B$950,MATCH(connections!$B1200,games!$A$2:$A$950,0)),""))</f>
        <v>2023</v>
      </c>
      <c r="V1200">
        <f t="shared" si="198"/>
        <v>4</v>
      </c>
    </row>
    <row r="1201" spans="20:22" x14ac:dyDescent="0.25">
      <c r="T1201">
        <f>IF(connections!$A1201="","",IFERROR(INDEX(games!$B$2:$B$950,MATCH(connections!$A1201,games!$A$2:$A$950,0)),""))</f>
        <v>2022</v>
      </c>
      <c r="U1201">
        <f>IF(connections!$A1201="","",IFERROR(INDEX(games!$B$2:$B$950,MATCH(connections!$B1201,games!$A$2:$A$950,0)),""))</f>
        <v>2023</v>
      </c>
      <c r="V1201">
        <f t="shared" si="198"/>
        <v>1</v>
      </c>
    </row>
    <row r="1202" spans="20:22" x14ac:dyDescent="0.25">
      <c r="T1202">
        <f>IF(connections!$A1202="","",IFERROR(INDEX(games!$B$2:$B$950,MATCH(connections!$A1202,games!$A$2:$A$950,0)),""))</f>
        <v>2022</v>
      </c>
      <c r="U1202">
        <f>IF(connections!$A1202="","",IFERROR(INDEX(games!$B$2:$B$950,MATCH(connections!$B1202,games!$A$2:$A$950,0)),""))</f>
        <v>2023</v>
      </c>
      <c r="V1202">
        <f t="shared" si="198"/>
        <v>1</v>
      </c>
    </row>
    <row r="1203" spans="20:22" x14ac:dyDescent="0.25">
      <c r="T1203">
        <f>IF(connections!$A1203="","",IFERROR(INDEX(games!$B$2:$B$950,MATCH(connections!$A1203,games!$A$2:$A$950,0)),""))</f>
        <v>2022</v>
      </c>
      <c r="U1203">
        <f>IF(connections!$A1203="","",IFERROR(INDEX(games!$B$2:$B$950,MATCH(connections!$B1203,games!$A$2:$A$950,0)),""))</f>
        <v>2023</v>
      </c>
      <c r="V1203">
        <f t="shared" si="198"/>
        <v>1</v>
      </c>
    </row>
    <row r="1204" spans="20:22" x14ac:dyDescent="0.25">
      <c r="T1204">
        <f>IF(connections!$A1204="","",IFERROR(INDEX(games!$B$2:$B$950,MATCH(connections!$A1204,games!$A$2:$A$950,0)),""))</f>
        <v>2022</v>
      </c>
      <c r="U1204">
        <f>IF(connections!$A1204="","",IFERROR(INDEX(games!$B$2:$B$950,MATCH(connections!$B1204,games!$A$2:$A$950,0)),""))</f>
        <v>2023</v>
      </c>
      <c r="V1204">
        <f t="shared" si="198"/>
        <v>1</v>
      </c>
    </row>
    <row r="1205" spans="20:22" x14ac:dyDescent="0.25">
      <c r="T1205">
        <f>IF(connections!$A1205="","",IFERROR(INDEX(games!$B$2:$B$950,MATCH(connections!$A1205,games!$A$2:$A$950,0)),""))</f>
        <v>2021</v>
      </c>
      <c r="U1205">
        <f>IF(connections!$A1205="","",IFERROR(INDEX(games!$B$2:$B$950,MATCH(connections!$B1205,games!$A$2:$A$950,0)),""))</f>
        <v>2023</v>
      </c>
      <c r="V1205">
        <f t="shared" si="198"/>
        <v>2</v>
      </c>
    </row>
    <row r="1206" spans="20:22" x14ac:dyDescent="0.25">
      <c r="T1206">
        <f>IF(connections!$A1206="","",IFERROR(INDEX(games!$B$2:$B$950,MATCH(connections!$A1206,games!$A$2:$A$950,0)),""))</f>
        <v>2022</v>
      </c>
      <c r="U1206">
        <f>IF(connections!$A1206="","",IFERROR(INDEX(games!$B$2:$B$950,MATCH(connections!$B1206,games!$A$2:$A$950,0)),""))</f>
        <v>2023</v>
      </c>
      <c r="V1206">
        <f t="shared" si="198"/>
        <v>1</v>
      </c>
    </row>
    <row r="1207" spans="20:22" x14ac:dyDescent="0.25">
      <c r="T1207">
        <f>IF(connections!$A1207="","",IFERROR(INDEX(games!$B$2:$B$950,MATCH(connections!$A1207,games!$A$2:$A$950,0)),""))</f>
        <v>2019</v>
      </c>
      <c r="U1207">
        <f>IF(connections!$A1207="","",IFERROR(INDEX(games!$B$2:$B$950,MATCH(connections!$B1207,games!$A$2:$A$950,0)),""))</f>
        <v>2025</v>
      </c>
      <c r="V1207">
        <f t="shared" si="198"/>
        <v>6</v>
      </c>
    </row>
    <row r="1208" spans="20:22" x14ac:dyDescent="0.25">
      <c r="T1208">
        <f>IF(connections!$A1208="","",IFERROR(INDEX(games!$B$2:$B$950,MATCH(connections!$A1208,games!$A$2:$A$950,0)),""))</f>
        <v>2017</v>
      </c>
      <c r="U1208">
        <f>IF(connections!$A1208="","",IFERROR(INDEX(games!$B$2:$B$950,MATCH(connections!$B1208,games!$A$2:$A$950,0)),""))</f>
        <v>2025</v>
      </c>
      <c r="V1208">
        <f t="shared" si="198"/>
        <v>8</v>
      </c>
    </row>
    <row r="1209" spans="20:22" x14ac:dyDescent="0.25">
      <c r="T1209">
        <f>IF(connections!$A1209="","",IFERROR(INDEX(games!$B$2:$B$950,MATCH(connections!$A1209,games!$A$2:$A$950,0)),""))</f>
        <v>2023</v>
      </c>
      <c r="U1209">
        <f>IF(connections!$A1209="","",IFERROR(INDEX(games!$B$2:$B$950,MATCH(connections!$B1209,games!$A$2:$A$950,0)),""))</f>
        <v>2025</v>
      </c>
      <c r="V1209">
        <f t="shared" si="198"/>
        <v>2</v>
      </c>
    </row>
    <row r="1210" spans="20:22" x14ac:dyDescent="0.25">
      <c r="T1210">
        <f>IF(connections!$A1210="","",IFERROR(INDEX(games!$B$2:$B$950,MATCH(connections!$A1210,games!$A$2:$A$950,0)),""))</f>
        <v>2021</v>
      </c>
      <c r="U1210">
        <f>IF(connections!$A1210="","",IFERROR(INDEX(games!$B$2:$B$950,MATCH(connections!$B1210,games!$A$2:$A$950,0)),""))</f>
        <v>2025</v>
      </c>
      <c r="V1210">
        <f t="shared" si="198"/>
        <v>4</v>
      </c>
    </row>
    <row r="1211" spans="20:22" x14ac:dyDescent="0.25">
      <c r="T1211">
        <f>IF(connections!$A1211="","",IFERROR(INDEX(games!$B$2:$B$950,MATCH(connections!$A1211,games!$A$2:$A$950,0)),""))</f>
        <v>2022</v>
      </c>
      <c r="U1211">
        <f>IF(connections!$A1211="","",IFERROR(INDEX(games!$B$2:$B$950,MATCH(connections!$B1211,games!$A$2:$A$950,0)),""))</f>
        <v>2025</v>
      </c>
      <c r="V1211">
        <f t="shared" si="198"/>
        <v>3</v>
      </c>
    </row>
    <row r="1212" spans="20:22" x14ac:dyDescent="0.25">
      <c r="T1212">
        <f>IF(connections!$A1212="","",IFERROR(INDEX(games!$B$2:$B$950,MATCH(connections!$A1212,games!$A$2:$A$950,0)),""))</f>
        <v>2022</v>
      </c>
      <c r="U1212">
        <f>IF(connections!$A1212="","",IFERROR(INDEX(games!$B$2:$B$950,MATCH(connections!$B1212,games!$A$2:$A$950,0)),""))</f>
        <v>2026</v>
      </c>
      <c r="V1212">
        <f t="shared" si="198"/>
        <v>4</v>
      </c>
    </row>
    <row r="1213" spans="20:22" x14ac:dyDescent="0.25">
      <c r="T1213">
        <f>IF(connections!$A1213="","",IFERROR(INDEX(games!$B$2:$B$950,MATCH(connections!$A1213,games!$A$2:$A$950,0)),""))</f>
        <v>1996</v>
      </c>
      <c r="U1213">
        <f>IF(connections!$A1213="","",IFERROR(INDEX(games!$B$2:$B$950,MATCH(connections!$B1213,games!$A$2:$A$950,0)),""))</f>
        <v>2026</v>
      </c>
      <c r="V1213">
        <f t="shared" si="198"/>
        <v>30</v>
      </c>
    </row>
    <row r="1214" spans="20:22" x14ac:dyDescent="0.25">
      <c r="T1214">
        <f>IF(connections!$A1214="","",IFERROR(INDEX(games!$B$2:$B$950,MATCH(connections!$A1214,games!$A$2:$A$950,0)),""))</f>
        <v>2021</v>
      </c>
      <c r="U1214">
        <f>IF(connections!$A1214="","",IFERROR(INDEX(games!$B$2:$B$950,MATCH(connections!$B1214,games!$A$2:$A$950,0)),""))</f>
        <v>2026</v>
      </c>
      <c r="V1214">
        <f t="shared" si="198"/>
        <v>5</v>
      </c>
    </row>
    <row r="1215" spans="20:22" x14ac:dyDescent="0.25">
      <c r="T1215">
        <f>IF(connections!$A1215="","",IFERROR(INDEX(games!$B$2:$B$950,MATCH(connections!$A1215,games!$A$2:$A$950,0)),""))</f>
        <v>1994</v>
      </c>
      <c r="U1215">
        <f>IF(connections!$A1215="","",IFERROR(INDEX(games!$B$2:$B$950,MATCH(connections!$B1215,games!$A$2:$A$950,0)),""))</f>
        <v>2020</v>
      </c>
      <c r="V1215">
        <f t="shared" si="198"/>
        <v>26</v>
      </c>
    </row>
    <row r="1216" spans="20:22" x14ac:dyDescent="0.25">
      <c r="T1216">
        <f>IF(connections!$A1216="","",IFERROR(INDEX(games!$B$2:$B$950,MATCH(connections!$A1216,games!$A$2:$A$950,0)),""))</f>
        <v>2015</v>
      </c>
      <c r="U1216">
        <f>IF(connections!$A1216="","",IFERROR(INDEX(games!$B$2:$B$950,MATCH(connections!$B1216,games!$A$2:$A$950,0)),""))</f>
        <v>2020</v>
      </c>
      <c r="V1216">
        <f t="shared" si="198"/>
        <v>5</v>
      </c>
    </row>
    <row r="1217" spans="20:22" x14ac:dyDescent="0.25">
      <c r="T1217">
        <f>IF(connections!$A1217="","",IFERROR(INDEX(games!$B$2:$B$950,MATCH(connections!$A1217,games!$A$2:$A$950,0)),""))</f>
        <v>2008</v>
      </c>
      <c r="U1217">
        <f>IF(connections!$A1217="","",IFERROR(INDEX(games!$B$2:$B$950,MATCH(connections!$B1217,games!$A$2:$A$950,0)),""))</f>
        <v>2017</v>
      </c>
      <c r="V1217">
        <f t="shared" si="198"/>
        <v>9</v>
      </c>
    </row>
    <row r="1218" spans="20:22" x14ac:dyDescent="0.25">
      <c r="T1218">
        <f>IF(connections!$A1218="","",IFERROR(INDEX(games!$B$2:$B$950,MATCH(connections!$A1218,games!$A$2:$A$950,0)),""))</f>
        <v>1995</v>
      </c>
      <c r="U1218">
        <f>IF(connections!$A1218="","",IFERROR(INDEX(games!$B$2:$B$950,MATCH(connections!$B1218,games!$A$2:$A$950,0)),""))</f>
        <v>2002</v>
      </c>
      <c r="V1218">
        <f t="shared" ref="V1218:V1281" si="199">IF(OR($T1218="",$U1218=""),"",$U1218-$T1218)</f>
        <v>7</v>
      </c>
    </row>
    <row r="1219" spans="20:22" x14ac:dyDescent="0.25">
      <c r="T1219">
        <f>IF(connections!$A1219="","",IFERROR(INDEX(games!$B$2:$B$950,MATCH(connections!$A1219,games!$A$2:$A$950,0)),""))</f>
        <v>1987</v>
      </c>
      <c r="U1219">
        <f>IF(connections!$A1219="","",IFERROR(INDEX(games!$B$2:$B$950,MATCH(connections!$B1219,games!$A$2:$A$950,0)),""))</f>
        <v>2002</v>
      </c>
      <c r="V1219">
        <f t="shared" si="199"/>
        <v>15</v>
      </c>
    </row>
    <row r="1220" spans="20:22" x14ac:dyDescent="0.25">
      <c r="T1220">
        <f>IF(connections!$A1220="","",IFERROR(INDEX(games!$B$2:$B$950,MATCH(connections!$A1220,games!$A$2:$A$950,0)),""))</f>
        <v>2015</v>
      </c>
      <c r="U1220">
        <f>IF(connections!$A1220="","",IFERROR(INDEX(games!$B$2:$B$950,MATCH(connections!$B1220,games!$A$2:$A$950,0)),""))</f>
        <v>2019</v>
      </c>
      <c r="V1220">
        <f t="shared" si="199"/>
        <v>4</v>
      </c>
    </row>
    <row r="1221" spans="20:22" x14ac:dyDescent="0.25">
      <c r="T1221">
        <f>IF(connections!$A1221="","",IFERROR(INDEX(games!$B$2:$B$950,MATCH(connections!$A1221,games!$A$2:$A$950,0)),""))</f>
        <v>2008</v>
      </c>
      <c r="U1221">
        <f>IF(connections!$A1221="","",IFERROR(INDEX(games!$B$2:$B$950,MATCH(connections!$B1221,games!$A$2:$A$950,0)),""))</f>
        <v>2019</v>
      </c>
      <c r="V1221">
        <f t="shared" si="199"/>
        <v>11</v>
      </c>
    </row>
    <row r="1222" spans="20:22" x14ac:dyDescent="0.25">
      <c r="T1222">
        <f>IF(connections!$A1222="","",IFERROR(INDEX(games!$B$2:$B$950,MATCH(connections!$A1222,games!$A$2:$A$950,0)),""))</f>
        <v>2011</v>
      </c>
      <c r="U1222">
        <f>IF(connections!$A1222="","",IFERROR(INDEX(games!$B$2:$B$950,MATCH(connections!$B1222,games!$A$2:$A$950,0)),""))</f>
        <v>2019</v>
      </c>
      <c r="V1222">
        <f t="shared" si="199"/>
        <v>8</v>
      </c>
    </row>
    <row r="1223" spans="20:22" x14ac:dyDescent="0.25">
      <c r="T1223">
        <f>IF(connections!$A1223="","",IFERROR(INDEX(games!$B$2:$B$950,MATCH(connections!$A1223,games!$A$2:$A$950,0)),""))</f>
        <v>2001</v>
      </c>
      <c r="U1223">
        <f>IF(connections!$A1223="","",IFERROR(INDEX(games!$B$2:$B$950,MATCH(connections!$B1223,games!$A$2:$A$950,0)),""))</f>
        <v>2024</v>
      </c>
      <c r="V1223">
        <f t="shared" si="199"/>
        <v>23</v>
      </c>
    </row>
    <row r="1224" spans="20:22" x14ac:dyDescent="0.25">
      <c r="T1224">
        <f>IF(connections!$A1224="","",IFERROR(INDEX(games!$B$2:$B$950,MATCH(connections!$A1224,games!$A$2:$A$950,0)),""))</f>
        <v>2019</v>
      </c>
      <c r="U1224">
        <f>IF(connections!$A1224="","",IFERROR(INDEX(games!$B$2:$B$950,MATCH(connections!$B1224,games!$A$2:$A$950,0)),""))</f>
        <v>2024</v>
      </c>
      <c r="V1224">
        <f t="shared" si="199"/>
        <v>5</v>
      </c>
    </row>
    <row r="1225" spans="20:22" x14ac:dyDescent="0.25">
      <c r="T1225">
        <f>IF(connections!$A1225="","",IFERROR(INDEX(games!$B$2:$B$950,MATCH(connections!$A1225,games!$A$2:$A$950,0)),""))</f>
        <v>2023</v>
      </c>
      <c r="U1225">
        <f>IF(connections!$A1225="","",IFERROR(INDEX(games!$B$2:$B$950,MATCH(connections!$B1225,games!$A$2:$A$950,0)),""))</f>
        <v>2024</v>
      </c>
      <c r="V1225">
        <f t="shared" si="199"/>
        <v>1</v>
      </c>
    </row>
    <row r="1226" spans="20:22" x14ac:dyDescent="0.25">
      <c r="T1226">
        <f>IF(connections!$A1226="","",IFERROR(INDEX(games!$B$2:$B$950,MATCH(connections!$A1226,games!$A$2:$A$950,0)),""))</f>
        <v>2013</v>
      </c>
      <c r="U1226">
        <f>IF(connections!$A1226="","",IFERROR(INDEX(games!$B$2:$B$950,MATCH(connections!$B1226,games!$A$2:$A$950,0)),""))</f>
        <v>2017</v>
      </c>
      <c r="V1226">
        <f t="shared" si="199"/>
        <v>4</v>
      </c>
    </row>
    <row r="1227" spans="20:22" x14ac:dyDescent="0.25">
      <c r="T1227">
        <f>IF(connections!$A1227="","",IFERROR(INDEX(games!$B$2:$B$950,MATCH(connections!$A1227,games!$A$2:$A$950,0)),""))</f>
        <v>2013</v>
      </c>
      <c r="U1227">
        <f>IF(connections!$A1227="","",IFERROR(INDEX(games!$B$2:$B$950,MATCH(connections!$B1227,games!$A$2:$A$950,0)),""))</f>
        <v>2015</v>
      </c>
      <c r="V1227">
        <f t="shared" si="199"/>
        <v>2</v>
      </c>
    </row>
    <row r="1228" spans="20:22" x14ac:dyDescent="0.25">
      <c r="T1228">
        <f>IF(connections!$A1228="","",IFERROR(INDEX(games!$B$2:$B$950,MATCH(connections!$A1228,games!$A$2:$A$950,0)),""))</f>
        <v>2012</v>
      </c>
      <c r="U1228">
        <f>IF(connections!$A1228="","",IFERROR(INDEX(games!$B$2:$B$950,MATCH(connections!$B1228,games!$A$2:$A$950,0)),""))</f>
        <v>2015</v>
      </c>
      <c r="V1228">
        <f t="shared" si="199"/>
        <v>3</v>
      </c>
    </row>
    <row r="1229" spans="20:22" x14ac:dyDescent="0.25">
      <c r="T1229">
        <f>IF(connections!$A1229="","",IFERROR(INDEX(games!$B$2:$B$950,MATCH(connections!$A1229,games!$A$2:$A$950,0)),""))</f>
        <v>2019</v>
      </c>
      <c r="U1229">
        <f>IF(connections!$A1229="","",IFERROR(INDEX(games!$B$2:$B$950,MATCH(connections!$B1229,games!$A$2:$A$950,0)),""))</f>
        <v>2021</v>
      </c>
      <c r="V1229">
        <f t="shared" si="199"/>
        <v>2</v>
      </c>
    </row>
    <row r="1230" spans="20:22" x14ac:dyDescent="0.25">
      <c r="T1230">
        <f>IF(connections!$A1230="","",IFERROR(INDEX(games!$B$2:$B$950,MATCH(connections!$A1230,games!$A$2:$A$950,0)),""))</f>
        <v>2017</v>
      </c>
      <c r="U1230">
        <f>IF(connections!$A1230="","",IFERROR(INDEX(games!$B$2:$B$950,MATCH(connections!$B1230,games!$A$2:$A$950,0)),""))</f>
        <v>2022</v>
      </c>
      <c r="V1230">
        <f t="shared" si="199"/>
        <v>5</v>
      </c>
    </row>
    <row r="1231" spans="20:22" x14ac:dyDescent="0.25">
      <c r="T1231">
        <f>IF(connections!$A1231="","",IFERROR(INDEX(games!$B$2:$B$950,MATCH(connections!$A1231,games!$A$2:$A$950,0)),""))</f>
        <v>2006</v>
      </c>
      <c r="U1231">
        <f>IF(connections!$A1231="","",IFERROR(INDEX(games!$B$2:$B$950,MATCH(connections!$B1231,games!$A$2:$A$950,0)),""))</f>
        <v>2025</v>
      </c>
      <c r="V1231">
        <f t="shared" si="199"/>
        <v>19</v>
      </c>
    </row>
    <row r="1232" spans="20:22" x14ac:dyDescent="0.25">
      <c r="T1232">
        <f>IF(connections!$A1232="","",IFERROR(INDEX(games!$B$2:$B$950,MATCH(connections!$A1232,games!$A$2:$A$950,0)),""))</f>
        <v>2019</v>
      </c>
      <c r="U1232">
        <f>IF(connections!$A1232="","",IFERROR(INDEX(games!$B$2:$B$950,MATCH(connections!$B1232,games!$A$2:$A$950,0)),""))</f>
        <v>2025</v>
      </c>
      <c r="V1232">
        <f t="shared" si="199"/>
        <v>6</v>
      </c>
    </row>
    <row r="1233" spans="20:22" x14ac:dyDescent="0.25">
      <c r="T1233">
        <f>IF(connections!$A1233="","",IFERROR(INDEX(games!$B$2:$B$950,MATCH(connections!$A1233,games!$A$2:$A$950,0)),""))</f>
        <v>2021</v>
      </c>
      <c r="U1233">
        <f>IF(connections!$A1233="","",IFERROR(INDEX(games!$B$2:$B$950,MATCH(connections!$B1233,games!$A$2:$A$950,0)),""))</f>
        <v>2025</v>
      </c>
      <c r="V1233">
        <f t="shared" si="199"/>
        <v>4</v>
      </c>
    </row>
    <row r="1234" spans="20:22" x14ac:dyDescent="0.25">
      <c r="T1234">
        <f>IF(connections!$A1234="","",IFERROR(INDEX(games!$B$2:$B$950,MATCH(connections!$A1234,games!$A$2:$A$950,0)),""))</f>
        <v>2021</v>
      </c>
      <c r="U1234">
        <f>IF(connections!$A1234="","",IFERROR(INDEX(games!$B$2:$B$950,MATCH(connections!$B1234,games!$A$2:$A$950,0)),""))</f>
        <v>2025</v>
      </c>
      <c r="V1234">
        <f t="shared" si="199"/>
        <v>4</v>
      </c>
    </row>
    <row r="1235" spans="20:22" x14ac:dyDescent="0.25">
      <c r="T1235">
        <f>IF(connections!$A1235="","",IFERROR(INDEX(games!$B$2:$B$950,MATCH(connections!$A1235,games!$A$2:$A$950,0)),""))</f>
        <v>2023</v>
      </c>
      <c r="U1235">
        <f>IF(connections!$A1235="","",IFERROR(INDEX(games!$B$2:$B$950,MATCH(connections!$B1235,games!$A$2:$A$950,0)),""))</f>
        <v>2025</v>
      </c>
      <c r="V1235">
        <f t="shared" si="199"/>
        <v>2</v>
      </c>
    </row>
    <row r="1236" spans="20:22" x14ac:dyDescent="0.25">
      <c r="T1236">
        <f>IF(connections!$A1236="","",IFERROR(INDEX(games!$B$2:$B$950,MATCH(connections!$A1236,games!$A$2:$A$950,0)),""))</f>
        <v>2020</v>
      </c>
      <c r="U1236">
        <f>IF(connections!$A1236="","",IFERROR(INDEX(games!$B$2:$B$950,MATCH(connections!$B1236,games!$A$2:$A$950,0)),""))</f>
        <v>2025</v>
      </c>
      <c r="V1236">
        <f t="shared" si="199"/>
        <v>5</v>
      </c>
    </row>
    <row r="1237" spans="20:22" x14ac:dyDescent="0.25">
      <c r="T1237">
        <f>IF(connections!$A1237="","",IFERROR(INDEX(games!$B$2:$B$950,MATCH(connections!$A1237,games!$A$2:$A$950,0)),""))</f>
        <v>2020</v>
      </c>
      <c r="U1237">
        <f>IF(connections!$A1237="","",IFERROR(INDEX(games!$B$2:$B$950,MATCH(connections!$B1237,games!$A$2:$A$950,0)),""))</f>
        <v>2025</v>
      </c>
      <c r="V1237">
        <f t="shared" si="199"/>
        <v>5</v>
      </c>
    </row>
    <row r="1238" spans="20:22" x14ac:dyDescent="0.25">
      <c r="T1238">
        <f>IF(connections!$A1238="","",IFERROR(INDEX(games!$B$2:$B$950,MATCH(connections!$A1238,games!$A$2:$A$950,0)),""))</f>
        <v>2021</v>
      </c>
      <c r="U1238">
        <f>IF(connections!$A1238="","",IFERROR(INDEX(games!$B$2:$B$950,MATCH(connections!$B1238,games!$A$2:$A$950,0)),""))</f>
        <v>2023</v>
      </c>
      <c r="V1238">
        <f t="shared" si="199"/>
        <v>2</v>
      </c>
    </row>
    <row r="1239" spans="20:22" x14ac:dyDescent="0.25">
      <c r="T1239">
        <f>IF(connections!$A1239="","",IFERROR(INDEX(games!$B$2:$B$950,MATCH(connections!$A1239,games!$A$2:$A$950,0)),""))</f>
        <v>2012</v>
      </c>
      <c r="U1239">
        <f>IF(connections!$A1239="","",IFERROR(INDEX(games!$B$2:$B$950,MATCH(connections!$B1239,games!$A$2:$A$950,0)),""))</f>
        <v>2016</v>
      </c>
      <c r="V1239">
        <f t="shared" si="199"/>
        <v>4</v>
      </c>
    </row>
    <row r="1240" spans="20:22" x14ac:dyDescent="0.25">
      <c r="T1240">
        <f>IF(connections!$A1240="","",IFERROR(INDEX(games!$B$2:$B$950,MATCH(connections!$A1240,games!$A$2:$A$950,0)),""))</f>
        <v>2008</v>
      </c>
      <c r="U1240">
        <f>IF(connections!$A1240="","",IFERROR(INDEX(games!$B$2:$B$950,MATCH(connections!$B1240,games!$A$2:$A$950,0)),""))</f>
        <v>2016</v>
      </c>
      <c r="V1240">
        <f t="shared" si="199"/>
        <v>8</v>
      </c>
    </row>
    <row r="1241" spans="20:22" x14ac:dyDescent="0.25">
      <c r="T1241">
        <f>IF(connections!$A1241="","",IFERROR(INDEX(games!$B$2:$B$950,MATCH(connections!$A1241,games!$A$2:$A$950,0)),""))</f>
        <v>2011</v>
      </c>
      <c r="U1241">
        <f>IF(connections!$A1241="","",IFERROR(INDEX(games!$B$2:$B$950,MATCH(connections!$B1241,games!$A$2:$A$950,0)),""))</f>
        <v>2016</v>
      </c>
      <c r="V1241">
        <f t="shared" si="199"/>
        <v>5</v>
      </c>
    </row>
    <row r="1242" spans="20:22" x14ac:dyDescent="0.25">
      <c r="T1242">
        <f>IF(connections!$A1242="","",IFERROR(INDEX(games!$B$2:$B$950,MATCH(connections!$A1242,games!$A$2:$A$950,0)),""))</f>
        <v>1997</v>
      </c>
      <c r="U1242">
        <f>IF(connections!$A1242="","",IFERROR(INDEX(games!$B$2:$B$950,MATCH(connections!$B1242,games!$A$2:$A$950,0)),""))</f>
        <v>2021</v>
      </c>
      <c r="V1242">
        <f t="shared" si="199"/>
        <v>24</v>
      </c>
    </row>
    <row r="1243" spans="20:22" x14ac:dyDescent="0.25">
      <c r="T1243">
        <f>IF(connections!$A1243="","",IFERROR(INDEX(games!$B$2:$B$950,MATCH(connections!$A1243,games!$A$2:$A$950,0)),""))</f>
        <v>2016</v>
      </c>
      <c r="U1243">
        <f>IF(connections!$A1243="","",IFERROR(INDEX(games!$B$2:$B$950,MATCH(connections!$B1243,games!$A$2:$A$950,0)),""))</f>
        <v>2021</v>
      </c>
      <c r="V1243">
        <f t="shared" si="199"/>
        <v>5</v>
      </c>
    </row>
    <row r="1244" spans="20:22" x14ac:dyDescent="0.25">
      <c r="T1244">
        <f>IF(connections!$A1244="","",IFERROR(INDEX(games!$B$2:$B$950,MATCH(connections!$A1244,games!$A$2:$A$950,0)),""))</f>
        <v>2021</v>
      </c>
      <c r="U1244">
        <f>IF(connections!$A1244="","",IFERROR(INDEX(games!$B$2:$B$950,MATCH(connections!$B1244,games!$A$2:$A$950,0)),""))</f>
        <v>2025</v>
      </c>
      <c r="V1244">
        <f t="shared" si="199"/>
        <v>4</v>
      </c>
    </row>
    <row r="1245" spans="20:22" x14ac:dyDescent="0.25">
      <c r="T1245">
        <f>IF(connections!$A1245="","",IFERROR(INDEX(games!$B$2:$B$950,MATCH(connections!$A1245,games!$A$2:$A$950,0)),""))</f>
        <v>1996</v>
      </c>
      <c r="U1245">
        <f>IF(connections!$A1245="","",IFERROR(INDEX(games!$B$2:$B$950,MATCH(connections!$B1245,games!$A$2:$A$950,0)),""))</f>
        <v>2013</v>
      </c>
      <c r="V1245">
        <f t="shared" si="199"/>
        <v>17</v>
      </c>
    </row>
    <row r="1246" spans="20:22" x14ac:dyDescent="0.25">
      <c r="T1246">
        <f>IF(connections!$A1246="","",IFERROR(INDEX(games!$B$2:$B$950,MATCH(connections!$A1246,games!$A$2:$A$950,0)),""))</f>
        <v>1987</v>
      </c>
      <c r="U1246">
        <f>IF(connections!$A1246="","",IFERROR(INDEX(games!$B$2:$B$950,MATCH(connections!$B1246,games!$A$2:$A$950,0)),""))</f>
        <v>2013</v>
      </c>
      <c r="V1246">
        <f t="shared" si="199"/>
        <v>26</v>
      </c>
    </row>
    <row r="1247" spans="20:22" x14ac:dyDescent="0.25">
      <c r="T1247">
        <f>IF(connections!$A1247="","",IFERROR(INDEX(games!$B$2:$B$950,MATCH(connections!$A1247,games!$A$2:$A$950,0)),""))</f>
        <v>1980</v>
      </c>
      <c r="U1247">
        <f>IF(connections!$A1247="","",IFERROR(INDEX(games!$B$2:$B$950,MATCH(connections!$B1247,games!$A$2:$A$950,0)),""))</f>
        <v>2013</v>
      </c>
      <c r="V1247">
        <f t="shared" si="199"/>
        <v>33</v>
      </c>
    </row>
    <row r="1248" spans="20:22" x14ac:dyDescent="0.25">
      <c r="T1248">
        <f>IF(connections!$A1248="","",IFERROR(INDEX(games!$B$2:$B$950,MATCH(connections!$A1248,games!$A$2:$A$950,0)),""))</f>
        <v>2018</v>
      </c>
      <c r="U1248">
        <f>IF(connections!$A1248="","",IFERROR(INDEX(games!$B$2:$B$950,MATCH(connections!$B1248,games!$A$2:$A$950,0)),""))</f>
        <v>2022</v>
      </c>
      <c r="V1248">
        <f t="shared" si="199"/>
        <v>4</v>
      </c>
    </row>
    <row r="1249" spans="20:22" x14ac:dyDescent="0.25">
      <c r="T1249">
        <f>IF(connections!$A1249="","",IFERROR(INDEX(games!$B$2:$B$950,MATCH(connections!$A1249,games!$A$2:$A$950,0)),""))</f>
        <v>2019</v>
      </c>
      <c r="U1249">
        <f>IF(connections!$A1249="","",IFERROR(INDEX(games!$B$2:$B$950,MATCH(connections!$B1249,games!$A$2:$A$950,0)),""))</f>
        <v>2025</v>
      </c>
      <c r="V1249">
        <f t="shared" si="199"/>
        <v>6</v>
      </c>
    </row>
    <row r="1250" spans="20:22" x14ac:dyDescent="0.25">
      <c r="T1250">
        <f>IF(connections!$A1250="","",IFERROR(INDEX(games!$B$2:$B$950,MATCH(connections!$A1250,games!$A$2:$A$950,0)),""))</f>
        <v>2018</v>
      </c>
      <c r="U1250">
        <f>IF(connections!$A1250="","",IFERROR(INDEX(games!$B$2:$B$950,MATCH(connections!$B1250,games!$A$2:$A$950,0)),""))</f>
        <v>2021</v>
      </c>
      <c r="V1250">
        <f t="shared" si="199"/>
        <v>3</v>
      </c>
    </row>
    <row r="1251" spans="20:22" x14ac:dyDescent="0.25">
      <c r="T1251">
        <f>IF(connections!$A1251="","",IFERROR(INDEX(games!$B$2:$B$950,MATCH(connections!$A1251,games!$A$2:$A$950,0)),""))</f>
        <v>2013</v>
      </c>
      <c r="U1251">
        <f>IF(connections!$A1251="","",IFERROR(INDEX(games!$B$2:$B$950,MATCH(connections!$B1251,games!$A$2:$A$950,0)),""))</f>
        <v>2018</v>
      </c>
      <c r="V1251">
        <f t="shared" si="199"/>
        <v>5</v>
      </c>
    </row>
    <row r="1252" spans="20:22" x14ac:dyDescent="0.25">
      <c r="T1252">
        <f>IF(connections!$A1252="","",IFERROR(INDEX(games!$B$2:$B$950,MATCH(connections!$A1252,games!$A$2:$A$950,0)),""))</f>
        <v>2018</v>
      </c>
      <c r="U1252">
        <f>IF(connections!$A1252="","",IFERROR(INDEX(games!$B$2:$B$950,MATCH(connections!$B1252,games!$A$2:$A$950,0)),""))</f>
        <v>2026</v>
      </c>
      <c r="V1252">
        <f t="shared" si="199"/>
        <v>8</v>
      </c>
    </row>
    <row r="1253" spans="20:22" x14ac:dyDescent="0.25">
      <c r="T1253">
        <f>IF(connections!$A1253="","",IFERROR(INDEX(games!$B$2:$B$950,MATCH(connections!$A1253,games!$A$2:$A$950,0)),""))</f>
        <v>2017</v>
      </c>
      <c r="U1253">
        <f>IF(connections!$A1253="","",IFERROR(INDEX(games!$B$2:$B$950,MATCH(connections!$B1253,games!$A$2:$A$950,0)),""))</f>
        <v>2026</v>
      </c>
      <c r="V1253">
        <f t="shared" si="199"/>
        <v>9</v>
      </c>
    </row>
    <row r="1254" spans="20:22" x14ac:dyDescent="0.25">
      <c r="T1254">
        <f>IF(connections!$A1254="","",IFERROR(INDEX(games!$B$2:$B$950,MATCH(connections!$A1254,games!$A$2:$A$950,0)),""))</f>
        <v>2017</v>
      </c>
      <c r="U1254">
        <f>IF(connections!$A1254="","",IFERROR(INDEX(games!$B$2:$B$950,MATCH(connections!$B1254,games!$A$2:$A$950,0)),""))</f>
        <v>2020</v>
      </c>
      <c r="V1254">
        <f t="shared" si="199"/>
        <v>3</v>
      </c>
    </row>
    <row r="1255" spans="20:22" x14ac:dyDescent="0.25">
      <c r="T1255">
        <f>IF(connections!$A1255="","",IFERROR(INDEX(games!$B$2:$B$950,MATCH(connections!$A1255,games!$A$2:$A$950,0)),""))</f>
        <v>2010</v>
      </c>
      <c r="U1255">
        <f>IF(connections!$A1255="","",IFERROR(INDEX(games!$B$2:$B$950,MATCH(connections!$B1255,games!$A$2:$A$950,0)),""))</f>
        <v>2023</v>
      </c>
      <c r="V1255">
        <f t="shared" si="199"/>
        <v>13</v>
      </c>
    </row>
    <row r="1256" spans="20:22" x14ac:dyDescent="0.25">
      <c r="T1256">
        <f>IF(connections!$A1256="","",IFERROR(INDEX(games!$B$2:$B$950,MATCH(connections!$A1256,games!$A$2:$A$950,0)),""))</f>
        <v>2011</v>
      </c>
      <c r="U1256">
        <f>IF(connections!$A1256="","",IFERROR(INDEX(games!$B$2:$B$950,MATCH(connections!$B1256,games!$A$2:$A$950,0)),""))</f>
        <v>2023</v>
      </c>
      <c r="V1256">
        <f t="shared" si="199"/>
        <v>12</v>
      </c>
    </row>
    <row r="1257" spans="20:22" x14ac:dyDescent="0.25">
      <c r="T1257">
        <f>IF(connections!$A1257="","",IFERROR(INDEX(games!$B$2:$B$950,MATCH(connections!$A1257,games!$A$2:$A$950,0)),""))</f>
        <v>2021</v>
      </c>
      <c r="U1257">
        <f>IF(connections!$A1257="","",IFERROR(INDEX(games!$B$2:$B$950,MATCH(connections!$B1257,games!$A$2:$A$950,0)),""))</f>
        <v>2023</v>
      </c>
      <c r="V1257">
        <f t="shared" si="199"/>
        <v>2</v>
      </c>
    </row>
    <row r="1258" spans="20:22" x14ac:dyDescent="0.25">
      <c r="T1258">
        <f>IF(connections!$A1258="","",IFERROR(INDEX(games!$B$2:$B$950,MATCH(connections!$A1258,games!$A$2:$A$950,0)),""))</f>
        <v>1994</v>
      </c>
      <c r="U1258">
        <f>IF(connections!$A1258="","",IFERROR(INDEX(games!$B$2:$B$950,MATCH(connections!$B1258,games!$A$2:$A$950,0)),""))</f>
        <v>1998</v>
      </c>
      <c r="V1258">
        <f t="shared" si="199"/>
        <v>4</v>
      </c>
    </row>
    <row r="1259" spans="20:22" x14ac:dyDescent="0.25">
      <c r="T1259">
        <f>IF(connections!$A1259="","",IFERROR(INDEX(games!$B$2:$B$950,MATCH(connections!$A1259,games!$A$2:$A$950,0)),""))</f>
        <v>2017</v>
      </c>
      <c r="U1259">
        <f>IF(connections!$A1259="","",IFERROR(INDEX(games!$B$2:$B$950,MATCH(connections!$B1259,games!$A$2:$A$950,0)),""))</f>
        <v>2026</v>
      </c>
      <c r="V1259">
        <f t="shared" si="199"/>
        <v>9</v>
      </c>
    </row>
    <row r="1260" spans="20:22" x14ac:dyDescent="0.25">
      <c r="T1260">
        <f>IF(connections!$A1260="","",IFERROR(INDEX(games!$B$2:$B$950,MATCH(connections!$A1260,games!$A$2:$A$950,0)),""))</f>
        <v>2010</v>
      </c>
      <c r="U1260">
        <f>IF(connections!$A1260="","",IFERROR(INDEX(games!$B$2:$B$950,MATCH(connections!$B1260,games!$A$2:$A$950,0)),""))</f>
        <v>2017</v>
      </c>
      <c r="V1260">
        <f t="shared" si="199"/>
        <v>7</v>
      </c>
    </row>
    <row r="1261" spans="20:22" x14ac:dyDescent="0.25">
      <c r="T1261">
        <f>IF(connections!$A1261="","",IFERROR(INDEX(games!$B$2:$B$950,MATCH(connections!$A1261,games!$A$2:$A$950,0)),""))</f>
        <v>1995</v>
      </c>
      <c r="U1261">
        <f>IF(connections!$A1261="","",IFERROR(INDEX(games!$B$2:$B$950,MATCH(connections!$B1261,games!$A$2:$A$950,0)),""))</f>
        <v>2017</v>
      </c>
      <c r="V1261">
        <f t="shared" si="199"/>
        <v>22</v>
      </c>
    </row>
    <row r="1262" spans="20:22" x14ac:dyDescent="0.25">
      <c r="T1262">
        <f>IF(connections!$A1262="","",IFERROR(INDEX(games!$B$2:$B$950,MATCH(connections!$A1262,games!$A$2:$A$950,0)),""))</f>
        <v>1998</v>
      </c>
      <c r="U1262">
        <f>IF(connections!$A1262="","",IFERROR(INDEX(games!$B$2:$B$950,MATCH(connections!$B1262,games!$A$2:$A$950,0)),""))</f>
        <v>2017</v>
      </c>
      <c r="V1262">
        <f t="shared" si="199"/>
        <v>19</v>
      </c>
    </row>
    <row r="1263" spans="20:22" x14ac:dyDescent="0.25">
      <c r="T1263">
        <f>IF(connections!$A1263="","",IFERROR(INDEX(games!$B$2:$B$950,MATCH(connections!$A1263,games!$A$2:$A$950,0)),""))</f>
        <v>1997</v>
      </c>
      <c r="U1263">
        <f>IF(connections!$A1263="","",IFERROR(INDEX(games!$B$2:$B$950,MATCH(connections!$B1263,games!$A$2:$A$950,0)),""))</f>
        <v>2006</v>
      </c>
      <c r="V1263">
        <f t="shared" si="199"/>
        <v>9</v>
      </c>
    </row>
    <row r="1264" spans="20:22" x14ac:dyDescent="0.25">
      <c r="T1264">
        <f>IF(connections!$A1264="","",IFERROR(INDEX(games!$B$2:$B$950,MATCH(connections!$A1264,games!$A$2:$A$950,0)),""))</f>
        <v>2019</v>
      </c>
      <c r="U1264">
        <f>IF(connections!$A1264="","",IFERROR(INDEX(games!$B$2:$B$950,MATCH(connections!$B1264,games!$A$2:$A$950,0)),""))</f>
        <v>2023</v>
      </c>
      <c r="V1264">
        <f t="shared" si="199"/>
        <v>4</v>
      </c>
    </row>
    <row r="1265" spans="20:22" x14ac:dyDescent="0.25">
      <c r="T1265">
        <f>IF(connections!$A1265="","",IFERROR(INDEX(games!$B$2:$B$950,MATCH(connections!$A1265,games!$A$2:$A$950,0)),""))</f>
        <v>2017</v>
      </c>
      <c r="U1265">
        <f>IF(connections!$A1265="","",IFERROR(INDEX(games!$B$2:$B$950,MATCH(connections!$B1265,games!$A$2:$A$950,0)),""))</f>
        <v>2023</v>
      </c>
      <c r="V1265">
        <f t="shared" si="199"/>
        <v>6</v>
      </c>
    </row>
    <row r="1266" spans="20:22" x14ac:dyDescent="0.25">
      <c r="T1266">
        <f>IF(connections!$A1267="","",IFERROR(INDEX(games!$B$2:$B$950,MATCH(connections!$A1267,games!$A$2:$A$950,0)),""))</f>
        <v>2019</v>
      </c>
      <c r="U1266">
        <f>IF(connections!$A1267="","",IFERROR(INDEX(games!$B$2:$B$950,MATCH(connections!$B1267,games!$A$2:$A$950,0)),""))</f>
        <v>2019</v>
      </c>
      <c r="V1266">
        <f t="shared" si="199"/>
        <v>0</v>
      </c>
    </row>
    <row r="1267" spans="20:22" x14ac:dyDescent="0.25">
      <c r="T1267">
        <f>IF(connections!$A1268="","",IFERROR(INDEX(games!$B$2:$B$950,MATCH(connections!$A1268,games!$A$2:$A$950,0)),""))</f>
        <v>2020</v>
      </c>
      <c r="U1267">
        <f>IF(connections!$A1268="","",IFERROR(INDEX(games!$B$2:$B$950,MATCH(connections!$B1268,games!$A$2:$A$950,0)),""))</f>
        <v>2026</v>
      </c>
      <c r="V1267">
        <f t="shared" si="199"/>
        <v>6</v>
      </c>
    </row>
    <row r="1268" spans="20:22" x14ac:dyDescent="0.25">
      <c r="T1268">
        <f>IF(connections!$A1269="","",IFERROR(INDEX(games!$B$2:$B$950,MATCH(connections!$A1269,games!$A$2:$A$950,0)),""))</f>
        <v>2019</v>
      </c>
      <c r="U1268">
        <f>IF(connections!$A1269="","",IFERROR(INDEX(games!$B$2:$B$950,MATCH(connections!$B1269,games!$A$2:$A$950,0)),""))</f>
        <v>2024</v>
      </c>
      <c r="V1268">
        <f t="shared" si="199"/>
        <v>5</v>
      </c>
    </row>
    <row r="1269" spans="20:22" x14ac:dyDescent="0.25">
      <c r="T1269">
        <f>IF(connections!$A1270="","",IFERROR(INDEX(games!$B$2:$B$950,MATCH(connections!$A1270,games!$A$2:$A$950,0)),""))</f>
        <v>2018</v>
      </c>
      <c r="U1269">
        <f>IF(connections!$A1270="","",IFERROR(INDEX(games!$B$2:$B$950,MATCH(connections!$B1270,games!$A$2:$A$950,0)),""))</f>
        <v>2024</v>
      </c>
      <c r="V1269">
        <f t="shared" si="199"/>
        <v>6</v>
      </c>
    </row>
    <row r="1270" spans="20:22" x14ac:dyDescent="0.25">
      <c r="T1270">
        <f>IF(connections!$A1271="","",IFERROR(INDEX(games!$B$2:$B$950,MATCH(connections!$A1271,games!$A$2:$A$950,0)),""))</f>
        <v>2019</v>
      </c>
      <c r="U1270">
        <f>IF(connections!$A1271="","",IFERROR(INDEX(games!$B$2:$B$950,MATCH(connections!$B1271,games!$A$2:$A$950,0)),""))</f>
        <v>2024</v>
      </c>
      <c r="V1270">
        <f t="shared" si="199"/>
        <v>5</v>
      </c>
    </row>
    <row r="1271" spans="20:22" x14ac:dyDescent="0.25">
      <c r="T1271">
        <f>IF(connections!$A1272="","",IFERROR(INDEX(games!$B$2:$B$950,MATCH(connections!$A1272,games!$A$2:$A$950,0)),""))</f>
        <v>2021</v>
      </c>
      <c r="U1271">
        <f>IF(connections!$A1272="","",IFERROR(INDEX(games!$B$2:$B$950,MATCH(connections!$B1272,games!$A$2:$A$950,0)),""))</f>
        <v>2024</v>
      </c>
      <c r="V1271">
        <f t="shared" si="199"/>
        <v>3</v>
      </c>
    </row>
    <row r="1272" spans="20:22" x14ac:dyDescent="0.25">
      <c r="T1272">
        <f>IF(connections!$A1273="","",IFERROR(INDEX(games!$B$2:$B$950,MATCH(connections!$A1273,games!$A$2:$A$950,0)),""))</f>
        <v>2012</v>
      </c>
      <c r="U1272">
        <f>IF(connections!$A1273="","",IFERROR(INDEX(games!$B$2:$B$950,MATCH(connections!$B1273,games!$A$2:$A$950,0)),""))</f>
        <v>2022</v>
      </c>
      <c r="V1272">
        <f t="shared" si="199"/>
        <v>10</v>
      </c>
    </row>
    <row r="1273" spans="20:22" x14ac:dyDescent="0.25">
      <c r="T1273">
        <f>IF(connections!$A1274="","",IFERROR(INDEX(games!$B$2:$B$950,MATCH(connections!$A1274,games!$A$2:$A$950,0)),""))</f>
        <v>2021</v>
      </c>
      <c r="U1273">
        <f>IF(connections!$A1274="","",IFERROR(INDEX(games!$B$2:$B$950,MATCH(connections!$B1274,games!$A$2:$A$950,0)),""))</f>
        <v>2026</v>
      </c>
      <c r="V1273">
        <f t="shared" si="199"/>
        <v>5</v>
      </c>
    </row>
    <row r="1274" spans="20:22" x14ac:dyDescent="0.25">
      <c r="T1274">
        <f>IF(connections!$A1275="","",IFERROR(INDEX(games!$B$2:$B$950,MATCH(connections!$A1275,games!$A$2:$A$950,0)),""))</f>
        <v>2020</v>
      </c>
      <c r="U1274">
        <f>IF(connections!$A1275="","",IFERROR(INDEX(games!$B$2:$B$950,MATCH(connections!$B1275,games!$A$2:$A$950,0)),""))</f>
        <v>2024</v>
      </c>
      <c r="V1274">
        <f t="shared" si="199"/>
        <v>4</v>
      </c>
    </row>
    <row r="1275" spans="20:22" x14ac:dyDescent="0.25">
      <c r="T1275">
        <f>IF(connections!$A1276="","",IFERROR(INDEX(games!$B$2:$B$950,MATCH(connections!$A1276,games!$A$2:$A$950,0)),""))</f>
        <v>2019</v>
      </c>
      <c r="U1275">
        <f>IF(connections!$A1276="","",IFERROR(INDEX(games!$B$2:$B$950,MATCH(connections!$B1276,games!$A$2:$A$950,0)),""))</f>
        <v>2025</v>
      </c>
      <c r="V1275">
        <f t="shared" si="199"/>
        <v>6</v>
      </c>
    </row>
    <row r="1276" spans="20:22" x14ac:dyDescent="0.25">
      <c r="T1276">
        <f>IF(connections!$A1277="","",IFERROR(INDEX(games!$B$2:$B$950,MATCH(connections!$A1277,games!$A$2:$A$950,0)),""))</f>
        <v>2019</v>
      </c>
      <c r="U1276">
        <f>IF(connections!$A1277="","",IFERROR(INDEX(games!$B$2:$B$950,MATCH(connections!$B1277,games!$A$2:$A$950,0)),""))</f>
        <v>2025</v>
      </c>
      <c r="V1276">
        <f t="shared" si="199"/>
        <v>6</v>
      </c>
    </row>
    <row r="1277" spans="20:22" x14ac:dyDescent="0.25">
      <c r="T1277">
        <f>IF(connections!$A1278="","",IFERROR(INDEX(games!$B$2:$B$950,MATCH(connections!$A1278,games!$A$2:$A$950,0)),""))</f>
        <v>2010</v>
      </c>
      <c r="U1277">
        <f>IF(connections!$A1278="","",IFERROR(INDEX(games!$B$2:$B$950,MATCH(connections!$B1278,games!$A$2:$A$950,0)),""))</f>
        <v>2011</v>
      </c>
      <c r="V1277">
        <f t="shared" si="199"/>
        <v>1</v>
      </c>
    </row>
    <row r="1278" spans="20:22" x14ac:dyDescent="0.25">
      <c r="T1278">
        <f>IF(connections!$A1279="","",IFERROR(INDEX(games!$B$2:$B$950,MATCH(connections!$A1279,games!$A$2:$A$950,0)),""))</f>
        <v>2008</v>
      </c>
      <c r="U1278">
        <f>IF(connections!$A1279="","",IFERROR(INDEX(games!$B$2:$B$950,MATCH(connections!$B1279,games!$A$2:$A$950,0)),""))</f>
        <v>2011</v>
      </c>
      <c r="V1278">
        <f t="shared" si="199"/>
        <v>3</v>
      </c>
    </row>
    <row r="1279" spans="20:22" x14ac:dyDescent="0.25">
      <c r="T1279">
        <f>IF(connections!$A1280="","",IFERROR(INDEX(games!$B$2:$B$950,MATCH(connections!$A1280,games!$A$2:$A$950,0)),""))</f>
        <v>2011</v>
      </c>
      <c r="U1279">
        <f>IF(connections!$A1280="","",IFERROR(INDEX(games!$B$2:$B$950,MATCH(connections!$B1280,games!$A$2:$A$950,0)),""))</f>
        <v>2014</v>
      </c>
      <c r="V1279">
        <f t="shared" si="199"/>
        <v>3</v>
      </c>
    </row>
    <row r="1280" spans="20:22" x14ac:dyDescent="0.25">
      <c r="T1280">
        <f>IF(connections!$A1281="","",IFERROR(INDEX(games!$B$2:$B$950,MATCH(connections!$A1281,games!$A$2:$A$950,0)),""))</f>
        <v>2017</v>
      </c>
      <c r="U1280">
        <f>IF(connections!$A1281="","",IFERROR(INDEX(games!$B$2:$B$950,MATCH(connections!$B1281,games!$A$2:$A$950,0)),""))</f>
        <v>2021</v>
      </c>
      <c r="V1280">
        <f t="shared" si="199"/>
        <v>4</v>
      </c>
    </row>
    <row r="1281" spans="20:22" x14ac:dyDescent="0.25">
      <c r="T1281">
        <f>IF(connections!$A1282="","",IFERROR(INDEX(games!$B$2:$B$950,MATCH(connections!$A1282,games!$A$2:$A$950,0)),""))</f>
        <v>2011</v>
      </c>
      <c r="U1281">
        <f>IF(connections!$A1282="","",IFERROR(INDEX(games!$B$2:$B$950,MATCH(connections!$B1282,games!$A$2:$A$950,0)),""))</f>
        <v>2021</v>
      </c>
      <c r="V1281">
        <f t="shared" si="199"/>
        <v>10</v>
      </c>
    </row>
    <row r="1282" spans="20:22" x14ac:dyDescent="0.25">
      <c r="T1282">
        <f>IF(connections!$A1283="","",IFERROR(INDEX(games!$B$2:$B$950,MATCH(connections!$A1283,games!$A$2:$A$950,0)),""))</f>
        <v>2006</v>
      </c>
      <c r="U1282">
        <f>IF(connections!$A1283="","",IFERROR(INDEX(games!$B$2:$B$950,MATCH(connections!$B1283,games!$A$2:$A$950,0)),""))</f>
        <v>2021</v>
      </c>
      <c r="V1282">
        <f t="shared" ref="V1282:V1345" si="200">IF(OR($T1282="",$U1282=""),"",$U1282-$T1282)</f>
        <v>15</v>
      </c>
    </row>
    <row r="1283" spans="20:22" x14ac:dyDescent="0.25">
      <c r="T1283">
        <f>IF(connections!$A1284="","",IFERROR(INDEX(games!$B$2:$B$950,MATCH(connections!$A1284,games!$A$2:$A$950,0)),""))</f>
        <v>1980</v>
      </c>
      <c r="U1283">
        <f>IF(connections!$A1284="","",IFERROR(INDEX(games!$B$2:$B$950,MATCH(connections!$B1284,games!$A$2:$A$950,0)),""))</f>
        <v>2000</v>
      </c>
      <c r="V1283">
        <f t="shared" si="200"/>
        <v>20</v>
      </c>
    </row>
    <row r="1284" spans="20:22" x14ac:dyDescent="0.25">
      <c r="T1284">
        <f>IF(connections!$A1285="","",IFERROR(INDEX(games!$B$2:$B$950,MATCH(connections!$A1285,games!$A$2:$A$950,0)),""))</f>
        <v>1993</v>
      </c>
      <c r="U1284">
        <f>IF(connections!$A1285="","",IFERROR(INDEX(games!$B$2:$B$950,MATCH(connections!$B1285,games!$A$2:$A$950,0)),""))</f>
        <v>2000</v>
      </c>
      <c r="V1284">
        <f t="shared" si="200"/>
        <v>7</v>
      </c>
    </row>
    <row r="1285" spans="20:22" x14ac:dyDescent="0.25">
      <c r="T1285">
        <f>IF(connections!$A1286="","",IFERROR(INDEX(games!$B$2:$B$950,MATCH(connections!$A1286,games!$A$2:$A$950,0)),""))</f>
        <v>2013</v>
      </c>
      <c r="U1285">
        <f>IF(connections!$A1286="","",IFERROR(INDEX(games!$B$2:$B$950,MATCH(connections!$B1286,games!$A$2:$A$950,0)),""))</f>
        <v>2016</v>
      </c>
      <c r="V1285">
        <f t="shared" si="200"/>
        <v>3</v>
      </c>
    </row>
    <row r="1286" spans="20:22" x14ac:dyDescent="0.25">
      <c r="T1286">
        <f>IF(connections!$A1287="","",IFERROR(INDEX(games!$B$2:$B$950,MATCH(connections!$A1287,games!$A$2:$A$950,0)),""))</f>
        <v>1990</v>
      </c>
      <c r="U1286">
        <f>IF(connections!$A1287="","",IFERROR(INDEX(games!$B$2:$B$950,MATCH(connections!$B1287,games!$A$2:$A$950,0)),""))</f>
        <v>2014</v>
      </c>
      <c r="V1286">
        <f t="shared" si="200"/>
        <v>24</v>
      </c>
    </row>
    <row r="1287" spans="20:22" x14ac:dyDescent="0.25">
      <c r="T1287">
        <f>IF(connections!$A1288="","",IFERROR(INDEX(games!$B$2:$B$950,MATCH(connections!$A1288,games!$A$2:$A$950,0)),""))</f>
        <v>2007</v>
      </c>
      <c r="U1287">
        <f>IF(connections!$A1288="","",IFERROR(INDEX(games!$B$2:$B$950,MATCH(connections!$B1288,games!$A$2:$A$950,0)),""))</f>
        <v>2014</v>
      </c>
      <c r="V1287">
        <f t="shared" si="200"/>
        <v>7</v>
      </c>
    </row>
    <row r="1288" spans="20:22" x14ac:dyDescent="0.25">
      <c r="T1288">
        <f>IF(connections!$A1289="","",IFERROR(INDEX(games!$B$2:$B$950,MATCH(connections!$A1289,games!$A$2:$A$950,0)),""))</f>
        <v>2003</v>
      </c>
      <c r="U1288">
        <f>IF(connections!$A1289="","",IFERROR(INDEX(games!$B$2:$B$950,MATCH(connections!$B1289,games!$A$2:$A$950,0)),""))</f>
        <v>2014</v>
      </c>
      <c r="V1288">
        <f t="shared" si="200"/>
        <v>11</v>
      </c>
    </row>
    <row r="1289" spans="20:22" x14ac:dyDescent="0.25">
      <c r="T1289">
        <f>IF(connections!$A1290="","",IFERROR(INDEX(games!$B$2:$B$950,MATCH(connections!$A1290,games!$A$2:$A$950,0)),""))</f>
        <v>2010</v>
      </c>
      <c r="U1289">
        <f>IF(connections!$A1290="","",IFERROR(INDEX(games!$B$2:$B$950,MATCH(connections!$B1290,games!$A$2:$A$950,0)),""))</f>
        <v>2013</v>
      </c>
      <c r="V1289">
        <f t="shared" si="200"/>
        <v>3</v>
      </c>
    </row>
    <row r="1290" spans="20:22" x14ac:dyDescent="0.25">
      <c r="T1290">
        <f>IF(connections!$A1291="","",IFERROR(INDEX(games!$B$2:$B$950,MATCH(connections!$A1291,games!$A$2:$A$950,0)),""))</f>
        <v>2020</v>
      </c>
      <c r="U1290">
        <f>IF(connections!$A1291="","",IFERROR(INDEX(games!$B$2:$B$950,MATCH(connections!$B1291,games!$A$2:$A$950,0)),""))</f>
        <v>2024</v>
      </c>
      <c r="V1290">
        <f t="shared" si="200"/>
        <v>4</v>
      </c>
    </row>
    <row r="1291" spans="20:22" x14ac:dyDescent="0.25">
      <c r="T1291">
        <f>IF(connections!$A1292="","",IFERROR(INDEX(games!$B$2:$B$950,MATCH(connections!$A1292,games!$A$2:$A$950,0)),""))</f>
        <v>2017</v>
      </c>
      <c r="U1291">
        <f>IF(connections!$A1292="","",IFERROR(INDEX(games!$B$2:$B$950,MATCH(connections!$B1292,games!$A$2:$A$950,0)),""))</f>
        <v>2024</v>
      </c>
      <c r="V1291">
        <f t="shared" si="200"/>
        <v>7</v>
      </c>
    </row>
    <row r="1292" spans="20:22" x14ac:dyDescent="0.25">
      <c r="T1292">
        <f>IF(connections!$A1293="","",IFERROR(INDEX(games!$B$2:$B$950,MATCH(connections!$A1293,games!$A$2:$A$950,0)),""))</f>
        <v>2011</v>
      </c>
      <c r="U1292">
        <f>IF(connections!$A1293="","",IFERROR(INDEX(games!$B$2:$B$950,MATCH(connections!$B1293,games!$A$2:$A$950,0)),""))</f>
        <v>2023</v>
      </c>
      <c r="V1292">
        <f t="shared" si="200"/>
        <v>12</v>
      </c>
    </row>
    <row r="1293" spans="20:22" x14ac:dyDescent="0.25">
      <c r="T1293">
        <f>IF(connections!$A1294="","",IFERROR(INDEX(games!$B$2:$B$950,MATCH(connections!$A1294,games!$A$2:$A$950,0)),""))</f>
        <v>2022</v>
      </c>
      <c r="U1293">
        <f>IF(connections!$A1294="","",IFERROR(INDEX(games!$B$2:$B$950,MATCH(connections!$B1294,games!$A$2:$A$950,0)),""))</f>
        <v>2023</v>
      </c>
      <c r="V1293">
        <f t="shared" si="200"/>
        <v>1</v>
      </c>
    </row>
    <row r="1294" spans="20:22" x14ac:dyDescent="0.25">
      <c r="T1294">
        <f>IF(connections!$A1295="","",IFERROR(INDEX(games!$B$2:$B$950,MATCH(connections!$A1295,games!$A$2:$A$950,0)),""))</f>
        <v>2017</v>
      </c>
      <c r="U1294">
        <f>IF(connections!$A1295="","",IFERROR(INDEX(games!$B$2:$B$950,MATCH(connections!$B1295,games!$A$2:$A$950,0)),""))</f>
        <v>2021</v>
      </c>
      <c r="V1294">
        <f t="shared" si="200"/>
        <v>4</v>
      </c>
    </row>
    <row r="1295" spans="20:22" x14ac:dyDescent="0.25">
      <c r="T1295">
        <f>IF(connections!$A1296="","",IFERROR(INDEX(games!$B$2:$B$950,MATCH(connections!$A1296,games!$A$2:$A$950,0)),""))</f>
        <v>2018</v>
      </c>
      <c r="U1295">
        <f>IF(connections!$A1296="","",IFERROR(INDEX(games!$B$2:$B$950,MATCH(connections!$B1296,games!$A$2:$A$950,0)),""))</f>
        <v>2021</v>
      </c>
      <c r="V1295">
        <f t="shared" si="200"/>
        <v>3</v>
      </c>
    </row>
    <row r="1296" spans="20:22" x14ac:dyDescent="0.25">
      <c r="T1296">
        <f>IF(connections!$A1297="","",IFERROR(INDEX(games!$B$2:$B$950,MATCH(connections!$A1297,games!$A$2:$A$950,0)),""))</f>
        <v>2017</v>
      </c>
      <c r="U1296">
        <f>IF(connections!$A1297="","",IFERROR(INDEX(games!$B$2:$B$950,MATCH(connections!$B1297,games!$A$2:$A$950,0)),""))</f>
        <v>2021</v>
      </c>
      <c r="V1296">
        <f t="shared" si="200"/>
        <v>4</v>
      </c>
    </row>
    <row r="1297" spans="20:22" x14ac:dyDescent="0.25">
      <c r="T1297">
        <f>IF(connections!$A1298="","",IFERROR(INDEX(games!$B$2:$B$950,MATCH(connections!$A1298,games!$A$2:$A$950,0)),""))</f>
        <v>2020</v>
      </c>
      <c r="U1297">
        <f>IF(connections!$A1298="","",IFERROR(INDEX(games!$B$2:$B$950,MATCH(connections!$B1298,games!$A$2:$A$950,0)),""))</f>
        <v>2021</v>
      </c>
      <c r="V1297">
        <f t="shared" si="200"/>
        <v>1</v>
      </c>
    </row>
    <row r="1298" spans="20:22" x14ac:dyDescent="0.25">
      <c r="T1298">
        <f>IF(connections!$A1299="","",IFERROR(INDEX(games!$B$2:$B$950,MATCH(connections!$A1299,games!$A$2:$A$950,0)),""))</f>
        <v>2011</v>
      </c>
      <c r="U1298">
        <f>IF(connections!$A1299="","",IFERROR(INDEX(games!$B$2:$B$950,MATCH(connections!$B1299,games!$A$2:$A$950,0)),""))</f>
        <v>2019</v>
      </c>
      <c r="V1298">
        <f t="shared" si="200"/>
        <v>8</v>
      </c>
    </row>
    <row r="1299" spans="20:22" x14ac:dyDescent="0.25">
      <c r="T1299">
        <f>IF(connections!$A1300="","",IFERROR(INDEX(games!$B$2:$B$950,MATCH(connections!$A1300,games!$A$2:$A$950,0)),""))</f>
        <v>2023</v>
      </c>
      <c r="U1299">
        <f>IF(connections!$A1300="","",IFERROR(INDEX(games!$B$2:$B$950,MATCH(connections!$B1300,games!$A$2:$A$950,0)),""))</f>
        <v>2026</v>
      </c>
      <c r="V1299">
        <f t="shared" si="200"/>
        <v>3</v>
      </c>
    </row>
    <row r="1300" spans="20:22" x14ac:dyDescent="0.25">
      <c r="T1300">
        <f>IF(connections!$A1301="","",IFERROR(INDEX(games!$B$2:$B$950,MATCH(connections!$A1301,games!$A$2:$A$950,0)),""))</f>
        <v>2021</v>
      </c>
      <c r="U1300">
        <f>IF(connections!$A1301="","",IFERROR(INDEX(games!$B$2:$B$950,MATCH(connections!$B1301,games!$A$2:$A$950,0)),""))</f>
        <v>2026</v>
      </c>
      <c r="V1300">
        <f t="shared" si="200"/>
        <v>5</v>
      </c>
    </row>
    <row r="1301" spans="20:22" x14ac:dyDescent="0.25">
      <c r="T1301">
        <f>IF(connections!$A1302="","",IFERROR(INDEX(games!$B$2:$B$950,MATCH(connections!$A1302,games!$A$2:$A$950,0)),""))</f>
        <v>1993</v>
      </c>
      <c r="U1301">
        <f>IF(connections!$A1302="","",IFERROR(INDEX(games!$B$2:$B$950,MATCH(connections!$B1302,games!$A$2:$A$950,0)),""))</f>
        <v>2004</v>
      </c>
      <c r="V1301">
        <f t="shared" si="200"/>
        <v>11</v>
      </c>
    </row>
    <row r="1302" spans="20:22" x14ac:dyDescent="0.25">
      <c r="T1302">
        <f>IF(connections!$A1303="","",IFERROR(INDEX(games!$B$2:$B$950,MATCH(connections!$A1303,games!$A$2:$A$950,0)),""))</f>
        <v>2018</v>
      </c>
      <c r="U1302">
        <f>IF(connections!$A1303="","",IFERROR(INDEX(games!$B$2:$B$950,MATCH(connections!$B1303,games!$A$2:$A$950,0)),""))</f>
        <v>2023</v>
      </c>
      <c r="V1302">
        <f t="shared" si="200"/>
        <v>5</v>
      </c>
    </row>
    <row r="1303" spans="20:22" x14ac:dyDescent="0.25">
      <c r="T1303">
        <f>IF(connections!$A1304="","",IFERROR(INDEX(games!$B$2:$B$950,MATCH(connections!$A1304,games!$A$2:$A$950,0)),""))</f>
        <v>2021</v>
      </c>
      <c r="U1303">
        <f>IF(connections!$A1304="","",IFERROR(INDEX(games!$B$2:$B$950,MATCH(connections!$B1304,games!$A$2:$A$950,0)),""))</f>
        <v>2023</v>
      </c>
      <c r="V1303">
        <f t="shared" si="200"/>
        <v>2</v>
      </c>
    </row>
    <row r="1304" spans="20:22" x14ac:dyDescent="0.25">
      <c r="T1304">
        <f>IF(connections!$A1305="","",IFERROR(INDEX(games!$B$2:$B$950,MATCH(connections!$A1305,games!$A$2:$A$950,0)),""))</f>
        <v>2022</v>
      </c>
      <c r="U1304">
        <f>IF(connections!$A1305="","",IFERROR(INDEX(games!$B$2:$B$950,MATCH(connections!$B1305,games!$A$2:$A$950,0)),""))</f>
        <v>2023</v>
      </c>
      <c r="V1304">
        <f t="shared" si="200"/>
        <v>1</v>
      </c>
    </row>
    <row r="1305" spans="20:22" x14ac:dyDescent="0.25">
      <c r="T1305">
        <f>IF(connections!$A1306="","",IFERROR(INDEX(games!$B$2:$B$950,MATCH(connections!$A1306,games!$A$2:$A$950,0)),""))</f>
        <v>2017</v>
      </c>
      <c r="U1305">
        <f>IF(connections!$A1306="","",IFERROR(INDEX(games!$B$2:$B$950,MATCH(connections!$B1306,games!$A$2:$A$950,0)),""))</f>
        <v>2023</v>
      </c>
      <c r="V1305">
        <f t="shared" si="200"/>
        <v>6</v>
      </c>
    </row>
    <row r="1306" spans="20:22" x14ac:dyDescent="0.25">
      <c r="T1306">
        <f>IF(connections!$A1307="","",IFERROR(INDEX(games!$B$2:$B$950,MATCH(connections!$A1307,games!$A$2:$A$950,0)),""))</f>
        <v>2018</v>
      </c>
      <c r="U1306">
        <f>IF(connections!$A1307="","",IFERROR(INDEX(games!$B$2:$B$950,MATCH(connections!$B1307,games!$A$2:$A$950,0)),""))</f>
        <v>2024</v>
      </c>
      <c r="V1306">
        <f t="shared" si="200"/>
        <v>6</v>
      </c>
    </row>
    <row r="1307" spans="20:22" x14ac:dyDescent="0.25">
      <c r="T1307">
        <f>IF(connections!$A1308="","",IFERROR(INDEX(games!$B$2:$B$950,MATCH(connections!$A1308,games!$A$2:$A$950,0)),""))</f>
        <v>2021</v>
      </c>
      <c r="U1307">
        <f>IF(connections!$A1308="","",IFERROR(INDEX(games!$B$2:$B$950,MATCH(connections!$B1308,games!$A$2:$A$950,0)),""))</f>
        <v>2025</v>
      </c>
      <c r="V1307">
        <f t="shared" si="200"/>
        <v>4</v>
      </c>
    </row>
    <row r="1308" spans="20:22" x14ac:dyDescent="0.25">
      <c r="T1308">
        <f>IF(connections!$A1309="","",IFERROR(INDEX(games!$B$2:$B$950,MATCH(connections!$A1309,games!$A$2:$A$950,0)),""))</f>
        <v>2023</v>
      </c>
      <c r="U1308">
        <f>IF(connections!$A1309="","",IFERROR(INDEX(games!$B$2:$B$950,MATCH(connections!$B1309,games!$A$2:$A$950,0)),""))</f>
        <v>2025</v>
      </c>
      <c r="V1308">
        <f t="shared" si="200"/>
        <v>2</v>
      </c>
    </row>
    <row r="1309" spans="20:22" x14ac:dyDescent="0.25">
      <c r="T1309">
        <f>IF(connections!$A1310="","",IFERROR(INDEX(games!$B$2:$B$950,MATCH(connections!$A1310,games!$A$2:$A$950,0)),""))</f>
        <v>2021</v>
      </c>
      <c r="U1309">
        <f>IF(connections!$A1310="","",IFERROR(INDEX(games!$B$2:$B$950,MATCH(connections!$B1310,games!$A$2:$A$950,0)),""))</f>
        <v>2025</v>
      </c>
      <c r="V1309">
        <f t="shared" si="200"/>
        <v>4</v>
      </c>
    </row>
    <row r="1310" spans="20:22" x14ac:dyDescent="0.25">
      <c r="T1310">
        <f>IF(connections!$A1311="","",IFERROR(INDEX(games!$B$2:$B$950,MATCH(connections!$A1311,games!$A$2:$A$950,0)),""))</f>
        <v>2020</v>
      </c>
      <c r="U1310">
        <f>IF(connections!$A1311="","",IFERROR(INDEX(games!$B$2:$B$950,MATCH(connections!$B1311,games!$A$2:$A$950,0)),""))</f>
        <v>2025</v>
      </c>
      <c r="V1310">
        <f t="shared" si="200"/>
        <v>5</v>
      </c>
    </row>
    <row r="1311" spans="20:22" x14ac:dyDescent="0.25">
      <c r="T1311">
        <f>IF(connections!$A1312="","",IFERROR(INDEX(games!$B$2:$B$950,MATCH(connections!$A1312,games!$A$2:$A$950,0)),""))</f>
        <v>2017</v>
      </c>
      <c r="U1311">
        <f>IF(connections!$A1312="","",IFERROR(INDEX(games!$B$2:$B$950,MATCH(connections!$B1312,games!$A$2:$A$950,0)),""))</f>
        <v>2025</v>
      </c>
      <c r="V1311">
        <f t="shared" si="200"/>
        <v>8</v>
      </c>
    </row>
    <row r="1312" spans="20:22" x14ac:dyDescent="0.25">
      <c r="T1312">
        <f>IF(connections!$A1313="","",IFERROR(INDEX(games!$B$2:$B$950,MATCH(connections!$A1313,games!$A$2:$A$950,0)),""))</f>
        <v>2023</v>
      </c>
      <c r="U1312">
        <f>IF(connections!$A1313="","",IFERROR(INDEX(games!$B$2:$B$950,MATCH(connections!$B1313,games!$A$2:$A$950,0)),""))</f>
        <v>2024</v>
      </c>
      <c r="V1312">
        <f t="shared" si="200"/>
        <v>1</v>
      </c>
    </row>
    <row r="1313" spans="20:22" x14ac:dyDescent="0.25">
      <c r="T1313">
        <f>IF(connections!$A1314="","",IFERROR(INDEX(games!$B$2:$B$950,MATCH(connections!$A1314,games!$A$2:$A$950,0)),""))</f>
        <v>2024</v>
      </c>
      <c r="U1313">
        <f>IF(connections!$A1314="","",IFERROR(INDEX(games!$B$2:$B$950,MATCH(connections!$B1314,games!$A$2:$A$950,0)),""))</f>
        <v>2024</v>
      </c>
      <c r="V1313">
        <f t="shared" si="200"/>
        <v>0</v>
      </c>
    </row>
    <row r="1314" spans="20:22" x14ac:dyDescent="0.25">
      <c r="T1314">
        <f>IF(connections!$A1315="","",IFERROR(INDEX(games!$B$2:$B$950,MATCH(connections!$A1315,games!$A$2:$A$950,0)),""))</f>
        <v>2021</v>
      </c>
      <c r="U1314">
        <f>IF(connections!$A1315="","",IFERROR(INDEX(games!$B$2:$B$950,MATCH(connections!$B1315,games!$A$2:$A$950,0)),""))</f>
        <v>2024</v>
      </c>
      <c r="V1314">
        <f t="shared" si="200"/>
        <v>3</v>
      </c>
    </row>
    <row r="1315" spans="20:22" x14ac:dyDescent="0.25">
      <c r="T1315">
        <f>IF(connections!$A1316="","",IFERROR(INDEX(games!$B$2:$B$950,MATCH(connections!$A1316,games!$A$2:$A$950,0)),""))</f>
        <v>2021</v>
      </c>
      <c r="U1315">
        <f>IF(connections!$A1316="","",IFERROR(INDEX(games!$B$2:$B$950,MATCH(connections!$B1316,games!$A$2:$A$950,0)),""))</f>
        <v>2026</v>
      </c>
      <c r="V1315">
        <f t="shared" si="200"/>
        <v>5</v>
      </c>
    </row>
    <row r="1316" spans="20:22" x14ac:dyDescent="0.25">
      <c r="T1316">
        <f>IF(connections!$A1317="","",IFERROR(INDEX(games!$B$2:$B$950,MATCH(connections!$A1317,games!$A$2:$A$950,0)),""))</f>
        <v>2017</v>
      </c>
      <c r="U1316">
        <f>IF(connections!$A1317="","",IFERROR(INDEX(games!$B$2:$B$950,MATCH(connections!$B1317,games!$A$2:$A$950,0)),""))</f>
        <v>2026</v>
      </c>
      <c r="V1316">
        <f t="shared" si="200"/>
        <v>9</v>
      </c>
    </row>
    <row r="1317" spans="20:22" x14ac:dyDescent="0.25">
      <c r="T1317">
        <f>IF(connections!$A1318="","",IFERROR(INDEX(games!$B$2:$B$950,MATCH(connections!$A1318,games!$A$2:$A$950,0)),""))</f>
        <v>2016</v>
      </c>
      <c r="U1317">
        <f>IF(connections!$A1318="","",IFERROR(INDEX(games!$B$2:$B$950,MATCH(connections!$B1318,games!$A$2:$A$950,0)),""))</f>
        <v>2022</v>
      </c>
      <c r="V1317">
        <f t="shared" si="200"/>
        <v>6</v>
      </c>
    </row>
    <row r="1318" spans="20:22" x14ac:dyDescent="0.25">
      <c r="T1318">
        <f>IF(connections!$A1319="","",IFERROR(INDEX(games!$B$2:$B$950,MATCH(connections!$A1319,games!$A$2:$A$950,0)),""))</f>
        <v>2019</v>
      </c>
      <c r="U1318">
        <f>IF(connections!$A1319="","",IFERROR(INDEX(games!$B$2:$B$950,MATCH(connections!$B1319,games!$A$2:$A$950,0)),""))</f>
        <v>2022</v>
      </c>
      <c r="V1318">
        <f t="shared" si="200"/>
        <v>3</v>
      </c>
    </row>
    <row r="1319" spans="20:22" x14ac:dyDescent="0.25">
      <c r="T1319">
        <f>IF(connections!$A1320="","",IFERROR(INDEX(games!$B$2:$B$950,MATCH(connections!$A1320,games!$A$2:$A$950,0)),""))</f>
        <v>2011</v>
      </c>
      <c r="U1319">
        <f>IF(connections!$A1320="","",IFERROR(INDEX(games!$B$2:$B$950,MATCH(connections!$B1320,games!$A$2:$A$950,0)),""))</f>
        <v>2018</v>
      </c>
      <c r="V1319">
        <f t="shared" si="200"/>
        <v>7</v>
      </c>
    </row>
    <row r="1320" spans="20:22" x14ac:dyDescent="0.25">
      <c r="T1320">
        <f>IF(connections!$A1322="","",IFERROR(INDEX(games!$B$2:$B$950,MATCH(connections!$A1322,games!$A$2:$A$950,0)),""))</f>
        <v>2023</v>
      </c>
      <c r="U1320">
        <f>IF(connections!$A1322="","",IFERROR(INDEX(games!$B$2:$B$950,MATCH(connections!$B1322,games!$A$2:$A$950,0)),""))</f>
        <v>2025</v>
      </c>
      <c r="V1320">
        <f t="shared" si="200"/>
        <v>2</v>
      </c>
    </row>
    <row r="1321" spans="20:22" x14ac:dyDescent="0.25">
      <c r="T1321">
        <f>IF(connections!$A1323="","",IFERROR(INDEX(games!$B$2:$B$950,MATCH(connections!$A1323,games!$A$2:$A$950,0)),""))</f>
        <v>2023</v>
      </c>
      <c r="U1321">
        <f>IF(connections!$A1323="","",IFERROR(INDEX(games!$B$2:$B$950,MATCH(connections!$B1323,games!$A$2:$A$950,0)),""))</f>
        <v>2025</v>
      </c>
      <c r="V1321">
        <f t="shared" si="200"/>
        <v>2</v>
      </c>
    </row>
    <row r="1322" spans="20:22" x14ac:dyDescent="0.25">
      <c r="T1322">
        <f>IF(connections!$A1324="","",IFERROR(INDEX(games!$B$2:$B$950,MATCH(connections!$A1324,games!$A$2:$A$950,0)),""))</f>
        <v>2017</v>
      </c>
      <c r="U1322">
        <f>IF(connections!$A1324="","",IFERROR(INDEX(games!$B$2:$B$950,MATCH(connections!$B1324,games!$A$2:$A$950,0)),""))</f>
        <v>2025</v>
      </c>
      <c r="V1322">
        <f t="shared" si="200"/>
        <v>8</v>
      </c>
    </row>
    <row r="1323" spans="20:22" x14ac:dyDescent="0.25">
      <c r="T1323">
        <f>IF(connections!$A1325="","",IFERROR(INDEX(games!$B$2:$B$950,MATCH(connections!$A1325,games!$A$2:$A$950,0)),""))</f>
        <v>2021</v>
      </c>
      <c r="U1323">
        <f>IF(connections!$A1325="","",IFERROR(INDEX(games!$B$2:$B$950,MATCH(connections!$B1325,games!$A$2:$A$950,0)),""))</f>
        <v>2023</v>
      </c>
      <c r="V1323">
        <f t="shared" si="200"/>
        <v>2</v>
      </c>
    </row>
    <row r="1324" spans="20:22" x14ac:dyDescent="0.25">
      <c r="T1324">
        <f>IF(connections!$A1326="","",IFERROR(INDEX(games!$B$2:$B$950,MATCH(connections!$A1326,games!$A$2:$A$950,0)),""))</f>
        <v>2021</v>
      </c>
      <c r="U1324">
        <f>IF(connections!$A1326="","",IFERROR(INDEX(games!$B$2:$B$950,MATCH(connections!$B1326,games!$A$2:$A$950,0)),""))</f>
        <v>2023</v>
      </c>
      <c r="V1324">
        <f t="shared" si="200"/>
        <v>2</v>
      </c>
    </row>
    <row r="1325" spans="20:22" x14ac:dyDescent="0.25">
      <c r="T1325">
        <f>IF(connections!$A1327="","",IFERROR(INDEX(games!$B$2:$B$950,MATCH(connections!$A1327,games!$A$2:$A$950,0)),""))</f>
        <v>2019</v>
      </c>
      <c r="U1325">
        <f>IF(connections!$A1327="","",IFERROR(INDEX(games!$B$2:$B$950,MATCH(connections!$B1327,games!$A$2:$A$950,0)),""))</f>
        <v>2026</v>
      </c>
      <c r="V1325">
        <f t="shared" si="200"/>
        <v>7</v>
      </c>
    </row>
    <row r="1326" spans="20:22" x14ac:dyDescent="0.25">
      <c r="T1326">
        <f>IF(connections!$A1328="","",IFERROR(INDEX(games!$B$2:$B$950,MATCH(connections!$A1328,games!$A$2:$A$950,0)),""))</f>
        <v>2017</v>
      </c>
      <c r="U1326">
        <f>IF(connections!$A1328="","",IFERROR(INDEX(games!$B$2:$B$950,MATCH(connections!$B1328,games!$A$2:$A$950,0)),""))</f>
        <v>2026</v>
      </c>
      <c r="V1326">
        <f t="shared" si="200"/>
        <v>9</v>
      </c>
    </row>
    <row r="1327" spans="20:22" x14ac:dyDescent="0.25">
      <c r="T1327">
        <f>IF(connections!$A1329="","",IFERROR(INDEX(games!$B$2:$B$950,MATCH(connections!$A1329,games!$A$2:$A$950,0)),""))</f>
        <v>2024</v>
      </c>
      <c r="U1327">
        <f>IF(connections!$A1329="","",IFERROR(INDEX(games!$B$2:$B$950,MATCH(connections!$B1329,games!$A$2:$A$950,0)),""))</f>
        <v>2025</v>
      </c>
      <c r="V1327">
        <f t="shared" si="200"/>
        <v>1</v>
      </c>
    </row>
    <row r="1328" spans="20:22" x14ac:dyDescent="0.25">
      <c r="T1328">
        <f>IF(connections!$A1330="","",IFERROR(INDEX(games!$B$2:$B$950,MATCH(connections!$A1330,games!$A$2:$A$950,0)),""))</f>
        <v>2023</v>
      </c>
      <c r="U1328">
        <f>IF(connections!$A1330="","",IFERROR(INDEX(games!$B$2:$B$950,MATCH(connections!$B1330,games!$A$2:$A$950,0)),""))</f>
        <v>2025</v>
      </c>
      <c r="V1328">
        <f t="shared" si="200"/>
        <v>2</v>
      </c>
    </row>
    <row r="1329" spans="20:22" x14ac:dyDescent="0.25">
      <c r="T1329">
        <f>IF(connections!$A1331="","",IFERROR(INDEX(games!$B$2:$B$950,MATCH(connections!$A1331,games!$A$2:$A$950,0)),""))</f>
        <v>2021</v>
      </c>
      <c r="U1329">
        <f>IF(connections!$A1331="","",IFERROR(INDEX(games!$B$2:$B$950,MATCH(connections!$B1331,games!$A$2:$A$950,0)),""))</f>
        <v>2025</v>
      </c>
      <c r="V1329">
        <f t="shared" si="200"/>
        <v>4</v>
      </c>
    </row>
    <row r="1330" spans="20:22" x14ac:dyDescent="0.25">
      <c r="T1330">
        <f>IF(connections!$A1332="","",IFERROR(INDEX(games!$B$2:$B$950,MATCH(connections!$A1332,games!$A$2:$A$950,0)),""))</f>
        <v>2019</v>
      </c>
      <c r="U1330">
        <f>IF(connections!$A1332="","",IFERROR(INDEX(games!$B$2:$B$950,MATCH(connections!$B1332,games!$A$2:$A$950,0)),""))</f>
        <v>2025</v>
      </c>
      <c r="V1330">
        <f t="shared" si="200"/>
        <v>6</v>
      </c>
    </row>
    <row r="1331" spans="20:22" x14ac:dyDescent="0.25">
      <c r="T1331">
        <f>IF(connections!$A1333="","",IFERROR(INDEX(games!$B$2:$B$950,MATCH(connections!$A1333,games!$A$2:$A$950,0)),""))</f>
        <v>1996</v>
      </c>
      <c r="U1331">
        <f>IF(connections!$A1333="","",IFERROR(INDEX(games!$B$2:$B$950,MATCH(connections!$B1333,games!$A$2:$A$950,0)),""))</f>
        <v>2022</v>
      </c>
      <c r="V1331">
        <f t="shared" si="200"/>
        <v>26</v>
      </c>
    </row>
    <row r="1332" spans="20:22" x14ac:dyDescent="0.25">
      <c r="T1332">
        <f>IF(connections!$A1334="","",IFERROR(INDEX(games!$B$2:$B$950,MATCH(connections!$A1334,games!$A$2:$A$950,0)),""))</f>
        <v>2016</v>
      </c>
      <c r="U1332">
        <f>IF(connections!$A1334="","",IFERROR(INDEX(games!$B$2:$B$950,MATCH(connections!$B1334,games!$A$2:$A$950,0)),""))</f>
        <v>2022</v>
      </c>
      <c r="V1332">
        <f t="shared" si="200"/>
        <v>6</v>
      </c>
    </row>
    <row r="1333" spans="20:22" x14ac:dyDescent="0.25">
      <c r="T1333">
        <f>IF(connections!$A1335="","",IFERROR(INDEX(games!$B$2:$B$950,MATCH(connections!$A1335,games!$A$2:$A$950,0)),""))</f>
        <v>2019</v>
      </c>
      <c r="U1333">
        <f>IF(connections!$A1335="","",IFERROR(INDEX(games!$B$2:$B$950,MATCH(connections!$B1335,games!$A$2:$A$950,0)),""))</f>
        <v>2022</v>
      </c>
      <c r="V1333">
        <f t="shared" si="200"/>
        <v>3</v>
      </c>
    </row>
    <row r="1334" spans="20:22" x14ac:dyDescent="0.25">
      <c r="T1334">
        <f>IF(connections!$A1336="","",IFERROR(INDEX(games!$B$2:$B$950,MATCH(connections!$A1336,games!$A$2:$A$950,0)),""))</f>
        <v>2015</v>
      </c>
      <c r="U1334">
        <f>IF(connections!$A1336="","",IFERROR(INDEX(games!$B$2:$B$950,MATCH(connections!$B1336,games!$A$2:$A$950,0)),""))</f>
        <v>2022</v>
      </c>
      <c r="V1334">
        <f t="shared" si="200"/>
        <v>7</v>
      </c>
    </row>
    <row r="1335" spans="20:22" x14ac:dyDescent="0.25">
      <c r="T1335">
        <f>IF(connections!$A1337="","",IFERROR(INDEX(games!$B$2:$B$950,MATCH(connections!$A1337,games!$A$2:$A$950,0)),""))</f>
        <v>2021</v>
      </c>
      <c r="U1335">
        <f>IF(connections!$A1337="","",IFERROR(INDEX(games!$B$2:$B$950,MATCH(connections!$B1337,games!$A$2:$A$950,0)),""))</f>
        <v>2022</v>
      </c>
      <c r="V1335">
        <f t="shared" si="200"/>
        <v>1</v>
      </c>
    </row>
    <row r="1336" spans="20:22" x14ac:dyDescent="0.25">
      <c r="T1336">
        <f>IF(connections!$A1338="","",IFERROR(INDEX(games!$B$2:$B$950,MATCH(connections!$A1338,games!$A$2:$A$950,0)),""))</f>
        <v>2011</v>
      </c>
      <c r="U1336">
        <f>IF(connections!$A1338="","",IFERROR(INDEX(games!$B$2:$B$950,MATCH(connections!$B1338,games!$A$2:$A$950,0)),""))</f>
        <v>2022</v>
      </c>
      <c r="V1336">
        <f t="shared" si="200"/>
        <v>11</v>
      </c>
    </row>
    <row r="1337" spans="20:22" x14ac:dyDescent="0.25">
      <c r="T1337">
        <f>IF(connections!$A1339="","",IFERROR(INDEX(games!$B$2:$B$950,MATCH(connections!$A1339,games!$A$2:$A$950,0)),""))</f>
        <v>2021</v>
      </c>
      <c r="U1337">
        <f>IF(connections!$A1339="","",IFERROR(INDEX(games!$B$2:$B$950,MATCH(connections!$B1339,games!$A$2:$A$950,0)),""))</f>
        <v>2022</v>
      </c>
      <c r="V1337">
        <f t="shared" si="200"/>
        <v>1</v>
      </c>
    </row>
    <row r="1338" spans="20:22" x14ac:dyDescent="0.25">
      <c r="T1338">
        <f>IF(connections!$A1340="","",IFERROR(INDEX(games!$B$2:$B$950,MATCH(connections!$A1340,games!$A$2:$A$950,0)),""))</f>
        <v>2015</v>
      </c>
      <c r="U1338">
        <f>IF(connections!$A1340="","",IFERROR(INDEX(games!$B$2:$B$950,MATCH(connections!$B1340,games!$A$2:$A$950,0)),""))</f>
        <v>2022</v>
      </c>
      <c r="V1338">
        <f t="shared" si="200"/>
        <v>7</v>
      </c>
    </row>
    <row r="1339" spans="20:22" x14ac:dyDescent="0.25">
      <c r="T1339">
        <f>IF(connections!$A1341="","",IFERROR(INDEX(games!$B$2:$B$950,MATCH(connections!$A1341,games!$A$2:$A$950,0)),""))</f>
        <v>1980</v>
      </c>
      <c r="U1339">
        <f>IF(connections!$A1341="","",IFERROR(INDEX(games!$B$2:$B$950,MATCH(connections!$B1341,games!$A$2:$A$950,0)),""))</f>
        <v>1991</v>
      </c>
      <c r="V1339">
        <f t="shared" si="200"/>
        <v>11</v>
      </c>
    </row>
    <row r="1340" spans="20:22" x14ac:dyDescent="0.25">
      <c r="T1340">
        <f>IF(connections!$A1342="","",IFERROR(INDEX(games!$B$2:$B$950,MATCH(connections!$A1342,games!$A$2:$A$950,0)),""))</f>
        <v>1991</v>
      </c>
      <c r="U1340">
        <f>IF(connections!$A1342="","",IFERROR(INDEX(games!$B$2:$B$950,MATCH(connections!$B1342,games!$A$2:$A$950,0)),""))</f>
        <v>2019</v>
      </c>
      <c r="V1340">
        <f t="shared" si="200"/>
        <v>28</v>
      </c>
    </row>
    <row r="1341" spans="20:22" x14ac:dyDescent="0.25">
      <c r="T1341">
        <f>IF(connections!$A1343="","",IFERROR(INDEX(games!$B$2:$B$950,MATCH(connections!$A1343,games!$A$2:$A$950,0)),""))</f>
        <v>2016</v>
      </c>
      <c r="U1341">
        <f>IF(connections!$A1343="","",IFERROR(INDEX(games!$B$2:$B$950,MATCH(connections!$B1343,games!$A$2:$A$950,0)),""))</f>
        <v>2022</v>
      </c>
      <c r="V1341">
        <f t="shared" si="200"/>
        <v>6</v>
      </c>
    </row>
    <row r="1342" spans="20:22" x14ac:dyDescent="0.25">
      <c r="T1342">
        <f>IF(connections!$A1346="","",IFERROR(INDEX(games!$B$2:$B$950,MATCH(connections!$A1346,games!$A$2:$A$950,0)),""))</f>
        <v>1999</v>
      </c>
      <c r="U1342">
        <f>IF(connections!$A1346="","",IFERROR(INDEX(games!$B$2:$B$950,MATCH(connections!$B1346,games!$A$2:$A$950,0)),""))</f>
        <v>2002</v>
      </c>
      <c r="V1342">
        <f t="shared" si="200"/>
        <v>3</v>
      </c>
    </row>
    <row r="1343" spans="20:22" x14ac:dyDescent="0.25">
      <c r="T1343">
        <f>IF(connections!$A1347="","",IFERROR(INDEX(games!$B$2:$B$950,MATCH(connections!$A1347,games!$A$2:$A$950,0)),""))</f>
        <v>1980</v>
      </c>
      <c r="U1343">
        <f>IF(connections!$A1347="","",IFERROR(INDEX(games!$B$2:$B$950,MATCH(connections!$B1347,games!$A$2:$A$950,0)),""))</f>
        <v>1993</v>
      </c>
      <c r="V1343">
        <f t="shared" si="200"/>
        <v>13</v>
      </c>
    </row>
    <row r="1344" spans="20:22" x14ac:dyDescent="0.25">
      <c r="T1344">
        <f>IF(connections!$A1348="","",IFERROR(INDEX(games!$B$2:$B$950,MATCH(connections!$A1348,games!$A$2:$A$950,0)),""))</f>
        <v>2006</v>
      </c>
      <c r="U1344">
        <f>IF(connections!$A1348="","",IFERROR(INDEX(games!$B$2:$B$950,MATCH(connections!$B1348,games!$A$2:$A$950,0)),""))</f>
        <v>2025</v>
      </c>
      <c r="V1344">
        <f t="shared" si="200"/>
        <v>19</v>
      </c>
    </row>
    <row r="1345" spans="20:22" x14ac:dyDescent="0.25">
      <c r="T1345">
        <f>IF(connections!$A1349="","",IFERROR(INDEX(games!$B$2:$B$950,MATCH(connections!$A1349,games!$A$2:$A$950,0)),""))</f>
        <v>2014</v>
      </c>
      <c r="U1345">
        <f>IF(connections!$A1349="","",IFERROR(INDEX(games!$B$2:$B$950,MATCH(connections!$B1349,games!$A$2:$A$950,0)),""))</f>
        <v>2024</v>
      </c>
      <c r="V1345">
        <f t="shared" si="200"/>
        <v>10</v>
      </c>
    </row>
    <row r="1346" spans="20:22" x14ac:dyDescent="0.25">
      <c r="T1346">
        <f>IF(connections!$A1350="","",IFERROR(INDEX(games!$B$2:$B$950,MATCH(connections!$A1350,games!$A$2:$A$950,0)),""))</f>
        <v>2012</v>
      </c>
      <c r="U1346">
        <f>IF(connections!$A1350="","",IFERROR(INDEX(games!$B$2:$B$950,MATCH(connections!$B1350,games!$A$2:$A$950,0)),""))</f>
        <v>2021</v>
      </c>
      <c r="V1346">
        <f t="shared" ref="V1346:V1400" si="201">IF(OR($T1346="",$U1346=""),"",$U1346-$T1346)</f>
        <v>9</v>
      </c>
    </row>
    <row r="1347" spans="20:22" x14ac:dyDescent="0.25">
      <c r="T1347">
        <f>IF(connections!$A1351="","",IFERROR(INDEX(games!$B$2:$B$950,MATCH(connections!$A1351,games!$A$2:$A$950,0)),""))</f>
        <v>2017</v>
      </c>
      <c r="U1347">
        <f>IF(connections!$A1351="","",IFERROR(INDEX(games!$B$2:$B$950,MATCH(connections!$B1351,games!$A$2:$A$950,0)),""))</f>
        <v>2022</v>
      </c>
      <c r="V1347">
        <f t="shared" si="201"/>
        <v>5</v>
      </c>
    </row>
    <row r="1348" spans="20:22" x14ac:dyDescent="0.25">
      <c r="T1348">
        <f>IF(connections!$A1352="","",IFERROR(INDEX(games!$B$2:$B$950,MATCH(connections!$A1352,games!$A$2:$A$950,0)),""))</f>
        <v>2022</v>
      </c>
      <c r="U1348">
        <f>IF(connections!$A1352="","",IFERROR(INDEX(games!$B$2:$B$950,MATCH(connections!$B1352,games!$A$2:$A$950,0)),""))</f>
        <v>2025</v>
      </c>
      <c r="V1348">
        <f t="shared" si="201"/>
        <v>3</v>
      </c>
    </row>
    <row r="1349" spans="20:22" x14ac:dyDescent="0.25">
      <c r="T1349">
        <f>IF(connections!$A1353="","",IFERROR(INDEX(games!$B$2:$B$950,MATCH(connections!$A1353,games!$A$2:$A$950,0)),""))</f>
        <v>2020</v>
      </c>
      <c r="U1349">
        <f>IF(connections!$A1353="","",IFERROR(INDEX(games!$B$2:$B$950,MATCH(connections!$B1353,games!$A$2:$A$950,0)),""))</f>
        <v>2023</v>
      </c>
      <c r="V1349">
        <f t="shared" si="201"/>
        <v>3</v>
      </c>
    </row>
    <row r="1350" spans="20:22" x14ac:dyDescent="0.25">
      <c r="T1350">
        <f>IF(connections!$A1354="","",IFERROR(INDEX(games!$B$2:$B$950,MATCH(connections!$A1354,games!$A$2:$A$950,0)),""))</f>
        <v>2017</v>
      </c>
      <c r="U1350">
        <f>IF(connections!$A1354="","",IFERROR(INDEX(games!$B$2:$B$950,MATCH(connections!$B1354,games!$A$2:$A$950,0)),""))</f>
        <v>2023</v>
      </c>
      <c r="V1350">
        <f t="shared" si="201"/>
        <v>6</v>
      </c>
    </row>
    <row r="1351" spans="20:22" x14ac:dyDescent="0.25">
      <c r="T1351">
        <f>IF(connections!$A1355="","",IFERROR(INDEX(games!$B$2:$B$950,MATCH(connections!$A1355,games!$A$2:$A$950,0)),""))</f>
        <v>2018</v>
      </c>
      <c r="U1351">
        <f>IF(connections!$A1355="","",IFERROR(INDEX(games!$B$2:$B$950,MATCH(connections!$B1355,games!$A$2:$A$950,0)),""))</f>
        <v>2024</v>
      </c>
      <c r="V1351">
        <f t="shared" si="201"/>
        <v>6</v>
      </c>
    </row>
    <row r="1352" spans="20:22" x14ac:dyDescent="0.25">
      <c r="T1352">
        <f>IF(connections!$A1356="","",IFERROR(INDEX(games!$B$2:$B$950,MATCH(connections!$A1356,games!$A$2:$A$950,0)),""))</f>
        <v>2021</v>
      </c>
      <c r="U1352">
        <f>IF(connections!$A1356="","",IFERROR(INDEX(games!$B$2:$B$950,MATCH(connections!$B1356,games!$A$2:$A$950,0)),""))</f>
        <v>2024</v>
      </c>
      <c r="V1352">
        <f t="shared" si="201"/>
        <v>3</v>
      </c>
    </row>
    <row r="1353" spans="20:22" x14ac:dyDescent="0.25">
      <c r="T1353">
        <f>IF(connections!$A1357="","",IFERROR(INDEX(games!$B$2:$B$950,MATCH(connections!$A1357,games!$A$2:$A$950,0)),""))</f>
        <v>2015</v>
      </c>
      <c r="U1353">
        <f>IF(connections!$A1357="","",IFERROR(INDEX(games!$B$2:$B$950,MATCH(connections!$B1357,games!$A$2:$A$950,0)),""))</f>
        <v>2017</v>
      </c>
      <c r="V1353">
        <f t="shared" si="201"/>
        <v>2</v>
      </c>
    </row>
    <row r="1354" spans="20:22" x14ac:dyDescent="0.25">
      <c r="T1354">
        <f>IF(connections!$A1358="","",IFERROR(INDEX(games!$B$2:$B$950,MATCH(connections!$A1358,games!$A$2:$A$950,0)),""))</f>
        <v>2011</v>
      </c>
      <c r="U1354">
        <f>IF(connections!$A1358="","",IFERROR(INDEX(games!$B$2:$B$950,MATCH(connections!$B1358,games!$A$2:$A$950,0)),""))</f>
        <v>2014</v>
      </c>
      <c r="V1354">
        <f t="shared" si="201"/>
        <v>3</v>
      </c>
    </row>
    <row r="1355" spans="20:22" x14ac:dyDescent="0.25">
      <c r="T1355">
        <f>IF(connections!$A1359="","",IFERROR(INDEX(games!$B$2:$B$950,MATCH(connections!$A1359,games!$A$2:$A$950,0)),""))</f>
        <v>2012</v>
      </c>
      <c r="U1355">
        <f>IF(connections!$A1359="","",IFERROR(INDEX(games!$B$2:$B$950,MATCH(connections!$B1359,games!$A$2:$A$950,0)),""))</f>
        <v>2021</v>
      </c>
      <c r="V1355">
        <f t="shared" si="201"/>
        <v>9</v>
      </c>
    </row>
    <row r="1356" spans="20:22" x14ac:dyDescent="0.25">
      <c r="T1356">
        <f>IF(connections!$A1360="","",IFERROR(INDEX(games!$B$2:$B$950,MATCH(connections!$A1360,games!$A$2:$A$950,0)),""))</f>
        <v>2017</v>
      </c>
      <c r="U1356">
        <f>IF(connections!$A1360="","",IFERROR(INDEX(games!$B$2:$B$950,MATCH(connections!$B1360,games!$A$2:$A$950,0)),""))</f>
        <v>2021</v>
      </c>
      <c r="V1356">
        <f t="shared" si="201"/>
        <v>4</v>
      </c>
    </row>
    <row r="1357" spans="20:22" x14ac:dyDescent="0.25">
      <c r="T1357">
        <f>IF(connections!$A1361="","",IFERROR(INDEX(games!$B$2:$B$950,MATCH(connections!$A1361,games!$A$2:$A$950,0)),""))</f>
        <v>2023</v>
      </c>
      <c r="U1357">
        <f>IF(connections!$A1361="","",IFERROR(INDEX(games!$B$2:$B$950,MATCH(connections!$B1361,games!$A$2:$A$950,0)),""))</f>
        <v>2025</v>
      </c>
      <c r="V1357">
        <f t="shared" si="201"/>
        <v>2</v>
      </c>
    </row>
    <row r="1358" spans="20:22" x14ac:dyDescent="0.25">
      <c r="T1358">
        <f>IF(connections!$A1362="","",IFERROR(INDEX(games!$B$2:$B$950,MATCH(connections!$A1362,games!$A$2:$A$950,0)),""))</f>
        <v>2018</v>
      </c>
      <c r="U1358">
        <f>IF(connections!$A1362="","",IFERROR(INDEX(games!$B$2:$B$950,MATCH(connections!$B1362,games!$A$2:$A$950,0)),""))</f>
        <v>2024</v>
      </c>
      <c r="V1358">
        <f t="shared" si="201"/>
        <v>6</v>
      </c>
    </row>
    <row r="1359" spans="20:22" x14ac:dyDescent="0.25">
      <c r="T1359">
        <f>IF(connections!$A1364="","",IFERROR(INDEX(games!$B$2:$B$950,MATCH(connections!$A1364,games!$A$2:$A$950,0)),""))</f>
        <v>2015</v>
      </c>
      <c r="U1359">
        <f>IF(connections!$A1364="","",IFERROR(INDEX(games!$B$2:$B$950,MATCH(connections!$B1364,games!$A$2:$A$950,0)),""))</f>
        <v>2017</v>
      </c>
      <c r="V1359">
        <f t="shared" si="201"/>
        <v>2</v>
      </c>
    </row>
    <row r="1360" spans="20:22" x14ac:dyDescent="0.25">
      <c r="T1360">
        <f>IF(connections!$A1365="","",IFERROR(INDEX(games!$B$2:$B$950,MATCH(connections!$A1365,games!$A$2:$A$950,0)),""))</f>
        <v>2008</v>
      </c>
      <c r="U1360">
        <f>IF(connections!$A1365="","",IFERROR(INDEX(games!$B$2:$B$950,MATCH(connections!$B1365,games!$A$2:$A$950,0)),""))</f>
        <v>2017</v>
      </c>
      <c r="V1360">
        <f t="shared" si="201"/>
        <v>9</v>
      </c>
    </row>
    <row r="1361" spans="20:22" x14ac:dyDescent="0.25">
      <c r="T1361">
        <f>IF(connections!$A1366="","",IFERROR(INDEX(games!$B$2:$B$950,MATCH(connections!$A1366,games!$A$2:$A$950,0)),""))</f>
        <v>2011</v>
      </c>
      <c r="U1361">
        <f>IF(connections!$A1366="","",IFERROR(INDEX(games!$B$2:$B$950,MATCH(connections!$B1366,games!$A$2:$A$950,0)),""))</f>
        <v>2017</v>
      </c>
      <c r="V1361">
        <f t="shared" si="201"/>
        <v>6</v>
      </c>
    </row>
    <row r="1362" spans="20:22" x14ac:dyDescent="0.25">
      <c r="T1362">
        <f>IF(connections!$A1367="","",IFERROR(INDEX(games!$B$2:$B$950,MATCH(connections!$A1367,games!$A$2:$A$950,0)),""))</f>
        <v>2023</v>
      </c>
      <c r="U1362">
        <f>IF(connections!$A1367="","",IFERROR(INDEX(games!$B$2:$B$950,MATCH(connections!$B1367,games!$A$2:$A$950,0)),""))</f>
        <v>2026</v>
      </c>
      <c r="V1362">
        <f t="shared" si="201"/>
        <v>3</v>
      </c>
    </row>
    <row r="1363" spans="20:22" x14ac:dyDescent="0.25">
      <c r="T1363">
        <f>IF(connections!$A1368="","",IFERROR(INDEX(games!$B$2:$B$950,MATCH(connections!$A1368,games!$A$2:$A$950,0)),""))</f>
        <v>2025</v>
      </c>
      <c r="U1363">
        <f>IF(connections!$A1368="","",IFERROR(INDEX(games!$B$2:$B$950,MATCH(connections!$B1368,games!$A$2:$A$950,0)),""))</f>
        <v>2026</v>
      </c>
      <c r="V1363">
        <f t="shared" si="201"/>
        <v>1</v>
      </c>
    </row>
    <row r="1364" spans="20:22" x14ac:dyDescent="0.25">
      <c r="T1364">
        <f>IF(connections!$A1369="","",IFERROR(INDEX(games!$B$2:$B$950,MATCH(connections!$A1369,games!$A$2:$A$950,0)),""))</f>
        <v>2018</v>
      </c>
      <c r="U1364">
        <f>IF(connections!$A1369="","",IFERROR(INDEX(games!$B$2:$B$950,MATCH(connections!$B1369,games!$A$2:$A$950,0)),""))</f>
        <v>2025</v>
      </c>
      <c r="V1364">
        <f t="shared" si="201"/>
        <v>7</v>
      </c>
    </row>
    <row r="1365" spans="20:22" x14ac:dyDescent="0.25">
      <c r="T1365">
        <f>IF(connections!$A1378="","",IFERROR(INDEX(games!$B$2:$B$950,MATCH(connections!$A1378,games!$A$2:$A$950,0)),""))</f>
        <v>2017</v>
      </c>
      <c r="U1365">
        <f>IF(connections!$A1378="","",IFERROR(INDEX(games!$B$2:$B$950,MATCH(connections!$B1378,games!$A$2:$A$950,0)),""))</f>
        <v>2019</v>
      </c>
      <c r="V1365">
        <f t="shared" si="201"/>
        <v>2</v>
      </c>
    </row>
    <row r="1366" spans="20:22" x14ac:dyDescent="0.25">
      <c r="T1366">
        <f>IF(connections!$A1379="","",IFERROR(INDEX(games!$B$2:$B$950,MATCH(connections!$A1379,games!$A$2:$A$950,0)),""))</f>
        <v>2011</v>
      </c>
      <c r="U1366">
        <f>IF(connections!$A1379="","",IFERROR(INDEX(games!$B$2:$B$950,MATCH(connections!$B1379,games!$A$2:$A$950,0)),""))</f>
        <v>2019</v>
      </c>
      <c r="V1366">
        <f t="shared" si="201"/>
        <v>8</v>
      </c>
    </row>
    <row r="1367" spans="20:22" x14ac:dyDescent="0.25">
      <c r="T1367">
        <f>IF(connections!$A1380="","",IFERROR(INDEX(games!$B$2:$B$950,MATCH(connections!$A1380,games!$A$2:$A$950,0)),""))</f>
        <v>2019</v>
      </c>
      <c r="U1367">
        <f>IF(connections!$A1380="","",IFERROR(INDEX(games!$B$2:$B$950,MATCH(connections!$B1380,games!$A$2:$A$950,0)),""))</f>
        <v>2025</v>
      </c>
      <c r="V1367">
        <f t="shared" si="201"/>
        <v>6</v>
      </c>
    </row>
    <row r="1368" spans="20:22" x14ac:dyDescent="0.25">
      <c r="T1368">
        <f>IF(connections!$A1381="","",IFERROR(INDEX(games!$B$2:$B$950,MATCH(connections!$A1381,games!$A$2:$A$950,0)),""))</f>
        <v>2019</v>
      </c>
      <c r="U1368">
        <f>IF(connections!$A1381="","",IFERROR(INDEX(games!$B$2:$B$950,MATCH(connections!$B1381,games!$A$2:$A$950,0)),""))</f>
        <v>2025</v>
      </c>
      <c r="V1368">
        <f t="shared" si="201"/>
        <v>6</v>
      </c>
    </row>
    <row r="1369" spans="20:22" x14ac:dyDescent="0.25">
      <c r="T1369">
        <f>IF(connections!$A1382="","",IFERROR(INDEX(games!$B$2:$B$950,MATCH(connections!$A1382,games!$A$2:$A$950,0)),""))</f>
        <v>2009</v>
      </c>
      <c r="U1369">
        <f>IF(connections!$A1382="","",IFERROR(INDEX(games!$B$2:$B$950,MATCH(connections!$B1382,games!$A$2:$A$950,0)),""))</f>
        <v>2017</v>
      </c>
      <c r="V1369">
        <f t="shared" si="201"/>
        <v>8</v>
      </c>
    </row>
    <row r="1370" spans="20:22" x14ac:dyDescent="0.25">
      <c r="T1370">
        <f>IF(connections!$A1383="","",IFERROR(INDEX(games!$B$2:$B$950,MATCH(connections!$A1383,games!$A$2:$A$950,0)),""))</f>
        <v>1987</v>
      </c>
      <c r="U1370">
        <f>IF(connections!$A1383="","",IFERROR(INDEX(games!$B$2:$B$950,MATCH(connections!$B1383,games!$A$2:$A$950,0)),""))</f>
        <v>2017</v>
      </c>
      <c r="V1370">
        <f t="shared" si="201"/>
        <v>30</v>
      </c>
    </row>
    <row r="1371" spans="20:22" x14ac:dyDescent="0.25">
      <c r="T1371">
        <f>IF(connections!$A1384="","",IFERROR(INDEX(games!$B$2:$B$950,MATCH(connections!$A1384,games!$A$2:$A$950,0)),""))</f>
        <v>1980</v>
      </c>
      <c r="U1371">
        <f>IF(connections!$A1384="","",IFERROR(INDEX(games!$B$2:$B$950,MATCH(connections!$B1384,games!$A$2:$A$950,0)),""))</f>
        <v>2017</v>
      </c>
      <c r="V1371">
        <f t="shared" si="201"/>
        <v>37</v>
      </c>
    </row>
    <row r="1372" spans="20:22" x14ac:dyDescent="0.25">
      <c r="T1372">
        <f>IF(connections!$A1385="","",IFERROR(INDEX(games!$B$2:$B$950,MATCH(connections!$A1385,games!$A$2:$A$950,0)),""))</f>
        <v>2017</v>
      </c>
      <c r="U1372">
        <f>IF(connections!$A1385="","",IFERROR(INDEX(games!$B$2:$B$950,MATCH(connections!$B1385,games!$A$2:$A$950,0)),""))</f>
        <v>2022</v>
      </c>
      <c r="V1372">
        <f t="shared" si="201"/>
        <v>5</v>
      </c>
    </row>
    <row r="1373" spans="20:22" x14ac:dyDescent="0.25">
      <c r="T1373">
        <f>IF(connections!$A1386="","",IFERROR(INDEX(games!$B$2:$B$950,MATCH(connections!$A1386,games!$A$2:$A$950,0)),""))</f>
        <v>1987</v>
      </c>
      <c r="U1373">
        <f>IF(connections!$A1386="","",IFERROR(INDEX(games!$B$2:$B$950,MATCH(connections!$B1386,games!$A$2:$A$950,0)),""))</f>
        <v>1992</v>
      </c>
      <c r="V1373">
        <f t="shared" si="201"/>
        <v>5</v>
      </c>
    </row>
    <row r="1374" spans="20:22" x14ac:dyDescent="0.25">
      <c r="T1374">
        <f>IF(connections!$A1387="","",IFERROR(INDEX(games!$B$2:$B$950,MATCH(connections!$A1387,games!$A$2:$A$950,0)),""))</f>
        <v>1987</v>
      </c>
      <c r="U1374">
        <f>IF(connections!$A1387="","",IFERROR(INDEX(games!$B$2:$B$950,MATCH(connections!$B1387,games!$A$2:$A$950,0)),""))</f>
        <v>1992</v>
      </c>
      <c r="V1374">
        <f t="shared" si="201"/>
        <v>5</v>
      </c>
    </row>
    <row r="1375" spans="20:22" x14ac:dyDescent="0.25">
      <c r="T1375">
        <f>IF(connections!$A1388="","",IFERROR(INDEX(games!$B$2:$B$950,MATCH(connections!$A1388,games!$A$2:$A$950,0)),""))</f>
        <v>1996</v>
      </c>
      <c r="U1375">
        <f>IF(connections!$A1388="","",IFERROR(INDEX(games!$B$2:$B$950,MATCH(connections!$B1388,games!$A$2:$A$950,0)),""))</f>
        <v>2018</v>
      </c>
      <c r="V1375">
        <f t="shared" si="201"/>
        <v>22</v>
      </c>
    </row>
    <row r="1376" spans="20:22" x14ac:dyDescent="0.25">
      <c r="T1376">
        <f>IF(connections!$A1389="","",IFERROR(INDEX(games!$B$2:$B$950,MATCH(connections!$A1389,games!$A$2:$A$950,0)),""))</f>
        <v>2006</v>
      </c>
      <c r="U1376">
        <f>IF(connections!$A1389="","",IFERROR(INDEX(games!$B$2:$B$950,MATCH(connections!$B1389,games!$A$2:$A$950,0)),""))</f>
        <v>2018</v>
      </c>
      <c r="V1376">
        <f t="shared" si="201"/>
        <v>12</v>
      </c>
    </row>
    <row r="1377" spans="20:22" x14ac:dyDescent="0.25">
      <c r="T1377">
        <f>IF(connections!$A1390="","",IFERROR(INDEX(games!$B$2:$B$950,MATCH(connections!$A1390,games!$A$2:$A$950,0)),""))</f>
        <v>2008</v>
      </c>
      <c r="U1377">
        <f>IF(connections!$A1390="","",IFERROR(INDEX(games!$B$2:$B$950,MATCH(connections!$B1390,games!$A$2:$A$950,0)),""))</f>
        <v>2018</v>
      </c>
      <c r="V1377">
        <f t="shared" si="201"/>
        <v>10</v>
      </c>
    </row>
    <row r="1378" spans="20:22" x14ac:dyDescent="0.25">
      <c r="T1378">
        <f>IF(connections!$A1391="","",IFERROR(INDEX(games!$B$2:$B$950,MATCH(connections!$A1391,games!$A$2:$A$950,0)),""))</f>
        <v>2021</v>
      </c>
      <c r="U1378">
        <f>IF(connections!$A1391="","",IFERROR(INDEX(games!$B$2:$B$950,MATCH(connections!$B1391,games!$A$2:$A$950,0)),""))</f>
        <v>2026</v>
      </c>
      <c r="V1378">
        <f t="shared" si="201"/>
        <v>5</v>
      </c>
    </row>
    <row r="1379" spans="20:22" x14ac:dyDescent="0.25">
      <c r="T1379">
        <f>IF(connections!$A1392="","",IFERROR(INDEX(games!$B$2:$B$950,MATCH(connections!$A1392,games!$A$2:$A$950,0)),""))</f>
        <v>2022</v>
      </c>
      <c r="U1379">
        <f>IF(connections!$A1392="","",IFERROR(INDEX(games!$B$2:$B$950,MATCH(connections!$B1392,games!$A$2:$A$950,0)),""))</f>
        <v>2023</v>
      </c>
      <c r="V1379">
        <f t="shared" si="201"/>
        <v>1</v>
      </c>
    </row>
    <row r="1380" spans="20:22" x14ac:dyDescent="0.25">
      <c r="T1380">
        <f>IF(connections!$A1393="","",IFERROR(INDEX(games!$B$2:$B$950,MATCH(connections!$A1393,games!$A$2:$A$950,0)),""))</f>
        <v>2022</v>
      </c>
      <c r="U1380">
        <f>IF(connections!$A1393="","",IFERROR(INDEX(games!$B$2:$B$950,MATCH(connections!$B1393,games!$A$2:$A$950,0)),""))</f>
        <v>2023</v>
      </c>
      <c r="V1380">
        <f t="shared" si="201"/>
        <v>1</v>
      </c>
    </row>
    <row r="1381" spans="20:22" x14ac:dyDescent="0.25">
      <c r="T1381">
        <f>IF(connections!$A1394="","",IFERROR(INDEX(games!$B$2:$B$950,MATCH(connections!$A1394,games!$A$2:$A$950,0)),""))</f>
        <v>2021</v>
      </c>
      <c r="U1381">
        <f>IF(connections!$A1394="","",IFERROR(INDEX(games!$B$2:$B$950,MATCH(connections!$B1394,games!$A$2:$A$950,0)),""))</f>
        <v>2023</v>
      </c>
      <c r="V1381">
        <f t="shared" si="201"/>
        <v>2</v>
      </c>
    </row>
    <row r="1382" spans="20:22" x14ac:dyDescent="0.25">
      <c r="T1382">
        <f>IF(connections!$A1395="","",IFERROR(INDEX(games!$B$2:$B$950,MATCH(connections!$A1395,games!$A$2:$A$950,0)),""))</f>
        <v>2019</v>
      </c>
      <c r="U1382">
        <f>IF(connections!$A1395="","",IFERROR(INDEX(games!$B$2:$B$950,MATCH(connections!$B1395,games!$A$2:$A$950,0)),""))</f>
        <v>2021</v>
      </c>
      <c r="V1382">
        <f t="shared" si="201"/>
        <v>2</v>
      </c>
    </row>
    <row r="1383" spans="20:22" x14ac:dyDescent="0.25">
      <c r="T1383">
        <f>IF(connections!$A1396="","",IFERROR(INDEX(games!$B$2:$B$950,MATCH(connections!$A1396,games!$A$2:$A$950,0)),""))</f>
        <v>2017</v>
      </c>
      <c r="U1383">
        <f>IF(connections!$A1396="","",IFERROR(INDEX(games!$B$2:$B$950,MATCH(connections!$B1396,games!$A$2:$A$950,0)),""))</f>
        <v>2020</v>
      </c>
      <c r="V1383">
        <f t="shared" si="201"/>
        <v>3</v>
      </c>
    </row>
    <row r="1384" spans="20:22" x14ac:dyDescent="0.25">
      <c r="T1384">
        <f>IF(connections!$A1397="","",IFERROR(INDEX(games!$B$2:$B$950,MATCH(connections!$A1397,games!$A$2:$A$950,0)),""))</f>
        <v>2023</v>
      </c>
      <c r="U1384">
        <f>IF(connections!$A1397="","",IFERROR(INDEX(games!$B$2:$B$950,MATCH(connections!$B1397,games!$A$2:$A$950,0)),""))</f>
        <v>2024</v>
      </c>
      <c r="V1384">
        <f t="shared" si="201"/>
        <v>1</v>
      </c>
    </row>
    <row r="1385" spans="20:22" x14ac:dyDescent="0.25">
      <c r="T1385">
        <f>IF(connections!$A1398="","",IFERROR(INDEX(games!$B$2:$B$950,MATCH(connections!$A1398,games!$A$2:$A$950,0)),""))</f>
        <v>2022</v>
      </c>
      <c r="U1385">
        <f>IF(connections!$A1398="","",IFERROR(INDEX(games!$B$2:$B$950,MATCH(connections!$B1398,games!$A$2:$A$950,0)),""))</f>
        <v>2024</v>
      </c>
      <c r="V1385">
        <f t="shared" si="201"/>
        <v>2</v>
      </c>
    </row>
    <row r="1386" spans="20:22" x14ac:dyDescent="0.25">
      <c r="T1386">
        <f>IF(connections!$A1399="","",IFERROR(INDEX(games!$B$2:$B$950,MATCH(connections!$A1399,games!$A$2:$A$950,0)),""))</f>
        <v>2020</v>
      </c>
      <c r="U1386">
        <f>IF(connections!$A1399="","",IFERROR(INDEX(games!$B$2:$B$950,MATCH(connections!$B1399,games!$A$2:$A$950,0)),""))</f>
        <v>2024</v>
      </c>
      <c r="V1386">
        <f t="shared" si="201"/>
        <v>4</v>
      </c>
    </row>
    <row r="1387" spans="20:22" x14ac:dyDescent="0.25">
      <c r="T1387">
        <f>IF(connections!$A1400="","",IFERROR(INDEX(games!$B$2:$B$950,MATCH(connections!$A1400,games!$A$2:$A$950,0)),""))</f>
        <v>2019</v>
      </c>
      <c r="U1387">
        <f>IF(connections!$A1400="","",IFERROR(INDEX(games!$B$2:$B$950,MATCH(connections!$B1400,games!$A$2:$A$950,0)),""))</f>
        <v>2024</v>
      </c>
      <c r="V1387">
        <f t="shared" si="201"/>
        <v>5</v>
      </c>
    </row>
    <row r="1388" spans="20:22" x14ac:dyDescent="0.25">
      <c r="T1388">
        <f>IF(connections!$A1401="","",IFERROR(INDEX(games!$B$2:$B$950,MATCH(connections!$A1401,games!$A$2:$A$950,0)),""))</f>
        <v>2020</v>
      </c>
      <c r="U1388">
        <f>IF(connections!$A1401="","",IFERROR(INDEX(games!$B$2:$B$950,MATCH(connections!$B1401,games!$A$2:$A$950,0)),""))</f>
        <v>2024</v>
      </c>
      <c r="V1388">
        <f t="shared" si="201"/>
        <v>4</v>
      </c>
    </row>
    <row r="1389" spans="20:22" x14ac:dyDescent="0.25">
      <c r="T1389">
        <f>IF(connections!$A1402="","",IFERROR(INDEX(games!$B$2:$B$950,MATCH(connections!$A1402,games!$A$2:$A$950,0)),""))</f>
        <v>2014</v>
      </c>
      <c r="U1389">
        <f>IF(connections!$A1402="","",IFERROR(INDEX(games!$B$2:$B$950,MATCH(connections!$B1402,games!$A$2:$A$950,0)),""))</f>
        <v>2024</v>
      </c>
      <c r="V1389">
        <f t="shared" si="201"/>
        <v>10</v>
      </c>
    </row>
    <row r="1390" spans="20:22" x14ac:dyDescent="0.25">
      <c r="T1390">
        <f>IF(connections!$A1403="","",IFERROR(INDEX(games!$B$2:$B$950,MATCH(connections!$A1403,games!$A$2:$A$950,0)),""))</f>
        <v>2021</v>
      </c>
      <c r="U1390">
        <f>IF(connections!$A1403="","",IFERROR(INDEX(games!$B$2:$B$950,MATCH(connections!$B1403,games!$A$2:$A$950,0)),""))</f>
        <v>2026</v>
      </c>
      <c r="V1390">
        <f t="shared" si="201"/>
        <v>5</v>
      </c>
    </row>
    <row r="1391" spans="20:22" x14ac:dyDescent="0.25">
      <c r="T1391">
        <f>IF(connections!$A1404="","",IFERROR(INDEX(games!$B$2:$B$950,MATCH(connections!$A1404,games!$A$2:$A$950,0)),""))</f>
        <v>2019</v>
      </c>
      <c r="U1391">
        <f>IF(connections!$A1404="","",IFERROR(INDEX(games!$B$2:$B$950,MATCH(connections!$B1404,games!$A$2:$A$950,0)),""))</f>
        <v>2021</v>
      </c>
      <c r="V1391">
        <f t="shared" si="201"/>
        <v>2</v>
      </c>
    </row>
    <row r="1392" spans="20:22" x14ac:dyDescent="0.25">
      <c r="T1392">
        <f>IF(connections!$A1405="","",IFERROR(INDEX(games!$B$2:$B$950,MATCH(connections!$A1405,games!$A$2:$A$950,0)),""))</f>
        <v>2017</v>
      </c>
      <c r="U1392">
        <f>IF(connections!$A1405="","",IFERROR(INDEX(games!$B$2:$B$950,MATCH(connections!$B1405,games!$A$2:$A$950,0)),""))</f>
        <v>2021</v>
      </c>
      <c r="V1392">
        <f t="shared" si="201"/>
        <v>4</v>
      </c>
    </row>
    <row r="1393" spans="20:22" x14ac:dyDescent="0.25">
      <c r="T1393">
        <f>IF(connections!$A1406="","",IFERROR(INDEX(games!$B$2:$B$950,MATCH(connections!$A1406,games!$A$2:$A$950,0)),""))</f>
        <v>1993</v>
      </c>
      <c r="U1393">
        <f>IF(connections!$A1406="","",IFERROR(INDEX(games!$B$2:$B$950,MATCH(connections!$B1406,games!$A$2:$A$950,0)),""))</f>
        <v>2021</v>
      </c>
      <c r="V1393">
        <f t="shared" si="201"/>
        <v>28</v>
      </c>
    </row>
    <row r="1394" spans="20:22" x14ac:dyDescent="0.25">
      <c r="T1394">
        <f>IF(connections!$A1407="","",IFERROR(INDEX(games!$B$2:$B$950,MATCH(connections!$A1407,games!$A$2:$A$950,0)),""))</f>
        <v>2021</v>
      </c>
      <c r="U1394">
        <f>IF(connections!$A1407="","",IFERROR(INDEX(games!$B$2:$B$950,MATCH(connections!$B1407,games!$A$2:$A$950,0)),""))</f>
        <v>2025</v>
      </c>
      <c r="V1394">
        <f t="shared" si="201"/>
        <v>4</v>
      </c>
    </row>
    <row r="1395" spans="20:22" x14ac:dyDescent="0.25">
      <c r="T1395">
        <f>IF(connections!$A1408="","",IFERROR(INDEX(games!$B$2:$B$950,MATCH(connections!$A1408,games!$A$2:$A$950,0)),""))</f>
        <v>2015</v>
      </c>
      <c r="U1395">
        <f>IF(connections!$A1408="","",IFERROR(INDEX(games!$B$2:$B$950,MATCH(connections!$B1408,games!$A$2:$A$950,0)),""))</f>
        <v>2026</v>
      </c>
      <c r="V1395">
        <f t="shared" si="201"/>
        <v>11</v>
      </c>
    </row>
    <row r="1396" spans="20:22" x14ac:dyDescent="0.25">
      <c r="T1396">
        <f>IF(connections!$A1409="","",IFERROR(INDEX(games!$B$2:$B$950,MATCH(connections!$A1409,games!$A$2:$A$950,0)),""))</f>
        <v>2017</v>
      </c>
      <c r="U1396">
        <f>IF(connections!$A1409="","",IFERROR(INDEX(games!$B$2:$B$950,MATCH(connections!$B1409,games!$A$2:$A$950,0)),""))</f>
        <v>2026</v>
      </c>
      <c r="V1396">
        <f t="shared" si="201"/>
        <v>9</v>
      </c>
    </row>
    <row r="1397" spans="20:22" x14ac:dyDescent="0.25">
      <c r="T1397">
        <f>IF(connections!$A1410="","",IFERROR(INDEX(games!$B$2:$B$950,MATCH(connections!$A1410,games!$A$2:$A$950,0)),""))</f>
        <v>2012</v>
      </c>
      <c r="U1397">
        <f>IF(connections!$A1410="","",IFERROR(INDEX(games!$B$2:$B$950,MATCH(connections!$B1410,games!$A$2:$A$950,0)),""))</f>
        <v>2019</v>
      </c>
      <c r="V1397">
        <f t="shared" si="201"/>
        <v>7</v>
      </c>
    </row>
    <row r="1398" spans="20:22" x14ac:dyDescent="0.25">
      <c r="T1398">
        <f>IF(connections!$A1411="","",IFERROR(INDEX(games!$B$2:$B$950,MATCH(connections!$A1411,games!$A$2:$A$950,0)),""))</f>
        <v>2021</v>
      </c>
      <c r="U1398">
        <f>IF(connections!$A1411="","",IFERROR(INDEX(games!$B$2:$B$950,MATCH(connections!$B1411,games!$A$2:$A$950,0)),""))</f>
        <v>2022</v>
      </c>
      <c r="V1398">
        <f t="shared" si="201"/>
        <v>1</v>
      </c>
    </row>
    <row r="1399" spans="20:22" x14ac:dyDescent="0.25">
      <c r="T1399">
        <f>IF(connections!$A1412="","",IFERROR(INDEX(games!$B$2:$B$950,MATCH(connections!$A1412,games!$A$2:$A$950,0)),""))</f>
        <v>2006</v>
      </c>
      <c r="U1399">
        <f>IF(connections!$A1412="","",IFERROR(INDEX(games!$B$2:$B$950,MATCH(connections!$B1412,games!$A$2:$A$950,0)),""))</f>
        <v>2024</v>
      </c>
      <c r="V1399">
        <f t="shared" si="201"/>
        <v>18</v>
      </c>
    </row>
    <row r="1400" spans="20:22" x14ac:dyDescent="0.25">
      <c r="T1400">
        <f>IF(connections!$A1413="","",IFERROR(INDEX(games!$B$2:$B$950,MATCH(connections!$A1413,games!$A$2:$A$950,0)),""))</f>
        <v>2012</v>
      </c>
      <c r="U1400">
        <f>IF(connections!$A1413="","",IFERROR(INDEX(games!$B$2:$B$950,MATCH(connections!$B1413,games!$A$2:$A$950,0)),""))</f>
        <v>2024</v>
      </c>
      <c r="V1400">
        <f t="shared" si="201"/>
        <v>12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FE2E9E-4C36-4B73-A18C-F822BB69E7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56</vt:i4>
      </vt:variant>
    </vt:vector>
  </HeadingPairs>
  <TitlesOfParts>
    <vt:vector size="56" baseType="lpstr">
      <vt:lpstr>games</vt:lpstr>
      <vt:lpstr>connections</vt:lpstr>
      <vt:lpstr>characters</vt:lpstr>
      <vt:lpstr>items</vt:lpstr>
      <vt:lpstr>enemies</vt:lpstr>
      <vt:lpstr>bosses</vt:lpstr>
      <vt:lpstr>abilities</vt:lpstr>
      <vt:lpstr>statuses</vt:lpstr>
      <vt:lpstr>events</vt:lpstr>
      <vt:lpstr>cards</vt:lpstr>
      <vt:lpstr>scrolls</vt:lpstr>
      <vt:lpstr>pills</vt:lpstr>
      <vt:lpstr>potions</vt:lpstr>
      <vt:lpstr>wands</vt:lpstr>
      <vt:lpstr>trinkets</vt:lpstr>
      <vt:lpstr>weapons</vt:lpstr>
      <vt:lpstr>evolutions</vt:lpstr>
      <vt:lpstr>bags</vt:lpstr>
      <vt:lpstr>objects</vt:lpstr>
      <vt:lpstr>curses</vt:lpstr>
      <vt:lpstr>tiles</vt:lpstr>
      <vt:lpstr>units</vt:lpstr>
      <vt:lpstr>goals</vt:lpstr>
      <vt:lpstr>Map Analysis</vt:lpstr>
      <vt:lpstr>amulets</vt:lpstr>
      <vt:lpstr>locations</vt:lpstr>
      <vt:lpstr>chart</vt:lpstr>
      <vt:lpstr>locationsold</vt:lpstr>
      <vt:lpstr>itemsold</vt:lpstr>
      <vt:lpstr>eventsold</vt:lpstr>
      <vt:lpstr>encountersold</vt:lpstr>
      <vt:lpstr>enemiesD</vt:lpstr>
      <vt:lpstr>enemiesA</vt:lpstr>
      <vt:lpstr>cursesold2</vt:lpstr>
      <vt:lpstr>statusesold</vt:lpstr>
      <vt:lpstr>statusesnew</vt:lpstr>
      <vt:lpstr>elementsold</vt:lpstr>
      <vt:lpstr>addons</vt:lpstr>
      <vt:lpstr>addonsnew</vt:lpstr>
      <vt:lpstr>scrollsold</vt:lpstr>
      <vt:lpstr>potionsold</vt:lpstr>
      <vt:lpstr>charactersold</vt:lpstr>
      <vt:lpstr>cardsold</vt:lpstr>
      <vt:lpstr>cardsnew</vt:lpstr>
      <vt:lpstr>evolutionsold</vt:lpstr>
      <vt:lpstr>moves</vt:lpstr>
      <vt:lpstr>spells</vt:lpstr>
      <vt:lpstr>fish</vt:lpstr>
      <vt:lpstr>enemiesold</vt:lpstr>
      <vt:lpstr>enemiesS</vt:lpstr>
      <vt:lpstr>dice</vt:lpstr>
      <vt:lpstr>mods</vt:lpstr>
      <vt:lpstr>gamestatuses</vt:lpstr>
      <vt:lpstr>cursesold</vt:lpstr>
      <vt:lpstr>bingo</vt:lpstr>
      <vt:lpstr>Map Calc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Calvin Farley</cp:lastModifiedBy>
  <cp:revision>4</cp:revision>
  <dcterms:created xsi:type="dcterms:W3CDTF">2015-06-05T18:17:20Z</dcterms:created>
  <dcterms:modified xsi:type="dcterms:W3CDTF">2026-10-06T22:55:08Z</dcterms:modified>
  <dc:language>en-US</dc:language>
</cp:coreProperties>
</file>