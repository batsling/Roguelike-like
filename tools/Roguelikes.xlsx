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9AA69B2-FCDA-4FC1-9DB5-79C5594C1B17}"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goals" sheetId="52" r:id="rId21"/>
    <sheet name="Map Analysis" sheetId="18" r:id="rId22"/>
    <sheet name="chart" sheetId="49" r:id="rId23"/>
    <sheet name="locationsold" sheetId="19" r:id="rId24"/>
    <sheet name="itemsold" sheetId="20" r:id="rId25"/>
    <sheet name="eventsold" sheetId="21" r:id="rId26"/>
    <sheet name="encountersold" sheetId="22" r:id="rId27"/>
    <sheet name="enemiesD" sheetId="23" r:id="rId28"/>
    <sheet name="enemiesA" sheetId="24" r:id="rId29"/>
    <sheet name="cursesold2" sheetId="25" r:id="rId30"/>
    <sheet name="statusesold" sheetId="26" r:id="rId31"/>
    <sheet name="statusesnew" sheetId="27" r:id="rId32"/>
    <sheet name="elementsold" sheetId="28" r:id="rId33"/>
    <sheet name="addons" sheetId="29" r:id="rId34"/>
    <sheet name="addonsnew" sheetId="30" r:id="rId35"/>
    <sheet name="scrollsold" sheetId="31" r:id="rId36"/>
    <sheet name="potionsold" sheetId="32" r:id="rId37"/>
    <sheet name="charactersold" sheetId="33" r:id="rId38"/>
    <sheet name="cardsold" sheetId="34" r:id="rId39"/>
    <sheet name="cardsnew" sheetId="35" r:id="rId40"/>
    <sheet name="evolutionsold" sheetId="36" r:id="rId41"/>
    <sheet name="moves" sheetId="37" r:id="rId42"/>
    <sheet name="spells" sheetId="38" r:id="rId43"/>
    <sheet name="fish" sheetId="39" r:id="rId44"/>
    <sheet name="enemiesold" sheetId="40" r:id="rId45"/>
    <sheet name="enemiesS" sheetId="41" r:id="rId46"/>
    <sheet name="dice" sheetId="42" r:id="rId47"/>
    <sheet name="mods" sheetId="43" r:id="rId48"/>
    <sheet name="gamestatuses" sheetId="44" r:id="rId49"/>
    <sheet name="cursesold" sheetId="45" r:id="rId50"/>
    <sheet name="bingo" sheetId="46" r:id="rId51"/>
    <sheet name="Map Calc" sheetId="47"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817" i="1"/>
  <c r="E27" i="1"/>
  <c r="E706" i="1"/>
  <c r="E584" i="1"/>
  <c r="E727" i="1"/>
  <c r="E415" i="1"/>
  <c r="D553" i="1"/>
  <c r="D817" i="1"/>
  <c r="D27" i="1"/>
  <c r="D706" i="1"/>
  <c r="D584" i="1"/>
  <c r="D727" i="1"/>
  <c r="D415" i="1"/>
  <c r="E421" i="1"/>
  <c r="D421" i="1"/>
  <c r="E387" i="1"/>
  <c r="D387" i="1"/>
  <c r="E240" i="1"/>
  <c r="D240" i="1"/>
  <c r="E403" i="1"/>
  <c r="D403" i="1"/>
  <c r="E796" i="1"/>
  <c r="D796"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1" i="1"/>
  <c r="D851" i="1"/>
  <c r="E233" i="1"/>
  <c r="D233" i="1"/>
  <c r="E168" i="1"/>
  <c r="D168" i="1"/>
  <c r="E101" i="1"/>
  <c r="D101" i="1"/>
  <c r="E538" i="1"/>
  <c r="D538" i="1"/>
  <c r="E338" i="1"/>
  <c r="D338" i="1"/>
  <c r="E824" i="1"/>
  <c r="D824"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B886" i="47"/>
  <c r="A886" i="47"/>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D870" i="1"/>
  <c r="E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0" i="1"/>
  <c r="D850" i="1"/>
  <c r="E849" i="1"/>
  <c r="D849" i="1"/>
  <c r="E848" i="1"/>
  <c r="D848" i="1"/>
  <c r="E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3" i="1"/>
  <c r="D823" i="1"/>
  <c r="E822" i="1"/>
  <c r="D822" i="1"/>
  <c r="E821" i="1"/>
  <c r="D821" i="1"/>
  <c r="E820" i="1"/>
  <c r="D820" i="1"/>
  <c r="E819" i="1"/>
  <c r="D819" i="1"/>
  <c r="E818" i="1"/>
  <c r="D818"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889" i="47" l="1"/>
  <c r="B887" i="47"/>
  <c r="B885" i="47"/>
  <c r="P885" i="47"/>
  <c r="C889" i="47"/>
  <c r="I889" i="47" s="1"/>
  <c r="E416" i="47"/>
  <c r="B882" i="47"/>
  <c r="C882" i="47"/>
  <c r="D882" i="47"/>
  <c r="F882" i="47"/>
  <c r="P881" i="47"/>
  <c r="B881" i="47"/>
  <c r="C881" i="47"/>
  <c r="I881" i="47" s="1"/>
  <c r="D881" i="47"/>
  <c r="O881" i="47" s="1"/>
  <c r="E881" i="47"/>
  <c r="F881" i="47"/>
  <c r="G881" i="47"/>
  <c r="H881" i="47"/>
  <c r="J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O891"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Q891" i="47"/>
  <c r="D253" i="47"/>
  <c r="O253" i="47" s="1"/>
  <c r="B890" i="47"/>
  <c r="B891" i="47"/>
  <c r="H893" i="47"/>
  <c r="E910" i="47"/>
  <c r="E917" i="47"/>
  <c r="C890" i="47"/>
  <c r="I890" i="47" s="1"/>
  <c r="D891" i="47"/>
  <c r="P332" i="47"/>
  <c r="B337" i="47"/>
  <c r="F610" i="47"/>
  <c r="C793" i="47"/>
  <c r="B868" i="47"/>
  <c r="C885" i="47"/>
  <c r="L885" i="47" s="1"/>
  <c r="F889" i="47"/>
  <c r="J889" i="47" s="1"/>
  <c r="D890" i="47"/>
  <c r="O890" i="47" s="1"/>
  <c r="E891" i="47"/>
  <c r="J892" i="47"/>
  <c r="J893" i="47"/>
  <c r="H901" i="47"/>
  <c r="G910" i="47"/>
  <c r="J917" i="47"/>
  <c r="B919" i="47"/>
  <c r="I938" i="47"/>
  <c r="I941" i="47"/>
  <c r="C868" i="47"/>
  <c r="E868" i="47" s="1"/>
  <c r="D885" i="47"/>
  <c r="O885" i="47" s="1"/>
  <c r="G889" i="47"/>
  <c r="E890" i="47"/>
  <c r="G891" i="47"/>
  <c r="K892" i="47"/>
  <c r="K893" i="47"/>
  <c r="Q897" i="47"/>
  <c r="I901" i="47"/>
  <c r="I910" i="47"/>
  <c r="K917" i="47"/>
  <c r="M919" i="47"/>
  <c r="K938" i="47"/>
  <c r="J941" i="47"/>
  <c r="D208" i="47"/>
  <c r="O208" i="47" s="1"/>
  <c r="D868" i="47"/>
  <c r="O868" i="47" s="1"/>
  <c r="C869" i="47"/>
  <c r="H869" i="47" s="1"/>
  <c r="K877" i="47"/>
  <c r="B879" i="47"/>
  <c r="K881"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H890" i="47"/>
  <c r="L891" i="47"/>
  <c r="O893" i="47"/>
  <c r="D897" i="47"/>
  <c r="L901" i="47"/>
  <c r="G909" i="47"/>
  <c r="C915" i="47"/>
  <c r="G927" i="47"/>
  <c r="H944" i="47"/>
  <c r="H885" i="47"/>
  <c r="M891" i="47"/>
  <c r="P893" i="47"/>
  <c r="Q893" i="47" s="1"/>
  <c r="P549" i="47"/>
  <c r="B867"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B206" i="47"/>
  <c r="F206" i="47"/>
  <c r="B217" i="47"/>
  <c r="J257" i="47"/>
  <c r="E261" i="47"/>
  <c r="D276" i="47"/>
  <c r="O276" i="47" s="1"/>
  <c r="C326" i="47"/>
  <c r="D356" i="47"/>
  <c r="O356" i="47" s="1"/>
  <c r="C356" i="47"/>
  <c r="C539" i="47"/>
  <c r="F548" i="47"/>
  <c r="C558" i="47"/>
  <c r="B558" i="47"/>
  <c r="P664" i="47"/>
  <c r="F664" i="47"/>
  <c r="C126" i="47"/>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Q571" i="47" s="1"/>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L33" i="47"/>
  <c r="P42" i="47"/>
  <c r="M49" i="47"/>
  <c r="P59" i="47"/>
  <c r="C59" i="47"/>
  <c r="J62" i="47"/>
  <c r="K62" i="47"/>
  <c r="F81" i="47"/>
  <c r="L144" i="47"/>
  <c r="N144" i="47"/>
  <c r="K144" i="47"/>
  <c r="P9" i="47"/>
  <c r="Q9" i="47" s="1"/>
  <c r="P13" i="47"/>
  <c r="Q13" i="47" s="1"/>
  <c r="K17" i="47"/>
  <c r="F19" i="47"/>
  <c r="L19" i="47" s="1"/>
  <c r="M33" i="47"/>
  <c r="D59" i="47"/>
  <c r="O59" i="47" s="1"/>
  <c r="P65" i="47"/>
  <c r="D65" i="47"/>
  <c r="O65" i="47" s="1"/>
  <c r="B65" i="47"/>
  <c r="F68" i="47"/>
  <c r="J68" i="47" s="1"/>
  <c r="N68" i="47"/>
  <c r="D70" i="47"/>
  <c r="O70" i="47" s="1"/>
  <c r="P70" i="47"/>
  <c r="C70" i="47"/>
  <c r="G76" i="47"/>
  <c r="D101" i="47"/>
  <c r="O101" i="47" s="1"/>
  <c r="P101" i="47"/>
  <c r="P125" i="47"/>
  <c r="C125" i="47"/>
  <c r="B125" i="47"/>
  <c r="C159" i="47"/>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K153" i="47"/>
  <c r="J160" i="47"/>
  <c r="F162" i="47"/>
  <c r="L162" i="47" s="1"/>
  <c r="E186" i="47"/>
  <c r="M204" i="47"/>
  <c r="C230" i="47"/>
  <c r="G248" i="47"/>
  <c r="F268" i="47"/>
  <c r="F285" i="47"/>
  <c r="C285" i="47"/>
  <c r="N285" i="47" s="1"/>
  <c r="P291" i="47"/>
  <c r="F291" i="47"/>
  <c r="C296" i="47"/>
  <c r="P362" i="47"/>
  <c r="B362" i="47"/>
  <c r="F543" i="47"/>
  <c r="C543" i="47"/>
  <c r="B104" i="47"/>
  <c r="J124" i="47"/>
  <c r="F126" i="47"/>
  <c r="L126" i="47" s="1"/>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M126" i="47"/>
  <c r="B163" i="47"/>
  <c r="B171" i="47"/>
  <c r="D224" i="47"/>
  <c r="O224" i="47" s="1"/>
  <c r="P237" i="47"/>
  <c r="P240" i="47"/>
  <c r="D240" i="47"/>
  <c r="B258" i="47"/>
  <c r="C680" i="47"/>
  <c r="B680" i="47"/>
  <c r="P680" i="47"/>
  <c r="F63" i="47"/>
  <c r="V67" i="47"/>
  <c r="F94" i="47"/>
  <c r="C97" i="47"/>
  <c r="J97" i="47" s="1"/>
  <c r="K98" i="47"/>
  <c r="C103" i="47"/>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55" i="47"/>
  <c r="J119" i="47"/>
  <c r="F132" i="47"/>
  <c r="J132" i="47" s="1"/>
  <c r="D140" i="47"/>
  <c r="O140" i="47" s="1"/>
  <c r="D160" i="47"/>
  <c r="O160" i="47" s="1"/>
  <c r="C174" i="47"/>
  <c r="C181" i="47"/>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724" i="47"/>
  <c r="Q434" i="47"/>
  <c r="Q694" i="47"/>
  <c r="Q497" i="47"/>
  <c r="Q174"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I72" i="47"/>
  <c r="F79" i="47"/>
  <c r="N82" i="47"/>
  <c r="N88" i="47"/>
  <c r="P93" i="47"/>
  <c r="G96" i="47"/>
  <c r="V98" i="47"/>
  <c r="M100" i="47"/>
  <c r="J101" i="47"/>
  <c r="E103" i="47"/>
  <c r="J110" i="47"/>
  <c r="F112" i="47"/>
  <c r="D113" i="47"/>
  <c r="C114" i="47"/>
  <c r="P118"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G33" i="47"/>
  <c r="C34" i="47"/>
  <c r="N34" i="47" s="1"/>
  <c r="K36" i="47"/>
  <c r="G37" i="47"/>
  <c r="C38" i="47"/>
  <c r="E38" i="47" s="1"/>
  <c r="G41" i="47"/>
  <c r="C42" i="47"/>
  <c r="E42" i="47" s="1"/>
  <c r="K44" i="47"/>
  <c r="G45" i="47"/>
  <c r="C46" i="47"/>
  <c r="K48" i="47"/>
  <c r="G49" i="47"/>
  <c r="C50" i="47"/>
  <c r="N50" i="47" s="1"/>
  <c r="G53" i="47"/>
  <c r="C54" i="47"/>
  <c r="N54" i="47" s="1"/>
  <c r="O55" i="47"/>
  <c r="G57" i="47"/>
  <c r="C58" i="47"/>
  <c r="M58" i="47" s="1"/>
  <c r="H62" i="47"/>
  <c r="B64" i="47"/>
  <c r="G64" i="47" s="1"/>
  <c r="J67" i="47"/>
  <c r="D69" i="47"/>
  <c r="O69" i="47" s="1"/>
  <c r="V70" i="47"/>
  <c r="O71" i="47"/>
  <c r="M72" i="47"/>
  <c r="D75" i="47"/>
  <c r="O75" i="47" s="1"/>
  <c r="L76"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I21" i="47"/>
  <c r="Q23" i="47"/>
  <c r="I25" i="47"/>
  <c r="M28" i="47"/>
  <c r="I29" i="47"/>
  <c r="M32" i="47"/>
  <c r="I33" i="47"/>
  <c r="M36" i="47"/>
  <c r="I37" i="47"/>
  <c r="M40" i="47"/>
  <c r="I41" i="47"/>
  <c r="M44" i="47"/>
  <c r="I45" i="47"/>
  <c r="M48" i="47"/>
  <c r="I53" i="47"/>
  <c r="Q55" i="47"/>
  <c r="M56" i="47"/>
  <c r="I57"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C303" i="47"/>
  <c r="K303" i="47" s="1"/>
  <c r="E314" i="47"/>
  <c r="M316"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06" i="47"/>
  <c r="M310" i="47"/>
  <c r="M314" i="47"/>
  <c r="M322" i="47"/>
  <c r="M327"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E69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2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K753" i="47" s="1"/>
  <c r="I758" i="47"/>
  <c r="D760" i="47"/>
  <c r="O760" i="47" s="1"/>
  <c r="C760" i="47"/>
  <c r="H760" i="47" s="1"/>
  <c r="B760" i="47"/>
  <c r="D768" i="47"/>
  <c r="O768" i="47" s="1"/>
  <c r="C768" i="47"/>
  <c r="B768" i="47"/>
  <c r="D707" i="47"/>
  <c r="H708" i="47"/>
  <c r="C719" i="47"/>
  <c r="N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O884" i="47" s="1"/>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L878" i="47" s="1"/>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L883" i="47"/>
  <c r="D886" i="47"/>
  <c r="O886" i="47" s="1"/>
  <c r="C887" i="47"/>
  <c r="L887" i="47" s="1"/>
  <c r="C888" i="47"/>
  <c r="N888" i="47" s="1"/>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M884" i="47"/>
  <c r="G886" i="47"/>
  <c r="G887" i="47"/>
  <c r="I891" i="47"/>
  <c r="H891" i="47"/>
  <c r="F891" i="47"/>
  <c r="P895" i="47"/>
  <c r="Q895" i="47" s="1"/>
  <c r="O896" i="47"/>
  <c r="O898" i="47"/>
  <c r="G903" i="47"/>
  <c r="I908" i="47"/>
  <c r="I856" i="47"/>
  <c r="F862" i="47"/>
  <c r="P876" i="47"/>
  <c r="P883" i="47"/>
  <c r="N884"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Q883" i="47" l="1"/>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<sst xmlns="http://schemas.openxmlformats.org/spreadsheetml/2006/main" count="23490" uniqueCount="8154">
  <si>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</si>
  <si>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</si>
  <si>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</si>
  <si>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</si>
  <si>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</si>
  <si>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</si>
  <si>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</si>
  <si>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</si>
  <si>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</si>
  <si>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</si>
  <si>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</si>
  <si>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</si>
  <si>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</si>
  <si>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</si>
  <si>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</si>
  <si>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</si>
  <si>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</si>
  <si>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</si>
  <si>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</si>
  <si>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</si>
  <si>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</si>
  <si>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</si>
  <si>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</si>
  <si>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</si>
  <si>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</si>
  <si>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</si>
  <si>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</si>
  <si>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</si>
  <si>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</si>
  <si>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</si>
  <si>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</si>
  <si>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</si>
  <si>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</si>
  <si>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</si>
  <si>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</si>
  <si>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</si>
  <si>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</si>
  <si>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</si>
  <si>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</si>
  <si>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</si>
  <si>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</si>
  <si>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</si>
  <si>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</si>
  <si>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</si>
  <si>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</si>
  <si>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</si>
  <si>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</si>
  <si>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</si>
  <si>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</si>
  <si>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</si>
  <si>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</si>
  <si>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</si>
  <si>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</si>
  <si>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</si>
  <si>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</si>
  <si>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</si>
  <si>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</si>
  <si>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</si>
  <si>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</si>
  <si>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</si>
  <si>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</si>
  <si>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</si>
  <si>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</si>
  <si>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</si>
  <si>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</si>
  <si>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</si>
  <si>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</si>
  <si>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</si>
  <si>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</si>
  <si>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</si>
  <si>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</si>
  <si>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</si>
  <si>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</si>
  <si>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</si>
  <si>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</si>
  <si>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</si>
  <si>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</si>
  <si>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</si>
  <si>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</si>
  <si>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</si>
  <si>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</si>
  <si>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</si>
  <si>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</si>
  <si>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</si>
  <si>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</si>
  <si>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</si>
  <si>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</si>
  <si>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</si>
  <si>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</si>
  <si>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</si>
  <si>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</si>
  <si>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</si>
  <si>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</si>
  <si>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</si>
  <si>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</si>
  <si>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</si>
  <si>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</si>
  <si>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</si>
  <si>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</si>
  <si>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</si>
  <si>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</si>
  <si>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</si>
  <si>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</si>
  <si>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</si>
  <si>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</si>
  <si>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</si>
  <si>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</si>
  <si>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</si>
  <si>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</si>
  <si>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</si>
  <si>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</si>
  <si>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</si>
  <si>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</si>
  <si>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</si>
  <si>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</si>
  <si>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</si>
  <si>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</si>
  <si>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</si>
  <si>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</si>
  <si>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</si>
  <si>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</si>
  <si>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</si>
  <si>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</si>
  <si>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</si>
  <si>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</si>
  <si>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</si>
  <si>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</si>
  <si>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</si>
  <si>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</si>
  <si>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</si>
  <si>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</si>
  <si>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</si>
  <si>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</si>
  <si>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</si>
  <si>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</si>
  <si>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</si>
  <si>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</si>
  <si>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</si>
  <si>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</si>
  <si>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</si>
  <si>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</si>
  <si>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</si>
  <si>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</si>
  <si>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</si>
  <si>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</si>
  <si>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</si>
  <si>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</si>
  <si>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</si>
  <si>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</si>
  <si>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</si>
  <si>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</si>
  <si>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</si>
  <si>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</si>
  <si>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</si>
  <si>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</si>
  <si>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</si>
  <si>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</si>
  <si>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</si>
  <si>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</si>
  <si>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</si>
  <si>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</si>
  <si>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</si>
  <si>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</si>
  <si>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</si>
  <si>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</si>
  <si>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</si>
  <si>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</si>
  <si>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</si>
  <si>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</si>
  <si>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</si>
  <si>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</si>
  <si>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</si>
  <si>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</si>
  <si>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</si>
  <si>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</si>
  <si>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</si>
  <si>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</si>
  <si>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</si>
  <si>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</si>
  <si>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</si>
  <si>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</si>
  <si>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</si>
  <si>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</si>
  <si>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</si>
  <si>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</si>
  <si>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</si>
  <si>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</si>
  <si>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</si>
  <si>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</si>
  <si>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</si>
  <si>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</si>
  <si>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</si>
  <si>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</si>
  <si>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</si>
  <si>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</si>
  <si>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</si>
  <si>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</si>
  <si>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</si>
  <si>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</si>
  <si>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</si>
  <si>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</si>
  <si>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</si>
  <si>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</si>
  <si>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</si>
  <si>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</si>
  <si>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</si>
  <si>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</si>
  <si>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</si>
  <si>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</si>
  <si>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</si>
  <si>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</si>
  <si>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</si>
  <si>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</si>
  <si>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</si>
  <si>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</si>
  <si>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</si>
  <si>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</si>
  <si>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</si>
  <si>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</si>
  <si>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</si>
  <si>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</si>
  <si>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</si>
  <si>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</si>
  <si>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</si>
  <si>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</si>
  <si>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</si>
  <si>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</si>
  <si>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</si>
  <si>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</si>
  <si>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</si>
  <si>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</si>
  <si>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</si>
  <si>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</si>
  <si>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</si>
  <si>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</si>
  <si>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</si>
  <si>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</si>
  <si>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</si>
  <si>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</si>
  <si>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</si>
  <si>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</si>
  <si>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</si>
  <si>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</si>
  <si>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</si>
  <si>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</si>
  <si>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</si>
  <si>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</si>
  <si>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</si>
  <si>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</si>
  <si>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</si>
  <si>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</si>
  <si>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</si>
  <si>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</si>
  <si>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</si>
  <si>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</si>
  <si>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</si>
  <si>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</si>
  <si>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</si>
  <si>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</si>
  <si>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</si>
  <si>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</si>
  <si>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</si>
  <si>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</si>
  <si>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</si>
  <si>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</si>
  <si>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</si>
  <si>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</si>
  <si>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</si>
  <si>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</si>
  <si>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</si>
  <si>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</si>
  <si>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</si>
  <si>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</si>
  <si>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</si>
  <si>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</si>
  <si>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</si>
  <si>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</si>
  <si>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</si>
  <si>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</si>
  <si>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</si>
  <si>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</si>
  <si>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</si>
  <si>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</si>
  <si>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</si>
  <si>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</si>
  <si>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</si>
  <si>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</si>
  <si>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</si>
  <si>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</si>
  <si>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</si>
  <si>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</si>
  <si>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</si>
  <si>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</si>
  <si>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</si>
  <si>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</si>
  <si>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</si>
  <si>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</si>
  <si>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</si>
  <si>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</si>
  <si>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</si>
  <si>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</si>
  <si>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</si>
  <si>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</si>
  <si>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</si>
  <si>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</si>
  <si>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</si>
  <si>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</si>
  <si>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</si>
  <si>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</si>
  <si>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</si>
  <si>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</si>
  <si>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</si>
  <si>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</si>
  <si>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</si>
  <si>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</si>
  <si>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</si>
  <si>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</si>
  <si>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</si>
  <si>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</si>
  <si>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</si>
  <si>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</si>
  <si>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</si>
  <si>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</si>
  <si>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</si>
  <si>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</si>
  <si>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</si>
  <si>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</si>
  <si>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</si>
  <si>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</si>
  <si>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</si>
  <si>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</si>
  <si>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</si>
  <si>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</si>
  <si>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</si>
  <si>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</si>
  <si>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</si>
  <si>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</si>
  <si>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</si>
  <si>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</si>
  <si>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</si>
  <si>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</si>
  <si>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</si>
  <si>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</si>
  <si>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</si>
  <si>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</si>
  <si>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</si>
  <si>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</si>
  <si>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</si>
  <si>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</si>
  <si>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</si>
  <si>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</si>
  <si>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</si>
  <si>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</si>
  <si>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</si>
  <si>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</si>
  <si>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</si>
  <si>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</si>
  <si>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</si>
  <si>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</si>
  <si>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</si>
  <si>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</si>
  <si>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</si>
  <si>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</si>
  <si>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</si>
  <si>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</si>
  <si>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</si>
  <si>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</si>
  <si>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</si>
  <si>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</si>
  <si>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</si>
  <si>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</si>
  <si>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</si>
  <si>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</si>
  <si>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</si>
  <si>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</si>
  <si>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</si>
  <si>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</si>
  <si>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</si>
  <si>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</si>
  <si>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</si>
  <si>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</si>
  <si>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</si>
  <si>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</si>
  <si>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</si>
  <si>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</si>
  <si>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</si>
  <si>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</si>
  <si>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</si>
  <si>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</si>
  <si>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</si>
  <si>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</si>
  <si>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</si>
  <si>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</si>
  <si>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</si>
  <si>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</si>
  <si>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</si>
  <si>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</si>
  <si>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</si>
  <si>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</si>
  <si>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</si>
  <si>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</si>
  <si>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</si>
  <si>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</si>
  <si>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</si>
  <si>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</si>
  <si>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</si>
  <si>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</si>
  <si>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</si>
  <si>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</si>
  <si>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</si>
  <si>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</si>
  <si>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</si>
  <si>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</si>
  <si>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</si>
  <si>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</si>
  <si>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</si>
  <si>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</si>
  <si>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</si>
  <si>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</si>
  <si>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</si>
  <si>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</si>
  <si>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</si>
  <si>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</si>
  <si>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</si>
  <si>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</si>
  <si>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</si>
  <si>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</si>
  <si>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</si>
  <si>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</si>
  <si>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</si>
  <si>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</si>
  <si>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</si>
  <si>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</si>
  <si>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</si>
  <si>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</si>
  <si>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</si>
  <si>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</si>
  <si>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</si>
  <si>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</si>
  <si>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</si>
  <si>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</si>
  <si>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</si>
  <si>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</si>
  <si>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</si>
  <si>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</si>
  <si>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</si>
  <si>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</si>
  <si>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</si>
  <si>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</si>
  <si>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</si>
  <si>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</si>
  <si>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</si>
  <si>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</si>
  <si>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</si>
  <si>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</si>
  <si>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</si>
  <si>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</si>
  <si>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</si>
  <si>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</si>
  <si>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</si>
  <si>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</si>
  <si>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</si>
  <si>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</si>
  <si>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</si>
  <si>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</si>
  <si>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</si>
  <si>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</si>
  <si>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</si>
  <si>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</si>
  <si>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</si>
  <si>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</si>
  <si>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</si>
  <si>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</si>
  <si>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</si>
  <si>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</si>
  <si>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</si>
  <si>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</si>
  <si>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</si>
  <si>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</si>
  <si>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</si>
  <si>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</si>
  <si>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</si>
  <si>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</si>
  <si>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</si>
  <si>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</si>
  <si>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</si>
  <si>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</si>
  <si>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</si>
  <si>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</si>
  <si>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</si>
  <si>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</si>
  <si>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</si>
  <si>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</si>
  <si>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</si>
  <si>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</si>
  <si>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</si>
  <si>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</si>
  <si>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</si>
  <si>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</si>
  <si>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</si>
  <si>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</si>
  <si>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</si>
  <si>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</si>
  <si>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</si>
  <si>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</si>
  <si>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</si>
  <si>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</si>
  <si>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</si>
  <si>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</si>
  <si>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</si>
  <si>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</si>
  <si>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</si>
  <si>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</si>
  <si>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</si>
  <si>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</si>
  <si>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</si>
  <si>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</si>
  <si>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</si>
  <si>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</si>
  <si>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</si>
  <si>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</si>
  <si>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</si>
  <si>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</si>
  <si>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</si>
  <si>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</si>
  <si>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</si>
  <si>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</si>
  <si>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</si>
  <si>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</si>
  <si>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</si>
  <si>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</si>
  <si>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</si>
  <si>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</si>
  <si>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</si>
  <si>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</si>
  <si>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</si>
  <si>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</si>
  <si>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</si>
  <si>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</si>
  <si>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</si>
  <si>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</si>
  <si>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</si>
  <si>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</si>
  <si>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</si>
  <si>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</si>
  <si>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</si>
  <si>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</si>
  <si>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</si>
  <si>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</si>
  <si>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</si>
  <si>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</si>
  <si>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</si>
  <si>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</si>
  <si>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</si>
  <si>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</si>
  <si>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</si>
  <si>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</si>
  <si>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</si>
  <si>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</si>
  <si>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</si>
  <si>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</si>
  <si>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</si>
  <si>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</si>
  <si>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</si>
  <si>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</si>
  <si>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</si>
  <si>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</si>
  <si>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</si>
  <si>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</si>
  <si>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</si>
  <si>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</si>
  <si>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</si>
  <si>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</si>
  <si>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</si>
  <si>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</si>
  <si>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</si>
  <si>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</si>
  <si>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</si>
  <si>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</si>
  <si>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</si>
  <si>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</si>
  <si>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</si>
  <si>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</si>
  <si>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</si>
  <si>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</si>
  <si>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</si>
  <si>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</si>
  <si>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</si>
  <si>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</si>
  <si>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</si>
  <si>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</si>
  <si>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</si>
  <si>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</si>
  <si>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</si>
  <si>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</si>
  <si>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</si>
  <si>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</si>
  <si>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</si>
  <si>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</si>
  <si>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</si>
  <si>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</si>
  <si>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</si>
  <si>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</si>
  <si>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</si>
  <si>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</si>
  <si>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</si>
  <si>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</si>
  <si>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</si>
  <si>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</si>
  <si>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</si>
  <si>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</si>
  <si>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</si>
  <si>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</si>
  <si>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</si>
  <si>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</si>
  <si>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</si>
  <si>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</si>
  <si>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</si>
  <si>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</si>
  <si>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</si>
  <si>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</si>
  <si>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</si>
  <si>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</si>
  <si>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</si>
  <si>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</si>
  <si>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</si>
  <si>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</si>
  <si>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</si>
  <si>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</si>
  <si>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</si>
  <si>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</si>
  <si>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</si>
  <si>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</si>
  <si>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</si>
  <si>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</si>
  <si>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</si>
  <si>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</si>
  <si>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</si>
  <si>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</si>
  <si>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</si>
  <si>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</si>
  <si>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</si>
  <si>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</si>
  <si>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</si>
  <si>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</si>
  <si>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</si>
  <si>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</si>
  <si>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</si>
  <si>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</si>
  <si>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</si>
  <si>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</si>
  <si>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</si>
  <si>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</si>
  <si>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</si>
  <si>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</si>
  <si>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</si>
  <si>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</si>
  <si>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</si>
  <si>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</si>
  <si>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</si>
  <si>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</si>
  <si>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</si>
  <si>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</si>
  <si>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</si>
  <si>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</si>
  <si>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</si>
  <si>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</si>
  <si>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</si>
  <si>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</si>
  <si>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</si>
  <si>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</si>
  <si>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</si>
  <si>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</si>
  <si>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</si>
  <si>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</si>
  <si>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</si>
  <si>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</si>
  <si>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</si>
  <si>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</si>
  <si>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</si>
  <si>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</si>
  <si>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</si>
  <si>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</si>
  <si>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</si>
  <si>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</si>
  <si>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</si>
  <si>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</si>
  <si>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</si>
  <si>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</si>
  <si>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</si>
  <si>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</si>
  <si>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</si>
  <si>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</si>
  <si>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</si>
  <si>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</si>
  <si>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</si>
  <si>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</si>
  <si>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</si>
  <si>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</si>
  <si>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</si>
  <si>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</si>
  <si>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</si>
  <si>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</si>
  <si>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</si>
  <si>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</si>
  <si>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</si>
  <si>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</si>
  <si>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</si>
  <si>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</si>
  <si>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</si>
  <si>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</si>
  <si>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</si>
  <si>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</si>
  <si>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</si>
  <si>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</si>
  <si>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</si>
  <si>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</si>
  <si>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</si>
  <si>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</si>
  <si>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</si>
  <si>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</si>
  <si>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</si>
  <si>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</si>
  <si>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</si>
  <si>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</si>
  <si>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</si>
  <si>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</si>
  <si>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</si>
  <si>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</si>
  <si>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</si>
  <si>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</si>
  <si>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</si>
  <si>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</si>
  <si>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</si>
  <si>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</si>
  <si>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</si>
  <si>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</si>
  <si>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</si>
  <si>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</si>
  <si>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</si>
  <si>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</si>
  <si>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</si>
  <si>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</si>
  <si>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</si>
  <si>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</si>
  <si>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</si>
  <si>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</si>
  <si>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</si>
  <si>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</si>
  <si>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</si>
  <si>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</si>
  <si>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</si>
  <si>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</si>
  <si>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</si>
  <si>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</si>
  <si>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</si>
  <si>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</si>
  <si>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</si>
  <si>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</si>
  <si>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</si>
  <si>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</si>
  <si>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</si>
  <si>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</si>
  <si>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</si>
  <si>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</si>
  <si>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</si>
  <si>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</si>
  <si>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</si>
  <si>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</si>
  <si>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</si>
  <si>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</si>
  <si>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</si>
  <si>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</si>
  <si>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</si>
  <si>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</si>
  <si>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</si>
  <si>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</si>
  <si>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</si>
  <si>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</si>
  <si>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</si>
  <si>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</si>
  <si>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</si>
  <si>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</si>
  <si>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</si>
  <si>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</si>
  <si>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</si>
  <si>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</si>
  <si>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</si>
  <si>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</si>
  <si>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</si>
  <si>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</si>
  <si>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</si>
  <si>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</si>
  <si>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</si>
  <si>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</si>
  <si>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</si>
  <si>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</si>
  <si>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</si>
  <si>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</si>
  <si>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</si>
  <si>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</si>
  <si>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</si>
  <si>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</si>
  <si>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</si>
  <si>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</si>
  <si>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</si>
  <si>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</si>
  <si>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</si>
  <si>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</si>
  <si>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</si>
  <si>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</si>
  <si>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</si>
  <si>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</si>
  <si>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</si>
  <si>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</si>
  <si>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</si>
  <si>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</si>
  <si>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</si>
  <si>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</si>
  <si>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</si>
  <si>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</si>
  <si>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</si>
  <si>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</si>
  <si>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</si>
  <si>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</si>
  <si>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</si>
  <si>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</si>
  <si>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</si>
  <si>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</si>
  <si>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</si>
  <si>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</si>
  <si>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</si>
  <si>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</si>
  <si>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</si>
  <si>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</si>
  <si>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</si>
  <si>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</si>
  <si>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</si>
  <si>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</si>
  <si>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</si>
  <si>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</si>
  <si>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</si>
  <si>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</si>
  <si>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</si>
  <si>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</si>
  <si>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</si>
  <si>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</si>
  <si>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</si>
  <si>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</si>
  <si>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</si>
  <si>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</si>
  <si>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</si>
  <si>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</si>
  <si>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</si>
  <si>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</si>
  <si>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</si>
  <si>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</si>
  <si>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</si>
  <si>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</si>
  <si>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</si>
  <si>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</si>
  <si>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</si>
  <si>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</si>
  <si>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</si>
  <si>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</si>
  <si>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</si>
  <si>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</si>
  <si>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</si>
  <si>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</si>
  <si>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</si>
  <si>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</si>
  <si>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</si>
  <si>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</si>
  <si>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</si>
  <si>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</si>
  <si>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</si>
  <si>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</si>
  <si>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</si>
  <si>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</si>
  <si>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</si>
  <si>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</si>
  <si>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</si>
  <si>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</si>
  <si>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</si>
  <si>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</si>
  <si>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</si>
  <si>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</si>
  <si>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</si>
  <si>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</si>
  <si>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</si>
  <si>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</si>
  <si>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</si>
  <si>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</si>
  <si>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</si>
  <si>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</si>
  <si>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</si>
  <si>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</si>
  <si>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</si>
  <si>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</si>
  <si>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</si>
  <si>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</si>
  <si>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</si>
  <si>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</si>
  <si>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</si>
  <si>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</si>
  <si>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</si>
  <si>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</si>
  <si>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</si>
  <si>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</si>
  <si>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</si>
  <si>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</si>
  <si>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</si>
  <si>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</si>
  <si>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</si>
  <si>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</si>
  <si>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</si>
  <si>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</si>
  <si>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</si>
  <si>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</si>
  <si>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</si>
  <si>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</si>
  <si>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</si>
  <si>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</si>
  <si>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</si>
  <si>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</si>
  <si>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</si>
  <si>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</si>
  <si>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</si>
  <si>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</si>
  <si>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</si>
  <si>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</si>
  <si>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</si>
  <si>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</si>
  <si>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</si>
  <si>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</si>
  <si>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</si>
  <si>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</si>
  <si>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</si>
  <si>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</si>
  <si>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</si>
  <si>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</si>
  <si>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</si>
  <si>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</si>
  <si>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</si>
  <si>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</si>
  <si>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</si>
  <si>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</si>
  <si>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</si>
  <si>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</si>
  <si>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</si>
  <si>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</si>
  <si>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</si>
  <si>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</si>
  <si>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</si>
  <si>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</si>
  <si>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</si>
  <si>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</si>
  <si>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</si>
  <si>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</si>
  <si>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</si>
  <si>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</si>
  <si>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</si>
  <si>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</si>
  <si>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</si>
  <si>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</si>
  <si>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</si>
  <si>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</si>
  <si>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</si>
  <si>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</si>
  <si>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</si>
  <si>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</si>
  <si>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</si>
  <si>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</si>
  <si>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</si>
  <si>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</si>
  <si>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</si>
  <si>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</si>
  <si>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</si>
  <si>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</si>
  <si>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</si>
  <si>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</si>
  <si>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</si>
  <si>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</si>
  <si>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</si>
  <si>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</si>
  <si>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</si>
  <si>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</si>
  <si>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</si>
  <si>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</si>
  <si>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</si>
  <si>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</si>
  <si>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</si>
  <si>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</si>
  <si>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</si>
  <si>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</si>
  <si>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</si>
  <si>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</si>
  <si>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</si>
  <si>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</si>
  <si>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</si>
  <si>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</si>
  <si>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</si>
  <si>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</si>
  <si>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</si>
  <si>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</si>
  <si>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</si>
  <si>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</si>
  <si>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</si>
  <si>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</si>
  <si>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</si>
  <si>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</si>
  <si>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</si>
  <si>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</si>
  <si>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</si>
  <si>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</si>
  <si>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</si>
  <si>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</si>
  <si>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</si>
  <si>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</si>
  <si>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</si>
  <si>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</si>
  <si>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</si>
  <si>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</si>
  <si>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</si>
  <si>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</si>
  <si>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</si>
  <si>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</si>
  <si>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</si>
  <si>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</si>
  <si>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</si>
  <si>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</si>
  <si>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</si>
  <si>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</si>
  <si>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</si>
  <si>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</si>
  <si>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</si>
  <si>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</si>
  <si>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</si>
  <si>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</si>
  <si>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</si>
  <si>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</si>
  <si>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</si>
  <si>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</si>
  <si>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</si>
  <si>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</si>
  <si>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</si>
  <si>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</si>
  <si>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</si>
  <si>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</si>
  <si>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</si>
  <si>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</si>
  <si>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</si>
  <si>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</si>
  <si>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</si>
  <si>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</si>
  <si>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</si>
  <si>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</si>
  <si>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</si>
  <si>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</si>
  <si>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</si>
  <si>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</si>
  <si>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</si>
  <si>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</si>
  <si>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</si>
  <si>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</si>
  <si>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</si>
  <si>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</si>
  <si>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</si>
  <si>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</si>
  <si>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</si>
  <si>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</si>
  <si>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</si>
  <si>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</si>
  <si>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</si>
  <si>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</si>
  <si>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</si>
  <si>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</si>
  <si>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</si>
  <si>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</si>
  <si>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</si>
  <si>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</si>
  <si>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</si>
  <si>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</si>
  <si>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</si>
  <si>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</si>
  <si>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</si>
  <si>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</si>
  <si>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</si>
  <si>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</si>
  <si>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</si>
  <si>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</si>
  <si>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</si>
  <si>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</si>
  <si>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</si>
  <si>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</si>
  <si>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</si>
  <si>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</si>
  <si>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</si>
  <si>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</si>
  <si>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</si>
  <si>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</si>
  <si>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</si>
  <si>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</si>
  <si>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</si>
  <si>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</si>
  <si>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</si>
  <si>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</si>
  <si>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</si>
  <si>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</si>
  <si>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</si>
  <si>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</si>
  <si>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</si>
  <si>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</si>
  <si>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</si>
  <si>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</si>
  <si>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</si>
  <si>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</si>
  <si>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</si>
  <si>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</si>
  <si>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</si>
  <si>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</si>
  <si>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</si>
  <si>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</si>
  <si>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</si>
  <si>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</si>
  <si>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</si>
  <si>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</si>
  <si>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</si>
  <si>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</si>
  <si>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</si>
  <si>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</si>
  <si>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</si>
  <si>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</si>
  <si>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</si>
  <si>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</si>
  <si>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</si>
  <si>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</si>
  <si>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</si>
  <si>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</si>
  <si>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</si>
  <si>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</si>
  <si>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</si>
  <si>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</si>
  <si>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</si>
  <si>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</si>
  <si>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</si>
  <si>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</si>
  <si>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</si>
  <si>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</si>
  <si>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</si>
  <si>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</si>
  <si>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</si>
  <si>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</si>
  <si>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</si>
  <si>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</si>
  <si>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</si>
  <si>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</si>
  <si>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</si>
  <si>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</si>
  <si>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</si>
  <si>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</si>
  <si>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</si>
  <si>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</si>
  <si>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</si>
  <si>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</si>
  <si>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</si>
  <si>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</si>
  <si>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</si>
  <si>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</si>
  <si>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</si>
  <si>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</si>
  <si>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</si>
  <si>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</si>
  <si>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</si>
  <si>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</si>
  <si>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</si>
  <si>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</si>
  <si>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</si>
  <si>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</si>
  <si>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</si>
  <si>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</si>
  <si>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</si>
  <si>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</si>
  <si>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</si>
  <si>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</si>
  <si>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</si>
  <si>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</si>
  <si>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</si>
  <si>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</si>
  <si>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</si>
  <si>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</si>
  <si>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</si>
  <si>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</si>
  <si>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</si>
  <si>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</si>
  <si>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</si>
  <si>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</si>
  <si>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</si>
  <si>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</si>
  <si>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</si>
  <si>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</si>
  <si>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</si>
  <si>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</si>
  <si>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</si>
  <si>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</si>
  <si>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</si>
  <si>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</si>
  <si>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</si>
  <si>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</si>
  <si>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</si>
  <si>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</si>
  <si>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</si>
  <si>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</si>
  <si>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</si>
  <si>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</si>
  <si>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</si>
  <si>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</si>
  <si>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</si>
  <si>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</si>
  <si>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</si>
  <si>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</si>
  <si>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</si>
  <si>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</si>
  <si>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</si>
  <si>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</si>
  <si>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</si>
  <si>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</si>
  <si>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</si>
  <si>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</si>
  <si>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</si>
  <si>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</si>
  <si>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</si>
  <si>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</si>
  <si>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</si>
  <si>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</si>
  <si>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</si>
  <si>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</si>
  <si>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</si>
  <si>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</si>
  <si>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</si>
  <si>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</si>
  <si>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</si>
  <si>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</si>
  <si>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</si>
  <si>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</si>
  <si>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</si>
  <si>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</si>
  <si>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</si>
  <si>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</si>
  <si>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</si>
  <si>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</si>
  <si>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</si>
  <si>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</si>
  <si>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</si>
  <si>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</si>
  <si>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</si>
  <si>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</si>
  <si>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</si>
  <si>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</si>
  <si>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</si>
  <si>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</si>
  <si>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</si>
  <si>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</si>
  <si>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</si>
  <si>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</si>
  <si>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</si>
  <si>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</si>
  <si>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</si>
  <si>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</si>
  <si>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</si>
  <si>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</si>
  <si>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</si>
  <si>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</si>
  <si>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</si>
  <si>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</si>
  <si>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</si>
  <si>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</si>
  <si>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</si>
  <si>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</si>
  <si>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</si>
  <si>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</si>
  <si>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</si>
  <si>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</si>
  <si>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</si>
  <si>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</si>
  <si>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</si>
  <si>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</si>
  <si>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</si>
  <si>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</si>
  <si>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</si>
  <si>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</si>
  <si>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</si>
  <si>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</si>
  <si>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</si>
  <si>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</si>
  <si>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</si>
  <si>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</si>
  <si>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</si>
  <si>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</si>
  <si>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</si>
  <si>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</si>
  <si>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</si>
  <si>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</si>
  <si>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</si>
  <si>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</si>
  <si>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</si>
  <si>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</si>
  <si>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</si>
  <si>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</si>
  <si>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</si>
  <si>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</si>
  <si>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</si>
  <si>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</si>
  <si>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</si>
  <si>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</si>
  <si>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</si>
  <si>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</si>
  <si>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</si>
  <si>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</si>
  <si>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</si>
  <si>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</si>
  <si>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</si>
  <si>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</si>
  <si>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</si>
  <si>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</si>
  <si>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</si>
  <si>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</si>
  <si>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</si>
  <si>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</si>
  <si>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</si>
  <si>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</si>
  <si>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</si>
  <si>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</si>
  <si>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</si>
  <si>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</si>
  <si>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</si>
  <si>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</si>
  <si>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</si>
  <si>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</si>
  <si>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</si>
  <si>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</si>
  <si>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</si>
  <si>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</si>
  <si>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</si>
  <si>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</si>
  <si>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</si>
  <si>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</si>
  <si>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</si>
  <si>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</si>
  <si>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</si>
  <si>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</si>
  <si>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</si>
  <si>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</si>
  <si>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</si>
  <si>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</si>
  <si>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</si>
  <si>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</si>
  <si>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</si>
  <si>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</si>
  <si>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</si>
  <si>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</si>
  <si>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</si>
  <si>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</si>
  <si>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</si>
  <si>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</si>
  <si>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</si>
  <si>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</si>
  <si>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</si>
  <si>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</si>
  <si>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</si>
  <si>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</si>
  <si>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</si>
  <si>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</si>
  <si>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</si>
  <si>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</si>
  <si>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</si>
  <si>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</si>
  <si>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</si>
  <si>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</si>
  <si>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</si>
  <si>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</si>
  <si>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</si>
  <si>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</si>
  <si>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</si>
  <si>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</si>
  <si>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</si>
  <si>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</si>
  <si>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</si>
  <si>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</si>
  <si>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</si>
  <si>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</si>
  <si>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</si>
  <si>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</si>
  <si>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</si>
  <si>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</si>
  <si>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</si>
  <si>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</si>
  <si>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</si>
  <si>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</si>
  <si>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</si>
  <si>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</si>
  <si>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</si>
  <si>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</si>
  <si>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</si>
  <si>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</si>
  <si>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</si>
  <si>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</si>
  <si>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</si>
  <si>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</si>
  <si>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</si>
  <si>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</si>
  <si>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</si>
  <si>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</si>
  <si>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</si>
  <si>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</si>
  <si>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</si>
  <si>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</si>
  <si>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</si>
  <si>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</si>
  <si>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</si>
  <si>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</si>
  <si>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</si>
  <si>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</si>
  <si>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</si>
  <si>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</si>
  <si>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</si>
  <si>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</si>
  <si>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</si>
  <si>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</si>
  <si>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</si>
  <si>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</si>
  <si>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</si>
  <si>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</si>
  <si>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</si>
  <si>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</si>
  <si>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</si>
  <si>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</si>
  <si>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</si>
  <si>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</si>
  <si>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</si>
  <si>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</si>
  <si>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</si>
  <si>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</si>
  <si>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</si>
  <si>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</si>
  <si>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</si>
  <si>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</si>
  <si>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</si>
  <si>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</si>
  <si>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</si>
  <si>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</si>
  <si>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</si>
  <si>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</si>
  <si>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</si>
  <si>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</si>
  <si>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</si>
  <si>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</si>
  <si>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</si>
  <si>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</si>
  <si>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</si>
  <si>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</si>
  <si>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</si>
  <si>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</si>
  <si>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</si>
  <si>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</si>
  <si>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</si>
  <si>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</si>
  <si>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</si>
  <si>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</si>
  <si>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</si>
  <si>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</si>
  <si>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</si>
  <si>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</si>
  <si>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</si>
  <si>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</si>
  <si>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</si>
  <si>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</si>
  <si>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</si>
  <si>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</si>
  <si>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</si>
  <si>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</si>
  <si>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</si>
  <si>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</si>
  <si>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</si>
  <si>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</si>
  <si>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</si>
  <si>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</si>
  <si>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</si>
  <si>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</si>
  <si>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</si>
  <si>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</si>
  <si>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</si>
  <si>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</si>
  <si>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</si>
  <si>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</si>
  <si>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</si>
  <si>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</si>
  <si>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</si>
  <si>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</si>
  <si>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</si>
  <si>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</si>
  <si>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</si>
  <si>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</si>
  <si>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</si>
  <si>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</si>
  <si>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</si>
  <si>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</si>
  <si>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</si>
  <si>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</si>
  <si>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</si>
  <si>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</si>
  <si>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</si>
  <si>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</si>
  <si>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</si>
  <si>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</si>
  <si>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</si>
  <si>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</si>
  <si>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</si>
  <si>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</si>
  <si>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</si>
  <si>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</si>
  <si>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</si>
  <si>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</si>
  <si>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</si>
  <si>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</si>
  <si>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</si>
  <si>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</si>
  <si>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</si>
  <si>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</si>
  <si>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</si>
  <si>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</si>
  <si>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</si>
  <si>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</si>
  <si>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</si>
  <si>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</si>
  <si>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</si>
  <si>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</si>
  <si>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</si>
  <si>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</si>
  <si>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</si>
  <si>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</si>
  <si>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</si>
  <si>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</si>
  <si>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</si>
  <si>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</si>
  <si>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</si>
  <si>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</si>
  <si>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</si>
  <si>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</si>
  <si>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</si>
  <si>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</si>
  <si>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</si>
  <si>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</si>
  <si>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</si>
  <si>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</si>
  <si>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</si>
  <si>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</si>
  <si>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</si>
  <si>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</si>
  <si>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</si>
  <si>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</si>
  <si>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</si>
  <si>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</si>
  <si>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</si>
  <si>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</si>
  <si>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</si>
  <si>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</si>
  <si>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</si>
  <si>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</si>
  <si>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</si>
  <si>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</si>
  <si>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</si>
  <si>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</si>
  <si>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</si>
  <si>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</si>
  <si>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</si>
  <si>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</si>
  <si>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</si>
  <si>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</si>
  <si>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</si>
  <si>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</si>
  <si>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</si>
  <si>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</si>
  <si>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</si>
  <si>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</si>
  <si>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</si>
  <si>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</si>
  <si>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</si>
  <si>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</si>
  <si>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</si>
  <si>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</si>
  <si>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</si>
  <si>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</si>
  <si>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</si>
  <si>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</si>
  <si>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</si>
  <si>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</si>
  <si>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</si>
  <si>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</si>
  <si>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</si>
  <si>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</si>
  <si>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</si>
  <si>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</si>
  <si>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</si>
  <si>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</si>
  <si>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</si>
  <si>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</si>
  <si>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</si>
  <si>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</si>
  <si>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</si>
  <si>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</si>
  <si>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</si>
  <si>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</si>
  <si>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</si>
  <si>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</si>
  <si>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</si>
  <si>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</si>
  <si>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</si>
  <si>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</si>
  <si>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</si>
  <si>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</si>
  <si>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</si>
  <si>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</si>
  <si>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</si>
  <si>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</si>
  <si>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</si>
  <si>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</si>
  <si>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</si>
  <si>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</si>
  <si>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</si>
  <si>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</si>
  <si>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</si>
  <si>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</si>
  <si>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</si>
  <si>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</si>
  <si>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</si>
  <si>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</si>
  <si>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</si>
  <si>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</si>
  <si>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</si>
  <si>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</si>
  <si>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</si>
  <si>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</si>
  <si>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</si>
  <si>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</si>
  <si>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</si>
  <si>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</si>
  <si>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</si>
  <si>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</si>
  <si>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</si>
  <si>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</si>
  <si>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</si>
  <si>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</si>
  <si>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</si>
  <si>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</si>
  <si>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</si>
  <si>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</si>
  <si>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</si>
  <si>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</si>
  <si>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</si>
  <si>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</si>
  <si>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</si>
  <si>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</si>
  <si>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</si>
  <si>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</si>
  <si>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</si>
  <si>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</si>
  <si>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</si>
  <si>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</si>
  <si>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</si>
  <si>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</si>
  <si>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</si>
  <si>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</si>
  <si>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</si>
  <si>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</si>
  <si>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</si>
  <si>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</si>
  <si>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</si>
  <si>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</si>
  <si>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</si>
  <si>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</si>
  <si>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</si>
  <si>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</si>
  <si>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</si>
  <si>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</si>
  <si>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</si>
  <si>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</si>
  <si>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</si>
  <si>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</si>
  <si>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</si>
  <si>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</si>
  <si>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</si>
  <si>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</si>
  <si>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</si>
  <si>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</si>
  <si>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</si>
  <si>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</si>
  <si>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</si>
  <si>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</si>
  <si>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</si>
  <si>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</si>
  <si>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</si>
  <si>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</si>
  <si>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</si>
  <si>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</si>
  <si>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</si>
  <si>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</si>
  <si>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</si>
  <si>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</si>
  <si>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</si>
  <si>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</si>
  <si>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</si>
  <si>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</si>
  <si>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</si>
  <si>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</si>
  <si>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</si>
  <si>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</si>
  <si>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</si>
  <si>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</si>
  <si>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</si>
  <si>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</si>
  <si>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</si>
  <si>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</si>
  <si>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</si>
  <si>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</si>
  <si>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</si>
  <si>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</si>
  <si>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</si>
  <si>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</si>
  <si>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</si>
  <si>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</si>
  <si>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</si>
  <si>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</si>
  <si>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</si>
  <si>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</si>
  <si>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</si>
  <si>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</si>
  <si>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</si>
  <si>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</si>
  <si>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</si>
  <si>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</si>
  <si>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</si>
  <si>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</si>
  <si>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</si>
  <si>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</si>
  <si>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</si>
  <si>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</si>
  <si>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</si>
  <si>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</si>
  <si>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</si>
  <si>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</si>
  <si>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</si>
  <si>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</si>
  <si>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</si>
  <si>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</si>
  <si>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</si>
  <si>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</si>
  <si>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</si>
  <si>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</si>
  <si>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</si>
  <si>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</si>
  <si>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</si>
  <si>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</si>
  <si>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</si>
  <si>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</si>
  <si>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</si>
  <si>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</si>
  <si>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</si>
  <si>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</si>
  <si>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</si>
  <si>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</si>
  <si>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</si>
  <si>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</si>
  <si>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</si>
  <si>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</si>
  <si>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</si>
  <si>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</si>
  <si>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</si>
  <si>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</si>
  <si>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</si>
  <si>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</si>
  <si>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</si>
  <si>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</si>
  <si>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</si>
  <si>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</si>
  <si>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</si>
  <si>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</si>
  <si>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</si>
  <si>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</si>
  <si>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</si>
  <si>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</si>
  <si>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</si>
  <si>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</si>
  <si>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</si>
  <si>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</si>
  <si>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</si>
  <si>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</si>
  <si>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</si>
  <si>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</si>
  <si>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</si>
  <si>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</si>
  <si>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</si>
  <si>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</si>
  <si>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</si>
  <si>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</si>
  <si>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</si>
  <si>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</si>
  <si>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</si>
  <si>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</si>
  <si>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</si>
  <si>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</si>
  <si>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</si>
  <si>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</si>
  <si>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</si>
  <si>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</si>
  <si>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</si>
  <si>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</si>
  <si>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</si>
  <si>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</si>
  <si>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</si>
  <si>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</si>
  <si>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</si>
  <si>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</si>
  <si>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</si>
  <si>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</si>
  <si>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</si>
  <si>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</si>
  <si>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</si>
  <si>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</si>
  <si>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</si>
  <si>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</si>
  <si>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</si>
  <si>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</si>
  <si>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</si>
  <si>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</si>
  <si>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</si>
  <si>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</si>
  <si>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</si>
  <si>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</si>
  <si>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</si>
  <si>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</si>
  <si>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</si>
  <si>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</si>
  <si>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</si>
  <si>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</si>
  <si>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</si>
  <si>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</si>
  <si>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</si>
  <si>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</si>
  <si>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</si>
  <si>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</si>
  <si>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</si>
  <si>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</si>
  <si>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</si>
  <si>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</si>
  <si>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</si>
  <si>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</si>
  <si>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</si>
  <si>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</si>
  <si>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</si>
  <si>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</si>
  <si>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</si>
  <si>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</si>
  <si>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</si>
  <si>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</si>
  <si>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</si>
  <si>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</si>
  <si>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</si>
  <si>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</si>
  <si>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</si>
  <si>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</si>
  <si>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</si>
  <si>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</si>
  <si>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</si>
  <si>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</si>
  <si>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</si>
  <si>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</si>
  <si>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</si>
  <si>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</si>
  <si>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</si>
  <si>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</si>
  <si>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</si>
  <si>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</si>
  <si>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</si>
  <si>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</si>
  <si>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</si>
  <si>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</si>
  <si>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</si>
  <si>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</si>
  <si>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</si>
  <si>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</si>
  <si>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</si>
  <si>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</si>
  <si>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</si>
  <si>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</si>
  <si>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</si>
  <si>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</si>
  <si>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</si>
  <si>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</si>
  <si>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</si>
  <si>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</si>
  <si>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</si>
  <si>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</si>
  <si>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</si>
  <si>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</si>
  <si>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</si>
  <si>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</si>
  <si>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</si>
  <si>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</si>
  <si>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</si>
  <si>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</si>
  <si>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</si>
  <si>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</si>
  <si>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</si>
  <si>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</si>
  <si>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</si>
  <si>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</si>
  <si>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</si>
  <si>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</si>
  <si>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</si>
  <si>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</si>
  <si>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</si>
  <si>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</si>
  <si>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</si>
  <si>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</si>
  <si>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</si>
  <si>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</si>
  <si>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</si>
  <si>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</si>
  <si>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</si>
  <si>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</si>
  <si>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</si>
  <si>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</si>
  <si>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</si>
  <si>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</si>
  <si>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</si>
  <si>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</si>
  <si>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</si>
  <si>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</si>
  <si>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</si>
  <si>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</si>
  <si>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</si>
  <si>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</si>
  <si>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</si>
  <si>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</si>
  <si>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</si>
  <si>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</si>
  <si>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</si>
  <si>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</si>
  <si>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</si>
  <si>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</si>
  <si>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</si>
  <si>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</si>
  <si>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</si>
  <si>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</si>
  <si>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</si>
  <si>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</si>
  <si>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</si>
  <si>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</si>
  <si>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</si>
  <si>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</si>
  <si>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</si>
  <si>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</si>
  <si>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</si>
  <si>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</si>
  <si>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</si>
  <si>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</si>
  <si>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</si>
  <si>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</si>
  <si>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</si>
  <si>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</si>
  <si>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</si>
  <si>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</si>
  <si>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</si>
  <si>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</si>
  <si>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</si>
  <si>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</si>
  <si>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</si>
  <si>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</si>
  <si>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</si>
  <si>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</si>
  <si>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</si>
  <si>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</si>
  <si>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</si>
  <si>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</si>
  <si>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</si>
  <si>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</si>
  <si>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</si>
  <si>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</si>
  <si>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</si>
  <si>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</si>
  <si>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</si>
  <si>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</si>
  <si>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</si>
  <si>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</si>
  <si>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</si>
  <si>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</si>
  <si>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</si>
  <si>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</si>
  <si>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</si>
  <si>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</si>
  <si>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</si>
  <si>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</si>
  <si>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</si>
  <si>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</si>
  <si>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</si>
  <si>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</si>
  <si>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</si>
  <si>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</si>
  <si>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</si>
  <si>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</si>
  <si>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</si>
  <si>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</si>
  <si>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</si>
  <si>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</si>
  <si>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</si>
  <si>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</si>
  <si>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</si>
  <si>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</si>
  <si>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</si>
  <si>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</si>
  <si>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</si>
  <si>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</si>
  <si>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</si>
  <si>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</si>
  <si>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</si>
  <si>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</si>
  <si>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</si>
  <si>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</si>
  <si>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</si>
  <si>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</si>
  <si>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</si>
  <si>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</si>
  <si>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</si>
  <si>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</si>
  <si>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</si>
  <si>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</si>
  <si>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</si>
  <si>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</si>
  <si>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</si>
  <si>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</si>
  <si>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</si>
  <si>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</si>
  <si>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</si>
  <si>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</si>
  <si>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</si>
  <si>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</si>
  <si>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</si>
  <si>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</si>
  <si>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</si>
  <si>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</si>
  <si>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</si>
  <si>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</si>
  <si>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</si>
  <si>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</si>
  <si>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</si>
  <si>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</si>
  <si>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</si>
  <si>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</si>
  <si>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</si>
  <si>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</si>
  <si>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</si>
  <si>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</si>
  <si>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</si>
  <si>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</si>
  <si>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</si>
  <si>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</si>
  <si>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</si>
  <si>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</si>
  <si>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</si>
  <si>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</si>
  <si>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</si>
  <si>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</si>
  <si>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</si>
  <si>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</si>
  <si>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</si>
  <si>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</si>
  <si>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</si>
  <si>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</si>
  <si>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</si>
  <si>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</si>
  <si>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</si>
  <si>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</si>
  <si>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</si>
  <si>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</si>
  <si>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</si>
  <si>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</si>
  <si>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</si>
  <si>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</si>
  <si>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</si>
  <si>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</si>
  <si>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</si>
  <si>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</si>
  <si>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</si>
  <si>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</si>
  <si>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</si>
  <si>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</si>
  <si>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</si>
  <si>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</si>
  <si>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</si>
  <si>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</si>
  <si>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</si>
  <si>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</si>
  <si>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</si>
  <si>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</si>
  <si>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</si>
  <si>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</si>
  <si>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</si>
  <si>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</si>
  <si>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</si>
  <si>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</si>
  <si>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</si>
  <si>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</si>
  <si>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</si>
  <si>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</si>
  <si>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</si>
  <si>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</si>
  <si>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</si>
  <si>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</si>
  <si>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</si>
  <si>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</si>
  <si>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</si>
  <si>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</si>
  <si>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</si>
  <si>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</si>
  <si>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</si>
  <si>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</si>
  <si>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</si>
  <si>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</si>
  <si>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</si>
  <si>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</si>
  <si>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</si>
  <si>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</si>
  <si>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</si>
  <si>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</si>
  <si>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</si>
  <si>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</si>
  <si>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</si>
  <si>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</si>
  <si>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</si>
  <si>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</si>
  <si>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</si>
  <si>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</si>
  <si>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</si>
  <si>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</si>
  <si>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</si>
  <si>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</si>
  <si>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</si>
  <si>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</si>
  <si>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</si>
  <si>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</si>
  <si>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</si>
  <si>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</si>
  <si>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</si>
  <si>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</si>
  <si>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</si>
  <si>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</si>
  <si>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</si>
  <si>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</si>
  <si>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</si>
  <si>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</si>
  <si>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</si>
  <si>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</si>
  <si>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</si>
  <si>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</si>
  <si>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</si>
  <si>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</si>
  <si>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</si>
  <si>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</si>
  <si>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</si>
  <si>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</si>
  <si>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</si>
  <si>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</si>
  <si>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</si>
  <si>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</si>
  <si>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</si>
  <si>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</si>
  <si>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</si>
  <si>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</si>
  <si>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</si>
  <si>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</si>
  <si>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</si>
  <si>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</si>
  <si>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</si>
  <si>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</si>
  <si>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</si>
  <si>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</si>
  <si>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</si>
  <si>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</si>
  <si>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</si>
  <si>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</si>
  <si>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</si>
  <si>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</si>
  <si>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</si>
  <si>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</si>
  <si>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</si>
  <si>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</si>
  <si>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</si>
  <si>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</si>
  <si>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</si>
  <si>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</si>
  <si>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</si>
  <si>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</si>
  <si>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</si>
  <si>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</si>
  <si>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</si>
  <si>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</si>
  <si>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</si>
  <si>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</si>
  <si>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</si>
  <si>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</si>
  <si>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</si>
  <si>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</si>
  <si>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</si>
  <si>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</si>
  <si>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</si>
  <si>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</si>
  <si>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</si>
  <si>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</si>
  <si>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</si>
  <si>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</si>
  <si>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</si>
  <si>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</si>
  <si>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</si>
  <si>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</si>
  <si>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</si>
  <si>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</si>
  <si>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</si>
  <si>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</si>
  <si>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</si>
  <si>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</si>
  <si>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</si>
  <si>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</si>
  <si>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</si>
  <si>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</si>
  <si>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</si>
  <si>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</si>
  <si>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</si>
  <si>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</si>
  <si>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</si>
  <si>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</si>
  <si>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</si>
  <si>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</si>
  <si>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</si>
  <si>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</si>
  <si>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</si>
  <si>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</si>
  <si>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</si>
  <si>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</si>
  <si>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</si>
  <si>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</si>
  <si>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</si>
  <si>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</si>
  <si>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</si>
  <si>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</si>
  <si>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</si>
  <si>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</si>
  <si>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</si>
  <si>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</si>
  <si>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</si>
  <si>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</si>
  <si>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</si>
  <si>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</si>
  <si>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</si>
  <si>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</si>
  <si>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</si>
  <si>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</si>
  <si>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</si>
  <si>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</si>
  <si>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</si>
  <si>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</si>
  <si>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</si>
  <si>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</si>
  <si>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</si>
  <si>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</si>
  <si>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</si>
  <si>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</si>
  <si>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</si>
  <si>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</si>
  <si>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</si>
  <si>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</si>
  <si>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</si>
  <si>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</si>
  <si>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</si>
  <si>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</si>
  <si>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</si>
  <si>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</si>
  <si>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</si>
  <si>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</si>
  <si>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</si>
  <si>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</si>
  <si>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</si>
  <si>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</si>
  <si>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</si>
  <si>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</si>
  <si>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</si>
  <si>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</si>
  <si>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</si>
  <si>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</si>
  <si>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</si>
  <si>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</si>
  <si>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</si>
  <si>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</si>
  <si>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</si>
  <si>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</si>
  <si>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</si>
  <si>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</si>
  <si>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</si>
  <si>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</si>
  <si>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</si>
  <si>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</si>
  <si>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</si>
  <si>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</si>
  <si>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</si>
  <si>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</si>
  <si>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</si>
  <si>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</si>
  <si>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</si>
  <si>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</si>
  <si>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</si>
  <si>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</si>
  <si>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</si>
  <si>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</si>
  <si>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</si>
  <si>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</si>
  <si>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</si>
  <si>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</si>
  <si>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</si>
  <si>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</si>
  <si>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</si>
  <si>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</si>
  <si>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</si>
  <si>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</si>
  <si>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</si>
  <si>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</si>
  <si>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</si>
  <si>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</si>
  <si>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</si>
  <si>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</si>
  <si>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</si>
  <si>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</si>
  <si>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</si>
  <si>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</si>
  <si>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</si>
  <si>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</si>
  <si>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</si>
  <si>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</si>
  <si>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</si>
  <si>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</si>
  <si>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</si>
  <si>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</si>
  <si>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</si>
  <si>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</si>
  <si>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</si>
  <si>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</si>
  <si>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</si>
  <si>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</si>
  <si>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</si>
  <si>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</si>
  <si>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</si>
  <si>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</si>
  <si>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</si>
  <si>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</si>
  <si>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</si>
  <si>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</si>
  <si>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</si>
  <si>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</si>
  <si>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</si>
  <si>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</si>
  <si>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</si>
  <si>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</si>
  <si>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</si>
  <si>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</si>
  <si>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</si>
  <si>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</si>
  <si>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</si>
  <si>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</si>
  <si>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</si>
  <si>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</si>
  <si>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</si>
  <si>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</si>
  <si>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</si>
  <si>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</si>
  <si>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</si>
  <si>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</si>
  <si>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</si>
  <si>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</si>
  <si>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</si>
  <si>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</si>
  <si>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</si>
  <si>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</si>
  <si>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</si>
  <si>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</si>
  <si>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</si>
  <si>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</si>
  <si>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</si>
  <si>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</si>
  <si>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</si>
  <si>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</si>
  <si>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</si>
  <si>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</si>
  <si>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</si>
  <si>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</si>
  <si>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</si>
  <si>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</si>
  <si>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</si>
  <si>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</si>
  <si>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</si>
  <si>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</si>
  <si>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</si>
  <si>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</si>
  <si>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</si>
  <si>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</si>
  <si>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</si>
  <si>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</si>
  <si>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</si>
  <si>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</si>
  <si>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</si>
  <si>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</si>
  <si>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</si>
  <si>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</si>
  <si>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</si>
  <si>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</si>
  <si>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</si>
  <si>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</si>
  <si>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</si>
  <si>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</si>
  <si>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</si>
  <si>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</si>
  <si>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</si>
  <si>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</si>
  <si>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</si>
  <si>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</si>
  <si>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</si>
  <si>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</si>
  <si>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</si>
  <si>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</si>
  <si>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</si>
  <si>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</si>
  <si>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</si>
  <si>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</si>
  <si>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</si>
  <si>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</si>
  <si>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</si>
  <si>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</si>
  <si>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</si>
  <si>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</si>
  <si>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</si>
  <si>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</si>
  <si>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</si>
  <si>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</si>
  <si>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</si>
  <si>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</si>
  <si>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</si>
  <si>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</si>
  <si>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</si>
  <si>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</si>
  <si>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</si>
  <si>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</si>
  <si>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</si>
  <si>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</si>
  <si>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</si>
  <si>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</si>
  <si>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</si>
  <si>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</si>
  <si>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</si>
  <si>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</si>
  <si>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</si>
  <si>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</si>
  <si>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</si>
  <si>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</si>
  <si>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</si>
  <si>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</si>
  <si>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</si>
  <si>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</si>
  <si>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</si>
  <si>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</si>
  <si>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</si>
  <si>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</si>
  <si>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</si>
  <si>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</si>
  <si>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</si>
  <si>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</si>
  <si>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</si>
  <si>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</si>
  <si>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</si>
  <si>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</si>
  <si>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</si>
  <si>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</si>
  <si>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</si>
  <si>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</si>
  <si>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</si>
  <si>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</si>
  <si>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</si>
  <si>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</si>
  <si>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</si>
  <si>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</si>
  <si>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</si>
  <si>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</si>
  <si>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</si>
  <si>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</si>
  <si>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</si>
  <si>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</si>
  <si>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</si>
  <si>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</si>
  <si>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</si>
  <si>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</si>
  <si>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</si>
  <si>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</si>
  <si>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</si>
  <si>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</si>
  <si>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</si>
  <si>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</si>
  <si>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</si>
  <si>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</si>
  <si>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</si>
  <si>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</si>
  <si>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</si>
  <si>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</si>
  <si>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</si>
  <si>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</si>
  <si>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</si>
  <si>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</si>
  <si>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</si>
  <si>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</si>
  <si>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</si>
  <si>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</si>
  <si>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</si>
  <si>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</si>
  <si>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</si>
  <si>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</si>
  <si>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</si>
  <si>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</si>
  <si>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</si>
  <si>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</si>
  <si>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</si>
  <si>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</si>
  <si>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</si>
  <si>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</si>
  <si>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</si>
  <si>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</si>
  <si>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</si>
  <si>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</si>
  <si>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</si>
  <si>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</si>
  <si>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</si>
  <si>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</si>
  <si>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</si>
  <si>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</si>
  <si>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</si>
  <si>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</si>
  <si>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</si>
  <si>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</si>
  <si>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</si>
  <si>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</si>
  <si>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</si>
  <si>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</si>
  <si>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</si>
  <si>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</si>
  <si>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</si>
  <si>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</si>
  <si>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</si>
  <si>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</si>
  <si>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</si>
  <si>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</si>
  <si>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</si>
  <si>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</si>
  <si>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</si>
  <si>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</si>
  <si>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</si>
  <si>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</si>
  <si>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</si>
  <si>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</si>
  <si>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</si>
  <si>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</si>
  <si>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</si>
  <si>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</si>
  <si>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</si>
  <si>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</si>
  <si>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</si>
  <si>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</si>
  <si>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</si>
  <si>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</si>
  <si>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</si>
  <si>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</si>
  <si>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</si>
  <si>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</si>
  <si>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</si>
  <si>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</si>
  <si>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</si>
  <si>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</si>
  <si>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</si>
  <si>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</si>
  <si>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</si>
  <si>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</si>
  <si>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</si>
  <si>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</si>
  <si>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</si>
  <si>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</si>
  <si>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</si>
  <si>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</si>
  <si>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</si>
  <si>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</si>
  <si>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</si>
  <si>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</si>
  <si>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</si>
  <si>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</si>
  <si>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</si>
  <si>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</si>
  <si>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</si>
  <si>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</si>
  <si>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</si>
  <si>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</si>
  <si>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</si>
  <si>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</si>
  <si>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</si>
  <si>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</si>
  <si>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</si>
  <si>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</si>
  <si>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</si>
  <si>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</si>
  <si>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</si>
  <si>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</si>
  <si>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</si>
  <si>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</si>
  <si>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</si>
  <si>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</si>
  <si>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</si>
  <si>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</si>
  <si>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</si>
  <si>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</si>
  <si>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</si>
  <si>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</si>
  <si>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</si>
  <si>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</si>
  <si>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</si>
  <si>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</si>
  <si>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</si>
  <si>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</si>
  <si>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</si>
  <si>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</si>
  <si>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</si>
  <si>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</si>
  <si>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</si>
  <si>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</si>
  <si>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</si>
  <si>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</si>
  <si>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</si>
  <si>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</si>
  <si>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</si>
  <si>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</si>
  <si>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</si>
  <si>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</si>
  <si>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</si>
  <si>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</si>
  <si>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</si>
  <si>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</si>
  <si>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</si>
  <si>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</si>
  <si>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</si>
  <si>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</si>
  <si>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</si>
  <si>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</si>
  <si>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</si>
  <si>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</si>
  <si>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</si>
  <si>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</si>
  <si>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</si>
  <si>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</si>
  <si>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</si>
  <si>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</si>
  <si>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</si>
  <si>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</si>
  <si>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</si>
  <si>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</si>
  <si>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</si>
  <si>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</si>
  <si>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</si>
  <si>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</si>
  <si>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</si>
  <si>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</si>
  <si>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</si>
  <si>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</si>
  <si>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</si>
  <si>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</si>
  <si>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</si>
  <si>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</si>
  <si>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</si>
  <si>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</si>
  <si>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</si>
  <si>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</si>
  <si>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</si>
  <si>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</si>
  <si>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</si>
  <si>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</si>
  <si>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</si>
  <si>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</si>
  <si>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</si>
  <si>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</si>
  <si>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</si>
  <si>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</si>
  <si>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</si>
  <si>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</si>
  <si>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</si>
  <si>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</si>
  <si>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</si>
  <si>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</si>
  <si>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</si>
  <si>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</si>
  <si>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</si>
  <si>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</si>
  <si>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</si>
  <si>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</si>
  <si>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</si>
  <si>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</si>
  <si>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</si>
  <si>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</si>
  <si>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</si>
  <si>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</si>
  <si>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</si>
  <si>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</si>
  <si>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</si>
  <si>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</si>
  <si>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</si>
  <si>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</si>
  <si>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</si>
  <si>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</si>
  <si>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</si>
  <si>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</si>
  <si>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</si>
  <si>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</si>
  <si>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</si>
  <si>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</si>
  <si>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</si>
  <si>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</si>
  <si>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</si>
  <si>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</si>
  <si>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</si>
  <si>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</si>
  <si>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</si>
  <si>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</si>
  <si>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</si>
  <si>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</si>
  <si>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</si>
  <si>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</si>
  <si>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</si>
  <si>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</si>
  <si>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</si>
  <si>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</si>
  <si>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</si>
  <si>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</si>
  <si>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</si>
  <si>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</si>
  <si>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</si>
  <si>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</si>
  <si>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</si>
  <si>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</si>
  <si>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</si>
  <si>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</si>
  <si>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</si>
  <si>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</si>
  <si>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</si>
  <si>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</si>
  <si>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</si>
  <si>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</si>
  <si>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</si>
  <si>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</si>
  <si>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</si>
  <si>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</si>
  <si>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</si>
  <si>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</si>
  <si>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</si>
  <si>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</si>
  <si>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</si>
  <si>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</si>
  <si>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</si>
  <si>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</si>
  <si>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</si>
  <si>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</si>
  <si>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</si>
  <si>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</si>
  <si>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</si>
  <si>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</si>
  <si>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</si>
  <si>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</si>
  <si>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</si>
  <si>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</si>
  <si>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</si>
  <si>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</si>
  <si>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</si>
  <si>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</si>
  <si>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</si>
  <si>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</si>
  <si>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</si>
  <si>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</si>
  <si>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</si>
  <si>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</si>
  <si>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</si>
  <si>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</si>
  <si>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</si>
  <si>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</si>
  <si>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</si>
  <si>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</si>
  <si>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</si>
  <si>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</si>
  <si>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</si>
  <si>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</si>
  <si>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</si>
  <si>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</si>
  <si>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</si>
  <si>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</si>
  <si>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</si>
  <si>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</si>
  <si>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</si>
  <si>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</si>
  <si>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</si>
  <si>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</si>
  <si>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</si>
  <si>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</si>
  <si>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</si>
  <si>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</si>
  <si>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</si>
  <si>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</si>
  <si>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</si>
  <si>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</si>
  <si>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</si>
  <si>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</si>
  <si>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</si>
  <si>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</si>
  <si>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</si>
  <si>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</si>
  <si>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</si>
  <si>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</si>
  <si>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</si>
  <si>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</si>
  <si>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</si>
  <si>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</si>
  <si>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</si>
  <si>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</si>
  <si>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</si>
  <si>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</si>
  <si>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</si>
  <si>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</si>
  <si>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</si>
  <si>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</si>
  <si>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</si>
  <si>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</si>
  <si>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</si>
  <si>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</si>
  <si>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</si>
  <si>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</si>
  <si>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</si>
  <si>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</si>
  <si>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</si>
  <si>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</si>
  <si>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</si>
  <si>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</si>
  <si>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</si>
  <si>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</si>
  <si>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</si>
  <si>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</si>
  <si>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</si>
  <si>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</si>
  <si>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</si>
  <si>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</si>
  <si>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</si>
  <si>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</si>
  <si>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</si>
  <si>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</si>
  <si>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</si>
  <si>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</si>
  <si>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</si>
  <si>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</si>
  <si>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</si>
  <si>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</si>
  <si>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</si>
  <si>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</si>
  <si>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</si>
  <si>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</si>
  <si>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</si>
  <si>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</si>
  <si>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</si>
  <si>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</si>
  <si>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</si>
  <si>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</si>
  <si>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</si>
  <si>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</si>
  <si>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</si>
  <si>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</si>
  <si>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</si>
  <si>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</si>
  <si>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</si>
  <si>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</si>
  <si>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</si>
  <si>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</si>
  <si>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</si>
  <si>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</si>
  <si>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</si>
  <si>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</si>
  <si>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</si>
  <si>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</si>
  <si>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</si>
  <si>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</si>
  <si>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</si>
  <si>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</si>
  <si>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</si>
  <si>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</si>
  <si>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</si>
  <si>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</si>
  <si>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</si>
  <si>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</si>
  <si>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</si>
  <si>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</si>
  <si>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</si>
  <si>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</si>
  <si>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</si>
  <si>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</si>
  <si>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</si>
  <si>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</si>
  <si>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</si>
  <si>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</si>
  <si>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</si>
  <si>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</si>
  <si>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</si>
  <si>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</si>
  <si>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</si>
  <si>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</si>
  <si>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</si>
  <si>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</si>
  <si>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</si>
  <si>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</si>
  <si>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</si>
  <si>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</si>
  <si>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</si>
  <si>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</si>
  <si>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</si>
  <si>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</si>
  <si>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</si>
  <si>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</si>
  <si>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</si>
  <si>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</si>
  <si>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</si>
  <si>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</si>
  <si>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</si>
  <si>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</si>
  <si>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</si>
  <si>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</si>
  <si>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</si>
  <si>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</si>
  <si>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</si>
  <si>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</si>
  <si>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</si>
  <si>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</si>
  <si>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</si>
  <si>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</si>
  <si>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</si>
  <si>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</si>
  <si>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</si>
  <si>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</si>
  <si>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</si>
  <si>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</si>
  <si>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</si>
  <si>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</si>
  <si>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</si>
  <si>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</si>
  <si>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</si>
  <si>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</si>
  <si>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</si>
  <si>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</si>
  <si>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</si>
  <si>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</si>
  <si>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</si>
  <si>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</si>
  <si>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</si>
  <si>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</si>
  <si>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</si>
  <si>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</si>
  <si>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</si>
  <si>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</si>
  <si>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</si>
  <si>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</si>
  <si>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</si>
  <si>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</si>
  <si>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</si>
  <si>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</si>
  <si>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</si>
  <si>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</si>
  <si>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</si>
  <si>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</si>
  <si>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</si>
  <si>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</si>
  <si>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</si>
  <si>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</si>
  <si>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</si>
  <si>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</si>
  <si>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</si>
  <si>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</si>
  <si>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</si>
  <si>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</si>
  <si>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</si>
  <si>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</si>
  <si>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</si>
  <si>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</si>
  <si>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</si>
  <si>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</si>
  <si>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</si>
  <si>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</si>
  <si>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</si>
  <si>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</si>
  <si>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</si>
  <si>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</si>
  <si>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</si>
  <si>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</si>
  <si>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</si>
  <si>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</si>
  <si>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</si>
  <si>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</si>
  <si>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</si>
  <si>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</si>
  <si>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</si>
  <si>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</si>
  <si>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</si>
  <si>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</si>
  <si>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</si>
  <si>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</si>
  <si>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</si>
  <si>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</si>
  <si>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</si>
  <si>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</si>
  <si>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</si>
  <si>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</si>
  <si>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</si>
  <si>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</si>
  <si>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</si>
  <si>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</si>
  <si>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</si>
  <si>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</si>
  <si>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</si>
  <si>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</si>
  <si>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</si>
  <si>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</si>
  <si>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</si>
  <si>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</si>
  <si>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</si>
  <si>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</si>
  <si>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</si>
  <si>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</si>
  <si>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</si>
  <si>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</si>
  <si>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</si>
  <si>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</si>
  <si>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</si>
  <si>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</si>
  <si>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</si>
  <si>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</si>
  <si>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</si>
  <si>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</si>
  <si>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</si>
  <si>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</si>
  <si>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</si>
  <si>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</si>
  <si>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</si>
  <si>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</si>
  <si>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</si>
  <si>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</si>
  <si>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</si>
  <si>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</si>
  <si>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</si>
  <si>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</si>
  <si>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</si>
  <si>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</si>
  <si>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</si>
  <si>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</si>
  <si>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</si>
  <si>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</si>
  <si>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</si>
  <si>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</si>
  <si>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</si>
  <si>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</si>
  <si>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</si>
  <si>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</si>
  <si>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</si>
  <si>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</si>
  <si>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</si>
  <si>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</si>
  <si>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</si>
  <si>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</si>
  <si>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</si>
  <si>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</si>
  <si>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</si>
  <si>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</si>
  <si>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</si>
  <si>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</si>
  <si>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</si>
  <si>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</si>
  <si>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</si>
  <si>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</si>
  <si>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</si>
  <si>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</si>
  <si>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</si>
  <si>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</si>
  <si>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</si>
  <si>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</si>
  <si>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</si>
  <si>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</si>
  <si>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</si>
  <si>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</si>
  <si>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</si>
  <si>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</si>
  <si>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</si>
  <si>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</si>
  <si>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</si>
  <si>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</si>
  <si>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</si>
  <si>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</si>
  <si>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</si>
  <si>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</si>
  <si>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</si>
  <si>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</si>
  <si>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</si>
  <si>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</si>
  <si>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</si>
  <si>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</si>
  <si>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</si>
  <si>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</si>
  <si>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</si>
  <si>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</si>
  <si>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</si>
  <si>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</si>
  <si>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</si>
  <si>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</si>
  <si>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</si>
  <si>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</si>
  <si>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</si>
  <si>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</si>
  <si>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</si>
  <si>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</si>
  <si>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</si>
  <si>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</si>
  <si>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</si>
  <si>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</si>
  <si>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</si>
  <si>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</si>
  <si>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</si>
  <si>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</si>
  <si>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</si>
  <si>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</si>
  <si>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</si>
  <si>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</si>
  <si>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</si>
  <si>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</si>
  <si>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</si>
  <si>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</si>
  <si>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</si>
  <si>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</si>
  <si>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</si>
  <si>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</si>
  <si>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</si>
  <si>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</si>
  <si>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</si>
  <si>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</si>
  <si>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</si>
  <si>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</si>
  <si>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</si>
  <si>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</si>
  <si>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</si>
  <si>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</si>
  <si>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</si>
  <si>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</si>
  <si>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</si>
  <si>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</si>
  <si>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</si>
  <si>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</si>
  <si>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</si>
  <si>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</si>
  <si>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</si>
  <si>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</si>
  <si>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</si>
  <si>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</si>
  <si>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</si>
  <si>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</si>
  <si>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</si>
  <si>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</si>
  <si>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</si>
  <si>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</si>
  <si>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</si>
  <si>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</si>
  <si>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</si>
  <si>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</si>
  <si>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</si>
  <si>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</si>
  <si>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</si>
  <si>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</si>
  <si>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</si>
  <si>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</si>
  <si>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</si>
  <si>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</si>
  <si>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</si>
  <si>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</si>
  <si>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</si>
  <si>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</si>
  <si>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</si>
  <si>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</si>
  <si>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</si>
  <si>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</si>
  <si>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</si>
  <si>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</si>
  <si>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</si>
  <si>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</si>
  <si>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</si>
  <si>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</si>
  <si>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</si>
  <si>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</si>
  <si>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</si>
  <si>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</si>
  <si>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</si>
  <si>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</si>
  <si>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</si>
  <si>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</si>
  <si>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</si>
  <si>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</si>
  <si>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</si>
  <si>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</si>
  <si>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</si>
  <si>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</si>
  <si>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</si>
  <si>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</si>
  <si>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</si>
  <si>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</si>
  <si>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</si>
  <si>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</si>
  <si>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</si>
  <si>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</si>
  <si>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</si>
  <si>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</si>
  <si>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</si>
  <si>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</si>
  <si>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</si>
  <si>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</si>
  <si>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</si>
  <si>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</si>
  <si>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</si>
  <si>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</si>
  <si>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</si>
  <si>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</si>
  <si>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</si>
  <si>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</si>
  <si>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</si>
  <si>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</si>
  <si>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</si>
  <si>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</si>
  <si>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</si>
  <si>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</si>
  <si>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</si>
  <si>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</si>
  <si>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</si>
  <si>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</si>
  <si>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</si>
  <si>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</si>
  <si>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</si>
  <si>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</si>
  <si>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</si>
  <si>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</si>
  <si>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</si>
  <si>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</si>
  <si>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</si>
  <si>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</si>
  <si>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</si>
  <si>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</si>
  <si>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</si>
  <si>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</si>
  <si>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</si>
  <si>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</si>
  <si>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</si>
  <si>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</si>
  <si>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</si>
  <si>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</si>
  <si>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</si>
  <si>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</si>
  <si>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</si>
  <si>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</si>
  <si>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</si>
  <si>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</si>
  <si>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</si>
  <si>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</si>
  <si>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</si>
  <si>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</si>
  <si>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</si>
  <si>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</si>
  <si>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</si>
  <si>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</si>
  <si>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</si>
  <si>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</si>
  <si>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</si>
  <si>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</si>
  <si>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</si>
  <si>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</si>
  <si>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</si>
  <si>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</si>
  <si>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</si>
  <si>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</si>
  <si>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</si>
  <si>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</si>
  <si>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</si>
  <si>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</si>
  <si>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</si>
  <si>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</si>
  <si>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</si>
  <si>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</si>
  <si>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</si>
  <si>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</si>
  <si>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</si>
  <si>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</si>
  <si>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</si>
  <si>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</si>
  <si>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</si>
  <si>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</si>
  <si>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</si>
  <si>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</si>
  <si>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</si>
  <si>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</si>
  <si>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</si>
  <si>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</si>
  <si>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</si>
  <si>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</si>
  <si>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</si>
  <si>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</si>
  <si>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</si>
  <si>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</si>
  <si>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</si>
  <si>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</si>
  <si>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</si>
  <si>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</si>
  <si>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</si>
  <si>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</si>
  <si>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</si>
  <si>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</si>
  <si>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</si>
  <si>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</si>
  <si>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</si>
  <si>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</si>
  <si>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</si>
  <si>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</si>
  <si>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</si>
  <si>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</si>
  <si>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</si>
  <si>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</si>
  <si>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</si>
  <si>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</si>
  <si>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</si>
  <si>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</si>
  <si>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</si>
  <si>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</si>
  <si>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</si>
  <si>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</si>
  <si>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</si>
  <si>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</si>
  <si>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</si>
  <si>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</si>
  <si>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</si>
  <si>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</si>
  <si>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</si>
  <si>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</si>
  <si>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</si>
  <si>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</si>
  <si>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</si>
  <si>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</si>
  <si>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</si>
  <si>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</si>
  <si>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</si>
  <si>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</si>
  <si>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</si>
  <si>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</si>
  <si>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</si>
  <si>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</si>
  <si>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</si>
  <si>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</si>
  <si>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</si>
  <si>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</si>
  <si>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</si>
  <si>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</si>
  <si>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</si>
  <si>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</si>
  <si>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</si>
  <si>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</si>
  <si>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</si>
  <si>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</si>
  <si>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</si>
  <si>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</si>
  <si>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</si>
  <si>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</si>
  <si>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</si>
  <si>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</si>
  <si>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</si>
  <si>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</si>
  <si>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</si>
  <si>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</si>
  <si>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</si>
  <si>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</si>
  <si>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</si>
  <si>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</si>
  <si>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</si>
  <si>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</si>
  <si>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</si>
  <si>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</si>
  <si>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</si>
  <si>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</si>
  <si>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</si>
  <si>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</si>
  <si>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</si>
  <si>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</si>
  <si>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</si>
  <si>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</si>
  <si>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</si>
  <si>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</si>
  <si>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</si>
  <si>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</si>
  <si>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</si>
  <si>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</si>
  <si>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</si>
  <si>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</si>
  <si>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</si>
  <si>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</si>
  <si>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</si>
  <si>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</si>
  <si>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</si>
  <si>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</si>
  <si>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</si>
  <si>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</si>
  <si>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</si>
  <si>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</si>
  <si>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</si>
  <si>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</si>
  <si>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</si>
  <si>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</si>
  <si>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</si>
  <si>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</si>
  <si>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</si>
  <si>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</si>
  <si>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</si>
  <si>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</si>
  <si>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</si>
  <si>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</si>
  <si>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</si>
  <si>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</si>
  <si>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</si>
  <si>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</si>
  <si>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</si>
  <si>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</si>
  <si>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</si>
  <si>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</si>
  <si>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</si>
  <si>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</si>
  <si>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</si>
  <si>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</si>
  <si>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</si>
  <si>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</si>
  <si>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</si>
  <si>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</si>
  <si>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</si>
  <si>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</si>
  <si>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</si>
  <si>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</si>
  <si>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</si>
  <si>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</si>
  <si>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</si>
  <si>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</si>
  <si>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</si>
  <si>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</si>
  <si>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</si>
  <si>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</si>
  <si>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</si>
  <si>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</si>
  <si>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</si>
  <si>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</si>
  <si>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</si>
  <si>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</si>
  <si>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</si>
  <si>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</si>
  <si>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</si>
  <si>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</si>
  <si>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</si>
  <si>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</si>
  <si>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</si>
  <si>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</si>
  <si>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</si>
  <si>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</si>
  <si>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</si>
  <si>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</si>
  <si>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</si>
  <si>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</si>
  <si>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</si>
  <si>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</si>
  <si>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</si>
  <si>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</si>
  <si>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</si>
  <si>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</si>
  <si>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</si>
  <si>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</si>
  <si>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</si>
  <si>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</si>
  <si>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</si>
  <si>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</si>
  <si>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</si>
  <si>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</si>
  <si>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</si>
  <si>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</si>
  <si>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</si>
  <si>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</si>
  <si>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</si>
  <si>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</si>
  <si>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</si>
  <si>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</si>
  <si>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</si>
  <si>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</si>
  <si>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</si>
  <si>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</si>
  <si>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</si>
  <si>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</si>
  <si>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</si>
  <si>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</si>
  <si>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</si>
  <si>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</si>
  <si>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</si>
  <si>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</si>
  <si>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</si>
  <si>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</si>
  <si>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</si>
  <si>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</si>
  <si>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</si>
  <si>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</si>
  <si>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</si>
  <si>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</si>
  <si>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</si>
  <si>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</si>
  <si>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</si>
  <si>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</si>
  <si>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</si>
  <si>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</si>
  <si>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</si>
  <si>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</si>
  <si>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</si>
  <si>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</si>
  <si>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</si>
  <si>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</si>
  <si>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</si>
  <si>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</si>
  <si>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</si>
  <si>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</si>
  <si>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</si>
  <si>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</si>
  <si>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</si>
  <si>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</si>
  <si>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</si>
  <si>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</si>
  <si>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</si>
  <si>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</si>
  <si>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</si>
  <si>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</si>
  <si>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</si>
  <si>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</si>
  <si>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</si>
  <si>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</si>
  <si>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</si>
  <si>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</si>
  <si>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</si>
  <si>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</si>
  <si>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</si>
  <si>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</si>
  <si>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</si>
  <si>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</si>
  <si>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</si>
  <si>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</si>
  <si>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</si>
  <si>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</si>
  <si>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</si>
  <si>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</si>
  <si>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</si>
  <si>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</si>
  <si>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</si>
  <si>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</si>
  <si>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</si>
  <si>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</si>
  <si>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</si>
  <si>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</si>
  <si>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</si>
  <si>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</si>
  <si>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</si>
  <si>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</si>
  <si>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</si>
  <si>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</si>
  <si>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</si>
  <si>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</si>
  <si>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</si>
  <si>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</si>
  <si>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</si>
  <si>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</si>
  <si>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</si>
  <si>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</si>
  <si>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</si>
  <si>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</si>
  <si>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</si>
  <si>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</si>
  <si>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</si>
  <si>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</si>
  <si>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</si>
  <si>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</si>
  <si>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</si>
  <si>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</si>
  <si>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</si>
  <si>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</si>
  <si>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</si>
  <si>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</si>
  <si>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</si>
  <si>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</si>
  <si>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</si>
  <si>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</si>
  <si>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</si>
  <si>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</si>
  <si>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</si>
  <si>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</si>
  <si>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</si>
  <si>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</si>
  <si>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</si>
  <si>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</si>
  <si>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</si>
  <si>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</si>
  <si>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</si>
  <si>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</si>
  <si>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</si>
  <si>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</si>
  <si>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</si>
  <si>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</si>
  <si>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</si>
  <si>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</si>
  <si>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</si>
  <si>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</si>
  <si>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</si>
  <si>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</si>
  <si>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</si>
  <si>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</si>
  <si>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</si>
  <si>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</si>
  <si>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</si>
  <si>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</si>
  <si>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</si>
  <si>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</si>
  <si>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</si>
  <si>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</si>
  <si>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</si>
  <si>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</si>
  <si>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</si>
  <si>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</si>
  <si>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</si>
  <si>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</si>
  <si>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</si>
  <si>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</si>
  <si>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</si>
  <si>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</si>
  <si>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</si>
  <si>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</si>
  <si>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</si>
  <si>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</si>
  <si>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</si>
  <si>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</si>
  <si>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</si>
  <si>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</si>
  <si>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</si>
  <si>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</si>
  <si>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</si>
  <si>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</si>
  <si>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</si>
  <si>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</si>
  <si>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</si>
  <si>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</si>
  <si>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</si>
  <si>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</si>
  <si>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</si>
  <si>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</si>
  <si>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</si>
  <si>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</si>
  <si>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</si>
  <si>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</si>
  <si>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</si>
  <si>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</si>
  <si>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</si>
  <si>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</si>
  <si>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</si>
  <si>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</si>
  <si>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</si>
  <si>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</si>
  <si>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</si>
  <si>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</si>
  <si>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</si>
  <si>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</si>
  <si>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</si>
  <si>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</si>
  <si>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</si>
  <si>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</si>
  <si>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</si>
  <si>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</si>
  <si>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</si>
  <si>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</si>
  <si>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</si>
  <si>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</si>
  <si>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</si>
  <si>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</si>
  <si>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</si>
  <si>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</si>
  <si>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</si>
  <si>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</si>
  <si>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</si>
  <si>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</si>
  <si>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</si>
  <si>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</si>
  <si>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</si>
  <si>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</si>
  <si>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</si>
  <si>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</si>
  <si>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</si>
  <si>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</si>
  <si>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</si>
  <si>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</si>
  <si>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</si>
  <si>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</si>
  <si>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</si>
  <si>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</si>
  <si>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</si>
  <si>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</si>
  <si>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</si>
  <si>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</si>
  <si>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</si>
  <si>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</si>
  <si>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</si>
  <si>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</si>
  <si>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</si>
  <si>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</si>
  <si>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</si>
  <si>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</si>
  <si>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</si>
  <si>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</si>
  <si>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</si>
  <si>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</si>
  <si>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</si>
  <si>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</si>
  <si>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</si>
  <si>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</si>
  <si>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</si>
  <si>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</si>
  <si>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</si>
  <si>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</si>
  <si>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</si>
  <si>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</si>
  <si>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</si>
  <si>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</si>
  <si>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</si>
  <si>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</si>
  <si>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</si>
  <si>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</si>
  <si>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</si>
  <si>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</si>
  <si>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</si>
  <si>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</si>
  <si>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</si>
  <si>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</si>
  <si>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</si>
  <si>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</si>
  <si>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</si>
  <si>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</si>
  <si>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</si>
  <si>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</si>
  <si>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</si>
  <si>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</si>
  <si>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</si>
  <si>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</si>
  <si>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</si>
  <si>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</si>
  <si>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</si>
  <si>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</si>
  <si>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</si>
  <si>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</si>
  <si>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</si>
  <si>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</si>
  <si>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</si>
  <si>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</si>
  <si>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</si>
  <si>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</si>
  <si>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</si>
  <si>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</si>
  <si>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</si>
  <si>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</si>
  <si>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</si>
  <si>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</si>
  <si>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</si>
  <si>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</si>
  <si>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</si>
  <si>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</si>
  <si>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</si>
  <si>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</si>
  <si>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</si>
  <si>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</si>
  <si>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</si>
  <si>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</si>
  <si>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</si>
  <si>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</si>
  <si>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</si>
  <si>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</si>
  <si>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</si>
  <si>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</si>
  <si>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</si>
  <si>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</si>
  <si>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</si>
  <si>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</si>
  <si>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</si>
  <si>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</si>
  <si>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</si>
  <si>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</si>
  <si>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</si>
  <si>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</si>
  <si>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</si>
  <si>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</si>
  <si>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</si>
  <si>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</si>
  <si>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</si>
  <si>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</si>
  <si>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</si>
  <si>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</si>
  <si>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</si>
  <si>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</si>
  <si>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</si>
  <si>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</si>
  <si>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</si>
  <si>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</si>
  <si>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</si>
  <si>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</si>
  <si>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</si>
  <si>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</si>
  <si>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</si>
  <si>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</si>
  <si>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</si>
  <si>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</si>
  <si>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</si>
  <si>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</si>
  <si>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</si>
  <si>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</si>
  <si>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</si>
  <si>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</si>
  <si>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</si>
  <si>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</si>
  <si>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</si>
  <si>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</si>
  <si>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</si>
  <si>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</si>
  <si>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</si>
  <si>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</si>
  <si>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</si>
  <si>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</si>
  <si>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</si>
  <si>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</si>
  <si>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</si>
  <si>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</si>
  <si>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</si>
  <si>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</si>
  <si>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</si>
  <si>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</si>
  <si>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</si>
  <si>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</si>
  <si>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</si>
  <si>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</si>
  <si>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</si>
  <si>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</si>
  <si>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</si>
  <si>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</si>
  <si>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</si>
  <si>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</si>
  <si>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</si>
  <si>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</si>
  <si>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</si>
  <si>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</si>
  <si>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</si>
  <si>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</si>
  <si>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</si>
  <si>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</si>
  <si>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</si>
  <si>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</si>
  <si>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</si>
  <si>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</si>
  <si>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</si>
  <si>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</si>
  <si>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</si>
  <si>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</si>
  <si>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</si>
  <si>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</si>
  <si>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</si>
  <si>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</si>
  <si>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</si>
  <si>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</si>
  <si>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</si>
  <si>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</si>
  <si>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</si>
  <si>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</si>
  <si>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</si>
  <si>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</si>
  <si>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</si>
  <si>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</si>
  <si>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</si>
  <si>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</si>
  <si>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</si>
  <si>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</si>
  <si>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</si>
  <si>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</si>
  <si>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</si>
  <si>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</si>
  <si>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</si>
  <si>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</si>
  <si>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</si>
  <si>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</si>
  <si>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</si>
  <si>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</si>
  <si>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</si>
  <si>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</si>
  <si>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</si>
  <si>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</si>
  <si>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</si>
  <si>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</si>
  <si>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</si>
  <si>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</si>
  <si>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</si>
  <si>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</si>
  <si>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</si>
  <si>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</si>
  <si>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</si>
  <si>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</si>
  <si>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</si>
  <si>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</si>
  <si>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</si>
  <si>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</si>
  <si>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</si>
  <si>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</si>
  <si>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</si>
  <si>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</si>
  <si>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</si>
  <si>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</si>
  <si>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</si>
  <si>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</si>
  <si>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</si>
  <si>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</si>
  <si>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</si>
  <si>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</si>
  <si>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</si>
  <si>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</si>
  <si>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</si>
  <si>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</si>
  <si>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</si>
  <si>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</si>
  <si>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</si>
  <si>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</si>
  <si>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</si>
  <si>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</si>
  <si>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</si>
  <si>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</si>
  <si>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</si>
  <si>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</si>
  <si>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</si>
  <si>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</si>
  <si>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</si>
  <si>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</si>
  <si>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</si>
  <si>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</si>
  <si>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</si>
  <si>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</si>
  <si>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</si>
  <si>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</si>
  <si>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</si>
  <si>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</si>
  <si>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</si>
  <si>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</si>
  <si>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</si>
  <si>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</si>
  <si>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</si>
  <si>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</si>
  <si>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</si>
  <si>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</si>
  <si>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</si>
  <si>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</si>
  <si>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</si>
  <si>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</si>
  <si>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</si>
  <si>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</si>
  <si>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</si>
  <si>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</si>
  <si>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</si>
  <si>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</si>
  <si>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</si>
  <si>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</si>
  <si>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</si>
  <si>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</si>
  <si>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</si>
  <si>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</si>
  <si>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</si>
  <si>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</si>
  <si>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</si>
  <si>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</si>
  <si>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</si>
  <si>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</si>
  <si>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</si>
  <si>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</si>
  <si>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</si>
  <si>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</si>
  <si>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</si>
  <si>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</si>
  <si>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</si>
  <si>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</si>
  <si>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</si>
  <si>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</si>
  <si>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</si>
  <si>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</si>
  <si>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</si>
  <si>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</si>
  <si>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</si>
  <si>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</si>
  <si>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</si>
  <si>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</si>
  <si>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</si>
  <si>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</si>
  <si>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</si>
  <si>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</si>
  <si>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</si>
  <si>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</si>
  <si>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</si>
  <si>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</si>
  <si>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</si>
  <si>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</si>
  <si>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</si>
  <si>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</si>
  <si>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</si>
  <si>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</si>
  <si>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</si>
  <si>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</si>
  <si>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</si>
  <si>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</si>
  <si>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</si>
  <si>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</si>
  <si>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</si>
  <si>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</si>
  <si>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</si>
  <si>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</si>
  <si>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</si>
  <si>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</si>
  <si>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</si>
  <si>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</si>
  <si>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</si>
  <si>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</si>
  <si>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</si>
  <si>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</si>
  <si>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</si>
  <si>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</si>
  <si>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</si>
  <si>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</si>
  <si>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</si>
  <si>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</si>
  <si>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</si>
  <si>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</si>
  <si>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</si>
  <si>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</si>
  <si>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</si>
  <si>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</si>
  <si>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</si>
  <si>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</si>
  <si>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</si>
  <si>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</si>
  <si>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</si>
  <si>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</si>
  <si>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</si>
  <si>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</si>
  <si>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</si>
  <si>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</si>
  <si>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</si>
  <si>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</si>
  <si>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</si>
  <si>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</si>
  <si>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</si>
  <si>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</si>
  <si>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</si>
  <si>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</si>
  <si>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</si>
  <si>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</si>
  <si>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</si>
  <si>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</si>
  <si>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</si>
  <si>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</si>
  <si>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</si>
  <si>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</si>
  <si>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</si>
  <si>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</si>
  <si>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</si>
  <si>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</si>
  <si>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</si>
  <si>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</si>
  <si>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</si>
  <si>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</si>
  <si>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</si>
  <si>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</si>
  <si>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</si>
  <si>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</si>
  <si>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</si>
  <si>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</si>
  <si>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</si>
  <si>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</si>
  <si>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</si>
  <si>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</si>
  <si>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</si>
  <si>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</si>
  <si>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</si>
  <si>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</si>
  <si>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</si>
  <si>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</si>
  <si>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</si>
  <si>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</si>
  <si>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</si>
  <si>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</si>
  <si>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</si>
  <si>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</si>
  <si>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</si>
  <si>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</si>
  <si>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</si>
  <si>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</si>
  <si>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</si>
  <si>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</si>
  <si>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</si>
  <si>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</si>
  <si>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</si>
  <si>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</si>
  <si>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</si>
  <si>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</si>
  <si>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</si>
  <si>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</si>
  <si>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</si>
  <si>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</si>
  <si>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</si>
  <si>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</si>
  <si>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</si>
  <si>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</si>
  <si>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</si>
  <si>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</si>
  <si>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</si>
  <si>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</si>
  <si>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</si>
  <si>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</si>
  <si>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</si>
  <si>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</si>
  <si>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</si>
  <si>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</si>
  <si>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</si>
  <si>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</si>
  <si>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</si>
  <si>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</si>
  <si>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</si>
  <si>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</si>
  <si>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</si>
  <si>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</si>
  <si>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</si>
  <si>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</si>
  <si>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</si>
  <si>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</si>
  <si>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</si>
  <si>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</si>
  <si>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</si>
  <si>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</si>
  <si>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</si>
  <si>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</si>
  <si>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</si>
  <si>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</si>
  <si>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</si>
  <si>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</si>
  <si>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</si>
  <si>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</si>
  <si>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</si>
  <si>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</si>
  <si>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</si>
  <si>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</si>
  <si>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</si>
  <si>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</si>
  <si>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</si>
  <si>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</si>
  <si>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</si>
  <si>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</si>
  <si>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</si>
  <si>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</si>
  <si>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</si>
  <si>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</si>
  <si>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</si>
  <si>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</si>
  <si>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</si>
  <si>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</si>
  <si>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</si>
  <si>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</si>
  <si>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</si>
  <si>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</si>
  <si>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</si>
  <si>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</si>
  <si>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</si>
  <si>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</si>
  <si>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</si>
  <si>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</si>
  <si>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</si>
  <si>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</si>
  <si>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</si>
  <si>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</si>
  <si>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</si>
  <si>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</si>
  <si>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</si>
  <si>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</si>
  <si>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</si>
  <si>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</si>
  <si>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</si>
  <si>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</si>
  <si>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</si>
  <si>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</si>
  <si>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</si>
  <si>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</si>
  <si>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</si>
  <si>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</si>
  <si>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</si>
  <si>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</si>
  <si>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</si>
  <si>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</si>
  <si>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</si>
  <si>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</si>
  <si>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</si>
  <si>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</si>
  <si>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</si>
  <si>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</si>
  <si>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</si>
  <si>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</si>
  <si>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</si>
  <si>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</si>
  <si>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</si>
  <si>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</si>
  <si>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</si>
  <si>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</si>
  <si>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</si>
  <si>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</si>
  <si>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</si>
  <si>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</si>
  <si>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</si>
  <si>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</si>
  <si>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</si>
  <si>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</si>
  <si>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</si>
  <si>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</si>
  <si>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</si>
  <si>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</si>
  <si>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</si>
  <si>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</si>
  <si>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</si>
  <si>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</si>
  <si>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</si>
  <si>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</si>
  <si>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</si>
  <si>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</si>
  <si>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</si>
  <si>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</si>
  <si>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</si>
  <si>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</si>
  <si>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</si>
  <si>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</si>
  <si>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</si>
  <si>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</si>
  <si>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</si>
  <si>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</si>
  <si>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</si>
  <si>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</si>
  <si>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</si>
  <si>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</si>
  <si>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</si>
  <si>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</si>
  <si>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</si>
  <si>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</si>
  <si>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</si>
  <si>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</si>
  <si>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</si>
  <si>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</si>
  <si>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</si>
  <si>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</si>
  <si>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</si>
  <si>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</si>
  <si>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</si>
  <si>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</si>
  <si>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</si>
  <si>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</si>
  <si>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</si>
  <si>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</si>
  <si>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</si>
  <si>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</si>
  <si>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</si>
  <si>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</si>
  <si>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</si>
  <si>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</si>
  <si>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</si>
  <si>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</si>
  <si>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</si>
  <si>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</si>
  <si>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</si>
  <si>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</si>
  <si>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</si>
  <si>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</si>
  <si>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</si>
  <si>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</si>
  <si>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</si>
  <si>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</si>
  <si>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</si>
  <si>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</si>
  <si>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</si>
  <si>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</si>
  <si>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</si>
  <si>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</si>
  <si>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</si>
  <si>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</si>
  <si>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</si>
  <si>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</si>
  <si>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</si>
  <si>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</si>
  <si>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</si>
  <si>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</si>
  <si>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</si>
  <si>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</si>
  <si>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</si>
  <si>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</si>
  <si>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</si>
  <si>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</si>
  <si>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</si>
  <si>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</si>
  <si>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</si>
  <si>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</si>
  <si>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</si>
  <si>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</si>
  <si>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</si>
  <si>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</si>
  <si>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</si>
  <si>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</si>
  <si>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</si>
  <si>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</si>
  <si>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</si>
  <si>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</si>
  <si>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</si>
  <si>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</si>
  <si>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</si>
  <si>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</si>
  <si>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</si>
  <si>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</si>
  <si>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</si>
  <si>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</si>
  <si>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</si>
  <si>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</si>
  <si>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</si>
  <si>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</si>
  <si>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</si>
  <si>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</si>
  <si>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</si>
  <si>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</si>
  <si>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</si>
  <si>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</si>
  <si>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</si>
  <si>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</si>
  <si>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</si>
  <si>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</si>
  <si>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</si>
  <si>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</si>
  <si>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</si>
  <si>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</si>
  <si>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</si>
  <si>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</si>
  <si>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</si>
  <si>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</si>
  <si>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</si>
  <si>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</si>
  <si>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</si>
  <si>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</si>
  <si>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</si>
  <si>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</si>
  <si>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</si>
  <si>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</si>
  <si>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</si>
  <si>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</si>
  <si>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</si>
  <si>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</si>
  <si>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</si>
  <si>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</si>
  <si>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</si>
  <si>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</si>
  <si>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</si>
  <si>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</si>
  <si>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</si>
  <si>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</si>
  <si>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</si>
  <si>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</si>
  <si>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</si>
  <si>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</si>
  <si>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</si>
  <si>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</si>
  <si>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</si>
  <si>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</si>
  <si>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</si>
  <si>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</si>
  <si>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</si>
  <si>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</si>
  <si>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</si>
  <si>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</si>
  <si>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</si>
  <si>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</si>
  <si>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</si>
  <si>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</si>
  <si>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</si>
  <si>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</si>
  <si>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</si>
  <si>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</si>
  <si>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</si>
  <si>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</si>
  <si>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</si>
  <si>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</si>
  <si>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</si>
  <si>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</si>
  <si>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</si>
  <si>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</si>
  <si>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</si>
  <si>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</si>
  <si>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</si>
  <si>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</si>
  <si>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</si>
  <si>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</si>
  <si>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</si>
  <si>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</si>
  <si>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</si>
  <si>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</si>
  <si>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</si>
  <si>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</si>
  <si>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</si>
  <si>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</si>
  <si>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</si>
  <si>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</si>
  <si>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</si>
  <si>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</si>
  <si>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</si>
  <si>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</si>
  <si>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</si>
  <si>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</si>
  <si>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</si>
  <si>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</si>
  <si>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</si>
  <si>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</si>
  <si>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</si>
  <si>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</si>
  <si>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</si>
  <si>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</si>
  <si>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</si>
  <si>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</si>
  <si>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</si>
  <si>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</si>
  <si>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</si>
  <si>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</si>
  <si>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</si>
  <si>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</si>
  <si>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</si>
  <si>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</si>
  <si>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</si>
  <si>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</si>
  <si>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</si>
  <si>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</si>
  <si>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</si>
  <si>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</si>
  <si>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</si>
  <si>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</si>
  <si>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</si>
  <si>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</si>
  <si>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</si>
  <si>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</si>
  <si>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</si>
  <si>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</si>
  <si>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</si>
  <si>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</si>
  <si>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</si>
  <si>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</si>
  <si>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</si>
  <si>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</si>
  <si>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</si>
  <si>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</si>
  <si>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</si>
  <si>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</si>
  <si>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</si>
  <si>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</si>
  <si>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</si>
  <si>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</si>
  <si>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</si>
  <si>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</si>
  <si>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</si>
  <si>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</si>
  <si>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</si>
  <si>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</si>
  <si>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</si>
  <si>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</si>
  <si>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</si>
  <si>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</si>
  <si>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</si>
  <si>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</si>
  <si>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</si>
  <si>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</si>
  <si>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</si>
  <si>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</si>
  <si>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</si>
  <si>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</si>
  <si>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</si>
  <si>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</si>
  <si>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</si>
  <si>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</si>
  <si>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</si>
  <si>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</si>
  <si>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</si>
  <si>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</si>
  <si>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</si>
  <si>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</si>
  <si>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</si>
  <si>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</si>
  <si>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</si>
  <si>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</si>
  <si>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</si>
  <si>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</si>
  <si>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</si>
  <si>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</si>
  <si>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</si>
  <si>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</si>
  <si>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</si>
  <si>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</si>
  <si>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</si>
  <si>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</si>
  <si>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</si>
  <si>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</si>
  <si>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</si>
  <si>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</si>
  <si>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</si>
  <si>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</si>
  <si>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</si>
  <si>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</si>
  <si>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</si>
  <si>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</si>
  <si>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</si>
  <si>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</si>
  <si>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</si>
  <si>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</si>
  <si>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</si>
  <si>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</si>
  <si>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</si>
  <si>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</si>
  <si>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</si>
  <si>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</si>
  <si>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</si>
  <si>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</si>
  <si>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</si>
  <si>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</si>
  <si>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</si>
  <si>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</si>
  <si>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</si>
  <si>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</si>
  <si>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</si>
  <si>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</si>
  <si>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</si>
  <si>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</si>
  <si>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</si>
  <si>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</si>
  <si>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</si>
  <si>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</si>
  <si>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</si>
  <si>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</si>
  <si>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</si>
  <si>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</si>
  <si>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</si>
  <si>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</si>
  <si>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</si>
  <si>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</si>
  <si>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</si>
  <si>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</si>
  <si>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</si>
  <si>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</si>
  <si>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</si>
  <si>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</si>
  <si>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</si>
  <si>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</si>
  <si>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</si>
  <si>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</si>
  <si>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</si>
  <si>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</si>
  <si>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</si>
  <si>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</si>
  <si>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</si>
  <si>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</si>
  <si>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</si>
  <si>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</si>
  <si>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</si>
  <si>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</si>
  <si>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</si>
  <si>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</si>
  <si>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</si>
  <si>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</si>
  <si>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</si>
  <si>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</si>
  <si>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</si>
  <si>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</si>
  <si>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</si>
  <si>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</si>
  <si>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</si>
  <si>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</si>
  <si>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</si>
  <si>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</si>
  <si>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</si>
  <si>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</si>
  <si>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</si>
  <si>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</si>
  <si>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</si>
  <si>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</si>
  <si>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</si>
  <si>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</si>
  <si>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</si>
  <si>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</si>
  <si>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</si>
  <si>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</si>
  <si>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</si>
  <si>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</si>
  <si>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</si>
  <si>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</si>
  <si>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</si>
  <si>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</si>
  <si>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</si>
  <si>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</si>
  <si>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</si>
  <si>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</si>
  <si>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</si>
  <si>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</si>
  <si>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</si>
  <si>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</si>
  <si>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</si>
  <si>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</si>
  <si>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</si>
  <si>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</si>
  <si>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</si>
  <si>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</si>
  <si>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</si>
  <si>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</si>
  <si>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</si>
  <si>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</si>
  <si>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</si>
  <si>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</si>
  <si>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</si>
  <si>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</si>
  <si>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</si>
  <si>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</si>
  <si>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</si>
  <si>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</si>
  <si>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</si>
  <si>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</si>
  <si>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</si>
  <si>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</si>
  <si>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</si>
  <si>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</si>
  <si>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</si>
  <si>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</si>
  <si>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</si>
  <si>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</si>
  <si>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</si>
  <si>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</si>
  <si>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</si>
  <si>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</si>
  <si>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</si>
  <si>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</si>
  <si>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</si>
  <si>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</si>
  <si>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</si>
  <si>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</si>
  <si>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</si>
  <si>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</si>
  <si>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</si>
  <si>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</si>
  <si>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</si>
  <si>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</si>
  <si>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</si>
  <si>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</si>
  <si>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</si>
  <si>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</si>
  <si>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</si>
  <si>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</si>
  <si>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</si>
  <si>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</si>
  <si>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</si>
  <si>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</si>
  <si>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</si>
  <si>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</si>
  <si>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</si>
  <si>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</si>
  <si>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</si>
  <si>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</si>
  <si>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</si>
  <si>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</si>
  <si>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</si>
  <si>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</si>
  <si>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</si>
  <si>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</si>
  <si>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</si>
  <si>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</si>
  <si>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</si>
  <si>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</si>
  <si>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</si>
  <si>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</si>
  <si>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</si>
  <si>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</si>
  <si>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</si>
  <si>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</si>
  <si>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</si>
  <si>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</si>
  <si>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</si>
  <si>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</si>
  <si>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</si>
  <si>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</si>
  <si>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</si>
  <si>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</si>
  <si>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</si>
  <si>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</si>
  <si>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</si>
  <si>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</si>
  <si>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</si>
  <si>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</si>
  <si>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</si>
  <si>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</si>
  <si>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</si>
  <si>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</si>
  <si>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</si>
  <si>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</si>
  <si>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</si>
  <si>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</si>
  <si>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</si>
  <si>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</si>
  <si>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</si>
  <si>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</si>
  <si>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</si>
  <si>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</si>
  <si>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</si>
  <si>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</si>
  <si>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</si>
  <si>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</si>
  <si>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</si>
  <si>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</si>
  <si>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</si>
  <si>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</si>
  <si>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</si>
  <si>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</si>
  <si>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</si>
  <si>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</si>
  <si>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</si>
  <si>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</si>
  <si>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</si>
  <si>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</si>
  <si>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</si>
  <si>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</si>
  <si>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</si>
  <si>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</si>
  <si>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</si>
  <si>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</si>
  <si>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</si>
  <si>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</si>
  <si>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</si>
  <si>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</si>
  <si>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</si>
  <si>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</si>
  <si>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</si>
  <si>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</si>
  <si>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</si>
  <si>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</si>
  <si>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</si>
  <si>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</si>
  <si>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</si>
  <si>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</si>
  <si>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</si>
  <si>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</si>
  <si>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</si>
  <si>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</si>
  <si>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</si>
  <si>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</si>
  <si>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</si>
  <si>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</si>
  <si>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</si>
  <si>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</si>
  <si>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</si>
  <si>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</si>
  <si>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</si>
  <si>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</si>
  <si>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</si>
  <si>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</si>
  <si>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</si>
  <si>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</si>
  <si>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</si>
  <si>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</si>
  <si>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</si>
  <si>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</si>
  <si>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</si>
  <si>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</si>
  <si>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</si>
  <si>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</si>
  <si>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</si>
  <si>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</si>
  <si>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</si>
  <si>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</si>
  <si>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</si>
  <si>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</si>
  <si>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</si>
  <si>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</si>
  <si>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</si>
  <si>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</si>
  <si>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</si>
  <si>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</si>
  <si>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</si>
  <si>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</si>
  <si>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</si>
  <si>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</si>
  <si>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</si>
  <si>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</si>
  <si>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</si>
  <si>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</si>
  <si>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</si>
  <si>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</si>
  <si>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</si>
  <si>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</si>
  <si>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</si>
  <si>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</si>
  <si>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</si>
  <si>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</si>
  <si>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</si>
  <si>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</si>
  <si>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</si>
  <si>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</si>
  <si>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</si>
  <si>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</si>
  <si>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</si>
  <si>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</si>
  <si>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</si>
  <si>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</si>
  <si>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</si>
  <si>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</si>
  <si>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</si>
  <si>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</si>
  <si>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</si>
  <si>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</si>
  <si>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</si>
  <si>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</si>
  <si>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</si>
  <si>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</si>
  <si>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</si>
  <si>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</si>
  <si>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</si>
  <si>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</si>
  <si>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</si>
  <si>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</si>
  <si>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</si>
  <si>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</si>
  <si>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</si>
  <si>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</si>
  <si>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</si>
  <si>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</si>
  <si>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</si>
  <si>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</si>
  <si>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</si>
  <si>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</si>
  <si>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</si>
  <si>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</si>
  <si>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</si>
  <si>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</si>
  <si>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</si>
  <si>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</si>
  <si>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</si>
  <si>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</si>
  <si>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</si>
  <si>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</si>
  <si>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</si>
  <si>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</si>
  <si>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</si>
  <si>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</si>
  <si>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</si>
  <si>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</si>
  <si>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</si>
  <si>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</si>
  <si>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</si>
  <si>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</si>
  <si>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</si>
  <si>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</si>
  <si>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</si>
  <si>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</si>
  <si>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</si>
  <si>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</si>
  <si>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</si>
  <si>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</si>
  <si>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</si>
  <si>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</si>
  <si>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</si>
  <si>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</si>
  <si>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</si>
  <si>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</si>
  <si>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</si>
  <si>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</si>
  <si>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</si>
  <si>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</si>
  <si>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</si>
  <si>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</si>
  <si>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</si>
  <si>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</si>
  <si>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</si>
  <si>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</si>
  <si>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</si>
  <si>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</si>
  <si>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</si>
  <si>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</si>
  <si>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</si>
  <si>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</si>
  <si>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</si>
  <si>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</si>
  <si>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</si>
  <si>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</si>
  <si>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</si>
  <si>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</si>
  <si>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</si>
  <si>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</si>
  <si>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</si>
  <si>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</si>
  <si>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</si>
  <si>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</si>
  <si>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</si>
  <si>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</si>
  <si>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</si>
  <si>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</si>
  <si>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</si>
  <si>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</si>
  <si>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</si>
  <si>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</si>
  <si>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</si>
  <si>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</si>
  <si>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</si>
  <si>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</si>
  <si>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</si>
  <si>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</si>
  <si>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</si>
  <si>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</si>
  <si>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</si>
  <si>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</si>
  <si>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</si>
  <si>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</si>
  <si>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</si>
  <si>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</si>
  <si>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</si>
  <si>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</si>
  <si>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</si>
  <si>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</si>
  <si>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</si>
  <si>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</si>
  <si>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</si>
  <si>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</si>
  <si>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</si>
  <si>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</si>
  <si>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</si>
  <si>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</si>
  <si>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</si>
  <si>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</si>
  <si>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</si>
  <si>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</si>
  <si>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</si>
  <si>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</si>
  <si>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</si>
  <si>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</si>
  <si>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</si>
  <si>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</si>
  <si>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</si>
  <si>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</si>
  <si>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</si>
  <si>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</si>
  <si>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</si>
  <si>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</si>
  <si>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</si>
  <si>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</si>
  <si>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</si>
  <si>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</si>
  <si>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</si>
  <si>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</si>
  <si>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</si>
  <si>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</si>
  <si>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</si>
  <si>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</si>
  <si>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</si>
  <si>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</si>
  <si>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</si>
  <si>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</si>
  <si>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</si>
  <si>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</si>
  <si>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</si>
  <si>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</si>
  <si>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</si>
  <si>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</si>
  <si>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</si>
  <si>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</si>
  <si>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</si>
  <si>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</si>
  <si>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</si>
  <si>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</si>
  <si>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</si>
  <si>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</si>
  <si>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</si>
  <si>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</si>
  <si>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</si>
  <si>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</si>
  <si>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</si>
  <si>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</si>
  <si>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</si>
  <si>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</si>
  <si>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</si>
  <si>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</si>
  <si>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</si>
  <si>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</si>
  <si>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</si>
  <si>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</si>
  <si>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</si>
  <si>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</si>
  <si>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</si>
  <si>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</si>
  <si>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</si>
  <si>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</si>
  <si>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</si>
  <si>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</si>
  <si>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</si>
  <si>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</si>
  <si>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</si>
  <si>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</si>
  <si>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</si>
  <si>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</si>
  <si>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</si>
  <si>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</si>
  <si>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</si>
  <si>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</si>
  <si>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</si>
  <si>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</si>
  <si>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</si>
  <si>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</si>
  <si>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</si>
  <si>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</si>
  <si>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</si>
  <si>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</si>
  <si>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</si>
  <si>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</si>
  <si>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</si>
  <si>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</si>
  <si>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</si>
  <si>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</si>
  <si>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</si>
  <si>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</si>
  <si>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</si>
  <si>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</si>
  <si>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</si>
  <si>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</si>
  <si>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</si>
  <si>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</si>
  <si>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</si>
  <si>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</si>
  <si>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</si>
  <si>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</si>
  <si>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</si>
  <si>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</si>
  <si>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</si>
  <si>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</si>
  <si>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</si>
  <si>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</si>
  <si>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</si>
  <si>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</si>
  <si>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</si>
  <si>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</si>
  <si>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</si>
  <si>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</si>
  <si>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</si>
  <si>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</si>
  <si>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</si>
  <si>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</si>
  <si>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</si>
  <si>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</si>
  <si>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</si>
  <si>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</si>
  <si>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</si>
  <si>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</si>
  <si>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</si>
  <si>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</si>
  <si>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</si>
  <si>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</si>
  <si>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</si>
  <si>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</si>
  <si>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</si>
  <si>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</si>
  <si>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</si>
  <si>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</si>
  <si>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</si>
  <si>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</si>
  <si>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</si>
  <si>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</si>
  <si>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</si>
  <si>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</si>
  <si>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</si>
  <si>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</si>
  <si>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</si>
  <si>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</si>
  <si>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</si>
  <si>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</si>
  <si>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</si>
  <si>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</si>
  <si>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</si>
  <si>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</si>
  <si>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</si>
  <si>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</si>
  <si>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</si>
  <si>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</si>
  <si>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</si>
  <si>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</si>
  <si>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</si>
  <si>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</si>
  <si>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</si>
  <si>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</si>
  <si>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</si>
  <si>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</si>
  <si>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</si>
  <si>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</si>
  <si>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</si>
  <si>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</si>
  <si>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</si>
  <si>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</si>
  <si>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</si>
  <si>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</si>
  <si>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</si>
  <si>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</si>
  <si>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</si>
  <si>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</si>
  <si>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</si>
  <si>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</si>
  <si>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</si>
  <si>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</si>
  <si>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</si>
  <si>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</si>
  <si>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</si>
  <si>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</si>
  <si>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</si>
  <si>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</si>
  <si>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</si>
  <si>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</si>
  <si>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</si>
  <si>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</si>
  <si>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</si>
  <si>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</si>
  <si>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</si>
  <si>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</si>
  <si>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</si>
  <si>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</si>
  <si>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</si>
  <si>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</si>
  <si>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</si>
  <si>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</si>
  <si>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</si>
  <si>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</si>
  <si>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</si>
  <si>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</si>
  <si>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</si>
  <si>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</si>
  <si>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</si>
  <si>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</si>
  <si>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</si>
  <si>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</si>
  <si>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</si>
  <si>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</si>
  <si>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</si>
  <si>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</si>
  <si>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</si>
  <si>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</si>
  <si>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</si>
  <si>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</si>
  <si>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</si>
  <si>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</si>
  <si>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</si>
  <si>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</si>
  <si>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</si>
  <si>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</si>
  <si>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</si>
  <si>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</si>
  <si>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</si>
  <si>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</si>
  <si>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</si>
  <si>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</si>
  <si>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</si>
  <si>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</si>
  <si>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</si>
  <si>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</si>
  <si>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</si>
  <si>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</si>
  <si>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</si>
  <si>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</si>
  <si>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</si>
  <si>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</si>
  <si>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</si>
  <si>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</si>
  <si>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</si>
  <si>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</si>
  <si>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</si>
  <si>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</si>
  <si>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</si>
  <si>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</si>
  <si>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</si>
  <si>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</si>
  <si>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</si>
  <si>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</si>
  <si>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</si>
  <si>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</si>
  <si>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</si>
  <si>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</si>
  <si>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</si>
  <si>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</si>
  <si>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</si>
  <si>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</si>
  <si>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</si>
  <si>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</si>
  <si>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</si>
  <si>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</si>
  <si>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</si>
  <si>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</si>
  <si>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</si>
  <si>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</si>
  <si>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</si>
  <si>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</si>
  <si>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</si>
  <si>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</si>
  <si>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</si>
  <si>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</si>
  <si>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</si>
  <si>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</si>
  <si>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</si>
  <si>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</si>
  <si>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</si>
  <si>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</si>
  <si>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</si>
  <si>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</si>
  <si>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</si>
  <si>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</si>
  <si>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</si>
  <si>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</si>
  <si>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</si>
  <si>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</si>
  <si>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</si>
  <si>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</si>
  <si>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</si>
  <si>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</si>
  <si>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</si>
  <si>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</si>
  <si>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</si>
  <si>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</si>
  <si>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</si>
  <si>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</si>
  <si>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</si>
  <si>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</si>
  <si>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</si>
  <si>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</si>
  <si>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</si>
  <si>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</si>
  <si>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</si>
  <si>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</si>
  <si>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</si>
  <si>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</si>
  <si>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</si>
  <si>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</si>
  <si>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</si>
  <si>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</si>
  <si>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</si>
  <si>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</si>
  <si>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</si>
  <si>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</si>
  <si>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</si>
  <si>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</si>
  <si>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</si>
  <si>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</si>
  <si>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</si>
  <si>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</si>
  <si>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</si>
  <si>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</si>
  <si>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</si>
  <si>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</si>
  <si>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</si>
  <si>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</si>
  <si>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</si>
  <si>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</si>
  <si>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</si>
  <si>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</si>
  <si>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</si>
  <si>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</si>
  <si>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</si>
  <si>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</si>
  <si>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</si>
  <si>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</si>
  <si>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</si>
  <si>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</si>
  <si>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</si>
  <si>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</si>
  <si>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</si>
  <si>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</si>
  <si>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</si>
  <si>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</si>
  <si>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</si>
  <si>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</si>
  <si>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</si>
  <si>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</si>
  <si>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</si>
  <si>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</si>
  <si>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</si>
  <si>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</si>
  <si>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</si>
  <si>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</si>
  <si>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</si>
  <si>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</si>
  <si>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</si>
  <si>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</si>
  <si>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</si>
  <si>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</si>
  <si>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</si>
  <si>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</si>
  <si>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</si>
  <si>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</si>
  <si>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</si>
  <si>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</si>
  <si>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</si>
  <si>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</si>
  <si>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</si>
  <si>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</si>
  <si>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</si>
  <si>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</si>
  <si>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</si>
  <si>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</si>
  <si>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</si>
  <si>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</si>
  <si>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</si>
  <si>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</si>
  <si>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</si>
  <si>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</si>
  <si>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</si>
  <si>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</si>
  <si>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</si>
  <si>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</si>
  <si>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</si>
  <si>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</si>
  <si>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</si>
  <si>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</si>
  <si>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</si>
  <si>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</si>
  <si>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</si>
  <si>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</si>
  <si>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</si>
  <si>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</si>
  <si>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</si>
  <si>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</si>
  <si>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</si>
  <si>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</si>
  <si>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</si>
  <si>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</si>
  <si>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</si>
  <si>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</si>
  <si>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</si>
  <si>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</si>
  <si>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</si>
  <si>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</si>
  <si>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</si>
  <si>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</si>
  <si>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</si>
  <si>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</si>
  <si>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</si>
  <si>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</si>
  <si>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</si>
  <si>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</si>
  <si>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</si>
  <si>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</si>
  <si>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</si>
  <si>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</si>
  <si>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</si>
  <si>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</si>
  <si>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</si>
  <si>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</si>
  <si>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</si>
  <si>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</si>
  <si>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</si>
  <si>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</si>
  <si>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</si>
  <si>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</si>
  <si>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</si>
  <si>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</si>
  <si>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</si>
  <si>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</si>
  <si>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</si>
  <si>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</si>
  <si>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</si>
  <si>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</si>
  <si>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</si>
  <si>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</si>
  <si>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</si>
  <si>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</si>
  <si>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</si>
  <si>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</si>
  <si>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</si>
  <si>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</si>
  <si>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</si>
  <si>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</si>
  <si>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</si>
  <si>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</si>
  <si>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</si>
  <si>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</si>
  <si>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</si>
  <si>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</si>
  <si>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</si>
  <si>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</si>
  <si>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</si>
  <si>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</si>
  <si>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</si>
  <si>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</si>
  <si>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</si>
  <si>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</si>
  <si>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</si>
  <si>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</si>
  <si>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</si>
  <si>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</si>
  <si>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</si>
  <si>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</si>
  <si>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</si>
  <si>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</si>
  <si>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</si>
  <si>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</si>
  <si>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</si>
  <si>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</si>
  <si>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</si>
  <si>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</si>
  <si>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</si>
  <si>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</si>
  <si>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</si>
  <si>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</si>
  <si>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</si>
  <si>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</si>
  <si>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</si>
  <si>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</si>
  <si>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</si>
  <si>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</si>
  <si>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</si>
  <si>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</si>
  <si>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</si>
  <si>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</si>
  <si>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</si>
  <si>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</si>
  <si>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</si>
  <si>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</si>
  <si>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</si>
  <si>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</si>
  <si>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</si>
  <si>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</si>
  <si>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</si>
  <si>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</si>
  <si>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</si>
  <si>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</si>
  <si>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</si>
  <si>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</si>
  <si>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</si>
  <si>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</si>
  <si>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</si>
  <si>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</si>
  <si>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</si>
  <si>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</si>
  <si>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</si>
  <si>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</si>
  <si>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</si>
  <si>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</si>
  <si>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</si>
  <si>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</si>
  <si>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</si>
  <si>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</si>
  <si>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</si>
  <si>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</si>
  <si>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</si>
  <si>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</si>
  <si>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</si>
  <si>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</si>
  <si>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</si>
  <si>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</si>
  <si>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</si>
  <si>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</si>
  <si>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</si>
  <si>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</si>
  <si>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</si>
  <si>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</si>
  <si>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</si>
  <si>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</si>
  <si>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</si>
  <si>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</si>
  <si>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</si>
  <si>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</si>
  <si>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</si>
  <si>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</si>
  <si>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</si>
  <si>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</si>
  <si>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</si>
  <si>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</si>
  <si>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</si>
  <si>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</si>
  <si>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</si>
  <si>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</si>
  <si>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</si>
  <si>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</si>
  <si>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</si>
  <si>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</si>
  <si>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</si>
  <si>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</si>
  <si>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</si>
  <si>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</si>
  <si>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</si>
  <si>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</si>
  <si>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</si>
  <si>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</si>
  <si>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</si>
  <si>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</si>
  <si>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</si>
  <si>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</si>
  <si>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</si>
  <si>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</si>
  <si>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</si>
  <si>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</si>
  <si>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</si>
  <si>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</si>
  <si>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</si>
  <si>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</si>
  <si>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</si>
  <si>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</si>
  <si>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</si>
  <si>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</si>
  <si>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</si>
  <si>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</si>
  <si>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</si>
  <si>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</si>
  <si>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</si>
  <si>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</si>
  <si>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</si>
  <si>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</si>
  <si>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</si>
  <si>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</si>
  <si>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</si>
  <si>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</si>
  <si>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</si>
  <si>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</si>
  <si>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</si>
  <si>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</si>
  <si>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</si>
  <si>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</si>
  <si>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</si>
  <si>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</si>
  <si>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</si>
  <si>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</si>
  <si>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</si>
  <si>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</si>
  <si>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</si>
  <si>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</si>
  <si>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</si>
  <si>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</si>
  <si>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</si>
  <si>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</si>
  <si>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</si>
  <si>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</si>
  <si>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</si>
  <si>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</si>
  <si>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</si>
  <si>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</si>
  <si>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</si>
  <si>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</si>
  <si>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</si>
  <si>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</si>
  <si>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</si>
  <si>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</si>
  <si>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</si>
  <si>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</si>
  <si>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</si>
  <si>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</si>
  <si>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</si>
  <si>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</si>
  <si>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</si>
  <si>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</si>
  <si>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</si>
  <si>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</si>
  <si>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</si>
  <si>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</si>
  <si>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</si>
  <si>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</si>
  <si>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</si>
  <si>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</si>
  <si>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</si>
  <si>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</si>
  <si>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</si>
  <si>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</si>
  <si>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</si>
  <si>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</si>
  <si>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</si>
  <si>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</si>
  <si>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</si>
  <si>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</si>
  <si>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</si>
  <si>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</si>
  <si>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</si>
  <si>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</si>
  <si>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</si>
  <si>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</si>
  <si>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</si>
  <si>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</si>
  <si>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</si>
  <si>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</si>
  <si>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</si>
  <si>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</si>
  <si>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</si>
  <si>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</si>
  <si>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</si>
  <si>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</si>
  <si>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</si>
  <si>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</si>
  <si>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</si>
  <si>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</si>
  <si>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</si>
  <si>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</si>
  <si>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</si>
  <si>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</si>
  <si>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</si>
  <si>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</si>
  <si>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</si>
  <si>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</si>
  <si>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</si>
  <si>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</si>
  <si>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</si>
  <si>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</si>
  <si>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</si>
  <si>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</si>
  <si>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</si>
  <si>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</si>
  <si>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</si>
  <si>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</si>
  <si>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</si>
  <si>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</si>
  <si>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</si>
  <si>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</si>
  <si>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</si>
  <si>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</si>
  <si>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</si>
  <si>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</si>
  <si>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</si>
  <si>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</si>
  <si>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</si>
  <si>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</si>
  <si>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</si>
  <si>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</si>
  <si>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</si>
  <si>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</si>
  <si>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</si>
  <si>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</si>
  <si>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</si>
  <si>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</si>
  <si>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</si>
  <si>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</si>
  <si>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</si>
  <si>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</si>
  <si>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</si>
  <si>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</si>
  <si>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</si>
  <si>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</si>
  <si>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</si>
  <si>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</si>
  <si>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</si>
  <si>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</si>
  <si>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</si>
  <si>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</si>
  <si>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</si>
  <si>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</si>
  <si>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</si>
  <si>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</si>
  <si>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</si>
  <si>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</si>
  <si>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</si>
  <si>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</si>
  <si>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</si>
  <si>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</si>
  <si>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</si>
  <si>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</si>
  <si>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</si>
  <si>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</si>
  <si>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</si>
  <si>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</si>
  <si>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</si>
  <si>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</si>
  <si>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</si>
  <si>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</si>
  <si>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</si>
  <si>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</si>
  <si>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</si>
  <si>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</si>
  <si>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</si>
  <si>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</si>
  <si>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</si>
  <si>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</si>
  <si>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</si>
  <si>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</si>
  <si>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</si>
  <si>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</si>
  <si>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</si>
  <si>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</si>
  <si>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</si>
  <si>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</si>
  <si>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</si>
  <si>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</si>
  <si>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</si>
  <si>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</si>
  <si>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</si>
  <si>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</si>
  <si>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</si>
  <si>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</si>
  <si>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</si>
  <si>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</si>
  <si>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</si>
  <si>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</si>
  <si>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</si>
  <si>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</si>
  <si>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</si>
  <si>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</si>
  <si>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</si>
  <si>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</si>
  <si>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</si>
  <si>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</si>
  <si>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</si>
  <si>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</si>
  <si>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</si>
  <si>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</si>
  <si>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</si>
  <si>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</si>
  <si>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</si>
  <si>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</si>
  <si>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</si>
  <si>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</si>
  <si>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</si>
  <si>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</si>
  <si>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</si>
  <si>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</si>
  <si>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</si>
  <si>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</si>
  <si>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</si>
  <si>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</si>
  <si>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</si>
  <si>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</si>
  <si>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</si>
  <si>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</si>
  <si>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</si>
  <si>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</si>
  <si>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</si>
  <si>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</si>
  <si>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</si>
  <si>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</si>
  <si>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</si>
  <si>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</si>
  <si>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</si>
  <si>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</si>
  <si>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</si>
  <si>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</si>
  <si>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</si>
  <si>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</si>
  <si>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</si>
  <si>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</si>
  <si>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</si>
  <si>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</si>
  <si>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</si>
  <si>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</si>
  <si>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</si>
  <si>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</si>
  <si>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</si>
  <si>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</si>
  <si>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</si>
  <si>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</si>
  <si>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</si>
  <si>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</si>
  <si>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</si>
  <si>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</si>
  <si>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</si>
  <si>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</si>
  <si>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</si>
  <si>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</si>
  <si>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</si>
  <si>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</si>
  <si>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</si>
  <si>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</si>
  <si>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</si>
  <si>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</si>
  <si>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</si>
  <si>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</si>
  <si>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</si>
  <si>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</si>
  <si>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</si>
  <si>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</si>
  <si>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</si>
  <si>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</si>
  <si>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</si>
  <si>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</si>
  <si>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</si>
  <si>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</si>
  <si>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</si>
  <si>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</si>
  <si>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</si>
  <si>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</si>
  <si>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</si>
  <si>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</si>
  <si>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</si>
  <si>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</si>
  <si>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</si>
  <si>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</si>
  <si>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</si>
  <si>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</si>
  <si>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</si>
  <si>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</si>
  <si>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</si>
  <si>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</si>
  <si>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</si>
  <si>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</si>
  <si>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</si>
  <si>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</si>
  <si>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</si>
  <si>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</si>
  <si>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</si>
  <si>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</si>
  <si>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</si>
  <si>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</si>
  <si>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</si>
  <si>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</si>
  <si>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</si>
  <si>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</si>
  <si>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</si>
  <si>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</si>
  <si>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</si>
  <si>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</si>
  <si>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</si>
  <si>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</si>
  <si>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</si>
  <si>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</si>
  <si>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</si>
  <si>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</si>
  <si>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</si>
  <si>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</si>
  <si>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</si>
  <si>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</si>
  <si>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</si>
  <si>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</si>
  <si>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</si>
  <si>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</si>
  <si>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</si>
  <si>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</si>
  <si>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</si>
  <si>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</si>
  <si>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</si>
  <si>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</si>
  <si>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</si>
  <si>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</si>
  <si>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</si>
  <si>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</si>
  <si>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</si>
  <si>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</si>
  <si>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</si>
  <si>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</si>
  <si>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</si>
  <si>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</si>
  <si>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</si>
  <si>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</si>
  <si>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</si>
  <si>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</si>
  <si>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</si>
  <si>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</si>
  <si>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</si>
  <si>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</si>
  <si>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</si>
  <si>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</si>
  <si>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</si>
  <si>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</si>
  <si>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</si>
  <si>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</si>
  <si>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</si>
  <si>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</si>
  <si>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</si>
  <si>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</si>
  <si>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</si>
  <si>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</si>
  <si>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</si>
  <si>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</si>
  <si>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</si>
  <si>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</si>
  <si>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</si>
  <si>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</si>
  <si>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</si>
  <si>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</si>
  <si>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</si>
  <si>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</si>
  <si>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</si>
  <si>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</si>
  <si>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</si>
  <si>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</si>
  <si>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</si>
  <si>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</si>
  <si>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</si>
  <si>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</si>
  <si>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</si>
  <si>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</si>
  <si>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</si>
  <si>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</si>
  <si>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</si>
  <si>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</si>
  <si>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</si>
  <si>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</si>
  <si>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</si>
  <si>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</si>
  <si>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</si>
  <si>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</si>
  <si>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</si>
  <si>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</si>
  <si>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</si>
  <si>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</si>
  <si>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</si>
  <si>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</si>
  <si>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</si>
  <si>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</si>
  <si>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</si>
  <si>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</si>
  <si>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</si>
  <si>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</si>
  <si>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</si>
  <si>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</si>
  <si>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</si>
  <si>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</si>
  <si>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</si>
  <si>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</si>
  <si>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</si>
  <si>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</si>
  <si>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</si>
  <si>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</si>
  <si>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</si>
  <si>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</si>
  <si>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</si>
  <si>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</si>
  <si>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</si>
  <si>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</si>
  <si>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</si>
  <si>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</si>
  <si>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</si>
  <si>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</si>
  <si>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</si>
  <si>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</si>
  <si>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</si>
  <si>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</si>
  <si>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</si>
  <si>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</si>
  <si>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</si>
  <si>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</si>
  <si>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</si>
  <si>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</si>
  <si>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</si>
  <si>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</si>
  <si>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</si>
  <si>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</si>
  <si>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</si>
  <si>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</si>
  <si>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</si>
  <si>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</si>
  <si>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</si>
  <si>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</si>
  <si>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</si>
  <si>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</si>
  <si>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</si>
  <si>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</si>
  <si>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</si>
  <si>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</si>
  <si>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</si>
  <si>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</si>
  <si>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</si>
  <si>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</si>
  <si>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</si>
  <si>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</si>
  <si>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</si>
  <si>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</si>
  <si>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</si>
  <si>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</si>
  <si>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</si>
  <si>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</si>
  <si>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</si>
  <si>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</si>
  <si>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</si>
  <si>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</si>
  <si>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</si>
  <si>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</si>
  <si>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</si>
  <si>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</si>
  <si>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</si>
  <si>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</si>
  <si>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</si>
  <si>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</si>
  <si>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</si>
  <si>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</si>
  <si>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</si>
  <si>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</si>
  <si>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</si>
  <si>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</si>
  <si>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</si>
  <si>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</si>
  <si>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</si>
  <si>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</si>
  <si>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</si>
  <si>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</si>
  <si>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</si>
  <si>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</si>
  <si>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</si>
  <si>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</si>
  <si>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</si>
  <si>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</si>
  <si>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</si>
  <si>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</si>
  <si>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</si>
  <si>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</si>
  <si>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</si>
  <si>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</si>
  <si>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</si>
  <si>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</si>
  <si>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</si>
  <si>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</si>
  <si>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</si>
  <si>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</si>
  <si>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</si>
  <si>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</si>
  <si>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</si>
  <si>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</si>
  <si>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</si>
  <si>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</si>
  <si>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</si>
  <si>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</si>
  <si>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</si>
  <si>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</si>
  <si>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</si>
  <si>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</si>
  <si>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</si>
  <si>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</si>
  <si>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</si>
  <si>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</si>
  <si>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</si>
  <si>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</si>
  <si>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</si>
  <si>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</si>
  <si>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</si>
  <si>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</si>
  <si>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</si>
  <si>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</si>
  <si>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</si>
  <si>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</si>
  <si>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</si>
  <si>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</si>
  <si>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</si>
  <si>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</si>
  <si>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</si>
  <si>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</si>
  <si>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</si>
  <si>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</si>
  <si>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</si>
  <si>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</si>
  <si>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</si>
  <si>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</si>
  <si>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</si>
  <si>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</si>
  <si>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</si>
  <si>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</si>
  <si>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</si>
  <si>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</si>
  <si>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</si>
  <si>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</si>
  <si>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</si>
  <si>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</si>
  <si>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</si>
  <si>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</si>
  <si>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</si>
  <si>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</si>
  <si>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</si>
  <si>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</si>
  <si>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</si>
  <si>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</si>
  <si>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</si>
  <si>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</si>
  <si>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</si>
  <si>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</si>
  <si>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</si>
  <si>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</si>
  <si>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</si>
  <si>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</si>
  <si>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</si>
  <si>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</si>
  <si>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</si>
  <si>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</si>
  <si>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</si>
  <si>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</si>
  <si>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</si>
  <si>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</si>
  <si>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</si>
  <si>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</si>
  <si>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</si>
  <si>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</si>
  <si>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</si>
  <si>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</si>
  <si>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</si>
  <si>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</si>
  <si>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</si>
  <si>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</si>
  <si>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</si>
  <si>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</si>
  <si>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</si>
  <si>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</si>
  <si>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</si>
  <si>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</si>
  <si>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</si>
  <si>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</si>
  <si>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</si>
  <si>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</si>
  <si>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</si>
  <si>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</si>
  <si>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</si>
  <si>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</si>
  <si>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</si>
  <si>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</si>
  <si>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</si>
  <si>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</si>
  <si>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</si>
  <si>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</si>
  <si>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</si>
  <si>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</si>
  <si>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</si>
  <si>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</si>
  <si>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</si>
  <si>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</si>
  <si>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</si>
  <si>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</si>
  <si>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</si>
  <si>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</si>
  <si>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</si>
  <si>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</si>
  <si>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</si>
  <si>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</si>
  <si>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</si>
  <si>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</si>
  <si>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</si>
  <si>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</si>
  <si>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</si>
  <si>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</si>
  <si>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</si>
  <si>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</si>
  <si>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</si>
  <si>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</si>
  <si>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</si>
  <si>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</si>
  <si>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</si>
  <si>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</si>
  <si>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</si>
  <si>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</si>
  <si>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</si>
  <si>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</si>
  <si>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</si>
  <si>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</si>
  <si>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</si>
  <si>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</si>
  <si>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</si>
  <si>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</si>
  <si>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</si>
  <si>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</si>
  <si>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</si>
  <si>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</si>
  <si>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</si>
  <si>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</si>
  <si>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</si>
  <si>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</si>
  <si>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</si>
  <si>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</si>
  <si>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</si>
  <si>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</si>
  <si>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</si>
  <si>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</si>
  <si>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</si>
  <si>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</si>
  <si>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</si>
  <si>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</si>
  <si>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</si>
  <si>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</si>
  <si>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</si>
  <si>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</si>
  <si>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</si>
  <si>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</si>
  <si>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</si>
  <si>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</si>
  <si>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</si>
  <si>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</si>
  <si>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</si>
  <si>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</si>
  <si>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</si>
  <si>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</si>
  <si>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</si>
  <si>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</si>
  <si>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</si>
  <si>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</si>
  <si>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</si>
  <si>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</si>
  <si>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</si>
  <si>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</si>
  <si>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</si>
  <si>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</si>
  <si>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</si>
  <si>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</si>
  <si>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</si>
  <si>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</si>
  <si>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</si>
  <si>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</si>
  <si>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</si>
  <si>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</si>
  <si>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</si>
  <si>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</si>
  <si>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</si>
  <si>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</si>
  <si>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</si>
  <si>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</si>
  <si>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</si>
  <si>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</si>
  <si>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</si>
  <si>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</si>
  <si>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</si>
  <si>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</si>
  <si>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</si>
  <si>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</si>
  <si>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</si>
  <si>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</si>
  <si>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</si>
  <si>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</si>
  <si>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</si>
  <si>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</si>
  <si>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</si>
  <si>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</si>
  <si>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</si>
  <si>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</si>
  <si>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</si>
  <si>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</si>
  <si>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</si>
  <si>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</si>
  <si>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</si>
  <si>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</si>
  <si>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</si>
  <si>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</si>
  <si>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</si>
  <si>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</si>
  <si>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</si>
  <si>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</si>
  <si>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</si>
  <si>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</si>
  <si>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</si>
  <si>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</si>
  <si>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</si>
  <si>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</si>
  <si>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</si>
  <si>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</si>
  <si>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</si>
  <si>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</si>
  <si>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</si>
  <si>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</si>
  <si>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</si>
  <si>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</si>
  <si>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</si>
  <si>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</si>
  <si>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</si>
  <si>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</si>
  <si>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</si>
  <si>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</si>
  <si>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</si>
  <si>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</si>
  <si>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</si>
  <si>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</si>
  <si>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</si>
  <si>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</si>
  <si>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</si>
  <si>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</si>
  <si>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</si>
  <si>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</si>
  <si>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</si>
  <si>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</si>
  <si>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</si>
  <si>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</si>
  <si>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</si>
  <si>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</si>
  <si>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</si>
  <si>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</si>
  <si>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</si>
  <si>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</si>
  <si>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</si>
  <si>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</si>
  <si>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</si>
  <si>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</si>
  <si>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</si>
  <si>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</si>
  <si>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</si>
  <si>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</si>
  <si>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</si>
  <si>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</si>
  <si>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</si>
  <si>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</si>
  <si>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</si>
  <si>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</si>
  <si>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</si>
  <si>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</si>
  <si>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</si>
  <si>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</si>
  <si>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</si>
  <si>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</si>
  <si>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</si>
  <si>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</si>
  <si>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</si>
  <si>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</si>
  <si>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</si>
  <si>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</si>
  <si>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</si>
  <si>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</si>
  <si>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</si>
  <si>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</si>
  <si>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</si>
  <si>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</si>
  <si>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</si>
  <si>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</si>
  <si>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</si>
  <si>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</si>
  <si>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</si>
  <si>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</si>
  <si>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</si>
  <si>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</si>
  <si>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</si>
  <si>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</si>
  <si>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</si>
  <si>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</si>
  <si>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</si>
  <si>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</si>
  <si>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</si>
  <si>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</si>
  <si>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</si>
  <si>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</si>
  <si>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</si>
  <si>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</si>
  <si>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</si>
  <si>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</si>
  <si>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</si>
  <si>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</si>
  <si>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</si>
  <si>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</si>
  <si>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</si>
  <si>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</si>
  <si>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</si>
  <si>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</si>
  <si>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</si>
  <si>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</si>
  <si>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</si>
  <si>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</si>
  <si>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</si>
  <si>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</si>
  <si>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</si>
  <si>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</si>
  <si>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</si>
  <si>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</si>
  <si>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</si>
  <si>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</si>
  <si>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</si>
  <si>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</si>
  <si>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</si>
  <si>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</si>
  <si>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</si>
  <si>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</si>
  <si>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</si>
  <si>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</si>
  <si>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</si>
  <si>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</si>
  <si>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</si>
  <si>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</si>
  <si>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</si>
  <si>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</si>
  <si>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</si>
  <si>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</si>
  <si>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</si>
  <si>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</si>
  <si>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</si>
  <si>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</si>
  <si>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</si>
  <si>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</si>
  <si>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</si>
  <si>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</si>
  <si>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</si>
  <si>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</si>
  <si>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</si>
  <si>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</si>
  <si>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</si>
  <si>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</si>
  <si>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</si>
  <si>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</si>
  <si>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</si>
  <si>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</si>
  <si>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</si>
  <si>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</si>
  <si>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</si>
  <si>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</si>
  <si>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</si>
  <si>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</si>
  <si>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</si>
  <si>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</si>
  <si>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</si>
  <si>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</si>
  <si>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</si>
  <si>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</si>
  <si>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</si>
  <si>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</si>
  <si>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</si>
  <si>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</si>
  <si>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</si>
  <si>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</si>
  <si>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</si>
  <si>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</si>
  <si>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</si>
  <si>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</si>
  <si>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</si>
  <si>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</si>
  <si>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</si>
  <si>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</si>
  <si>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</si>
  <si>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</si>
  <si>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</si>
  <si>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</si>
  <si>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</si>
  <si>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</si>
  <si>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</si>
  <si>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</si>
  <si>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</si>
  <si>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</si>
  <si>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</si>
  <si>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</si>
  <si>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</si>
  <si>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</si>
  <si>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</si>
  <si>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</si>
  <si>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</si>
  <si>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</si>
  <si>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</si>
  <si>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</si>
  <si>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</si>
  <si>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</si>
  <si>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</si>
  <si>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</si>
  <si>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</si>
  <si>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</si>
  <si>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</si>
  <si>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</si>
  <si>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</si>
  <si>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</si>
  <si>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</si>
  <si>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</si>
  <si>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</si>
  <si>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</si>
  <si>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</si>
  <si>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</si>
  <si>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</si>
  <si>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</si>
  <si>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</si>
  <si>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</si>
  <si>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</si>
  <si>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</si>
  <si>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</si>
  <si>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</si>
  <si>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</si>
  <si>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</si>
  <si>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</si>
  <si>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</si>
  <si>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</si>
  <si>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</si>
  <si>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</si>
  <si>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</si>
  <si>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</si>
  <si>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</si>
  <si>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</si>
  <si>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</si>
  <si>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</si>
  <si>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</si>
  <si>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</si>
  <si>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</si>
  <si>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</si>
  <si>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</si>
  <si>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</si>
  <si>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</si>
  <si>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</si>
  <si>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</si>
  <si>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</si>
  <si>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</si>
  <si>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</si>
  <si>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</si>
  <si>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</si>
  <si>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</si>
  <si>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</si>
  <si>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</si>
  <si>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</si>
  <si>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</si>
  <si>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</si>
  <si>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</si>
  <si>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</si>
  <si>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</si>
  <si>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</si>
  <si>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</si>
  <si>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</si>
  <si>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</si>
  <si>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</si>
  <si>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</si>
  <si>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</si>
  <si>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</si>
  <si>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</si>
  <si>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</si>
  <si>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</si>
  <si>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</si>
  <si>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</si>
  <si>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</si>
  <si>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</si>
  <si>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</si>
  <si>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</si>
  <si>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</si>
  <si>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</si>
  <si>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</si>
  <si>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</si>
  <si>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</si>
  <si>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</si>
  <si>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</si>
  <si>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</si>
  <si>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</si>
  <si>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</si>
  <si>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</si>
  <si>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</si>
  <si>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</si>
  <si>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</si>
  <si>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</si>
  <si>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</si>
  <si>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</si>
  <si>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</si>
  <si>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</si>
  <si>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</si>
  <si>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</si>
  <si>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</si>
  <si>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</si>
  <si>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</si>
  <si>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</si>
  <si>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</si>
  <si>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</si>
  <si>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</si>
  <si>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</si>
  <si>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</si>
  <si>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</si>
  <si>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</si>
  <si>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</si>
  <si>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</si>
  <si>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</si>
  <si>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</si>
  <si>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</si>
  <si>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</si>
  <si>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</si>
  <si>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</si>
  <si>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</si>
  <si>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</si>
  <si>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</si>
  <si>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</si>
  <si>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</si>
  <si>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</si>
  <si>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</si>
  <si>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</si>
  <si>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</si>
  <si>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</si>
  <si>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</si>
  <si>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</si>
  <si>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</si>
  <si>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</si>
  <si>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</si>
  <si>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</si>
  <si>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</si>
  <si>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</si>
  <si>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</si>
  <si>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</si>
  <si>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</si>
  <si>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</si>
  <si>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</si>
  <si>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</si>
  <si>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</si>
  <si>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</si>
  <si>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</si>
  <si>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</si>
  <si>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</si>
  <si>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</si>
  <si>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</si>
  <si>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</si>
  <si>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</si>
  <si>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</si>
  <si>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</si>
  <si>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</si>
  <si>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</si>
  <si>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</si>
  <si>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</si>
  <si>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</si>
  <si>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</si>
  <si>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</si>
  <si>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</si>
  <si>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</si>
  <si>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</si>
  <si>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</si>
  <si>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</si>
  <si>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</si>
  <si>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</si>
  <si>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</si>
  <si>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</si>
  <si>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</si>
  <si>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</si>
  <si>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</si>
  <si>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</si>
  <si>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</si>
  <si>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</si>
  <si>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</si>
  <si>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</si>
  <si>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</si>
  <si>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</si>
  <si>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</si>
  <si>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</si>
  <si>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</si>
  <si>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</si>
  <si>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</si>
  <si>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</si>
  <si>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</si>
  <si>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</si>
  <si>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</si>
  <si>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</si>
  <si>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</si>
  <si>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</si>
  <si>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</si>
  <si>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</si>
  <si>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</si>
  <si>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</si>
  <si>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</si>
  <si>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</si>
  <si>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</si>
  <si>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</si>
  <si>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</si>
  <si>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</si>
  <si>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</si>
  <si>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</si>
  <si>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</si>
  <si>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</si>
  <si>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</si>
  <si>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</si>
  <si>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</si>
  <si>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</si>
  <si>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</si>
  <si>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</si>
  <si>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</si>
  <si>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</si>
  <si>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</si>
  <si>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</si>
  <si>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</si>
  <si>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</si>
  <si>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</si>
  <si>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</si>
  <si>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</si>
  <si>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</si>
  <si>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</si>
  <si>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</si>
  <si>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</si>
  <si>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</si>
  <si>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</si>
  <si>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</si>
  <si>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</si>
  <si>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</si>
  <si>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</si>
  <si>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</si>
  <si>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</si>
  <si>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</si>
  <si>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</si>
  <si>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</si>
  <si>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</si>
  <si>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</si>
  <si>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</si>
  <si>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</si>
  <si>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</si>
  <si>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</si>
  <si>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</si>
  <si>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</si>
  <si>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</si>
  <si>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</si>
  <si>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</si>
  <si>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</si>
  <si>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</si>
  <si>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</si>
  <si>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</si>
  <si>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</si>
  <si>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</si>
  <si>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</si>
  <si>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</si>
  <si>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</si>
  <si>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</si>
  <si>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</si>
  <si>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</si>
  <si>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</si>
  <si>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</si>
  <si>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</si>
  <si>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</si>
  <si>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</si>
  <si>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</si>
  <si>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</si>
  <si>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</si>
  <si>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</si>
  <si>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</si>
  <si>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</si>
  <si>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</si>
  <si>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</si>
  <si>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</si>
  <si>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</si>
  <si>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</si>
  <si>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</si>
  <si>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</si>
  <si>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</si>
  <si>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</si>
  <si>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</si>
  <si>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</si>
  <si>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</si>
  <si>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</si>
  <si>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</si>
  <si>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</si>
  <si>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</si>
  <si>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</si>
  <si>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</si>
  <si>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</si>
  <si>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</si>
  <si>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</si>
  <si>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</si>
  <si>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</si>
  <si>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</si>
  <si>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</si>
  <si>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</si>
  <si>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</si>
  <si>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</si>
  <si>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</si>
  <si>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</si>
  <si>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</si>
  <si>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</si>
  <si>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</si>
  <si>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</si>
  <si>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</si>
  <si>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</si>
  <si>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</si>
  <si>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</si>
  <si>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</si>
  <si>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</si>
  <si>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</si>
  <si>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</si>
  <si>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</si>
  <si>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</si>
  <si>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</si>
  <si>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</si>
  <si>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</si>
  <si>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</si>
  <si>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</si>
  <si>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</si>
  <si>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</si>
  <si>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</si>
  <si>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</si>
  <si>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</si>
  <si>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</si>
  <si>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</si>
  <si>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</si>
  <si>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</si>
  <si>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</si>
  <si>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</si>
  <si>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</si>
  <si>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</si>
  <si>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</si>
  <si>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</si>
  <si>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</si>
  <si>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</si>
  <si>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</si>
  <si>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</si>
  <si>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</si>
  <si>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</si>
  <si>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</si>
  <si>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</si>
  <si>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</si>
  <si>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</si>
  <si>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</si>
  <si>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</si>
  <si>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</si>
  <si>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</si>
  <si>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</si>
  <si>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</si>
  <si>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</si>
  <si>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</si>
  <si>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</si>
  <si>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</si>
  <si>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</si>
  <si>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</si>
  <si>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</si>
  <si>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</si>
  <si>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</si>
  <si>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</si>
  <si>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</si>
  <si>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</si>
  <si>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</si>
  <si>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</si>
  <si>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</si>
  <si>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</si>
  <si>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</si>
  <si>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</si>
  <si>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</si>
  <si>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</si>
  <si>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</si>
  <si>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</si>
  <si>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</si>
  <si>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</si>
  <si>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</si>
  <si>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</si>
  <si>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</si>
  <si>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</si>
  <si>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</si>
  <si>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</si>
  <si>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</si>
  <si>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</si>
  <si>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</si>
  <si>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</si>
  <si>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</si>
  <si>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</si>
  <si>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</si>
  <si>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</si>
  <si>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</si>
  <si>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</si>
  <si>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</si>
  <si>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</si>
  <si>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</si>
  <si>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</si>
  <si>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</si>
  <si>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</si>
  <si>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</si>
  <si>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</si>
  <si>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</si>
  <si>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</si>
  <si>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</si>
  <si>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</si>
  <si>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</si>
  <si>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</si>
  <si>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</si>
  <si>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</si>
  <si>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</si>
  <si>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</si>
  <si>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</si>
  <si>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</si>
  <si>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</si>
  <si>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</si>
  <si>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</si>
  <si>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</si>
  <si>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</si>
  <si>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</si>
  <si>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</si>
  <si>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</si>
  <si>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</si>
  <si>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</si>
  <si>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</si>
  <si>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</si>
  <si>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</si>
  <si>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</si>
  <si>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</si>
  <si>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</si>
  <si>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</si>
  <si>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</si>
  <si>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</si>
  <si>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</si>
  <si>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</si>
  <si>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</si>
  <si>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</si>
  <si>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</si>
  <si>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</si>
  <si>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</si>
  <si>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</si>
  <si>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</si>
  <si>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</si>
  <si>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</si>
  <si>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</si>
  <si>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</si>
  <si>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</si>
  <si>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</si>
  <si>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</si>
  <si>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</si>
  <si>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</si>
  <si>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</si>
  <si>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</si>
  <si>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</si>
  <si>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</si>
  <si>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</si>
  <si>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</si>
  <si>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</si>
  <si>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</si>
  <si>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</si>
  <si>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</si>
  <si>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</si>
  <si>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</si>
  <si>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</si>
  <si>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</si>
  <si>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</si>
  <si>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</si>
  <si>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</si>
  <si>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</si>
  <si>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</si>
  <si>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</si>
  <si>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</si>
  <si>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</si>
  <si>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</si>
  <si>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</si>
  <si>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</si>
  <si>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</si>
  <si>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</si>
  <si>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</si>
  <si>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</si>
  <si>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</si>
  <si>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</si>
  <si>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</si>
  <si>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</si>
  <si>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</si>
  <si>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</si>
  <si>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</si>
  <si>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</si>
  <si>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</si>
  <si>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</si>
  <si>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</si>
  <si>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</si>
  <si>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</si>
  <si>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</si>
  <si>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</si>
  <si>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</si>
  <si>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</si>
  <si>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</si>
  <si>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</si>
  <si>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</si>
  <si>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</si>
  <si>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</si>
  <si>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</si>
  <si>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</si>
  <si>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</si>
  <si>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</si>
  <si>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</si>
  <si>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</si>
  <si>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</si>
  <si>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</si>
  <si>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</si>
  <si>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</si>
  <si>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</si>
  <si>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</si>
  <si>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</si>
  <si>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</si>
  <si>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</si>
  <si>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</si>
  <si>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</si>
  <si>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</si>
  <si>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</si>
  <si>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</si>
  <si>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</si>
  <si>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</si>
  <si>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</si>
  <si>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</si>
  <si>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</si>
  <si>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</si>
  <si>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</si>
  <si>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</si>
  <si>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</si>
  <si>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</si>
  <si>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</si>
  <si>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</si>
  <si>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</si>
  <si>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</si>
  <si>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</si>
  <si>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</si>
  <si>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</si>
  <si>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</si>
  <si>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</si>
  <si>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</si>
  <si>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</si>
  <si>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</si>
  <si>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</si>
  <si>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</si>
  <si>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</si>
  <si>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</si>
  <si>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</si>
  <si>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</si>
  <si>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</si>
  <si>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</si>
  <si>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</si>
  <si>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</si>
  <si>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</si>
  <si>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</si>
  <si>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</si>
  <si>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</si>
  <si>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</si>
  <si>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</si>
  <si>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</si>
  <si>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</si>
  <si>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</si>
  <si>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</si>
  <si>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</si>
  <si>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</si>
  <si>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</si>
  <si>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</si>
  <si>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</si>
  <si>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</si>
  <si>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</si>
  <si>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</si>
  <si>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</si>
  <si>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</si>
  <si>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</si>
  <si>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</si>
  <si>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</si>
  <si>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</si>
  <si>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</si>
  <si>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</si>
  <si>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</si>
  <si>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</si>
  <si>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</si>
  <si>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</si>
  <si>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</si>
  <si>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</si>
  <si>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</si>
  <si>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</si>
  <si>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</si>
  <si>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</si>
  <si>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</si>
  <si>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</si>
  <si>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</si>
  <si>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</si>
  <si>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</si>
  <si>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</si>
  <si>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</si>
  <si>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</si>
  <si>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</si>
  <si>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</si>
  <si>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</si>
  <si>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</si>
  <si>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</si>
  <si>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</si>
  <si>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</si>
  <si>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</si>
  <si>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</si>
  <si>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</si>
  <si>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</si>
  <si>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</si>
  <si>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</si>
  <si>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</si>
  <si>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</si>
  <si>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</si>
  <si>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</si>
  <si>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</si>
  <si>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</si>
  <si>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</si>
  <si>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</si>
  <si>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</si>
  <si>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</si>
  <si>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</si>
  <si>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</si>
  <si>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</si>
  <si>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</si>
  <si>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</si>
  <si>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</si>
  <si>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</si>
  <si>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</si>
  <si>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</si>
  <si>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</si>
  <si>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</si>
  <si>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</si>
  <si>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</si>
  <si>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</si>
  <si>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</si>
  <si>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</si>
  <si>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</si>
  <si>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</si>
  <si>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</si>
  <si>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</si>
  <si>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</si>
  <si>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</si>
  <si>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</si>
  <si>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</si>
  <si>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</si>
  <si>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</si>
  <si>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</si>
  <si>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</si>
  <si>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</si>
  <si>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</si>
  <si>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</si>
  <si>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</si>
  <si>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</si>
  <si>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</si>
  <si>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</si>
  <si>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</si>
  <si>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</si>
  <si>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</si>
  <si>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</si>
  <si>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</si>
  <si>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</si>
  <si>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</si>
  <si>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</si>
  <si>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</si>
  <si>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</si>
  <si>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</si>
  <si>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</si>
  <si>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</si>
  <si>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</si>
  <si>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</si>
  <si>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</si>
  <si>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</si>
  <si>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</si>
  <si>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</si>
  <si>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</si>
  <si>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</si>
  <si>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</si>
  <si>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</si>
  <si>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</si>
  <si>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</si>
  <si>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</si>
  <si>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</si>
  <si>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</si>
  <si>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</si>
  <si>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</si>
  <si>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</si>
  <si>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</si>
  <si>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</si>
  <si>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</si>
  <si>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</si>
  <si>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</si>
  <si>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</si>
  <si>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</si>
  <si>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</si>
  <si>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</si>
  <si>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</si>
  <si>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</si>
  <si>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</si>
  <si>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</si>
  <si>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</si>
  <si>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</si>
  <si>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</si>
  <si>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</si>
  <si>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</si>
  <si>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</si>
  <si>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</si>
  <si>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</si>
  <si>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</si>
  <si>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</si>
  <si>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</si>
  <si>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</si>
  <si>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</si>
  <si>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</si>
  <si>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</si>
  <si>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</si>
  <si>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</si>
  <si>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</si>
  <si>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</si>
  <si>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</si>
  <si>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</si>
  <si>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</si>
  <si>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</si>
  <si>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</si>
  <si>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</si>
  <si>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</si>
  <si>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</si>
  <si>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</si>
  <si>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</si>
  <si>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</si>
  <si>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</si>
  <si>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</si>
  <si>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</si>
  <si>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</si>
  <si>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</si>
  <si>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</si>
  <si>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</si>
  <si>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</si>
  <si>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</si>
  <si>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</si>
  <si>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</si>
  <si>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</si>
  <si>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</si>
  <si>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</si>
  <si>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</si>
  <si>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</si>
  <si>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</si>
  <si>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</si>
  <si>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</si>
  <si>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</si>
  <si>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</si>
  <si>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</si>
  <si>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</si>
  <si>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</si>
  <si>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</si>
  <si>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</si>
  <si>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</si>
  <si>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</si>
  <si>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</si>
  <si>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</si>
  <si>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</si>
  <si>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</si>
  <si>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</si>
  <si>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</si>
  <si>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</si>
  <si>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</si>
  <si>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</si>
  <si>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</si>
  <si>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</si>
  <si>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</si>
  <si>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</si>
  <si>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</si>
  <si>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</si>
  <si>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</si>
  <si>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</si>
  <si>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</si>
  <si>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</si>
  <si>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</si>
  <si>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</si>
  <si>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</si>
  <si>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</si>
  <si>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</si>
  <si>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</si>
  <si>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</si>
  <si>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</si>
  <si>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</si>
  <si>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</si>
  <si>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</si>
  <si>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</si>
  <si>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</si>
  <si>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</si>
  <si>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</si>
  <si>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</si>
  <si>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</si>
  <si>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</si>
  <si>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</si>
  <si>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</si>
  <si>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</si>
  <si>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</si>
  <si>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</si>
  <si>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</si>
  <si>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</si>
  <si>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</si>
  <si>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</si>
  <si>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</si>
  <si>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</si>
  <si>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</si>
  <si>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</si>
  <si>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</si>
  <si>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</si>
  <si>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</si>
  <si>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</si>
  <si>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</si>
  <si>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</si>
  <si>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</si>
  <si>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</si>
  <si>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</si>
  <si>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</si>
  <si>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</si>
  <si>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</si>
  <si>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</si>
  <si>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</si>
  <si>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</si>
  <si>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</si>
  <si>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</si>
  <si>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</si>
  <si>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</si>
  <si>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</si>
  <si>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</si>
  <si>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</si>
  <si>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</si>
  <si>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</si>
  <si>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</si>
  <si>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</si>
  <si>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</si>
  <si>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</si>
  <si>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</si>
  <si>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</si>
  <si>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</si>
  <si>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</si>
  <si>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</si>
  <si>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</si>
  <si>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</si>
  <si>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</si>
  <si>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</si>
  <si>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</si>
  <si>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</si>
  <si>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</si>
  <si>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</si>
  <si>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</si>
  <si>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</si>
  <si>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</si>
  <si>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</si>
  <si>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</si>
  <si>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</si>
  <si>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</si>
  <si>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</si>
  <si>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</si>
  <si>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</si>
  <si>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</si>
  <si>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</si>
  <si>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</si>
  <si>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</si>
  <si>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</si>
  <si>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</si>
  <si>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</si>
  <si>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</si>
  <si>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</si>
  <si>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</si>
  <si>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</si>
  <si>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</si>
  <si>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</si>
  <si>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</si>
  <si>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</si>
  <si>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</si>
  <si>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</si>
  <si>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</si>
  <si>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</si>
  <si>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</si>
  <si>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</si>
  <si>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</si>
  <si>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</si>
  <si>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</si>
  <si>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</si>
  <si>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</si>
  <si>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</si>
  <si>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</si>
  <si>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</si>
  <si>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</si>
  <si>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</si>
  <si>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</si>
  <si>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</si>
  <si>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</si>
  <si>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</si>
  <si>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</si>
  <si>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</si>
  <si>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</si>
  <si>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</si>
  <si>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</si>
  <si>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</si>
  <si>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</si>
  <si>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</si>
  <si>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</si>
  <si>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</si>
  <si>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</si>
  <si>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</si>
  <si>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</si>
  <si>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</si>
  <si>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</si>
  <si>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</si>
  <si>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</si>
  <si>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</si>
  <si>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</si>
  <si>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</si>
  <si>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</si>
  <si>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</si>
  <si>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</si>
  <si>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</si>
  <si>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</si>
  <si>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</si>
  <si>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</si>
  <si>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</si>
  <si>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</si>
  <si>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</si>
  <si>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</si>
  <si>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</si>
  <si>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</si>
  <si>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</si>
  <si>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</si>
  <si>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</si>
  <si>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</si>
  <si>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</si>
  <si>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</si>
  <si>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</si>
  <si>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</si>
  <si>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</si>
  <si>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</si>
  <si>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</si>
  <si>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</si>
  <si>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</si>
  <si>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</si>
  <si>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</si>
  <si>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</si>
  <si>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</si>
  <si>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</si>
  <si>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</si>
  <si>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</si>
  <si>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</si>
  <si>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</si>
  <si>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</si>
  <si>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</si>
  <si>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</si>
  <si>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</si>
  <si>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</si>
  <si>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</si>
  <si>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</si>
  <si>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</si>
  <si>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</si>
  <si>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</si>
  <si>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</si>
  <si>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</si>
  <si>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</si>
  <si>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</si>
  <si>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</si>
  <si>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</si>
  <si>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</si>
  <si>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</si>
  <si>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</si>
  <si>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</si>
  <si>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</si>
  <si>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</si>
  <si>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</si>
  <si>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</si>
  <si>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</si>
  <si>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</si>
  <si>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</si>
  <si>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</si>
  <si>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</si>
  <si>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</si>
  <si>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</si>
  <si>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</si>
  <si>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</si>
  <si>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</si>
  <si>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</si>
  <si>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</si>
  <si>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</si>
  <si>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</si>
  <si>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</si>
  <si>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</si>
  <si>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</si>
  <si>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</si>
  <si>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</si>
  <si>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</si>
  <si>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</si>
  <si>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</si>
  <si>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</si>
  <si>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</si>
  <si>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</si>
  <si>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</si>
  <si>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</si>
  <si>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</si>
  <si>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</si>
  <si>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</si>
  <si>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</si>
  <si>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</si>
  <si>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</si>
  <si>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</si>
  <si>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</si>
  <si>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</si>
  <si>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</si>
  <si>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</si>
  <si>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</si>
  <si>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</si>
  <si>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</si>
  <si>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</si>
  <si>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</si>
  <si>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</si>
  <si>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</si>
  <si>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</si>
  <si>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</si>
  <si>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</si>
  <si>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</si>
  <si>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</si>
  <si>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</si>
  <si>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</si>
  <si>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</si>
  <si>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</si>
  <si>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</si>
  <si>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</si>
  <si>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</si>
  <si>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</si>
  <si>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</si>
  <si>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</si>
  <si>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</si>
  <si>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</si>
  <si>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</si>
  <si>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</si>
  <si>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</si>
  <si>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</si>
  <si>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</si>
  <si>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</si>
  <si>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</si>
  <si>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</si>
  <si>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</si>
  <si>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</si>
  <si>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</si>
  <si>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</si>
  <si>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</si>
  <si>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</si>
  <si>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</si>
  <si>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</si>
  <si>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</si>
  <si>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</si>
  <si>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</si>
  <si>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</si>
  <si>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</si>
  <si>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</si>
  <si>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</si>
  <si>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</si>
  <si>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</si>
  <si>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</si>
  <si>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</si>
  <si>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</si>
  <si>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</si>
  <si>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</si>
  <si>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</si>
  <si>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</si>
  <si>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</si>
  <si>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</si>
  <si>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</si>
  <si>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</si>
  <si>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</si>
  <si>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</si>
  <si>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</si>
  <si>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</si>
  <si>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</si>
  <si>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</si>
  <si>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</si>
  <si>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</si>
  <si>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</si>
  <si>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</si>
  <si>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</si>
  <si>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</si>
  <si>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</si>
  <si>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</si>
  <si>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</si>
  <si>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</si>
  <si>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</si>
  <si>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</si>
  <si>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</si>
  <si>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</si>
  <si>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</si>
  <si>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</si>
  <si>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</si>
  <si>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</si>
  <si>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</si>
  <si>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</si>
  <si>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</si>
  <si>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</si>
  <si>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</si>
  <si>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</si>
  <si>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</si>
  <si>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</si>
  <si>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</si>
  <si>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</si>
  <si>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</si>
  <si>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</si>
  <si>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</si>
  <si>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</si>
  <si>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</si>
  <si>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</si>
  <si>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</si>
  <si>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</si>
  <si>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</si>
  <si>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</si>
  <si>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</si>
  <si>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</si>
  <si>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</si>
  <si>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</si>
  <si>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</si>
  <si>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</si>
  <si>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</si>
  <si>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</si>
  <si>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</si>
  <si>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</si>
  <si>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</si>
  <si>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</si>
  <si>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</si>
  <si>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</si>
  <si>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</si>
  <si>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</si>
  <si>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</si>
  <si>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</si>
  <si>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</si>
  <si>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</si>
  <si>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</si>
  <si>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</si>
  <si>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</si>
  <si>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</si>
  <si>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</si>
  <si>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</si>
  <si>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</si>
  <si>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</si>
  <si>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</si>
  <si>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</si>
  <si>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</si>
  <si>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</si>
  <si>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</si>
  <si>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</si>
  <si>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</si>
  <si>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</si>
  <si>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</si>
  <si>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</si>
  <si>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</si>
  <si>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</si>
  <si>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</si>
  <si>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</si>
  <si>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</si>
  <si>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</si>
  <si>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</si>
  <si>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</si>
  <si>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</si>
  <si>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</si>
  <si>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</si>
  <si>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</si>
  <si>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</si>
  <si>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</si>
  <si>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</si>
  <si>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</si>
  <si>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</si>
  <si>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</si>
  <si>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</si>
  <si>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</si>
  <si>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</si>
  <si>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</si>
  <si>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</si>
  <si>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</si>
  <si>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</si>
  <si>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</si>
  <si>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</si>
  <si>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</si>
  <si>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</si>
  <si>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</si>
  <si>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</si>
  <si>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</si>
  <si>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</si>
  <si>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</si>
  <si>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</si>
  <si>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</si>
  <si>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</si>
  <si>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</si>
  <si>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</si>
  <si>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</si>
  <si>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</si>
  <si>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</si>
  <si>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</si>
  <si>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</si>
  <si>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</si>
  <si>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</si>
  <si>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</si>
  <si>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</si>
  <si>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</si>
  <si>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</si>
  <si>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</si>
  <si>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</si>
  <si>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</si>
  <si>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</si>
  <si>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</si>
  <si>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</si>
  <si>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</si>
  <si>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</si>
  <si>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</si>
  <si>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</si>
  <si>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</si>
  <si>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</si>
  <si>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</si>
  <si>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</si>
  <si>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</si>
  <si>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</si>
  <si>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</si>
  <si>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</si>
  <si>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</si>
  <si>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</si>
  <si>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</si>
  <si>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</si>
  <si>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</si>
  <si>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</si>
  <si>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</si>
  <si>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</si>
  <si>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</si>
  <si>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</si>
  <si>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</si>
  <si>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</si>
  <si>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</si>
  <si>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</si>
  <si>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</si>
  <si>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</si>
  <si>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</si>
  <si>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</si>
  <si>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</si>
  <si>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</si>
  <si>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</si>
  <si>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</si>
  <si>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</si>
  <si>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</si>
  <si>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</si>
  <si>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</si>
  <si>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</si>
  <si>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</si>
  <si>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</si>
  <si>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</si>
  <si>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</si>
  <si>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</si>
  <si>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</si>
  <si>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</si>
  <si>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</si>
  <si>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</si>
  <si>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</si>
  <si>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</si>
  <si>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</si>
  <si>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</si>
  <si>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</si>
  <si>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</si>
  <si>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</si>
  <si>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</si>
  <si>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</si>
  <si>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</si>
  <si>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</si>
  <si>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</si>
  <si>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</si>
  <si>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</si>
  <si>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</si>
  <si>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</si>
  <si>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</si>
  <si>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</si>
  <si>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</si>
  <si>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</si>
  <si>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</si>
  <si>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</si>
  <si>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</si>
  <si>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</si>
  <si>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</si>
  <si>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</si>
  <si>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</si>
  <si>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</si>
  <si>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</si>
  <si>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</si>
  <si>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</si>
  <si>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</si>
  <si>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</si>
  <si>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</si>
  <si>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</si>
  <si>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</si>
  <si>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</si>
  <si>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</si>
  <si>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</si>
  <si>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</si>
  <si>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</si>
  <si>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</si>
  <si>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</si>
  <si>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</si>
  <si>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</si>
  <si>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</si>
  <si>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</si>
  <si>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</si>
  <si>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</si>
  <si>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</si>
  <si>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</si>
  <si>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</si>
  <si>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</si>
  <si>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</si>
  <si>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</si>
  <si>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</si>
  <si>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</si>
  <si>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</si>
  <si>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</si>
  <si>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</si>
  <si>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</si>
  <si>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</si>
  <si>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</si>
  <si>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</si>
  <si>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</si>
  <si>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</si>
  <si>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</si>
  <si>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</si>
  <si>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</si>
  <si>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</si>
  <si>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</si>
  <si>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</si>
  <si>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</si>
  <si>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</si>
  <si>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</si>
  <si>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</si>
  <si>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</si>
  <si>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</si>
  <si>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</si>
  <si>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</si>
  <si>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</si>
  <si>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</si>
  <si>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</si>
  <si>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</si>
  <si>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</si>
  <si>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</si>
  <si>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</si>
  <si>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</si>
  <si>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</si>
  <si>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</si>
  <si>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</si>
  <si>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</si>
  <si>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</si>
  <si>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</si>
  <si>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</si>
  <si>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</si>
  <si>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</si>
  <si>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</si>
  <si>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</si>
  <si>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</si>
  <si>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</si>
  <si>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</si>
  <si>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</si>
  <si>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</si>
  <si>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</si>
  <si>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</si>
  <si>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</si>
  <si>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</si>
  <si>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</si>
  <si>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</si>
  <si>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</si>
  <si>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</si>
  <si>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</si>
  <si>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</si>
  <si>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</si>
  <si>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</si>
  <si>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</si>
  <si>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</si>
  <si>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</si>
  <si>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</si>
  <si>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</si>
  <si>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</si>
  <si>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</si>
  <si>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</si>
  <si>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</si>
  <si>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</si>
  <si>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</si>
  <si>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</si>
  <si>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</si>
  <si>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</si>
  <si>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</si>
  <si>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</si>
  <si>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</si>
  <si>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</si>
  <si>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</si>
  <si>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</si>
  <si>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</si>
  <si>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</si>
  <si>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</si>
  <si>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</si>
  <si>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</si>
  <si>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</si>
  <si>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</si>
  <si>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</si>
  <si>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</si>
  <si>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</si>
  <si>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</si>
  <si>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</si>
  <si>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</si>
  <si>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</si>
  <si>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</si>
  <si>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</si>
  <si>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</si>
  <si>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</si>
  <si>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</si>
  <si>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</si>
  <si>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</si>
  <si>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</si>
  <si>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</si>
  <si>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</si>
  <si>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</si>
  <si>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</si>
  <si>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</si>
  <si>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</si>
  <si>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</si>
  <si>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</si>
  <si>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</si>
  <si>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</si>
  <si>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</si>
  <si>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</si>
  <si>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</si>
  <si>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</si>
  <si>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</si>
  <si>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</si>
  <si>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</si>
  <si>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</si>
  <si>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</si>
  <si>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</si>
  <si>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</si>
  <si>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</si>
  <si>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</si>
  <si>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</si>
  <si>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</si>
  <si>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</si>
  <si>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</si>
  <si>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</si>
  <si>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</si>
  <si>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</si>
  <si>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</si>
  <si>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</si>
  <si>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</si>
  <si>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</si>
  <si>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</si>
  <si>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</si>
  <si>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</si>
  <si>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</si>
  <si>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</si>
  <si>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</si>
  <si>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</si>
  <si>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</si>
  <si>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</si>
  <si>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</si>
  <si>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</si>
  <si>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</si>
  <si>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</si>
  <si>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</si>
  <si>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</si>
  <si>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</si>
  <si>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</si>
  <si>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</si>
  <si>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</si>
  <si>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</si>
  <si>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</si>
  <si>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</si>
  <si>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</si>
  <si>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</si>
  <si>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</si>
  <si>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</si>
  <si>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</si>
  <si>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</si>
  <si>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</si>
  <si>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</si>
  <si>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</si>
  <si>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</si>
  <si>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</si>
  <si>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</si>
  <si>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</si>
  <si>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</si>
  <si>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</si>
  <si>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</si>
  <si>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</si>
  <si>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</si>
  <si>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</si>
  <si>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</si>
  <si>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</si>
  <si>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</si>
  <si>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</si>
  <si>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</si>
  <si>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</si>
  <si>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</si>
  <si>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</si>
  <si>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</si>
  <si>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</si>
  <si>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</si>
  <si>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</si>
  <si>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</si>
  <si>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</si>
  <si>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</si>
  <si>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</si>
  <si>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</si>
  <si>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</si>
  <si>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</si>
  <si>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</si>
  <si>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</si>
  <si>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</si>
  <si>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</si>
  <si>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</si>
  <si>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</si>
  <si>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</si>
  <si>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</si>
  <si>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</si>
  <si>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</si>
  <si>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</si>
  <si>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</si>
  <si>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</si>
  <si>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</si>
  <si>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</si>
  <si>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</si>
  <si>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</si>
  <si>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</si>
  <si>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</si>
  <si>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</si>
  <si>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</si>
  <si>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</si>
  <si>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</si>
  <si>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</si>
  <si>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</si>
  <si>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</si>
  <si>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</si>
  <si>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</si>
  <si>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</si>
  <si>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</si>
  <si>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</si>
  <si>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</si>
  <si>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</si>
  <si>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</si>
  <si>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</si>
  <si>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</si>
  <si>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</si>
  <si>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</si>
  <si>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</si>
  <si>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</si>
  <si>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</si>
  <si>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</si>
  <si>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</si>
  <si>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</si>
  <si>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</si>
  <si>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</si>
  <si>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</si>
  <si>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</si>
  <si>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</si>
  <si>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</si>
  <si>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</si>
  <si>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</si>
  <si>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</si>
  <si>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</si>
  <si>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</si>
  <si>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</si>
  <si>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</si>
  <si>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</si>
  <si>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</si>
  <si>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</si>
  <si>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</si>
  <si>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</si>
  <si>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</si>
  <si>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</si>
  <si>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</si>
  <si>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</si>
  <si>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</si>
  <si>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</si>
  <si>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</si>
  <si>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</si>
  <si>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</si>
  <si>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</si>
  <si>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</si>
  <si>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</si>
  <si>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</si>
  <si>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</si>
  <si>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</si>
  <si>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</si>
  <si>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</si>
  <si>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</si>
  <si>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</si>
  <si>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</si>
  <si>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</si>
  <si>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</si>
  <si>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</si>
  <si>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</si>
  <si>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</si>
  <si>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</si>
  <si>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</si>
  <si>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</si>
  <si>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</si>
  <si>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</si>
  <si>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</si>
  <si>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</si>
  <si>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</si>
  <si>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</si>
  <si>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</si>
  <si>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</si>
  <si>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</si>
  <si>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</si>
  <si>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</si>
  <si>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</si>
  <si>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</si>
  <si>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</si>
  <si>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</si>
  <si>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</si>
  <si>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</si>
  <si>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</si>
  <si>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</si>
  <si>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</si>
  <si>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</si>
  <si>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</si>
  <si>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</si>
  <si>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</si>
  <si>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</si>
  <si>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</si>
  <si>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</si>
  <si>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</si>
  <si>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</si>
  <si>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</si>
  <si>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</si>
  <si>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</si>
  <si>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</si>
  <si>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</si>
  <si>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</si>
  <si>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</si>
  <si>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</si>
  <si>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</si>
  <si>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</si>
  <si>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</si>
  <si>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</si>
  <si>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</si>
  <si>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</si>
  <si>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</si>
  <si>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</si>
  <si>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</si>
  <si>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</si>
  <si>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</si>
  <si>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</si>
  <si>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</si>
  <si>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</si>
  <si>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</si>
  <si>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</si>
  <si>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</si>
  <si>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</si>
  <si>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</si>
  <si>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</si>
  <si>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</si>
  <si>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</si>
  <si>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</si>
  <si>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</si>
  <si>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</si>
  <si>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</si>
  <si>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</si>
  <si>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</si>
  <si>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</si>
  <si>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</si>
  <si>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</si>
  <si>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</si>
  <si>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</si>
  <si>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</si>
  <si>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</si>
  <si>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</si>
  <si>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</si>
  <si>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</si>
  <si>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</si>
  <si>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</si>
  <si>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</si>
  <si>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</si>
  <si>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</si>
  <si>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</si>
  <si>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</si>
  <si>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</si>
  <si>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</si>
  <si>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</si>
  <si>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</si>
  <si>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</si>
  <si>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</si>
  <si>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</si>
  <si>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</si>
  <si>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</si>
  <si>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</si>
  <si>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</si>
  <si>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</si>
  <si>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</si>
  <si>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</si>
  <si>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</si>
  <si>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</si>
  <si>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</si>
  <si>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</si>
  <si>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Stolen Realm</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</si>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</sst>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167</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345</c:v>
                </c:pt>
                <c:pt idx="2">
                  <c:v>215</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118</c:v>
                </c:pt>
                <c:pt idx="3">
                  <c:v>67</c:v>
                </c:pt>
                <c:pt idx="4">
                  <c:v>29</c:v>
                </c:pt>
                <c:pt idx="5">
                  <c:v>10</c:v>
                </c:pt>
                <c:pt idx="6">
                  <c:v>26</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383</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93</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93</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130</c:v>
                </c:pt>
                <c:pt idx="6">
                  <c:v>104</c:v>
                </c:pt>
                <c:pt idx="7">
                  <c:v>90</c:v>
                </c:pt>
                <c:pt idx="8">
                  <c:v>73</c:v>
                </c:pt>
                <c:pt idx="9">
                  <c:v>68</c:v>
                </c:pt>
                <c:pt idx="10">
                  <c:v>33</c:v>
                </c:pt>
                <c:pt idx="11">
                  <c:v>149</c:v>
                </c:pt>
                <c:pt idx="12">
                  <c:v>92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#N/A</c:v>
                </c:pt>
                <c:pt idx="782">
                  <c:v>#N/A</c:v>
                </c:pt>
                <c:pt idx="783">
                  <c:v>2024</c:v>
                </c:pt>
                <c:pt idx="784">
                  <c:v>#N/A</c:v>
                </c:pt>
                <c:pt idx="785">
                  <c:v>2024</c:v>
                </c:pt>
                <c:pt idx="786">
                  <c:v>#N/A</c:v>
                </c:pt>
                <c:pt idx="787">
                  <c:v>2022</c:v>
                </c:pt>
                <c:pt idx="788">
                  <c:v>2018</c:v>
                </c:pt>
                <c:pt idx="789">
                  <c:v>#N/A</c:v>
                </c:pt>
                <c:pt idx="790">
                  <c:v>#N/A</c:v>
                </c:pt>
                <c:pt idx="791">
                  <c:v>#N/A</c:v>
                </c:pt>
                <c:pt idx="792">
                  <c:v>2023</c:v>
                </c:pt>
                <c:pt idx="793">
                  <c:v>2023</c:v>
                </c:pt>
                <c:pt idx="794">
                  <c:v>#N/A</c:v>
                </c:pt>
                <c:pt idx="795">
                  <c:v>#N/A</c:v>
                </c:pt>
                <c:pt idx="796">
                  <c:v>2022</c:v>
                </c:pt>
                <c:pt idx="797">
                  <c:v>#N/A</c:v>
                </c:pt>
                <c:pt idx="798">
                  <c:v>1991</c:v>
                </c:pt>
                <c:pt idx="799">
                  <c:v>2019</c:v>
                </c:pt>
                <c:pt idx="800">
                  <c:v>2022</c:v>
                </c:pt>
                <c:pt idx="801">
                  <c:v>#N/A</c:v>
                </c:pt>
                <c:pt idx="802">
                  <c:v>#N/A</c:v>
                </c:pt>
                <c:pt idx="803">
                  <c:v>#N/A</c:v>
                </c:pt>
                <c:pt idx="804">
                  <c:v>#N/A</c:v>
                </c:pt>
                <c:pt idx="805">
                  <c:v>#N/A</c:v>
                </c:pt>
                <c:pt idx="806">
                  <c:v>#N/A</c:v>
                </c:pt>
                <c:pt idx="807">
                  <c:v>#N/A</c:v>
                </c:pt>
                <c:pt idx="808">
                  <c:v>#N/A</c:v>
                </c:pt>
                <c:pt idx="809">
                  <c:v>#N/A</c:v>
                </c:pt>
                <c:pt idx="810">
                  <c:v>#N/A</c:v>
                </c:pt>
                <c:pt idx="811">
                  <c:v>2017</c:v>
                </c:pt>
                <c:pt idx="812">
                  <c:v>2014</c:v>
                </c:pt>
                <c:pt idx="813">
                  <c:v>#N/A</c:v>
                </c:pt>
                <c:pt idx="814">
                  <c:v>#N/A</c:v>
                </c:pt>
                <c:pt idx="815">
                  <c:v>#N/A</c:v>
                </c:pt>
                <c:pt idx="816">
                  <c:v>#N/A</c:v>
                </c:pt>
                <c:pt idx="817">
                  <c:v>2017</c:v>
                </c:pt>
                <c:pt idx="818">
                  <c:v>#N/A</c:v>
                </c:pt>
                <c:pt idx="819">
                  <c:v>2025</c:v>
                </c:pt>
                <c:pt idx="820">
                  <c:v>#N/A</c:v>
                </c:pt>
                <c:pt idx="821">
                  <c:v>#N/A</c:v>
                </c:pt>
                <c:pt idx="822">
                  <c:v>#N/A</c:v>
                </c:pt>
                <c:pt idx="823">
                  <c:v>#N/A</c:v>
                </c:pt>
                <c:pt idx="824">
                  <c:v>2024</c:v>
                </c:pt>
                <c:pt idx="825">
                  <c:v>2019</c:v>
                </c:pt>
                <c:pt idx="826">
                  <c:v>2025</c:v>
                </c:pt>
                <c:pt idx="827">
                  <c:v>2017</c:v>
                </c:pt>
                <c:pt idx="828">
                  <c:v>2022</c:v>
                </c:pt>
                <c:pt idx="829">
                  <c:v>#N/A</c:v>
                </c:pt>
                <c:pt idx="830">
                  <c:v>2018</c:v>
                </c:pt>
                <c:pt idx="831">
                  <c:v>#N/A</c:v>
                </c:pt>
                <c:pt idx="832">
                  <c:v>2023</c:v>
                </c:pt>
                <c:pt idx="833">
                  <c:v>2021</c:v>
                </c:pt>
                <c:pt idx="834">
                  <c:v>#N/A</c:v>
                </c:pt>
                <c:pt idx="835">
                  <c:v>2024</c:v>
                </c:pt>
                <c:pt idx="836">
                  <c:v>2026</c:v>
                </c:pt>
                <c:pt idx="837">
                  <c:v>#N/A</c:v>
                </c:pt>
                <c:pt idx="838">
                  <c:v>#N/A</c:v>
                </c:pt>
                <c:pt idx="839">
                  <c:v>#N/A</c:v>
                </c:pt>
                <c:pt idx="840">
                  <c:v>2019</c:v>
                </c:pt>
                <c:pt idx="841">
                  <c:v>2022</c:v>
                </c:pt>
                <c:pt idx="842">
                  <c:v>#N/A</c:v>
                </c:pt>
                <c:pt idx="843">
                  <c:v>2023</c:v>
                </c:pt>
                <c:pt idx="844">
                  <c:v>2024</c:v>
                </c:pt>
                <c:pt idx="845">
                  <c:v>2024</c:v>
                </c:pt>
                <c:pt idx="846">
                  <c:v>#N/A</c:v>
                </c:pt>
                <c:pt idx="847">
                  <c:v>#N/A</c:v>
                </c:pt>
                <c:pt idx="848">
                  <c:v>#N/A</c:v>
                </c:pt>
                <c:pt idx="849">
                  <c:v>2026</c:v>
                </c:pt>
                <c:pt idx="850">
                  <c:v>2026</c:v>
                </c:pt>
                <c:pt idx="851">
                  <c:v>#N/A</c:v>
                </c:pt>
                <c:pt idx="852">
                  <c:v>2025</c:v>
                </c:pt>
                <c:pt idx="853">
                  <c:v>#N/A</c:v>
                </c:pt>
                <c:pt idx="854">
                  <c:v>#N/A</c:v>
                </c:pt>
                <c:pt idx="855">
                  <c:v>#N/A</c:v>
                </c:pt>
                <c:pt idx="856">
                  <c:v>2017</c:v>
                </c:pt>
                <c:pt idx="857">
                  <c:v>#N/A</c:v>
                </c:pt>
                <c:pt idx="858">
                  <c:v>2020</c:v>
                </c:pt>
                <c:pt idx="859">
                  <c:v>2025</c:v>
                </c:pt>
                <c:pt idx="860">
                  <c:v>2025</c:v>
                </c:pt>
                <c:pt idx="861">
                  <c:v>2024</c:v>
                </c:pt>
                <c:pt idx="862">
                  <c:v>#N/A</c:v>
                </c:pt>
                <c:pt idx="863">
                  <c:v>#N/A</c:v>
                </c:pt>
                <c:pt idx="864">
                  <c:v>2024</c:v>
                </c:pt>
                <c:pt idx="865">
                  <c:v>#N/A</c:v>
                </c:pt>
                <c:pt idx="866">
                  <c:v>#N/A</c:v>
                </c:pt>
                <c:pt idx="867">
                  <c:v>2023</c:v>
                </c:pt>
                <c:pt idx="868">
                  <c:v>#N/A</c:v>
                </c:pt>
                <c:pt idx="869">
                  <c:v>2018</c:v>
                </c:pt>
                <c:pt idx="870">
                  <c:v>2024</c:v>
                </c:pt>
                <c:pt idx="871">
                  <c:v>#N/A</c:v>
                </c:pt>
                <c:pt idx="872">
                  <c:v>#N/A</c:v>
                </c:pt>
                <c:pt idx="873">
                  <c:v>#N/A</c:v>
                </c:pt>
                <c:pt idx="874">
                  <c:v>#N/A</c:v>
                </c:pt>
                <c:pt idx="875">
                  <c:v>#N/A</c:v>
                </c:pt>
                <c:pt idx="876">
                  <c:v>2025</c:v>
                </c:pt>
                <c:pt idx="877">
                  <c:v>2023</c:v>
                </c:pt>
                <c:pt idx="878">
                  <c:v>#N/A</c:v>
                </c:pt>
                <c:pt idx="879">
                  <c:v>#N/A</c:v>
                </c:pt>
                <c:pt idx="880">
                  <c:v>#N/A</c:v>
                </c:pt>
                <c:pt idx="881">
                  <c:v>#N/A</c:v>
                </c:pt>
                <c:pt idx="882">
                  <c:v>#N/A</c:v>
                </c:pt>
                <c:pt idx="883">
                  <c:v>2014</c:v>
                </c:pt>
                <c:pt idx="884">
                  <c:v>2020</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#N/A</c:v>
                </c:pt>
                <c:pt idx="783">
                  <c:v>#N/A</c:v>
                </c:pt>
                <c:pt idx="784">
                  <c:v>1.069</c:v>
                </c:pt>
                <c:pt idx="785">
                  <c:v>#N/A</c:v>
                </c:pt>
                <c:pt idx="786">
                  <c:v>1.115</c:v>
                </c:pt>
                <c:pt idx="787">
                  <c:v>#N/A</c:v>
                </c:pt>
                <c:pt idx="788">
                  <c:v>1.161</c:v>
                </c:pt>
                <c:pt idx="789">
                  <c:v>1.1839999999999999</c:v>
                </c:pt>
                <c:pt idx="790">
                  <c:v>#N/A</c:v>
                </c:pt>
                <c:pt idx="791">
                  <c:v>#N/A</c:v>
                </c:pt>
                <c:pt idx="792">
                  <c:v>#N/A</c:v>
                </c:pt>
                <c:pt idx="793">
                  <c:v>1.276</c:v>
                </c:pt>
                <c:pt idx="794">
                  <c:v>1.2989999999999999</c:v>
                </c:pt>
                <c:pt idx="795">
                  <c:v>#N/A</c:v>
                </c:pt>
                <c:pt idx="796">
                  <c:v>#N/A</c:v>
                </c:pt>
                <c:pt idx="797">
                  <c:v>1.3679999999999999</c:v>
                </c:pt>
                <c:pt idx="798">
                  <c:v>#N/A</c:v>
                </c:pt>
                <c:pt idx="799">
                  <c:v>1.4139999999999999</c:v>
                </c:pt>
                <c:pt idx="800">
                  <c:v>1.4370000000000001</c:v>
                </c:pt>
                <c:pt idx="801">
                  <c:v>1.46</c:v>
                </c:pt>
                <c:pt idx="802">
                  <c:v>#N/A</c:v>
                </c:pt>
                <c:pt idx="803">
                  <c:v>#N/A</c:v>
                </c:pt>
                <c:pt idx="804">
                  <c:v>#N/A</c:v>
                </c:pt>
                <c:pt idx="805">
                  <c:v>#N/A</c:v>
                </c:pt>
                <c:pt idx="806">
                  <c:v>#N/A</c:v>
                </c:pt>
                <c:pt idx="807">
                  <c:v>#N/A</c:v>
                </c:pt>
                <c:pt idx="808">
                  <c:v>#N/A</c:v>
                </c:pt>
                <c:pt idx="809">
                  <c:v>#N/A</c:v>
                </c:pt>
                <c:pt idx="810">
                  <c:v>#N/A</c:v>
                </c:pt>
                <c:pt idx="811">
                  <c:v>#N/A</c:v>
                </c:pt>
                <c:pt idx="812">
                  <c:v>1.7130000000000001</c:v>
                </c:pt>
                <c:pt idx="813">
                  <c:v>1.736</c:v>
                </c:pt>
                <c:pt idx="814">
                  <c:v>#N/A</c:v>
                </c:pt>
                <c:pt idx="815">
                  <c:v>#N/A</c:v>
                </c:pt>
                <c:pt idx="816">
                  <c:v>#N/A</c:v>
                </c:pt>
                <c:pt idx="817">
                  <c:v>#N/A</c:v>
                </c:pt>
                <c:pt idx="818">
                  <c:v>1.069</c:v>
                </c:pt>
                <c:pt idx="819">
                  <c:v>#N/A</c:v>
                </c:pt>
                <c:pt idx="820">
                  <c:v>1.115</c:v>
                </c:pt>
                <c:pt idx="821">
                  <c:v>#N/A</c:v>
                </c:pt>
                <c:pt idx="822">
                  <c:v>#N/A</c:v>
                </c:pt>
                <c:pt idx="823">
                  <c:v>#N/A</c:v>
                </c:pt>
                <c:pt idx="824">
                  <c:v>#N/A</c:v>
                </c:pt>
                <c:pt idx="825">
                  <c:v>1.23</c:v>
                </c:pt>
                <c:pt idx="826">
                  <c:v>1.2530000000000001</c:v>
                </c:pt>
                <c:pt idx="827">
                  <c:v>1.276</c:v>
                </c:pt>
                <c:pt idx="828">
                  <c:v>1.2989999999999999</c:v>
                </c:pt>
                <c:pt idx="829">
                  <c:v>1.3220000000000001</c:v>
                </c:pt>
                <c:pt idx="830">
                  <c:v>#N/A</c:v>
                </c:pt>
                <c:pt idx="831">
                  <c:v>1.3679999999999999</c:v>
                </c:pt>
                <c:pt idx="832">
                  <c:v>#N/A</c:v>
                </c:pt>
                <c:pt idx="833">
                  <c:v>1.4139999999999999</c:v>
                </c:pt>
                <c:pt idx="834">
                  <c:v>1.4370000000000001</c:v>
                </c:pt>
                <c:pt idx="835">
                  <c:v>#N/A</c:v>
                </c:pt>
                <c:pt idx="836">
                  <c:v>1.4830000000000001</c:v>
                </c:pt>
                <c:pt idx="837">
                  <c:v>1.506</c:v>
                </c:pt>
                <c:pt idx="838">
                  <c:v>#N/A</c:v>
                </c:pt>
                <c:pt idx="839">
                  <c:v>#N/A</c:v>
                </c:pt>
                <c:pt idx="840">
                  <c:v>#N/A</c:v>
                </c:pt>
                <c:pt idx="841">
                  <c:v>1.5979999999999999</c:v>
                </c:pt>
                <c:pt idx="842">
                  <c:v>1.621</c:v>
                </c:pt>
                <c:pt idx="843">
                  <c:v>#N/A</c:v>
                </c:pt>
                <c:pt idx="844">
                  <c:v>1.667</c:v>
                </c:pt>
                <c:pt idx="845">
                  <c:v>1.69</c:v>
                </c:pt>
                <c:pt idx="846">
                  <c:v>1.7130000000000001</c:v>
                </c:pt>
                <c:pt idx="847">
                  <c:v>#N/A</c:v>
                </c:pt>
                <c:pt idx="848">
                  <c:v>#N/A</c:v>
                </c:pt>
                <c:pt idx="849">
                  <c:v>#N/A</c:v>
                </c:pt>
                <c:pt idx="850">
                  <c:v>1.0229999999999999</c:v>
                </c:pt>
                <c:pt idx="851">
                  <c:v>1.046</c:v>
                </c:pt>
                <c:pt idx="852">
                  <c:v>#N/A</c:v>
                </c:pt>
                <c:pt idx="853">
                  <c:v>1.0920000000000001</c:v>
                </c:pt>
                <c:pt idx="854">
                  <c:v>#N/A</c:v>
                </c:pt>
                <c:pt idx="855">
                  <c:v>#N/A</c:v>
                </c:pt>
                <c:pt idx="856">
                  <c:v>#N/A</c:v>
                </c:pt>
                <c:pt idx="857">
                  <c:v>1.1839999999999999</c:v>
                </c:pt>
                <c:pt idx="858">
                  <c:v>#N/A</c:v>
                </c:pt>
                <c:pt idx="859">
                  <c:v>1.23</c:v>
                </c:pt>
                <c:pt idx="860">
                  <c:v>1.2530000000000001</c:v>
                </c:pt>
                <c:pt idx="861">
                  <c:v>1.276</c:v>
                </c:pt>
                <c:pt idx="862">
                  <c:v>1.2989999999999999</c:v>
                </c:pt>
                <c:pt idx="863">
                  <c:v>#N/A</c:v>
                </c:pt>
                <c:pt idx="864">
                  <c:v>#N/A</c:v>
                </c:pt>
                <c:pt idx="865">
                  <c:v>1.3679999999999999</c:v>
                </c:pt>
                <c:pt idx="866">
                  <c:v>#N/A</c:v>
                </c:pt>
                <c:pt idx="867">
                  <c:v>#N/A</c:v>
                </c:pt>
                <c:pt idx="868">
                  <c:v>1.4370000000000001</c:v>
                </c:pt>
                <c:pt idx="869">
                  <c:v>#N/A</c:v>
                </c:pt>
                <c:pt idx="870">
                  <c:v>1.4830000000000001</c:v>
                </c:pt>
                <c:pt idx="871">
                  <c:v>1.506</c:v>
                </c:pt>
                <c:pt idx="872">
                  <c:v>#N/A</c:v>
                </c:pt>
                <c:pt idx="873">
                  <c:v>#N/A</c:v>
                </c:pt>
                <c:pt idx="874">
                  <c:v>#N/A</c:v>
                </c:pt>
                <c:pt idx="875">
                  <c:v>#N/A</c:v>
                </c:pt>
                <c:pt idx="876">
                  <c:v>#N/A</c:v>
                </c:pt>
                <c:pt idx="877">
                  <c:v>1.6440000000000001</c:v>
                </c:pt>
                <c:pt idx="878">
                  <c:v>1.667</c:v>
                </c:pt>
                <c:pt idx="879">
                  <c:v>#N/A</c:v>
                </c:pt>
                <c:pt idx="880">
                  <c:v>#N/A</c:v>
                </c:pt>
                <c:pt idx="881">
                  <c:v>#N/A</c:v>
                </c:pt>
                <c:pt idx="882">
                  <c:v>#N/A</c:v>
                </c:pt>
                <c:pt idx="883">
                  <c:v>#N/A</c:v>
                </c:pt>
                <c:pt idx="884">
                  <c:v>1.0229999999999999</c:v>
                </c:pt>
                <c:pt idx="885">
                  <c:v>1.046</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2023</c:v>
                </c:pt>
                <c:pt idx="783">
                  <c:v>#N/A</c:v>
                </c:pt>
                <c:pt idx="784">
                  <c:v>#N/A</c:v>
                </c:pt>
                <c:pt idx="785">
                  <c:v>#N/A</c:v>
                </c:pt>
                <c:pt idx="786">
                  <c:v>#N/A</c:v>
                </c:pt>
                <c:pt idx="787">
                  <c:v>#N/A</c:v>
                </c:pt>
                <c:pt idx="788">
                  <c:v>#N/A</c:v>
                </c:pt>
                <c:pt idx="789">
                  <c:v>#N/A</c:v>
                </c:pt>
                <c:pt idx="790">
                  <c:v>2025</c:v>
                </c:pt>
                <c:pt idx="791">
                  <c:v>#N/A</c:v>
                </c:pt>
                <c:pt idx="792">
                  <c:v>#N/A</c:v>
                </c:pt>
                <c:pt idx="793">
                  <c:v>#N/A</c:v>
                </c:pt>
                <c:pt idx="794">
                  <c:v>#N/A</c:v>
                </c:pt>
                <c:pt idx="795">
                  <c:v>#N/A</c:v>
                </c:pt>
                <c:pt idx="796">
                  <c:v>#N/A</c:v>
                </c:pt>
                <c:pt idx="797">
                  <c:v>2022</c:v>
                </c:pt>
                <c:pt idx="798">
                  <c:v>#N/A</c:v>
                </c:pt>
                <c:pt idx="799">
                  <c:v>#N/A</c:v>
                </c:pt>
                <c:pt idx="800">
                  <c:v>#N/A</c:v>
                </c:pt>
                <c:pt idx="801">
                  <c:v>#N/A</c:v>
                </c:pt>
                <c:pt idx="802">
                  <c:v>#N/A</c:v>
                </c:pt>
                <c:pt idx="803">
                  <c:v>#N/A</c:v>
                </c:pt>
                <c:pt idx="804">
                  <c:v>#N/A</c:v>
                </c:pt>
                <c:pt idx="805">
                  <c:v>#N/A</c:v>
                </c:pt>
                <c:pt idx="806">
                  <c:v>#N/A</c:v>
                </c:pt>
                <c:pt idx="807">
                  <c:v>#N/A</c:v>
                </c:pt>
                <c:pt idx="808">
                  <c:v>2025</c:v>
                </c:pt>
                <c:pt idx="809">
                  <c:v>#N/A</c:v>
                </c:pt>
                <c:pt idx="810">
                  <c:v>2024</c:v>
                </c:pt>
                <c:pt idx="811">
                  <c:v>#N/A</c:v>
                </c:pt>
                <c:pt idx="812">
                  <c:v>#N/A</c:v>
                </c:pt>
                <c:pt idx="813">
                  <c:v>#N/A</c:v>
                </c:pt>
                <c:pt idx="814">
                  <c:v>#N/A</c:v>
                </c:pt>
                <c:pt idx="815">
                  <c:v>2024</c:v>
                </c:pt>
                <c:pt idx="816">
                  <c:v>#N/A</c:v>
                </c:pt>
                <c:pt idx="817">
                  <c:v>#N/A</c:v>
                </c:pt>
                <c:pt idx="818">
                  <c:v>#N/A</c:v>
                </c:pt>
                <c:pt idx="819">
                  <c:v>#N/A</c:v>
                </c:pt>
                <c:pt idx="820">
                  <c:v>#N/A</c:v>
                </c:pt>
                <c:pt idx="821">
                  <c:v>#N/A</c:v>
                </c:pt>
                <c:pt idx="822">
                  <c:v>#N/A</c:v>
                </c:pt>
                <c:pt idx="823">
                  <c:v>2021</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2024</c:v>
                </c:pt>
                <c:pt idx="843">
                  <c:v>#N/A</c:v>
                </c:pt>
                <c:pt idx="844">
                  <c:v>#N/A</c:v>
                </c:pt>
                <c:pt idx="845">
                  <c:v>#N/A</c:v>
                </c:pt>
                <c:pt idx="846">
                  <c:v>#N/A</c:v>
                </c:pt>
                <c:pt idx="847">
                  <c:v>2023</c:v>
                </c:pt>
                <c:pt idx="848">
                  <c:v>2025</c:v>
                </c:pt>
                <c:pt idx="849">
                  <c:v>#N/A</c:v>
                </c:pt>
                <c:pt idx="850">
                  <c:v>#N/A</c:v>
                </c:pt>
                <c:pt idx="851">
                  <c:v>#N/A</c:v>
                </c:pt>
                <c:pt idx="852">
                  <c:v>#N/A</c:v>
                </c:pt>
                <c:pt idx="853">
                  <c:v>2017</c:v>
                </c:pt>
                <c:pt idx="854">
                  <c:v>#N/A</c:v>
                </c:pt>
                <c:pt idx="855">
                  <c:v>2012</c:v>
                </c:pt>
                <c:pt idx="856">
                  <c:v>#N/A</c:v>
                </c:pt>
                <c:pt idx="857">
                  <c:v>2005</c:v>
                </c:pt>
                <c:pt idx="858">
                  <c:v>#N/A</c:v>
                </c:pt>
                <c:pt idx="859">
                  <c:v>#N/A</c:v>
                </c:pt>
                <c:pt idx="860">
                  <c:v>#N/A</c:v>
                </c:pt>
                <c:pt idx="861">
                  <c:v>#N/A</c:v>
                </c:pt>
                <c:pt idx="862">
                  <c:v>2019</c:v>
                </c:pt>
                <c:pt idx="863">
                  <c:v>#N/A</c:v>
                </c:pt>
                <c:pt idx="864">
                  <c:v>#N/A</c:v>
                </c:pt>
                <c:pt idx="865">
                  <c:v>#N/A</c:v>
                </c:pt>
                <c:pt idx="866">
                  <c:v>2026</c:v>
                </c:pt>
                <c:pt idx="867">
                  <c:v>#N/A</c:v>
                </c:pt>
                <c:pt idx="868">
                  <c:v>#N/A</c:v>
                </c:pt>
                <c:pt idx="869">
                  <c:v>#N/A</c:v>
                </c:pt>
                <c:pt idx="870">
                  <c:v>#N/A</c:v>
                </c:pt>
                <c:pt idx="871">
                  <c:v>2021</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2.0459999999999998</c:v>
                </c:pt>
                <c:pt idx="784">
                  <c:v>#N/A</c:v>
                </c:pt>
                <c:pt idx="785">
                  <c:v>#N/A</c:v>
                </c:pt>
                <c:pt idx="786">
                  <c:v>#N/A</c:v>
                </c:pt>
                <c:pt idx="787">
                  <c:v>#N/A</c:v>
                </c:pt>
                <c:pt idx="788">
                  <c:v>#N/A</c:v>
                </c:pt>
                <c:pt idx="789">
                  <c:v>#N/A</c:v>
                </c:pt>
                <c:pt idx="790">
                  <c:v>#N/A</c:v>
                </c:pt>
                <c:pt idx="791">
                  <c:v>2.23</c:v>
                </c:pt>
                <c:pt idx="792">
                  <c:v>#N/A</c:v>
                </c:pt>
                <c:pt idx="793">
                  <c:v>#N/A</c:v>
                </c:pt>
                <c:pt idx="794">
                  <c:v>#N/A</c:v>
                </c:pt>
                <c:pt idx="795">
                  <c:v>#N/A</c:v>
                </c:pt>
                <c:pt idx="796">
                  <c:v>#N/A</c:v>
                </c:pt>
                <c:pt idx="797">
                  <c:v>#N/A</c:v>
                </c:pt>
                <c:pt idx="798">
                  <c:v>2.391</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2.69</c:v>
                </c:pt>
                <c:pt idx="812">
                  <c:v>#N/A</c:v>
                </c:pt>
                <c:pt idx="813">
                  <c:v>#N/A</c:v>
                </c:pt>
                <c:pt idx="814">
                  <c:v>#N/A</c:v>
                </c:pt>
                <c:pt idx="815">
                  <c:v>#N/A</c:v>
                </c:pt>
                <c:pt idx="816">
                  <c:v>2.0230000000000001</c:v>
                </c:pt>
                <c:pt idx="817">
                  <c:v>#N/A</c:v>
                </c:pt>
                <c:pt idx="818">
                  <c:v>#N/A</c:v>
                </c:pt>
                <c:pt idx="819">
                  <c:v>#N/A</c:v>
                </c:pt>
                <c:pt idx="820">
                  <c:v>#N/A</c:v>
                </c:pt>
                <c:pt idx="821">
                  <c:v>#N/A</c:v>
                </c:pt>
                <c:pt idx="822">
                  <c:v>#N/A</c:v>
                </c:pt>
                <c:pt idx="823">
                  <c:v>#N/A</c:v>
                </c:pt>
                <c:pt idx="824">
                  <c:v>2.2069999999999999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2.6440000000000001</c:v>
                </c:pt>
                <c:pt idx="844">
                  <c:v>#N/A</c:v>
                </c:pt>
                <c:pt idx="845">
                  <c:v>#N/A</c:v>
                </c:pt>
                <c:pt idx="846">
                  <c:v>#N/A</c:v>
                </c:pt>
                <c:pt idx="847">
                  <c:v>#N/A</c:v>
                </c:pt>
                <c:pt idx="848">
                  <c:v>2.7589999999999999</c:v>
                </c:pt>
                <c:pt idx="849">
                  <c:v>2</c:v>
                </c:pt>
                <c:pt idx="850">
                  <c:v>#N/A</c:v>
                </c:pt>
                <c:pt idx="851">
                  <c:v>#N/A</c:v>
                </c:pt>
                <c:pt idx="852">
                  <c:v>#N/A</c:v>
                </c:pt>
                <c:pt idx="853">
                  <c:v>#N/A</c:v>
                </c:pt>
                <c:pt idx="854">
                  <c:v>2.1150000000000002</c:v>
                </c:pt>
                <c:pt idx="855">
                  <c:v>#N/A</c:v>
                </c:pt>
                <c:pt idx="856">
                  <c:v>2.161</c:v>
                </c:pt>
                <c:pt idx="857">
                  <c:v>#N/A</c:v>
                </c:pt>
                <c:pt idx="858">
                  <c:v>2.2069999999999999</c:v>
                </c:pt>
                <c:pt idx="859">
                  <c:v>#N/A</c:v>
                </c:pt>
                <c:pt idx="860">
                  <c:v>#N/A</c:v>
                </c:pt>
                <c:pt idx="861">
                  <c:v>#N/A</c:v>
                </c:pt>
                <c:pt idx="862">
                  <c:v>#N/A</c:v>
                </c:pt>
                <c:pt idx="863">
                  <c:v>2.3220000000000001</c:v>
                </c:pt>
                <c:pt idx="864">
                  <c:v>#N/A</c:v>
                </c:pt>
                <c:pt idx="865">
                  <c:v>#N/A</c:v>
                </c:pt>
                <c:pt idx="866">
                  <c:v>#N/A</c:v>
                </c:pt>
                <c:pt idx="867">
                  <c:v>2.4140000000000001</c:v>
                </c:pt>
                <c:pt idx="868">
                  <c:v>#N/A</c:v>
                </c:pt>
                <c:pt idx="869">
                  <c:v>#N/A</c:v>
                </c:pt>
                <c:pt idx="870">
                  <c:v>#N/A</c:v>
                </c:pt>
                <c:pt idx="871">
                  <c:v>#N/A</c:v>
                </c:pt>
                <c:pt idx="872">
                  <c:v>2.5289999999999999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2025</c:v>
                </c:pt>
                <c:pt idx="785">
                  <c:v>#N/A</c:v>
                </c:pt>
                <c:pt idx="786">
                  <c:v>2026</c:v>
                </c:pt>
                <c:pt idx="787">
                  <c:v>#N/A</c:v>
                </c:pt>
                <c:pt idx="788">
                  <c:v>#N/A</c:v>
                </c:pt>
                <c:pt idx="789">
                  <c:v>#N/A</c:v>
                </c:pt>
                <c:pt idx="790">
                  <c:v>#N/A</c:v>
                </c:pt>
                <c:pt idx="791">
                  <c:v>2025</c:v>
                </c:pt>
                <c:pt idx="792">
                  <c:v>#N/A</c:v>
                </c:pt>
                <c:pt idx="793">
                  <c:v>#N/A</c:v>
                </c:pt>
                <c:pt idx="794">
                  <c:v>2026</c:v>
                </c:pt>
                <c:pt idx="795">
                  <c:v>2025</c:v>
                </c:pt>
                <c:pt idx="796">
                  <c:v>#N/A</c:v>
                </c:pt>
                <c:pt idx="797">
                  <c:v>#N/A</c:v>
                </c:pt>
                <c:pt idx="798">
                  <c:v>#N/A</c:v>
                </c:pt>
                <c:pt idx="799">
                  <c:v>#N/A</c:v>
                </c:pt>
                <c:pt idx="800">
                  <c:v>#N/A</c:v>
                </c:pt>
                <c:pt idx="801">
                  <c:v>#N/A</c:v>
                </c:pt>
                <c:pt idx="802">
                  <c:v>#N/A</c:v>
                </c:pt>
                <c:pt idx="803">
                  <c:v>#N/A</c:v>
                </c:pt>
                <c:pt idx="804">
                  <c:v>#N/A</c:v>
                </c:pt>
                <c:pt idx="805">
                  <c:v>#N/A</c:v>
                </c:pt>
                <c:pt idx="806">
                  <c:v>#N/A</c:v>
                </c:pt>
                <c:pt idx="807">
                  <c:v>2022</c:v>
                </c:pt>
                <c:pt idx="808">
                  <c:v>#N/A</c:v>
                </c:pt>
                <c:pt idx="809">
                  <c:v>2023</c:v>
                </c:pt>
                <c:pt idx="810">
                  <c:v>#N/A</c:v>
                </c:pt>
                <c:pt idx="811">
                  <c:v>#N/A</c:v>
                </c:pt>
                <c:pt idx="812">
                  <c:v>#N/A</c:v>
                </c:pt>
                <c:pt idx="813">
                  <c:v>2021</c:v>
                </c:pt>
                <c:pt idx="814">
                  <c:v>2025</c:v>
                </c:pt>
                <c:pt idx="815">
                  <c:v>#N/A</c:v>
                </c:pt>
                <c:pt idx="816">
                  <c:v>2019</c:v>
                </c:pt>
                <c:pt idx="817">
                  <c:v>#N/A</c:v>
                </c:pt>
                <c:pt idx="818">
                  <c:v>2026</c:v>
                </c:pt>
                <c:pt idx="819">
                  <c:v>#N/A</c:v>
                </c:pt>
                <c:pt idx="820">
                  <c:v>#N/A</c:v>
                </c:pt>
                <c:pt idx="821">
                  <c:v>#N/A</c:v>
                </c:pt>
                <c:pt idx="822">
                  <c:v>2026</c:v>
                </c:pt>
                <c:pt idx="823">
                  <c:v>#N/A</c:v>
                </c:pt>
                <c:pt idx="824">
                  <c:v>#N/A</c:v>
                </c:pt>
                <c:pt idx="825">
                  <c:v>#N/A</c:v>
                </c:pt>
                <c:pt idx="826">
                  <c:v>#N/A</c:v>
                </c:pt>
                <c:pt idx="827">
                  <c:v>#N/A</c:v>
                </c:pt>
                <c:pt idx="828">
                  <c:v>#N/A</c:v>
                </c:pt>
                <c:pt idx="829">
                  <c:v>#N/A</c:v>
                </c:pt>
                <c:pt idx="830">
                  <c:v>#N/A</c:v>
                </c:pt>
                <c:pt idx="831">
                  <c:v>2026</c:v>
                </c:pt>
                <c:pt idx="832">
                  <c:v>#N/A</c:v>
                </c:pt>
                <c:pt idx="833">
                  <c:v>#N/A</c:v>
                </c:pt>
                <c:pt idx="834">
                  <c:v>2020</c:v>
                </c:pt>
                <c:pt idx="835">
                  <c:v>#N/A</c:v>
                </c:pt>
                <c:pt idx="836">
                  <c:v>#N/A</c:v>
                </c:pt>
                <c:pt idx="837">
                  <c:v>2021</c:v>
                </c:pt>
                <c:pt idx="838">
                  <c:v>2025</c:v>
                </c:pt>
                <c:pt idx="839">
                  <c:v>2026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2023</c:v>
                </c:pt>
                <c:pt idx="864">
                  <c:v>#N/A</c:v>
                </c:pt>
                <c:pt idx="865">
                  <c:v>2026</c:v>
                </c:pt>
                <c:pt idx="866">
                  <c:v>#N/A</c:v>
                </c:pt>
                <c:pt idx="867">
                  <c:v>#N/A</c:v>
                </c:pt>
                <c:pt idx="868">
                  <c:v>2026</c:v>
                </c:pt>
                <c:pt idx="869">
                  <c:v>#N/A</c:v>
                </c:pt>
                <c:pt idx="870">
                  <c:v>#N/A</c:v>
                </c:pt>
                <c:pt idx="871">
                  <c:v>#N/A</c:v>
                </c:pt>
                <c:pt idx="872">
                  <c:v>2025</c:v>
                </c:pt>
                <c:pt idx="873">
                  <c:v>2025</c:v>
                </c:pt>
                <c:pt idx="874">
                  <c:v>2022</c:v>
                </c:pt>
                <c:pt idx="875">
                  <c:v>2026</c:v>
                </c:pt>
                <c:pt idx="876">
                  <c:v>#N/A</c:v>
                </c:pt>
                <c:pt idx="877">
                  <c:v>#N/A</c:v>
                </c:pt>
                <c:pt idx="878">
                  <c:v>2024</c:v>
                </c:pt>
                <c:pt idx="879">
                  <c:v>#N/A</c:v>
                </c:pt>
                <c:pt idx="880">
                  <c:v>#N/A</c:v>
                </c:pt>
                <c:pt idx="881">
                  <c:v>#N/A</c:v>
                </c:pt>
                <c:pt idx="882">
                  <c:v>2024</c:v>
                </c:pt>
                <c:pt idx="883">
                  <c:v>#N/A</c:v>
                </c:pt>
                <c:pt idx="884">
                  <c:v>#N/A</c:v>
                </c:pt>
                <c:pt idx="885">
                  <c:v>#N/A</c:v>
                </c:pt>
                <c:pt idx="886">
                  <c:v>2023</c:v>
                </c:pt>
                <c:pt idx="887">
                  <c:v>2026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3.0920000000000001</c:v>
                </c:pt>
                <c:pt idx="786">
                  <c:v>#N/A</c:v>
                </c:pt>
                <c:pt idx="787">
                  <c:v>3.1379999999999999</c:v>
                </c:pt>
                <c:pt idx="788">
                  <c:v>#N/A</c:v>
                </c:pt>
                <c:pt idx="789">
                  <c:v>#N/A</c:v>
                </c:pt>
                <c:pt idx="790">
                  <c:v>#N/A</c:v>
                </c:pt>
                <c:pt idx="791">
                  <c:v>#N/A</c:v>
                </c:pt>
                <c:pt idx="792">
                  <c:v>3.2530000000000001</c:v>
                </c:pt>
                <c:pt idx="793">
                  <c:v>#N/A</c:v>
                </c:pt>
                <c:pt idx="794">
                  <c:v>#N/A</c:v>
                </c:pt>
                <c:pt idx="795">
                  <c:v>3.3220000000000001</c:v>
                </c:pt>
                <c:pt idx="796">
                  <c:v>3.3449999999999998</c:v>
                </c:pt>
                <c:pt idx="797">
                  <c:v>#N/A</c:v>
                </c:pt>
                <c:pt idx="798">
                  <c:v>#N/A</c:v>
                </c:pt>
                <c:pt idx="799">
                  <c:v>#N/A</c:v>
                </c:pt>
                <c:pt idx="800">
                  <c:v>#N/A</c:v>
                </c:pt>
                <c:pt idx="801">
                  <c:v>#N/A</c:v>
                </c:pt>
                <c:pt idx="802">
                  <c:v>#N/A</c:v>
                </c:pt>
                <c:pt idx="803">
                  <c:v>#N/A</c:v>
                </c:pt>
                <c:pt idx="804">
                  <c:v>#N/A</c:v>
                </c:pt>
                <c:pt idx="805">
                  <c:v>#N/A</c:v>
                </c:pt>
                <c:pt idx="806">
                  <c:v>#N/A</c:v>
                </c:pt>
                <c:pt idx="807">
                  <c:v>#N/A</c:v>
                </c:pt>
                <c:pt idx="808">
                  <c:v>3.621</c:v>
                </c:pt>
                <c:pt idx="809">
                  <c:v>#N/A</c:v>
                </c:pt>
                <c:pt idx="810">
                  <c:v>3.6669999999999998</c:v>
                </c:pt>
                <c:pt idx="811">
                  <c:v>#N/A</c:v>
                </c:pt>
                <c:pt idx="812">
                  <c:v>#N/A</c:v>
                </c:pt>
                <c:pt idx="813">
                  <c:v>#N/A</c:v>
                </c:pt>
                <c:pt idx="814">
                  <c:v>3.7589999999999999</c:v>
                </c:pt>
                <c:pt idx="815">
                  <c:v>3</c:v>
                </c:pt>
                <c:pt idx="816">
                  <c:v>#N/A</c:v>
                </c:pt>
                <c:pt idx="817">
                  <c:v>3.0459999999999998</c:v>
                </c:pt>
                <c:pt idx="818">
                  <c:v>#N/A</c:v>
                </c:pt>
                <c:pt idx="819">
                  <c:v>3.0920000000000001</c:v>
                </c:pt>
                <c:pt idx="820">
                  <c:v>#N/A</c:v>
                </c:pt>
                <c:pt idx="821">
                  <c:v>#N/A</c:v>
                </c:pt>
                <c:pt idx="822">
                  <c:v>#N/A</c:v>
                </c:pt>
                <c:pt idx="823">
                  <c:v>3.1840000000000002</c:v>
                </c:pt>
                <c:pt idx="824">
                  <c:v>#N/A</c:v>
                </c:pt>
                <c:pt idx="825">
                  <c:v>#N/A</c:v>
                </c:pt>
                <c:pt idx="826">
                  <c:v>#N/A</c:v>
                </c:pt>
                <c:pt idx="827">
                  <c:v>#N/A</c:v>
                </c:pt>
                <c:pt idx="828">
                  <c:v>#N/A</c:v>
                </c:pt>
                <c:pt idx="829">
                  <c:v>#N/A</c:v>
                </c:pt>
                <c:pt idx="830">
                  <c:v>#N/A</c:v>
                </c:pt>
                <c:pt idx="831">
                  <c:v>#N/A</c:v>
                </c:pt>
                <c:pt idx="832">
                  <c:v>3.391</c:v>
                </c:pt>
                <c:pt idx="833">
                  <c:v>#N/A</c:v>
                </c:pt>
                <c:pt idx="834">
                  <c:v>#N/A</c:v>
                </c:pt>
                <c:pt idx="835">
                  <c:v>3.46</c:v>
                </c:pt>
                <c:pt idx="836">
                  <c:v>#N/A</c:v>
                </c:pt>
                <c:pt idx="837">
                  <c:v>#N/A</c:v>
                </c:pt>
                <c:pt idx="838">
                  <c:v>3.5289999999999999</c:v>
                </c:pt>
                <c:pt idx="839">
                  <c:v>3.552</c:v>
                </c:pt>
                <c:pt idx="840">
                  <c:v>3.5750000000000002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3.3449999999999998</c:v>
                </c:pt>
                <c:pt idx="865">
                  <c:v>#N/A</c:v>
                </c:pt>
                <c:pt idx="866">
                  <c:v>3.391</c:v>
                </c:pt>
                <c:pt idx="867">
                  <c:v>#N/A</c:v>
                </c:pt>
                <c:pt idx="868">
                  <c:v>#N/A</c:v>
                </c:pt>
                <c:pt idx="869">
                  <c:v>3.46</c:v>
                </c:pt>
                <c:pt idx="870">
                  <c:v>#N/A</c:v>
                </c:pt>
                <c:pt idx="871">
                  <c:v>#N/A</c:v>
                </c:pt>
                <c:pt idx="872">
                  <c:v>#N/A</c:v>
                </c:pt>
                <c:pt idx="873">
                  <c:v>3.552</c:v>
                </c:pt>
                <c:pt idx="874">
                  <c:v>3.5750000000000002</c:v>
                </c:pt>
                <c:pt idx="875">
                  <c:v>3.5979999999999999</c:v>
                </c:pt>
                <c:pt idx="876">
                  <c:v>3.621</c:v>
                </c:pt>
                <c:pt idx="877">
                  <c:v>#N/A</c:v>
                </c:pt>
                <c:pt idx="878">
                  <c:v>#N/A</c:v>
                </c:pt>
                <c:pt idx="879">
                  <c:v>3.69</c:v>
                </c:pt>
                <c:pt idx="880">
                  <c:v>#N/A</c:v>
                </c:pt>
                <c:pt idx="881">
                  <c:v>#N/A</c:v>
                </c:pt>
                <c:pt idx="882">
                  <c:v>#N/A</c:v>
                </c:pt>
                <c:pt idx="883">
                  <c:v>3</c:v>
                </c:pt>
                <c:pt idx="884">
                  <c:v>#N/A</c:v>
                </c:pt>
                <c:pt idx="885">
                  <c:v>#N/A</c:v>
                </c:pt>
                <c:pt idx="886">
                  <c:v>#N/A</c:v>
                </c:pt>
                <c:pt idx="887">
                  <c:v>3.0920000000000001</c:v>
                </c:pt>
                <c:pt idx="888">
                  <c:v>3.1150000000000002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2004</c:v>
                </c:pt>
                <c:pt idx="782">
                  <c:v>#N/A</c:v>
                </c:pt>
                <c:pt idx="783">
                  <c:v>#N/A</c:v>
                </c:pt>
                <c:pt idx="784">
                  <c:v>#N/A</c:v>
                </c:pt>
                <c:pt idx="785">
                  <c:v>#N/A</c:v>
                </c:pt>
                <c:pt idx="786">
                  <c:v>#N/A</c:v>
                </c:pt>
                <c:pt idx="787">
                  <c:v>#N/A</c:v>
                </c:pt>
                <c:pt idx="788">
                  <c:v>#N/A</c:v>
                </c:pt>
                <c:pt idx="789">
                  <c:v>2014</c:v>
                </c:pt>
                <c:pt idx="790">
                  <c:v>#N/A</c:v>
                </c:pt>
                <c:pt idx="791">
                  <c:v>#N/A</c:v>
                </c:pt>
                <c:pt idx="792">
                  <c:v>#N/A</c:v>
                </c:pt>
                <c:pt idx="793">
                  <c:v>#N/A</c:v>
                </c:pt>
                <c:pt idx="794">
                  <c:v>#N/A</c:v>
                </c:pt>
                <c:pt idx="795">
                  <c:v>#N/A</c:v>
                </c:pt>
                <c:pt idx="796">
                  <c:v>#N/A</c:v>
                </c:pt>
                <c:pt idx="797">
                  <c:v>#N/A</c:v>
                </c:pt>
                <c:pt idx="798">
                  <c:v>#N/A</c:v>
                </c:pt>
                <c:pt idx="799">
                  <c:v>#N/A</c:v>
                </c:pt>
                <c:pt idx="800">
                  <c:v>#N/A</c:v>
                </c:pt>
                <c:pt idx="801">
                  <c:v>1999</c:v>
                </c:pt>
                <c:pt idx="802">
                  <c:v>2002</c:v>
                </c:pt>
                <c:pt idx="803">
                  <c:v>1993</c:v>
                </c:pt>
                <c:pt idx="804">
                  <c:v>2025</c:v>
                </c:pt>
                <c:pt idx="805">
                  <c:v>2024</c:v>
                </c:pt>
                <c:pt idx="806">
                  <c:v>2021</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2012</c:v>
                </c:pt>
                <c:pt idx="821">
                  <c:v>2021</c:v>
                </c:pt>
                <c:pt idx="822">
                  <c:v>#N/A</c:v>
                </c:pt>
                <c:pt idx="823">
                  <c:v>#N/A</c:v>
                </c:pt>
                <c:pt idx="824">
                  <c:v>#N/A</c:v>
                </c:pt>
                <c:pt idx="825">
                  <c:v>#N/A</c:v>
                </c:pt>
                <c:pt idx="826">
                  <c:v>#N/A</c:v>
                </c:pt>
                <c:pt idx="827">
                  <c:v>#N/A</c:v>
                </c:pt>
                <c:pt idx="828">
                  <c:v>#N/A</c:v>
                </c:pt>
                <c:pt idx="829">
                  <c:v>1992</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1998</c:v>
                </c:pt>
                <c:pt idx="847">
                  <c:v>#N/A</c:v>
                </c:pt>
                <c:pt idx="848">
                  <c:v>#N/A</c:v>
                </c:pt>
                <c:pt idx="849">
                  <c:v>#N/A</c:v>
                </c:pt>
                <c:pt idx="850">
                  <c:v>#N/A</c:v>
                </c:pt>
                <c:pt idx="851">
                  <c:v>2023</c:v>
                </c:pt>
                <c:pt idx="852">
                  <c:v>#N/A</c:v>
                </c:pt>
                <c:pt idx="853">
                  <c:v>#N/A</c:v>
                </c:pt>
                <c:pt idx="854">
                  <c:v>2011</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2017</c:v>
                </c:pt>
                <c:pt idx="880">
                  <c:v>2010</c:v>
                </c:pt>
                <c:pt idx="881">
                  <c:v>1994</c:v>
                </c:pt>
                <c:pt idx="882">
                  <c:v>#N/A</c:v>
                </c:pt>
                <c:pt idx="883">
                  <c:v>#N/A</c:v>
                </c:pt>
                <c:pt idx="884">
                  <c:v>#N/A</c:v>
                </c:pt>
                <c:pt idx="885">
                  <c:v>2025</c:v>
                </c:pt>
                <c:pt idx="886">
                  <c:v>#N/A</c:v>
                </c:pt>
                <c:pt idx="887">
                  <c:v>#N/A</c:v>
                </c:pt>
                <c:pt idx="888">
                  <c:v>2022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4.0229999999999997</c:v>
                </c:pt>
                <c:pt idx="783">
                  <c:v>#N/A</c:v>
                </c:pt>
                <c:pt idx="784">
                  <c:v>#N/A</c:v>
                </c:pt>
                <c:pt idx="785">
                  <c:v>#N/A</c:v>
                </c:pt>
                <c:pt idx="786">
                  <c:v>#N/A</c:v>
                </c:pt>
                <c:pt idx="787">
                  <c:v>#N/A</c:v>
                </c:pt>
                <c:pt idx="788">
                  <c:v>#N/A</c:v>
                </c:pt>
                <c:pt idx="789">
                  <c:v>#N/A</c:v>
                </c:pt>
                <c:pt idx="790">
                  <c:v>4.2069999999999999</c:v>
                </c:pt>
                <c:pt idx="791">
                  <c:v>#N/A</c:v>
                </c:pt>
                <c:pt idx="792">
                  <c:v>#N/A</c:v>
                </c:pt>
                <c:pt idx="793">
                  <c:v>#N/A</c:v>
                </c:pt>
                <c:pt idx="794">
                  <c:v>#N/A</c:v>
                </c:pt>
                <c:pt idx="795">
                  <c:v>#N/A</c:v>
                </c:pt>
                <c:pt idx="796">
                  <c:v>#N/A</c:v>
                </c:pt>
                <c:pt idx="797">
                  <c:v>#N/A</c:v>
                </c:pt>
                <c:pt idx="798">
                  <c:v>#N/A</c:v>
                </c:pt>
                <c:pt idx="799">
                  <c:v>#N/A</c:v>
                </c:pt>
                <c:pt idx="800">
                  <c:v>#N/A</c:v>
                </c:pt>
                <c:pt idx="801">
                  <c:v>#N/A</c:v>
                </c:pt>
                <c:pt idx="802">
                  <c:v>4.4829999999999997</c:v>
                </c:pt>
                <c:pt idx="803">
                  <c:v>4.5060000000000002</c:v>
                </c:pt>
                <c:pt idx="804">
                  <c:v>4.5289999999999999</c:v>
                </c:pt>
                <c:pt idx="805">
                  <c:v>4.5519999999999996</c:v>
                </c:pt>
                <c:pt idx="806">
                  <c:v>4.5750000000000002</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4.1379999999999999</c:v>
                </c:pt>
                <c:pt idx="822">
                  <c:v>4.1609999999999996</c:v>
                </c:pt>
                <c:pt idx="823">
                  <c:v>#N/A</c:v>
                </c:pt>
                <c:pt idx="824">
                  <c:v>#N/A</c:v>
                </c:pt>
                <c:pt idx="825">
                  <c:v>#N/A</c:v>
                </c:pt>
                <c:pt idx="826">
                  <c:v>#N/A</c:v>
                </c:pt>
                <c:pt idx="827">
                  <c:v>#N/A</c:v>
                </c:pt>
                <c:pt idx="828">
                  <c:v>#N/A</c:v>
                </c:pt>
                <c:pt idx="829">
                  <c:v>#N/A</c:v>
                </c:pt>
                <c:pt idx="830">
                  <c:v>4.3449999999999998</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#N/A</c:v>
                </c:pt>
                <c:pt idx="849">
                  <c:v>#N/A</c:v>
                </c:pt>
                <c:pt idx="850">
                  <c:v>#N/A</c:v>
                </c:pt>
                <c:pt idx="851">
                  <c:v>#N/A</c:v>
                </c:pt>
                <c:pt idx="852">
                  <c:v>4.069</c:v>
                </c:pt>
                <c:pt idx="853">
                  <c:v>#N/A</c:v>
                </c:pt>
                <c:pt idx="854">
                  <c:v>#N/A</c:v>
                </c:pt>
                <c:pt idx="855">
                  <c:v>4.1379999999999999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4.7130000000000001</c:v>
                </c:pt>
                <c:pt idx="881">
                  <c:v>4.7359999999999998</c:v>
                </c:pt>
                <c:pt idx="882">
                  <c:v>4.7590000000000003</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0" totalsRowShown="0">
  <autoFilter ref="A1:J890" xr:uid="{00000000-0009-0000-0100-000001000000}"/>
  <sortState xmlns:xlrd2="http://schemas.microsoft.com/office/spreadsheetml/2017/richdata2" ref="A2:J890">
    <sortCondition ref="A869:A89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4" totalsRowShown="0">
  <autoFilter ref="A1:E1304"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table" Target="../tables/table1.xm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table" Target="../tables/table2.xm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5" Type="http://schemas.openxmlformats.org/officeDocument/2006/relationships/table" Target="../tables/table27.xml"/><Relationship Id="rId4"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52.xml"/><Relationship Id="rId1" Type="http://schemas.openxmlformats.org/officeDocument/2006/relationships/hyperlink" Target="https://firch.github.io/BuncoWeb/" TargetMode="Externa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0"/>
  <sheetViews>
    <sheetView tabSelected="1" topLeftCell="A842" zoomScaleNormal="100" workbookViewId="0">
      <selection activeCell="A874" sqref="A87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7931</v>
      </c>
      <c r="B18">
        <v>2025</v>
      </c>
      <c r="C18" t="s">
        <v>176</v>
      </c>
      <c r="D18" t="b">
        <f>TRUE()</f>
        <v>1</v>
      </c>
      <c r="E18" t="b">
        <f>COUNTIF(connections!A:A, A18) &gt; 0</f>
        <v>0</v>
      </c>
      <c r="G18" t="s">
        <v>7932</v>
      </c>
      <c r="H18" t="s">
        <v>187</v>
      </c>
      <c r="I18" t="s">
        <v>7938</v>
      </c>
      <c r="J18" s="10" t="s">
        <v>7933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8138</v>
      </c>
      <c r="B27">
        <v>2024</v>
      </c>
      <c r="C27" t="s">
        <v>222</v>
      </c>
      <c r="D27" t="b">
        <f>TRUE()</f>
        <v>1</v>
      </c>
      <c r="E27" t="b">
        <f>COUNTIF(connections!A:A, A27) &gt; 0</f>
        <v>0</v>
      </c>
      <c r="G27" t="s">
        <v>8139</v>
      </c>
      <c r="J27" s="10" t="s">
        <v>8140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7969</v>
      </c>
      <c r="B65">
        <v>2026</v>
      </c>
      <c r="C65" t="s">
        <v>222</v>
      </c>
      <c r="D65" t="b">
        <f>TRUE()</f>
        <v>1</v>
      </c>
      <c r="E65" t="b">
        <f>COUNTIF(connections!A:A, A65) &gt; 0</f>
        <v>0</v>
      </c>
      <c r="G65" t="s">
        <v>7970</v>
      </c>
      <c r="J65" s="10" t="s">
        <v>7971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7972</v>
      </c>
      <c r="B192">
        <v>2026</v>
      </c>
      <c r="C192" t="s">
        <v>176</v>
      </c>
      <c r="D192" t="b">
        <f>TRUE()</f>
        <v>1</v>
      </c>
      <c r="E192" t="b">
        <f>COUNTIF(connections!A:A, A192) &gt; 0</f>
        <v>0</v>
      </c>
      <c r="F192" t="s">
        <v>617</v>
      </c>
      <c r="G192" t="s">
        <v>7973</v>
      </c>
      <c r="J192" s="10" t="s">
        <v>7974</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8008</v>
      </c>
      <c r="B240">
        <v>2026</v>
      </c>
      <c r="C240" t="s">
        <v>176</v>
      </c>
      <c r="D240" t="b">
        <f>TRUE()</f>
        <v>1</v>
      </c>
      <c r="E240" t="b">
        <f>COUNTIF(connections!A:A, A240) &gt; 0</f>
        <v>0</v>
      </c>
      <c r="G240" t="s">
        <v>8009</v>
      </c>
      <c r="J240" s="10" t="s">
        <v>8010</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7891</v>
      </c>
      <c r="J252" s="10" t="s">
        <v>7892</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8012</v>
      </c>
      <c r="B387">
        <v>2026</v>
      </c>
      <c r="C387" t="s">
        <v>182</v>
      </c>
      <c r="D387" t="b">
        <f>TRUE()</f>
        <v>1</v>
      </c>
      <c r="E387" t="b">
        <f>COUNTIF(connections!A:A, A387) &gt; 0</f>
        <v>0</v>
      </c>
      <c r="G387" t="s">
        <v>8013</v>
      </c>
      <c r="J387" s="10" t="s">
        <v>8014</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8003</v>
      </c>
      <c r="B403">
        <v>2026</v>
      </c>
      <c r="C403" t="s">
        <v>176</v>
      </c>
      <c r="D403" t="b">
        <f>TRUE()</f>
        <v>1</v>
      </c>
      <c r="E403" t="b">
        <f>COUNTIF(connections!A:A, A403) &gt; 0</f>
        <v>0</v>
      </c>
      <c r="G403" t="s">
        <v>8004</v>
      </c>
      <c r="J403" s="10" t="s">
        <v>8005</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8126</v>
      </c>
      <c r="B415">
        <v>2013</v>
      </c>
      <c r="C415" t="s">
        <v>176</v>
      </c>
      <c r="D415" t="b">
        <f>TRUE()</f>
        <v>1</v>
      </c>
      <c r="E415" t="b">
        <f>COUNTIF(connections!A:A, A415) &gt; 0</f>
        <v>0</v>
      </c>
      <c r="G415" t="s">
        <v>8127</v>
      </c>
      <c r="J415" s="10" t="s">
        <v>8128</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7978</v>
      </c>
      <c r="B417">
        <v>2026</v>
      </c>
      <c r="C417" t="s">
        <v>222</v>
      </c>
      <c r="D417" t="b">
        <f>TRUE()</f>
        <v>1</v>
      </c>
      <c r="E417" t="b">
        <f>COUNTIF(connections!A:A, A417) &gt; 0</f>
        <v>0</v>
      </c>
      <c r="G417" t="s">
        <v>7979</v>
      </c>
      <c r="J417" s="10" t="s">
        <v>7980</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8016</v>
      </c>
      <c r="B421">
        <v>2026</v>
      </c>
      <c r="C421" t="s">
        <v>182</v>
      </c>
      <c r="D421" t="b">
        <f>TRUE()</f>
        <v>1</v>
      </c>
      <c r="E421" t="b">
        <f>COUNTIF(connections!A:A, A421) &gt; 0</f>
        <v>0</v>
      </c>
      <c r="G421" t="s">
        <v>8017</v>
      </c>
      <c r="J421" s="10" t="s">
        <v>8018</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7889</v>
      </c>
      <c r="J433" s="10" t="s">
        <v>7890</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7941</v>
      </c>
      <c r="B546">
        <v>2026</v>
      </c>
      <c r="C546" t="s">
        <v>176</v>
      </c>
      <c r="D546" t="b">
        <f>TRUE()</f>
        <v>1</v>
      </c>
      <c r="E546" t="b">
        <f>COUNTIF(connections!A:A, A546) &gt; 0</f>
        <v>0</v>
      </c>
      <c r="G546" t="s">
        <v>7942</v>
      </c>
      <c r="J546" s="10" t="s">
        <v>7943</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8144</v>
      </c>
      <c r="B553">
        <v>2026</v>
      </c>
      <c r="C553" t="s">
        <v>176</v>
      </c>
      <c r="D553" t="b">
        <f>TRUE()</f>
        <v>1</v>
      </c>
      <c r="E553" t="b">
        <f>COUNTIF(connections!A:A, A553) &gt; 0</f>
        <v>0</v>
      </c>
      <c r="F553" t="s">
        <v>1031</v>
      </c>
      <c r="G553" t="s">
        <v>8145</v>
      </c>
      <c r="J553" s="10" t="s">
        <v>8146</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7960</v>
      </c>
      <c r="B576">
        <v>2026</v>
      </c>
      <c r="C576" t="s">
        <v>176</v>
      </c>
      <c r="D576" t="b">
        <f>TRUE()</f>
        <v>1</v>
      </c>
      <c r="E576" t="b">
        <f>COUNTIF(connections!A:A, A576) &gt; 0</f>
        <v>0</v>
      </c>
      <c r="F576" t="s">
        <v>1986</v>
      </c>
      <c r="G576" t="s">
        <v>7961</v>
      </c>
      <c r="H576" t="s">
        <v>187</v>
      </c>
      <c r="I576" t="s">
        <v>7962</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8132</v>
      </c>
      <c r="B584">
        <v>2024</v>
      </c>
      <c r="C584" t="s">
        <v>182</v>
      </c>
      <c r="D584" t="b">
        <f>TRUE()</f>
        <v>1</v>
      </c>
      <c r="E584" t="b">
        <f>COUNTIF(connections!A:A, A584) &gt; 0</f>
        <v>0</v>
      </c>
      <c r="G584" t="s">
        <v>8133</v>
      </c>
      <c r="J584" s="10" t="s">
        <v>8134</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7893</v>
      </c>
      <c r="J587" s="10" t="s">
        <v>7894</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7945</v>
      </c>
      <c r="B593">
        <v>2026</v>
      </c>
      <c r="C593" t="s">
        <v>179</v>
      </c>
      <c r="D593" t="b">
        <f>TRUE()</f>
        <v>1</v>
      </c>
      <c r="E593" t="b">
        <f>COUNTIF(connections!A:A, A593) &gt; 0</f>
        <v>0</v>
      </c>
      <c r="G593" t="s">
        <v>7947</v>
      </c>
      <c r="J593" s="10" t="s">
        <v>7948</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7935</v>
      </c>
      <c r="B600">
        <v>2025</v>
      </c>
      <c r="C600" t="s">
        <v>176</v>
      </c>
      <c r="D600" t="b">
        <f>TRUE()</f>
        <v>1</v>
      </c>
      <c r="E600" t="b">
        <f>COUNTIF(connections!A:A, A600) &gt; 0</f>
        <v>0</v>
      </c>
      <c r="G600" t="s">
        <v>7936</v>
      </c>
      <c r="H600" t="s">
        <v>187</v>
      </c>
      <c r="I600" t="s">
        <v>7939</v>
      </c>
      <c r="J600" s="10" t="s">
        <v>7937</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7950</v>
      </c>
      <c r="B611">
        <v>2026</v>
      </c>
      <c r="C611" t="s">
        <v>176</v>
      </c>
      <c r="D611" t="b">
        <f>TRUE()</f>
        <v>1</v>
      </c>
      <c r="E611" t="b">
        <f>COUNTIF(connections!A:A, A611) &gt; 0</f>
        <v>0</v>
      </c>
      <c r="G611" t="s">
        <v>7951</v>
      </c>
      <c r="J611" s="10" t="s">
        <v>7952</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7958</v>
      </c>
      <c r="B665">
        <v>2025</v>
      </c>
      <c r="C665" t="s">
        <v>176</v>
      </c>
      <c r="D665" t="b">
        <f>TRUE()</f>
        <v>1</v>
      </c>
      <c r="E665" t="b">
        <f>COUNTIF(connections!A:A, A665) &gt; 0</f>
        <v>0</v>
      </c>
      <c r="G665" t="s">
        <v>7959</v>
      </c>
      <c r="J665" s="10" t="s">
        <v>7957</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7965</v>
      </c>
      <c r="B680">
        <v>2026</v>
      </c>
      <c r="C680" t="s">
        <v>182</v>
      </c>
      <c r="D680" t="b">
        <f>TRUE()</f>
        <v>1</v>
      </c>
      <c r="E680" t="b">
        <f>COUNTIF(connections!A:A, A680) &gt; 0</f>
        <v>0</v>
      </c>
      <c r="G680" t="s">
        <v>7966</v>
      </c>
      <c r="J680" s="10" t="s">
        <v>7967</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8135</v>
      </c>
      <c r="B706">
        <v>2024</v>
      </c>
      <c r="C706" t="s">
        <v>222</v>
      </c>
      <c r="D706" t="b">
        <f>TRUE()</f>
        <v>1</v>
      </c>
      <c r="E706" t="b">
        <f>COUNTIF(connections!A:A, A706) &gt; 0</f>
        <v>0</v>
      </c>
      <c r="F706" t="s">
        <v>274</v>
      </c>
      <c r="G706" t="s">
        <v>8136</v>
      </c>
      <c r="J706" s="10" t="s">
        <v>8137</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7887</v>
      </c>
      <c r="J709" s="10" t="s">
        <v>7888</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8129</v>
      </c>
      <c r="B727">
        <v>2026</v>
      </c>
      <c r="C727" t="s">
        <v>176</v>
      </c>
      <c r="D727" t="b">
        <f>TRUE()</f>
        <v>1</v>
      </c>
      <c r="E727" t="b">
        <f>COUNTIF(connections!A:A, A727) &gt; 0</f>
        <v>0</v>
      </c>
      <c r="G727" t="s">
        <v>8130</v>
      </c>
      <c r="J727" s="10" t="s">
        <v>8131</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7953</v>
      </c>
      <c r="B782">
        <v>2026</v>
      </c>
      <c r="C782" t="s">
        <v>182</v>
      </c>
      <c r="D782" t="b">
        <f>TRUE()</f>
        <v>1</v>
      </c>
      <c r="E782" t="b">
        <f>COUNTIF(connections!A:A, A782) &gt; 0</f>
        <v>0</v>
      </c>
      <c r="G782" t="s">
        <v>7954</v>
      </c>
      <c r="J782" s="10" t="s">
        <v>7955</v>
      </c>
    </row>
    <row r="783" spans="1:10" x14ac:dyDescent="0.25">
      <c r="A783" t="s">
        <v>2657</v>
      </c>
      <c r="B783">
        <v>2004</v>
      </c>
      <c r="C783" t="s">
        <v>179</v>
      </c>
      <c r="D783" t="b">
        <f>TRUE()</f>
        <v>1</v>
      </c>
      <c r="E783" t="b">
        <f>COUNTIF(connections!A:A, A783) &gt; 0</f>
        <v>0</v>
      </c>
      <c r="G783" t="s">
        <v>2658</v>
      </c>
      <c r="H783" t="s">
        <v>187</v>
      </c>
      <c r="I783" t="s">
        <v>2659</v>
      </c>
    </row>
    <row r="784" spans="1:10" x14ac:dyDescent="0.25">
      <c r="A784" t="s">
        <v>2660</v>
      </c>
      <c r="B784">
        <v>2023</v>
      </c>
      <c r="C784" t="s">
        <v>222</v>
      </c>
      <c r="D784" t="b">
        <f>TRUE()</f>
        <v>1</v>
      </c>
      <c r="E784" t="b">
        <f>COUNTIF(connections!A:A, A784) &gt; 0</f>
        <v>0</v>
      </c>
      <c r="F784" t="s">
        <v>1165</v>
      </c>
      <c r="G784" t="s">
        <v>2661</v>
      </c>
      <c r="H784" t="s">
        <v>187</v>
      </c>
      <c r="I784" t="s">
        <v>2662</v>
      </c>
      <c r="J784" s="1" t="s">
        <v>2663</v>
      </c>
    </row>
    <row r="785" spans="1:10" x14ac:dyDescent="0.25">
      <c r="A785" t="s">
        <v>2664</v>
      </c>
      <c r="B785">
        <v>2024</v>
      </c>
      <c r="C785" t="s">
        <v>176</v>
      </c>
      <c r="D785" t="b">
        <f>TRUE()</f>
        <v>1</v>
      </c>
      <c r="E785" t="b">
        <f>COUNTIF(connections!A:A, A785) &gt; 0</f>
        <v>0</v>
      </c>
      <c r="G785" t="s">
        <v>2665</v>
      </c>
      <c r="H785" t="s">
        <v>187</v>
      </c>
      <c r="I785" t="s">
        <v>2666</v>
      </c>
      <c r="J785" s="1" t="s">
        <v>2667</v>
      </c>
    </row>
    <row r="786" spans="1:10" x14ac:dyDescent="0.25">
      <c r="A786" t="s">
        <v>2668</v>
      </c>
      <c r="B786">
        <v>2025</v>
      </c>
      <c r="C786" t="s">
        <v>182</v>
      </c>
      <c r="D786" t="b">
        <f>TRUE()</f>
        <v>1</v>
      </c>
      <c r="E786" t="b">
        <f>COUNTIF(connections!A:A, A786) &gt; 0</f>
        <v>0</v>
      </c>
      <c r="G786" t="s">
        <v>2669</v>
      </c>
    </row>
    <row r="787" spans="1:10" x14ac:dyDescent="0.25">
      <c r="A787" t="s">
        <v>2670</v>
      </c>
      <c r="B787">
        <v>2024</v>
      </c>
      <c r="C787" t="s">
        <v>176</v>
      </c>
      <c r="D787" t="b">
        <f>TRUE()</f>
        <v>1</v>
      </c>
      <c r="E787" t="b">
        <f>COUNTIF(connections!A:A, A787) &gt; 0</f>
        <v>0</v>
      </c>
      <c r="G787" t="s">
        <v>2671</v>
      </c>
    </row>
    <row r="788" spans="1:10" x14ac:dyDescent="0.25">
      <c r="A788" t="s">
        <v>2672</v>
      </c>
      <c r="B788">
        <v>2026</v>
      </c>
      <c r="C788" t="s">
        <v>182</v>
      </c>
      <c r="D788" t="b">
        <f>TRUE()</f>
        <v>1</v>
      </c>
      <c r="E788" t="b">
        <f>COUNTIF(connections!A:A, A788) &gt; 0</f>
        <v>0</v>
      </c>
      <c r="F788" t="s">
        <v>506</v>
      </c>
      <c r="G788" t="s">
        <v>2673</v>
      </c>
      <c r="H788" t="s">
        <v>187</v>
      </c>
      <c r="I788" t="s">
        <v>2674</v>
      </c>
      <c r="J788" s="1" t="s">
        <v>2675</v>
      </c>
    </row>
    <row r="789" spans="1:10" x14ac:dyDescent="0.25">
      <c r="A789" t="s">
        <v>2676</v>
      </c>
      <c r="B789">
        <v>2022</v>
      </c>
      <c r="C789" t="s">
        <v>176</v>
      </c>
      <c r="D789" t="b">
        <f>TRUE()</f>
        <v>1</v>
      </c>
      <c r="E789" t="b">
        <f>COUNTIF(connections!A:A, A789) &gt; 0</f>
        <v>1</v>
      </c>
      <c r="G789" t="s">
        <v>2677</v>
      </c>
      <c r="H789" t="s">
        <v>187</v>
      </c>
      <c r="I789" t="s">
        <v>2678</v>
      </c>
      <c r="J789" s="1" t="s">
        <v>2679</v>
      </c>
    </row>
    <row r="790" spans="1:10" x14ac:dyDescent="0.25">
      <c r="A790" t="s">
        <v>2680</v>
      </c>
      <c r="B790">
        <v>2018</v>
      </c>
      <c r="C790" t="s">
        <v>176</v>
      </c>
      <c r="D790" t="b">
        <f>TRUE()</f>
        <v>1</v>
      </c>
      <c r="E790" t="b">
        <f>COUNTIF(connections!A:A, A790) &gt; 0</f>
        <v>0</v>
      </c>
      <c r="G790" t="s">
        <v>2681</v>
      </c>
    </row>
    <row r="791" spans="1:10" x14ac:dyDescent="0.25">
      <c r="A791" t="s">
        <v>2682</v>
      </c>
      <c r="B791">
        <v>2014</v>
      </c>
      <c r="C791" t="s">
        <v>179</v>
      </c>
      <c r="D791" t="b">
        <f>TRUE()</f>
        <v>1</v>
      </c>
      <c r="E791" t="b">
        <f>COUNTIF(connections!A:A, A791) &gt; 0</f>
        <v>0</v>
      </c>
      <c r="G791" t="s">
        <v>2683</v>
      </c>
      <c r="J791" s="10" t="s">
        <v>2684</v>
      </c>
    </row>
    <row r="792" spans="1:10" x14ac:dyDescent="0.25">
      <c r="A792" t="s">
        <v>2685</v>
      </c>
      <c r="B792">
        <v>2025</v>
      </c>
      <c r="C792" t="s">
        <v>222</v>
      </c>
      <c r="D792" t="b">
        <f>FALSE()</f>
        <v>0</v>
      </c>
      <c r="E792" t="b">
        <f>COUNTIF(connections!A:A, A792) &gt; 0</f>
        <v>0</v>
      </c>
      <c r="F792" t="s">
        <v>404</v>
      </c>
      <c r="G792" t="s">
        <v>2686</v>
      </c>
    </row>
    <row r="793" spans="1:10" x14ac:dyDescent="0.25">
      <c r="A793" t="s">
        <v>2687</v>
      </c>
      <c r="B793">
        <v>2025</v>
      </c>
      <c r="C793" t="s">
        <v>182</v>
      </c>
      <c r="D793" t="b">
        <f>TRUE()</f>
        <v>1</v>
      </c>
      <c r="E793" t="b">
        <f>COUNTIF(connections!A:A, A793) &gt; 0</f>
        <v>0</v>
      </c>
      <c r="G793" t="s">
        <v>2688</v>
      </c>
    </row>
    <row r="794" spans="1:10" x14ac:dyDescent="0.25">
      <c r="A794" t="s">
        <v>2689</v>
      </c>
      <c r="B794">
        <v>2023</v>
      </c>
      <c r="C794" t="s">
        <v>176</v>
      </c>
      <c r="D794" t="b">
        <f>TRUE()</f>
        <v>1</v>
      </c>
      <c r="E794" t="b">
        <f>COUNTIF(connections!A:A, A794) &gt; 0</f>
        <v>0</v>
      </c>
      <c r="G794" t="s">
        <v>2690</v>
      </c>
      <c r="J794" s="10" t="s">
        <v>2691</v>
      </c>
    </row>
    <row r="795" spans="1:10" x14ac:dyDescent="0.25">
      <c r="A795" t="s">
        <v>2692</v>
      </c>
      <c r="B795">
        <v>2023</v>
      </c>
      <c r="C795" t="s">
        <v>176</v>
      </c>
      <c r="D795" t="b">
        <f>TRUE()</f>
        <v>1</v>
      </c>
      <c r="E795" t="b">
        <f>COUNTIF(connections!A:A, A795) &gt; 0</f>
        <v>0</v>
      </c>
      <c r="G795" t="s">
        <v>2693</v>
      </c>
      <c r="H795" t="s">
        <v>187</v>
      </c>
      <c r="I795" t="s">
        <v>2694</v>
      </c>
      <c r="J795" s="1" t="s">
        <v>2695</v>
      </c>
    </row>
    <row r="796" spans="1:10" x14ac:dyDescent="0.25">
      <c r="A796" t="s">
        <v>7982</v>
      </c>
      <c r="B796">
        <v>2026</v>
      </c>
      <c r="C796" t="s">
        <v>182</v>
      </c>
      <c r="D796" t="b">
        <f>TRUE()</f>
        <v>1</v>
      </c>
      <c r="E796" t="b">
        <f>COUNTIF(connections!A:A, A796) &gt; 0</f>
        <v>0</v>
      </c>
      <c r="G796" t="s">
        <v>7983</v>
      </c>
      <c r="J796" s="10" t="s">
        <v>7984</v>
      </c>
    </row>
    <row r="797" spans="1:10" x14ac:dyDescent="0.25">
      <c r="A797" t="s">
        <v>2696</v>
      </c>
      <c r="B797">
        <v>2025</v>
      </c>
      <c r="C797" t="s">
        <v>182</v>
      </c>
      <c r="D797" t="b">
        <f>TRUE()</f>
        <v>1</v>
      </c>
      <c r="E797" t="b">
        <f>COUNTIF(connections!A:A, A797) &gt; 0</f>
        <v>1</v>
      </c>
      <c r="F797" t="s">
        <v>1031</v>
      </c>
      <c r="G797" t="s">
        <v>2697</v>
      </c>
      <c r="J797" s="10" t="s">
        <v>2698</v>
      </c>
    </row>
    <row r="798" spans="1:10" x14ac:dyDescent="0.25">
      <c r="A798" t="s">
        <v>2699</v>
      </c>
      <c r="B798">
        <v>2022</v>
      </c>
      <c r="C798" t="s">
        <v>176</v>
      </c>
      <c r="D798" t="b">
        <f>TRUE()</f>
        <v>1</v>
      </c>
      <c r="E798" t="b">
        <f>COUNTIF(connections!A:A, A798) &gt; 0</f>
        <v>1</v>
      </c>
      <c r="G798" t="s">
        <v>2700</v>
      </c>
      <c r="H798" t="s">
        <v>187</v>
      </c>
      <c r="I798" t="s">
        <v>2701</v>
      </c>
      <c r="J798" s="1" t="s">
        <v>2702</v>
      </c>
    </row>
    <row r="799" spans="1:10" x14ac:dyDescent="0.25">
      <c r="A799" t="s">
        <v>2703</v>
      </c>
      <c r="B799">
        <v>2022</v>
      </c>
      <c r="C799" t="s">
        <v>222</v>
      </c>
      <c r="D799" t="b">
        <f>TRUE()</f>
        <v>1</v>
      </c>
      <c r="E799" t="b">
        <f>COUNTIF(connections!A:A, A799) &gt; 0</f>
        <v>0</v>
      </c>
      <c r="G799" t="s">
        <v>2704</v>
      </c>
      <c r="H799" t="s">
        <v>187</v>
      </c>
      <c r="I799" t="s">
        <v>2705</v>
      </c>
      <c r="J799" s="1" t="s">
        <v>2706</v>
      </c>
    </row>
    <row r="800" spans="1:10" x14ac:dyDescent="0.25">
      <c r="A800" t="s">
        <v>2707</v>
      </c>
      <c r="B800">
        <v>1991</v>
      </c>
      <c r="C800" t="s">
        <v>176</v>
      </c>
      <c r="D800" t="b">
        <f>TRUE()</f>
        <v>1</v>
      </c>
      <c r="E800" t="b">
        <f>COUNTIF(connections!A:A, A800) &gt; 0</f>
        <v>1</v>
      </c>
      <c r="G800" t="s">
        <v>2708</v>
      </c>
      <c r="H800" t="s">
        <v>187</v>
      </c>
      <c r="I800" t="s">
        <v>2709</v>
      </c>
    </row>
    <row r="801" spans="1:10" x14ac:dyDescent="0.25">
      <c r="A801" t="s">
        <v>2710</v>
      </c>
      <c r="B801">
        <v>2019</v>
      </c>
      <c r="C801" t="s">
        <v>176</v>
      </c>
      <c r="D801" t="b">
        <f>TRUE()</f>
        <v>1</v>
      </c>
      <c r="E801" t="b">
        <f>COUNTIF(connections!A:A, A801) &gt; 0</f>
        <v>0</v>
      </c>
      <c r="G801" t="s">
        <v>2711</v>
      </c>
    </row>
    <row r="802" spans="1:10" x14ac:dyDescent="0.25">
      <c r="A802" t="s">
        <v>2712</v>
      </c>
      <c r="B802">
        <v>2022</v>
      </c>
      <c r="C802" t="s">
        <v>176</v>
      </c>
      <c r="D802" t="b">
        <f>TRUE()</f>
        <v>1</v>
      </c>
      <c r="E802" t="b">
        <f>COUNTIF(connections!A:A, A802) &gt; 0</f>
        <v>0</v>
      </c>
      <c r="G802" t="s">
        <v>2713</v>
      </c>
      <c r="H802" t="s">
        <v>187</v>
      </c>
      <c r="I802" t="s">
        <v>2714</v>
      </c>
      <c r="J802" s="1" t="s">
        <v>2715</v>
      </c>
    </row>
    <row r="803" spans="1:10" x14ac:dyDescent="0.25">
      <c r="A803" t="s">
        <v>2716</v>
      </c>
      <c r="B803">
        <v>1999</v>
      </c>
      <c r="C803" t="s">
        <v>179</v>
      </c>
      <c r="D803" t="b">
        <f>TRUE()</f>
        <v>1</v>
      </c>
      <c r="E803" t="b">
        <f>COUNTIF(connections!A:A, A803) &gt; 0</f>
        <v>1</v>
      </c>
      <c r="G803" t="s">
        <v>2717</v>
      </c>
      <c r="H803" t="s">
        <v>187</v>
      </c>
      <c r="I803" t="s">
        <v>2718</v>
      </c>
    </row>
    <row r="804" spans="1:10" x14ac:dyDescent="0.25">
      <c r="A804" t="s">
        <v>2719</v>
      </c>
      <c r="B804">
        <v>2002</v>
      </c>
      <c r="C804" t="s">
        <v>179</v>
      </c>
      <c r="D804" t="b">
        <f>TRUE()</f>
        <v>1</v>
      </c>
      <c r="E804" t="b">
        <f>COUNTIF(connections!A:A, A804) &gt; 0</f>
        <v>0</v>
      </c>
      <c r="G804" t="s">
        <v>2720</v>
      </c>
      <c r="H804" t="s">
        <v>187</v>
      </c>
      <c r="I804" t="s">
        <v>2721</v>
      </c>
    </row>
    <row r="805" spans="1:10" x14ac:dyDescent="0.25">
      <c r="A805" t="s">
        <v>2722</v>
      </c>
      <c r="B805">
        <v>1993</v>
      </c>
      <c r="C805" t="s">
        <v>179</v>
      </c>
      <c r="D805" t="b">
        <f>TRUE()</f>
        <v>1</v>
      </c>
      <c r="E805" t="b">
        <f>COUNTIF(connections!A:A, A805) &gt; 0</f>
        <v>1</v>
      </c>
      <c r="G805" t="s">
        <v>2723</v>
      </c>
      <c r="H805" t="s">
        <v>187</v>
      </c>
      <c r="I805" t="s">
        <v>2724</v>
      </c>
    </row>
    <row r="806" spans="1:10" x14ac:dyDescent="0.25">
      <c r="A806" t="s">
        <v>2725</v>
      </c>
      <c r="B806">
        <v>2025</v>
      </c>
      <c r="C806" t="s">
        <v>179</v>
      </c>
      <c r="D806" t="b">
        <f>TRUE()</f>
        <v>1</v>
      </c>
      <c r="E806" t="b">
        <f>COUNTIF(connections!A:A, A806) &gt; 0</f>
        <v>0</v>
      </c>
      <c r="F806" t="s">
        <v>328</v>
      </c>
      <c r="G806" t="s">
        <v>2726</v>
      </c>
      <c r="H806" t="s">
        <v>187</v>
      </c>
      <c r="I806" t="s">
        <v>2727</v>
      </c>
      <c r="J806" s="1" t="s">
        <v>2728</v>
      </c>
    </row>
    <row r="807" spans="1:10" x14ac:dyDescent="0.25">
      <c r="A807" t="s">
        <v>2729</v>
      </c>
      <c r="B807">
        <v>2024</v>
      </c>
      <c r="C807" t="s">
        <v>179</v>
      </c>
      <c r="D807" t="b">
        <f>TRUE()</f>
        <v>1</v>
      </c>
      <c r="E807" t="b">
        <f>COUNTIF(connections!A:A, A807) &gt; 0</f>
        <v>0</v>
      </c>
      <c r="F807" t="s">
        <v>328</v>
      </c>
      <c r="G807" t="s">
        <v>2730</v>
      </c>
      <c r="J807" s="10" t="s">
        <v>2731</v>
      </c>
    </row>
    <row r="808" spans="1:10" x14ac:dyDescent="0.25">
      <c r="A808" t="s">
        <v>2732</v>
      </c>
      <c r="B808">
        <v>2021</v>
      </c>
      <c r="C808" t="s">
        <v>179</v>
      </c>
      <c r="D808" t="b">
        <f>TRUE()</f>
        <v>1</v>
      </c>
      <c r="E808" t="b">
        <f>COUNTIF(connections!A:A, A808) &gt; 0</f>
        <v>0</v>
      </c>
      <c r="F808" t="s">
        <v>328</v>
      </c>
      <c r="G808" t="s">
        <v>2733</v>
      </c>
      <c r="J808" s="10" t="s">
        <v>2734</v>
      </c>
    </row>
    <row r="809" spans="1:10" x14ac:dyDescent="0.25">
      <c r="A809" t="s">
        <v>2735</v>
      </c>
      <c r="B809">
        <v>2022</v>
      </c>
      <c r="C809" t="s">
        <v>182</v>
      </c>
      <c r="D809" t="b">
        <f>TRUE()</f>
        <v>1</v>
      </c>
      <c r="E809" t="b">
        <f>COUNTIF(connections!A:A, A809) &gt; 0</f>
        <v>0</v>
      </c>
      <c r="F809" t="s">
        <v>328</v>
      </c>
      <c r="G809" t="s">
        <v>2736</v>
      </c>
    </row>
    <row r="810" spans="1:10" x14ac:dyDescent="0.25">
      <c r="A810" t="s">
        <v>2737</v>
      </c>
      <c r="B810">
        <v>2025</v>
      </c>
      <c r="C810" t="s">
        <v>222</v>
      </c>
      <c r="D810" t="b">
        <f>TRUE()</f>
        <v>1</v>
      </c>
      <c r="E810" t="b">
        <f>COUNTIF(connections!A:A, A810) &gt; 0</f>
        <v>0</v>
      </c>
      <c r="G810" t="s">
        <v>2738</v>
      </c>
    </row>
    <row r="811" spans="1:10" x14ac:dyDescent="0.25">
      <c r="A811" t="s">
        <v>2739</v>
      </c>
      <c r="B811">
        <v>2023</v>
      </c>
      <c r="C811" t="s">
        <v>182</v>
      </c>
      <c r="D811" t="b">
        <f>TRUE()</f>
        <v>1</v>
      </c>
      <c r="E811" t="b">
        <f>COUNTIF(connections!A:A, A811) &gt; 0</f>
        <v>0</v>
      </c>
      <c r="F811" t="s">
        <v>404</v>
      </c>
      <c r="G811" t="s">
        <v>2740</v>
      </c>
      <c r="H811" t="s">
        <v>187</v>
      </c>
      <c r="I811" t="s">
        <v>2741</v>
      </c>
      <c r="J811" s="1" t="s">
        <v>2742</v>
      </c>
    </row>
    <row r="812" spans="1:10" x14ac:dyDescent="0.25">
      <c r="A812" t="s">
        <v>2743</v>
      </c>
      <c r="B812">
        <v>2024</v>
      </c>
      <c r="C812" t="s">
        <v>222</v>
      </c>
      <c r="D812" t="b">
        <f>TRUE()</f>
        <v>1</v>
      </c>
      <c r="E812" t="b">
        <f>COUNTIF(connections!A:A, A812) &gt; 0</f>
        <v>0</v>
      </c>
      <c r="F812" t="s">
        <v>404</v>
      </c>
      <c r="G812" t="s">
        <v>2744</v>
      </c>
    </row>
    <row r="813" spans="1:10" x14ac:dyDescent="0.25">
      <c r="A813" t="s">
        <v>2745</v>
      </c>
      <c r="B813">
        <v>2017</v>
      </c>
      <c r="C813" t="s">
        <v>176</v>
      </c>
      <c r="D813" t="b">
        <f>TRUE()</f>
        <v>1</v>
      </c>
      <c r="E813" t="b">
        <f>COUNTIF(connections!A:A, A813) &gt; 0</f>
        <v>0</v>
      </c>
      <c r="G813" t="s">
        <v>2746</v>
      </c>
      <c r="J813" s="10" t="s">
        <v>2747</v>
      </c>
    </row>
    <row r="814" spans="1:10" x14ac:dyDescent="0.25">
      <c r="A814" t="s">
        <v>2748</v>
      </c>
      <c r="B814">
        <v>2014</v>
      </c>
      <c r="C814" t="s">
        <v>176</v>
      </c>
      <c r="D814" t="b">
        <f>TRUE()</f>
        <v>1</v>
      </c>
      <c r="E814" t="b">
        <f>COUNTIF(connections!A:A, A814) &gt; 0</f>
        <v>1</v>
      </c>
      <c r="G814" t="s">
        <v>2749</v>
      </c>
      <c r="H814" t="s">
        <v>187</v>
      </c>
      <c r="I814" t="s">
        <v>2750</v>
      </c>
      <c r="J814" s="1" t="s">
        <v>2751</v>
      </c>
    </row>
    <row r="815" spans="1:10" x14ac:dyDescent="0.25">
      <c r="A815" t="s">
        <v>2752</v>
      </c>
      <c r="B815">
        <v>2021</v>
      </c>
      <c r="C815" t="s">
        <v>182</v>
      </c>
      <c r="D815" t="b">
        <f>TRUE()</f>
        <v>1</v>
      </c>
      <c r="E815" t="b">
        <f>COUNTIF(connections!A:A, A815) &gt; 0</f>
        <v>1</v>
      </c>
      <c r="F815" t="s">
        <v>404</v>
      </c>
      <c r="G815" t="s">
        <v>2753</v>
      </c>
      <c r="H815" t="s">
        <v>187</v>
      </c>
      <c r="I815" t="s">
        <v>2754</v>
      </c>
      <c r="J815" s="1" t="s">
        <v>2755</v>
      </c>
    </row>
    <row r="816" spans="1:10" x14ac:dyDescent="0.25">
      <c r="A816" t="s">
        <v>2756</v>
      </c>
      <c r="B816">
        <v>2025</v>
      </c>
      <c r="C816" t="s">
        <v>182</v>
      </c>
      <c r="D816" t="b">
        <f>TRUE()</f>
        <v>1</v>
      </c>
      <c r="E816" t="b">
        <f>COUNTIF(connections!A:A, A816) &gt; 0</f>
        <v>0</v>
      </c>
      <c r="G816" t="s">
        <v>2757</v>
      </c>
    </row>
    <row r="817" spans="1:10" x14ac:dyDescent="0.25">
      <c r="A817" t="s">
        <v>8141</v>
      </c>
      <c r="B817">
        <v>2024</v>
      </c>
      <c r="C817" t="s">
        <v>222</v>
      </c>
      <c r="D817" t="b">
        <f>TRUE()</f>
        <v>1</v>
      </c>
      <c r="E817" t="b">
        <f>COUNTIF(connections!A:A, A817) &gt; 0</f>
        <v>0</v>
      </c>
      <c r="G817" t="s">
        <v>8142</v>
      </c>
      <c r="J817" s="10" t="s">
        <v>8143</v>
      </c>
    </row>
    <row r="818" spans="1:10" x14ac:dyDescent="0.25">
      <c r="A818" t="s">
        <v>2758</v>
      </c>
      <c r="B818">
        <v>2019</v>
      </c>
      <c r="C818" t="s">
        <v>182</v>
      </c>
      <c r="D818" t="b">
        <f>TRUE()</f>
        <v>1</v>
      </c>
      <c r="E818" t="b">
        <f>COUNTIF(connections!A:A, A818) &gt; 0</f>
        <v>0</v>
      </c>
      <c r="G818" t="s">
        <v>2759</v>
      </c>
      <c r="J818" s="1" t="s">
        <v>2760</v>
      </c>
    </row>
    <row r="819" spans="1:10" x14ac:dyDescent="0.25">
      <c r="A819" t="s">
        <v>2761</v>
      </c>
      <c r="B819">
        <v>2017</v>
      </c>
      <c r="C819" t="s">
        <v>176</v>
      </c>
      <c r="D819" t="b">
        <f>TRUE()</f>
        <v>1</v>
      </c>
      <c r="E819" t="b">
        <f>COUNTIF(connections!A:A, A819) &gt; 0</f>
        <v>0</v>
      </c>
      <c r="G819" t="s">
        <v>2762</v>
      </c>
      <c r="J819" s="10" t="s">
        <v>2763</v>
      </c>
    </row>
    <row r="820" spans="1:10" x14ac:dyDescent="0.25">
      <c r="A820" t="s">
        <v>2764</v>
      </c>
      <c r="B820">
        <v>2026</v>
      </c>
      <c r="C820" t="s">
        <v>182</v>
      </c>
      <c r="D820" t="b">
        <f>TRUE()</f>
        <v>1</v>
      </c>
      <c r="E820" t="b">
        <f>COUNTIF(connections!A:A, A820) &gt; 0</f>
        <v>0</v>
      </c>
      <c r="G820" t="s">
        <v>2765</v>
      </c>
      <c r="J820" s="1" t="s">
        <v>2766</v>
      </c>
    </row>
    <row r="821" spans="1:10" x14ac:dyDescent="0.25">
      <c r="A821" t="s">
        <v>2767</v>
      </c>
      <c r="B821">
        <v>2025</v>
      </c>
      <c r="C821" t="s">
        <v>176</v>
      </c>
      <c r="D821" t="b">
        <f>TRUE()</f>
        <v>1</v>
      </c>
      <c r="E821" t="b">
        <f>COUNTIF(connections!A:A, A821) &gt; 0</f>
        <v>0</v>
      </c>
      <c r="G821" t="s">
        <v>2768</v>
      </c>
      <c r="J821" s="1" t="s">
        <v>2769</v>
      </c>
    </row>
    <row r="822" spans="1:10" x14ac:dyDescent="0.25">
      <c r="A822" t="s">
        <v>2770</v>
      </c>
      <c r="B822">
        <v>2012</v>
      </c>
      <c r="C822" t="s">
        <v>179</v>
      </c>
      <c r="D822" t="b">
        <f>TRUE()</f>
        <v>1</v>
      </c>
      <c r="E822" t="b">
        <f>COUNTIF(connections!A:A, A822) &gt; 0</f>
        <v>0</v>
      </c>
      <c r="G822" t="s">
        <v>2771</v>
      </c>
    </row>
    <row r="823" spans="1:10" x14ac:dyDescent="0.25">
      <c r="A823" t="s">
        <v>2772</v>
      </c>
      <c r="B823">
        <v>2021</v>
      </c>
      <c r="C823" t="s">
        <v>179</v>
      </c>
      <c r="D823" t="b">
        <f>TRUE()</f>
        <v>1</v>
      </c>
      <c r="E823" t="b">
        <f>COUNTIF(connections!A:A, A823) &gt; 0</f>
        <v>0</v>
      </c>
      <c r="G823" t="s">
        <v>2773</v>
      </c>
      <c r="H823" t="s">
        <v>187</v>
      </c>
      <c r="I823" t="s">
        <v>2774</v>
      </c>
      <c r="J823" s="1" t="s">
        <v>2775</v>
      </c>
    </row>
    <row r="824" spans="1:10" x14ac:dyDescent="0.25">
      <c r="A824" t="s">
        <v>7718</v>
      </c>
      <c r="B824">
        <v>2026</v>
      </c>
      <c r="C824" t="s">
        <v>182</v>
      </c>
      <c r="D824" t="b">
        <f>TRUE()</f>
        <v>1</v>
      </c>
      <c r="E824" t="b">
        <f>COUNTIF(connections!A:A, A824) &gt; 0</f>
        <v>0</v>
      </c>
      <c r="G824" t="s">
        <v>7719</v>
      </c>
      <c r="J824" s="10" t="s">
        <v>7717</v>
      </c>
    </row>
    <row r="825" spans="1:10" x14ac:dyDescent="0.25">
      <c r="A825" t="s">
        <v>2776</v>
      </c>
      <c r="B825">
        <v>2021</v>
      </c>
      <c r="C825" t="s">
        <v>222</v>
      </c>
      <c r="D825" t="b">
        <f>FALSE()</f>
        <v>0</v>
      </c>
      <c r="E825" t="b">
        <f>COUNTIF(connections!A:A, A825) &gt; 0</f>
        <v>0</v>
      </c>
      <c r="F825" t="s">
        <v>2777</v>
      </c>
      <c r="G825" t="s">
        <v>2778</v>
      </c>
      <c r="H825" t="s">
        <v>187</v>
      </c>
      <c r="I825" t="s">
        <v>2779</v>
      </c>
      <c r="J825" s="1" t="s">
        <v>2780</v>
      </c>
    </row>
    <row r="826" spans="1:10" x14ac:dyDescent="0.25">
      <c r="A826" t="s">
        <v>2781</v>
      </c>
      <c r="B826">
        <v>2024</v>
      </c>
      <c r="C826" t="s">
        <v>176</v>
      </c>
      <c r="D826" t="b">
        <f>FALSE()</f>
        <v>0</v>
      </c>
      <c r="E826" t="b">
        <f>COUNTIF(connections!A:A, A826) &gt; 0</f>
        <v>0</v>
      </c>
      <c r="F826" t="s">
        <v>277</v>
      </c>
      <c r="G826" t="s">
        <v>2782</v>
      </c>
    </row>
    <row r="827" spans="1:10" x14ac:dyDescent="0.25">
      <c r="A827" t="s">
        <v>2783</v>
      </c>
      <c r="B827">
        <v>2019</v>
      </c>
      <c r="C827" t="s">
        <v>176</v>
      </c>
      <c r="D827" t="b">
        <f>TRUE()</f>
        <v>1</v>
      </c>
      <c r="E827" t="b">
        <f>COUNTIF(connections!A:A, A827) &gt; 0</f>
        <v>1</v>
      </c>
      <c r="F827" t="s">
        <v>617</v>
      </c>
      <c r="G827" t="s">
        <v>2784</v>
      </c>
      <c r="H827" t="s">
        <v>187</v>
      </c>
      <c r="I827" t="s">
        <v>2785</v>
      </c>
      <c r="J827" s="1" t="s">
        <v>2786</v>
      </c>
    </row>
    <row r="828" spans="1:10" x14ac:dyDescent="0.25">
      <c r="A828" t="s">
        <v>2787</v>
      </c>
      <c r="B828">
        <v>2025</v>
      </c>
      <c r="C828" t="s">
        <v>176</v>
      </c>
      <c r="D828" t="b">
        <f>TRUE()</f>
        <v>1</v>
      </c>
      <c r="E828" t="b">
        <f>COUNTIF(connections!A:A, A828) &gt; 0</f>
        <v>0</v>
      </c>
      <c r="F828" t="s">
        <v>617</v>
      </c>
      <c r="G828" t="s">
        <v>2788</v>
      </c>
    </row>
    <row r="829" spans="1:10" x14ac:dyDescent="0.25">
      <c r="A829" t="s">
        <v>2789</v>
      </c>
      <c r="B829">
        <v>2017</v>
      </c>
      <c r="C829" t="s">
        <v>176</v>
      </c>
      <c r="D829" t="b">
        <f>TRUE()</f>
        <v>1</v>
      </c>
      <c r="E829" t="b">
        <f>COUNTIF(connections!A:A, A829) &gt; 0</f>
        <v>1</v>
      </c>
      <c r="G829" t="s">
        <v>2790</v>
      </c>
    </row>
    <row r="830" spans="1:10" x14ac:dyDescent="0.25">
      <c r="A830" t="s">
        <v>2791</v>
      </c>
      <c r="B830">
        <v>2022</v>
      </c>
      <c r="C830" t="s">
        <v>176</v>
      </c>
      <c r="D830" t="b">
        <f>TRUE()</f>
        <v>1</v>
      </c>
      <c r="E830" t="b">
        <f>COUNTIF(connections!A:A, A830) &gt; 0</f>
        <v>0</v>
      </c>
      <c r="G830" t="s">
        <v>2792</v>
      </c>
    </row>
    <row r="831" spans="1:10" x14ac:dyDescent="0.25">
      <c r="A831" t="s">
        <v>2793</v>
      </c>
      <c r="B831">
        <v>1992</v>
      </c>
      <c r="C831" t="s">
        <v>179</v>
      </c>
      <c r="D831" t="b">
        <f>TRUE()</f>
        <v>1</v>
      </c>
      <c r="E831" t="b">
        <f>COUNTIF(connections!A:A, A831) &gt; 0</f>
        <v>1</v>
      </c>
      <c r="G831" t="s">
        <v>2794</v>
      </c>
      <c r="H831" t="s">
        <v>187</v>
      </c>
      <c r="I831" t="s">
        <v>2795</v>
      </c>
      <c r="J831" s="1" t="s">
        <v>2796</v>
      </c>
    </row>
    <row r="832" spans="1:10" x14ac:dyDescent="0.25">
      <c r="A832" t="s">
        <v>2797</v>
      </c>
      <c r="B832">
        <v>2018</v>
      </c>
      <c r="C832" t="s">
        <v>176</v>
      </c>
      <c r="D832" t="b">
        <f>TRUE()</f>
        <v>1</v>
      </c>
      <c r="E832" t="b">
        <f>COUNTIF(connections!A:A, A832) &gt; 0</f>
        <v>0</v>
      </c>
      <c r="G832" t="s">
        <v>2798</v>
      </c>
    </row>
    <row r="833" spans="1:10" x14ac:dyDescent="0.25">
      <c r="A833" t="s">
        <v>2799</v>
      </c>
      <c r="B833">
        <v>2026</v>
      </c>
      <c r="C833" t="s">
        <v>182</v>
      </c>
      <c r="D833" t="b">
        <f>TRUE()</f>
        <v>1</v>
      </c>
      <c r="E833" t="b">
        <f>COUNTIF(connections!A:A, A833) &gt; 0</f>
        <v>0</v>
      </c>
      <c r="F833" t="s">
        <v>1806</v>
      </c>
      <c r="G833" t="s">
        <v>2800</v>
      </c>
    </row>
    <row r="834" spans="1:10" x14ac:dyDescent="0.25">
      <c r="A834" t="s">
        <v>2801</v>
      </c>
      <c r="B834">
        <v>2023</v>
      </c>
      <c r="C834" t="s">
        <v>176</v>
      </c>
      <c r="D834" t="b">
        <f>TRUE()</f>
        <v>1</v>
      </c>
      <c r="E834" t="b">
        <f>COUNTIF(connections!A:A, A834) &gt; 0</f>
        <v>0</v>
      </c>
      <c r="F834" t="s">
        <v>1806</v>
      </c>
      <c r="G834" t="s">
        <v>2802</v>
      </c>
      <c r="H834" t="s">
        <v>187</v>
      </c>
      <c r="I834" t="s">
        <v>2803</v>
      </c>
      <c r="J834" s="1" t="s">
        <v>2804</v>
      </c>
    </row>
    <row r="835" spans="1:10" x14ac:dyDescent="0.25">
      <c r="A835" t="s">
        <v>2805</v>
      </c>
      <c r="B835">
        <v>2021</v>
      </c>
      <c r="C835" t="s">
        <v>176</v>
      </c>
      <c r="D835" t="b">
        <f>TRUE()</f>
        <v>1</v>
      </c>
      <c r="E835" t="b">
        <f>COUNTIF(connections!A:A, A835) &gt; 0</f>
        <v>1</v>
      </c>
      <c r="F835" t="s">
        <v>1806</v>
      </c>
      <c r="G835" t="s">
        <v>2806</v>
      </c>
      <c r="H835" t="s">
        <v>187</v>
      </c>
      <c r="I835" t="s">
        <v>2807</v>
      </c>
      <c r="J835" s="1" t="s">
        <v>2808</v>
      </c>
    </row>
    <row r="836" spans="1:10" x14ac:dyDescent="0.25">
      <c r="A836" t="s">
        <v>2809</v>
      </c>
      <c r="B836">
        <v>2020</v>
      </c>
      <c r="C836" t="s">
        <v>182</v>
      </c>
      <c r="D836" t="b">
        <f>TRUE()</f>
        <v>1</v>
      </c>
      <c r="E836" t="b">
        <f>COUNTIF(connections!A:A, A836) &gt; 0</f>
        <v>0</v>
      </c>
      <c r="G836" t="s">
        <v>2810</v>
      </c>
      <c r="H836" t="s">
        <v>187</v>
      </c>
      <c r="I836" t="s">
        <v>2811</v>
      </c>
      <c r="J836" s="1" t="s">
        <v>2812</v>
      </c>
    </row>
    <row r="837" spans="1:10" x14ac:dyDescent="0.25">
      <c r="A837" t="s">
        <v>2813</v>
      </c>
      <c r="B837">
        <v>2024</v>
      </c>
      <c r="C837" t="s">
        <v>176</v>
      </c>
      <c r="D837" t="b">
        <f>TRUE()</f>
        <v>1</v>
      </c>
      <c r="E837" t="b">
        <f>COUNTIF(connections!A:A, A837) &gt; 0</f>
        <v>0</v>
      </c>
      <c r="G837" t="s">
        <v>2814</v>
      </c>
    </row>
    <row r="838" spans="1:10" x14ac:dyDescent="0.25">
      <c r="A838" t="s">
        <v>2815</v>
      </c>
      <c r="B838">
        <v>2026</v>
      </c>
      <c r="C838" t="s">
        <v>176</v>
      </c>
      <c r="D838" t="b">
        <f>TRUE()</f>
        <v>1</v>
      </c>
      <c r="E838" t="b">
        <f>COUNTIF(connections!A:A, A838) &gt; 0</f>
        <v>0</v>
      </c>
      <c r="F838" t="s">
        <v>277</v>
      </c>
      <c r="G838" t="s">
        <v>2816</v>
      </c>
      <c r="H838" t="s">
        <v>187</v>
      </c>
      <c r="I838" t="s">
        <v>2817</v>
      </c>
      <c r="J838" s="1" t="s">
        <v>2818</v>
      </c>
    </row>
    <row r="839" spans="1:10" x14ac:dyDescent="0.25">
      <c r="A839" t="s">
        <v>2819</v>
      </c>
      <c r="B839">
        <v>2021</v>
      </c>
      <c r="C839" t="s">
        <v>182</v>
      </c>
      <c r="D839" t="b">
        <f>TRUE()</f>
        <v>1</v>
      </c>
      <c r="E839" t="b">
        <f>COUNTIF(connections!A:A, A839) &gt; 0</f>
        <v>1</v>
      </c>
      <c r="F839" t="s">
        <v>1031</v>
      </c>
      <c r="G839" t="s">
        <v>2820</v>
      </c>
    </row>
    <row r="840" spans="1:10" x14ac:dyDescent="0.25">
      <c r="A840" t="s">
        <v>2821</v>
      </c>
      <c r="B840">
        <v>2025</v>
      </c>
      <c r="C840" t="s">
        <v>182</v>
      </c>
      <c r="D840" t="b">
        <f>TRUE()</f>
        <v>1</v>
      </c>
      <c r="E840" t="b">
        <f>COUNTIF(connections!A:A, A840) &gt; 0</f>
        <v>0</v>
      </c>
      <c r="G840" t="s">
        <v>2822</v>
      </c>
    </row>
    <row r="841" spans="1:10" x14ac:dyDescent="0.25">
      <c r="A841" t="s">
        <v>2823</v>
      </c>
      <c r="B841">
        <v>2026</v>
      </c>
      <c r="C841" t="s">
        <v>182</v>
      </c>
      <c r="D841" t="b">
        <f>TRUE()</f>
        <v>1</v>
      </c>
      <c r="E841" t="b">
        <f>COUNTIF(connections!A:A, A841) &gt; 0</f>
        <v>0</v>
      </c>
      <c r="G841" t="s">
        <v>2824</v>
      </c>
    </row>
    <row r="842" spans="1:10" x14ac:dyDescent="0.25">
      <c r="A842" t="s">
        <v>2825</v>
      </c>
      <c r="B842">
        <v>2019</v>
      </c>
      <c r="C842" t="s">
        <v>176</v>
      </c>
      <c r="D842" t="b">
        <f>TRUE()</f>
        <v>1</v>
      </c>
      <c r="E842" t="b">
        <f>COUNTIF(connections!A:A, A842) &gt; 0</f>
        <v>1</v>
      </c>
      <c r="F842" t="s">
        <v>274</v>
      </c>
      <c r="G842" t="s">
        <v>2826</v>
      </c>
      <c r="H842" t="s">
        <v>187</v>
      </c>
      <c r="I842" t="s">
        <v>2827</v>
      </c>
      <c r="J842" s="1" t="s">
        <v>2828</v>
      </c>
    </row>
    <row r="843" spans="1:10" x14ac:dyDescent="0.25">
      <c r="A843" t="s">
        <v>2829</v>
      </c>
      <c r="B843">
        <v>2022</v>
      </c>
      <c r="C843" t="s">
        <v>176</v>
      </c>
      <c r="D843" t="b">
        <f>TRUE()</f>
        <v>1</v>
      </c>
      <c r="E843" t="b">
        <f>COUNTIF(connections!A:A, A843) &gt; 0</f>
        <v>1</v>
      </c>
      <c r="G843" t="s">
        <v>2830</v>
      </c>
      <c r="H843" t="s">
        <v>187</v>
      </c>
      <c r="I843" t="s">
        <v>2831</v>
      </c>
      <c r="J843" s="10" t="s">
        <v>2832</v>
      </c>
    </row>
    <row r="844" spans="1:10" x14ac:dyDescent="0.25">
      <c r="A844" t="s">
        <v>2833</v>
      </c>
      <c r="B844">
        <v>2024</v>
      </c>
      <c r="C844" t="s">
        <v>222</v>
      </c>
      <c r="D844" t="b">
        <f>TRUE()</f>
        <v>1</v>
      </c>
      <c r="E844" t="b">
        <f>COUNTIF(connections!A:A, A844) &gt; 0</f>
        <v>0</v>
      </c>
      <c r="F844" t="s">
        <v>274</v>
      </c>
      <c r="G844" t="s">
        <v>2834</v>
      </c>
    </row>
    <row r="845" spans="1:10" x14ac:dyDescent="0.25">
      <c r="A845" t="s">
        <v>2835</v>
      </c>
      <c r="B845">
        <v>2023</v>
      </c>
      <c r="C845" t="s">
        <v>176</v>
      </c>
      <c r="D845" t="b">
        <f>TRUE()</f>
        <v>1</v>
      </c>
      <c r="E845" t="b">
        <f>COUNTIF(connections!A:A, A845) &gt; 0</f>
        <v>0</v>
      </c>
      <c r="G845" t="s">
        <v>2836</v>
      </c>
      <c r="H845" t="s">
        <v>187</v>
      </c>
      <c r="I845" t="s">
        <v>2837</v>
      </c>
      <c r="J845" s="1" t="s">
        <v>2838</v>
      </c>
    </row>
    <row r="846" spans="1:10" x14ac:dyDescent="0.25">
      <c r="A846" t="s">
        <v>2839</v>
      </c>
      <c r="B846">
        <v>2024</v>
      </c>
      <c r="C846" t="s">
        <v>176</v>
      </c>
      <c r="D846" t="b">
        <f>TRUE()</f>
        <v>1</v>
      </c>
      <c r="E846" t="b">
        <f>COUNTIF(connections!A:A, A846) &gt; 0</f>
        <v>0</v>
      </c>
      <c r="G846" t="s">
        <v>2840</v>
      </c>
    </row>
    <row r="847" spans="1:10" x14ac:dyDescent="0.25">
      <c r="A847" t="s">
        <v>2841</v>
      </c>
      <c r="B847">
        <v>2024</v>
      </c>
      <c r="C847" t="s">
        <v>176</v>
      </c>
      <c r="D847" t="b">
        <v>1</v>
      </c>
      <c r="E847" t="b">
        <f>COUNTIF(connections!A:A, A847) &gt; 0</f>
        <v>0</v>
      </c>
      <c r="G847" t="s">
        <v>2842</v>
      </c>
      <c r="J847" s="1" t="s">
        <v>2843</v>
      </c>
    </row>
    <row r="848" spans="1:10" x14ac:dyDescent="0.25">
      <c r="A848" t="s">
        <v>2844</v>
      </c>
      <c r="B848">
        <v>1998</v>
      </c>
      <c r="C848" t="s">
        <v>179</v>
      </c>
      <c r="D848" t="b">
        <f>TRUE()</f>
        <v>1</v>
      </c>
      <c r="E848" t="b">
        <f>COUNTIF(connections!A:A, A848) &gt; 0</f>
        <v>0</v>
      </c>
      <c r="G848" t="s">
        <v>2845</v>
      </c>
      <c r="H848" t="s">
        <v>187</v>
      </c>
      <c r="I848" t="s">
        <v>2846</v>
      </c>
    </row>
    <row r="849" spans="1:10" x14ac:dyDescent="0.25">
      <c r="A849" t="s">
        <v>2847</v>
      </c>
      <c r="B849">
        <v>2023</v>
      </c>
      <c r="C849" t="s">
        <v>222</v>
      </c>
      <c r="D849" t="b">
        <f>TRUE()</f>
        <v>1</v>
      </c>
      <c r="E849" t="b">
        <f>COUNTIF(connections!A:A, A849) &gt; 0</f>
        <v>1</v>
      </c>
      <c r="F849" t="s">
        <v>617</v>
      </c>
      <c r="G849" t="s">
        <v>2848</v>
      </c>
      <c r="H849" t="s">
        <v>187</v>
      </c>
      <c r="I849" t="s">
        <v>2849</v>
      </c>
      <c r="J849" s="1" t="s">
        <v>2850</v>
      </c>
    </row>
    <row r="850" spans="1:10" x14ac:dyDescent="0.25">
      <c r="A850" t="s">
        <v>2851</v>
      </c>
      <c r="B850">
        <v>2025</v>
      </c>
      <c r="C850" t="s">
        <v>222</v>
      </c>
      <c r="D850" t="b">
        <f>TRUE()</f>
        <v>1</v>
      </c>
      <c r="E850" t="b">
        <f>COUNTIF(connections!A:A, A850) &gt; 0</f>
        <v>0</v>
      </c>
      <c r="F850" t="s">
        <v>617</v>
      </c>
      <c r="G850" t="s">
        <v>2852</v>
      </c>
    </row>
    <row r="851" spans="1:10" x14ac:dyDescent="0.25">
      <c r="A851" t="s">
        <v>7866</v>
      </c>
      <c r="B851">
        <v>2026</v>
      </c>
      <c r="C851" t="s">
        <v>176</v>
      </c>
      <c r="D851" t="b">
        <f>TRUE()</f>
        <v>1</v>
      </c>
      <c r="E851" t="b">
        <f>COUNTIF(connections!A:A, A851) &gt; 0</f>
        <v>0</v>
      </c>
      <c r="G851" t="s">
        <v>7867</v>
      </c>
      <c r="J851" s="10" t="s">
        <v>7868</v>
      </c>
    </row>
    <row r="852" spans="1:10" x14ac:dyDescent="0.25">
      <c r="A852" t="s">
        <v>2853</v>
      </c>
      <c r="B852">
        <v>2026</v>
      </c>
      <c r="C852" t="s">
        <v>176</v>
      </c>
      <c r="D852" t="b">
        <f>TRUE()</f>
        <v>1</v>
      </c>
      <c r="E852" t="b">
        <f>COUNTIF(connections!A:A, A852) &gt; 0</f>
        <v>0</v>
      </c>
      <c r="G852" t="s">
        <v>2854</v>
      </c>
    </row>
    <row r="853" spans="1:10" x14ac:dyDescent="0.25">
      <c r="A853" t="s">
        <v>2855</v>
      </c>
      <c r="B853">
        <v>2023</v>
      </c>
      <c r="C853" t="s">
        <v>179</v>
      </c>
      <c r="D853" t="b">
        <f>TRUE()</f>
        <v>1</v>
      </c>
      <c r="E853" t="b">
        <f>COUNTIF(connections!A:A, A853) &gt; 0</f>
        <v>0</v>
      </c>
      <c r="F853" t="s">
        <v>274</v>
      </c>
      <c r="G853" t="s">
        <v>2856</v>
      </c>
    </row>
    <row r="854" spans="1:10" x14ac:dyDescent="0.25">
      <c r="A854" t="s">
        <v>2857</v>
      </c>
      <c r="B854">
        <v>2025</v>
      </c>
      <c r="C854" t="s">
        <v>176</v>
      </c>
      <c r="D854" t="b">
        <f>TRUE()</f>
        <v>1</v>
      </c>
      <c r="E854" t="b">
        <f>COUNTIF(connections!A:A, A854) &gt; 0</f>
        <v>0</v>
      </c>
      <c r="G854" t="s">
        <v>2858</v>
      </c>
      <c r="H854" t="s">
        <v>187</v>
      </c>
      <c r="I854" t="s">
        <v>2859</v>
      </c>
      <c r="J854" s="1" t="s">
        <v>2860</v>
      </c>
    </row>
    <row r="855" spans="1:10" x14ac:dyDescent="0.25">
      <c r="A855" t="s">
        <v>2861</v>
      </c>
      <c r="B855">
        <v>2017</v>
      </c>
      <c r="C855" t="s">
        <v>222</v>
      </c>
      <c r="D855" t="b">
        <f>TRUE()</f>
        <v>1</v>
      </c>
      <c r="E855" t="b">
        <f>COUNTIF(connections!A:A, A855) &gt; 0</f>
        <v>0</v>
      </c>
      <c r="G855" t="s">
        <v>2862</v>
      </c>
      <c r="H855" t="s">
        <v>187</v>
      </c>
      <c r="I855" t="s">
        <v>2863</v>
      </c>
      <c r="J855" s="1" t="s">
        <v>2864</v>
      </c>
    </row>
    <row r="856" spans="1:10" x14ac:dyDescent="0.25">
      <c r="A856" t="s">
        <v>2865</v>
      </c>
      <c r="B856">
        <v>2011</v>
      </c>
      <c r="C856" t="s">
        <v>179</v>
      </c>
      <c r="D856" t="b">
        <f>TRUE()</f>
        <v>1</v>
      </c>
      <c r="E856" t="b">
        <f>COUNTIF(connections!A:A, A856) &gt; 0</f>
        <v>0</v>
      </c>
      <c r="G856" t="s">
        <v>2866</v>
      </c>
    </row>
    <row r="857" spans="1:10" x14ac:dyDescent="0.25">
      <c r="A857" t="s">
        <v>2867</v>
      </c>
      <c r="B857">
        <v>2012</v>
      </c>
      <c r="C857" t="s">
        <v>222</v>
      </c>
      <c r="D857" t="b">
        <f>TRUE()</f>
        <v>1</v>
      </c>
      <c r="E857" t="b">
        <f>COUNTIF(connections!A:A, A857) &gt; 0</f>
        <v>0</v>
      </c>
      <c r="G857" t="s">
        <v>2868</v>
      </c>
      <c r="H857" t="s">
        <v>187</v>
      </c>
      <c r="I857" t="s">
        <v>2869</v>
      </c>
      <c r="J857" s="1" t="s">
        <v>2870</v>
      </c>
    </row>
    <row r="858" spans="1:10" x14ac:dyDescent="0.25">
      <c r="A858" t="s">
        <v>2871</v>
      </c>
      <c r="B858">
        <v>2017</v>
      </c>
      <c r="C858" t="s">
        <v>176</v>
      </c>
      <c r="D858" t="b">
        <f>FALSE()</f>
        <v>0</v>
      </c>
      <c r="E858" t="b">
        <f>COUNTIF(connections!A:A, A858) &gt; 0</f>
        <v>0</v>
      </c>
      <c r="F858" t="s">
        <v>652</v>
      </c>
      <c r="G858" t="s">
        <v>2872</v>
      </c>
      <c r="H858" t="s">
        <v>187</v>
      </c>
      <c r="I858" t="s">
        <v>2873</v>
      </c>
      <c r="J858" s="1" t="s">
        <v>2874</v>
      </c>
    </row>
    <row r="859" spans="1:10" x14ac:dyDescent="0.25">
      <c r="A859" t="s">
        <v>2875</v>
      </c>
      <c r="B859">
        <v>2005</v>
      </c>
      <c r="C859" t="s">
        <v>222</v>
      </c>
      <c r="D859" t="b">
        <f>TRUE()</f>
        <v>1</v>
      </c>
      <c r="E859" t="b">
        <f>COUNTIF(connections!A:A, A859) &gt; 0</f>
        <v>1</v>
      </c>
      <c r="F859" t="s">
        <v>274</v>
      </c>
      <c r="G859" t="s">
        <v>2876</v>
      </c>
      <c r="H859" t="s">
        <v>187</v>
      </c>
      <c r="I859" t="s">
        <v>2877</v>
      </c>
      <c r="J859" s="1" t="s">
        <v>2878</v>
      </c>
    </row>
    <row r="860" spans="1:10" x14ac:dyDescent="0.25">
      <c r="A860" t="s">
        <v>2879</v>
      </c>
      <c r="B860">
        <v>2020</v>
      </c>
      <c r="C860" t="s">
        <v>176</v>
      </c>
      <c r="D860" t="b">
        <f>FALSE()</f>
        <v>0</v>
      </c>
      <c r="E860" t="b">
        <f>COUNTIF(connections!A:A, A860) &gt; 0</f>
        <v>1</v>
      </c>
      <c r="G860" t="s">
        <v>2880</v>
      </c>
      <c r="H860" t="s">
        <v>187</v>
      </c>
      <c r="I860" t="s">
        <v>2881</v>
      </c>
      <c r="J860" s="10" t="s">
        <v>2882</v>
      </c>
    </row>
    <row r="861" spans="1:10" x14ac:dyDescent="0.25">
      <c r="A861" t="s">
        <v>2883</v>
      </c>
      <c r="B861">
        <v>2025</v>
      </c>
      <c r="C861" t="s">
        <v>176</v>
      </c>
      <c r="D861" t="b">
        <f>TRUE()</f>
        <v>1</v>
      </c>
      <c r="E861" t="b">
        <f>COUNTIF(connections!A:A, A861) &gt; 0</f>
        <v>0</v>
      </c>
      <c r="G861" t="s">
        <v>2884</v>
      </c>
    </row>
    <row r="862" spans="1:10" x14ac:dyDescent="0.25">
      <c r="A862" t="s">
        <v>2885</v>
      </c>
      <c r="B862">
        <v>2025</v>
      </c>
      <c r="C862" t="s">
        <v>176</v>
      </c>
      <c r="D862" t="b">
        <f>FALSE()</f>
        <v>0</v>
      </c>
      <c r="E862" t="b">
        <f>COUNTIF(connections!A:A, A862) &gt; 0</f>
        <v>0</v>
      </c>
      <c r="G862" t="s">
        <v>2886</v>
      </c>
    </row>
    <row r="863" spans="1:10" x14ac:dyDescent="0.25">
      <c r="A863" t="s">
        <v>2887</v>
      </c>
      <c r="B863">
        <v>2024</v>
      </c>
      <c r="C863" t="s">
        <v>176</v>
      </c>
      <c r="D863" t="b">
        <f>TRUE()</f>
        <v>1</v>
      </c>
      <c r="E863" t="b">
        <f>COUNTIF(connections!A:A, A863) &gt; 0</f>
        <v>0</v>
      </c>
      <c r="G863" t="s">
        <v>2888</v>
      </c>
    </row>
    <row r="864" spans="1:10" x14ac:dyDescent="0.25">
      <c r="A864" t="s">
        <v>2889</v>
      </c>
      <c r="B864">
        <v>2019</v>
      </c>
      <c r="C864" t="s">
        <v>222</v>
      </c>
      <c r="D864" t="b">
        <f>FALSE()</f>
        <v>0</v>
      </c>
      <c r="E864" t="b">
        <f>COUNTIF(connections!A:A, A864) &gt; 0</f>
        <v>0</v>
      </c>
      <c r="G864" t="s">
        <v>2890</v>
      </c>
    </row>
    <row r="865" spans="1:10" x14ac:dyDescent="0.25">
      <c r="A865" t="s">
        <v>2891</v>
      </c>
      <c r="B865">
        <v>2023</v>
      </c>
      <c r="C865" t="s">
        <v>182</v>
      </c>
      <c r="D865" t="b">
        <f>TRUE()</f>
        <v>1</v>
      </c>
      <c r="E865" t="b">
        <f>COUNTIF(connections!A:A, A865) &gt; 0</f>
        <v>1</v>
      </c>
      <c r="G865" t="s">
        <v>2892</v>
      </c>
      <c r="H865" t="s">
        <v>187</v>
      </c>
      <c r="I865" t="s">
        <v>2893</v>
      </c>
      <c r="J865" s="1" t="s">
        <v>2894</v>
      </c>
    </row>
    <row r="866" spans="1:10" x14ac:dyDescent="0.25">
      <c r="A866" t="s">
        <v>2895</v>
      </c>
      <c r="B866">
        <v>2024</v>
      </c>
      <c r="C866" t="s">
        <v>176</v>
      </c>
      <c r="D866" t="b">
        <f>TRUE()</f>
        <v>1</v>
      </c>
      <c r="E866" t="b">
        <f>COUNTIF(connections!A:A, A866) &gt; 0</f>
        <v>0</v>
      </c>
      <c r="G866" t="s">
        <v>2896</v>
      </c>
    </row>
    <row r="867" spans="1:10" x14ac:dyDescent="0.25">
      <c r="A867" t="s">
        <v>2897</v>
      </c>
      <c r="B867">
        <v>2026</v>
      </c>
      <c r="C867" t="s">
        <v>182</v>
      </c>
      <c r="D867" t="b">
        <f>TRUE()</f>
        <v>1</v>
      </c>
      <c r="E867" t="b">
        <f>COUNTIF(connections!A:A, A867) &gt; 0</f>
        <v>0</v>
      </c>
      <c r="G867" t="s">
        <v>2898</v>
      </c>
    </row>
    <row r="868" spans="1:10" x14ac:dyDescent="0.25">
      <c r="A868" t="s">
        <v>2899</v>
      </c>
      <c r="B868">
        <v>2026</v>
      </c>
      <c r="C868" t="s">
        <v>222</v>
      </c>
      <c r="D868" t="b">
        <f>FALSE()</f>
        <v>0</v>
      </c>
      <c r="E868" t="b">
        <f>COUNTIF(connections!A:A, A868) &gt; 0</f>
        <v>0</v>
      </c>
      <c r="F868" t="s">
        <v>404</v>
      </c>
      <c r="G868" t="s">
        <v>2900</v>
      </c>
      <c r="J868" s="1" t="s">
        <v>2901</v>
      </c>
    </row>
    <row r="869" spans="1:10" x14ac:dyDescent="0.25">
      <c r="A869" t="s">
        <v>2902</v>
      </c>
      <c r="B869">
        <v>2023</v>
      </c>
      <c r="C869" t="s">
        <v>176</v>
      </c>
      <c r="D869" t="b">
        <v>1</v>
      </c>
      <c r="E869" t="b">
        <f>COUNTIF(connections!A:A, A869) &gt; 0</f>
        <v>1</v>
      </c>
      <c r="G869" t="s">
        <v>2903</v>
      </c>
      <c r="J869" s="1" t="s">
        <v>2904</v>
      </c>
    </row>
    <row r="870" spans="1:10" x14ac:dyDescent="0.25">
      <c r="A870" t="s">
        <v>2905</v>
      </c>
      <c r="B870">
        <v>2026</v>
      </c>
      <c r="C870" t="s">
        <v>182</v>
      </c>
      <c r="D870" t="b">
        <f>TRUE()</f>
        <v>1</v>
      </c>
      <c r="E870" t="b">
        <f>COUNTIF(connections!A:A, A870) &gt; 0</f>
        <v>0</v>
      </c>
      <c r="G870" t="s">
        <v>2906</v>
      </c>
    </row>
    <row r="871" spans="1:10" x14ac:dyDescent="0.25">
      <c r="A871" t="s">
        <v>2907</v>
      </c>
      <c r="B871">
        <v>2018</v>
      </c>
      <c r="C871" t="s">
        <v>176</v>
      </c>
      <c r="D871" t="b">
        <f>TRUE()</f>
        <v>1</v>
      </c>
      <c r="E871" t="b">
        <f>COUNTIF(connections!A:A, A871) &gt; 0</f>
        <v>1</v>
      </c>
      <c r="G871" t="s">
        <v>2908</v>
      </c>
      <c r="H871" t="s">
        <v>187</v>
      </c>
      <c r="I871" t="s">
        <v>2909</v>
      </c>
      <c r="J871" s="1" t="s">
        <v>2910</v>
      </c>
    </row>
    <row r="872" spans="1:10" x14ac:dyDescent="0.25">
      <c r="A872" t="s">
        <v>2911</v>
      </c>
      <c r="B872">
        <v>2024</v>
      </c>
      <c r="C872" t="s">
        <v>176</v>
      </c>
      <c r="D872" t="b">
        <f>TRUE()</f>
        <v>1</v>
      </c>
      <c r="E872" t="b">
        <f>COUNTIF(connections!A:A, A872) &gt; 0</f>
        <v>0</v>
      </c>
      <c r="G872" t="s">
        <v>2912</v>
      </c>
      <c r="H872" t="s">
        <v>187</v>
      </c>
      <c r="I872" t="s">
        <v>2913</v>
      </c>
      <c r="J872" s="1" t="s">
        <v>2914</v>
      </c>
    </row>
    <row r="873" spans="1:10" x14ac:dyDescent="0.25">
      <c r="A873" t="s">
        <v>2915</v>
      </c>
      <c r="B873">
        <v>2021</v>
      </c>
      <c r="C873" t="s">
        <v>222</v>
      </c>
      <c r="D873" t="b">
        <f>TRUE()</f>
        <v>1</v>
      </c>
      <c r="E873" t="b">
        <f>COUNTIF(connections!A:A, A873) &gt; 0</f>
        <v>0</v>
      </c>
      <c r="F873" t="s">
        <v>1165</v>
      </c>
      <c r="G873" t="s">
        <v>2916</v>
      </c>
      <c r="H873" t="s">
        <v>187</v>
      </c>
      <c r="I873" t="s">
        <v>2917</v>
      </c>
      <c r="J873" s="1" t="s">
        <v>2918</v>
      </c>
    </row>
    <row r="874" spans="1:10" x14ac:dyDescent="0.25">
      <c r="A874" t="s">
        <v>2919</v>
      </c>
      <c r="B874">
        <v>2025</v>
      </c>
      <c r="C874" t="s">
        <v>182</v>
      </c>
      <c r="D874" t="b">
        <f>TRUE()</f>
        <v>1</v>
      </c>
      <c r="E874" t="b">
        <f>COUNTIF(connections!A:A, A874) &gt; 0</f>
        <v>0</v>
      </c>
      <c r="F874" t="s">
        <v>731</v>
      </c>
      <c r="G874" t="s">
        <v>2920</v>
      </c>
    </row>
    <row r="875" spans="1:10" x14ac:dyDescent="0.25">
      <c r="A875" t="s">
        <v>2921</v>
      </c>
      <c r="B875">
        <v>2025</v>
      </c>
      <c r="C875" t="s">
        <v>182</v>
      </c>
      <c r="D875" t="b">
        <f>TRUE()</f>
        <v>1</v>
      </c>
      <c r="E875" t="b">
        <f>COUNTIF(connections!A:A, A875) &gt; 0</f>
        <v>0</v>
      </c>
      <c r="F875" t="s">
        <v>731</v>
      </c>
      <c r="G875" t="s">
        <v>2922</v>
      </c>
      <c r="H875" t="s">
        <v>187</v>
      </c>
      <c r="I875" t="s">
        <v>2923</v>
      </c>
      <c r="J875" s="1" t="s">
        <v>2924</v>
      </c>
    </row>
    <row r="876" spans="1:10" x14ac:dyDescent="0.25">
      <c r="A876" t="s">
        <v>2925</v>
      </c>
      <c r="B876">
        <v>2022</v>
      </c>
      <c r="C876" t="s">
        <v>182</v>
      </c>
      <c r="D876" t="b">
        <f>TRUE()</f>
        <v>1</v>
      </c>
      <c r="E876" t="b">
        <f>COUNTIF(connections!A:A, A876) &gt; 0</f>
        <v>0</v>
      </c>
      <c r="F876" t="s">
        <v>731</v>
      </c>
      <c r="G876" t="s">
        <v>2926</v>
      </c>
      <c r="H876" t="s">
        <v>187</v>
      </c>
      <c r="I876" t="s">
        <v>2927</v>
      </c>
      <c r="J876" s="1" t="s">
        <v>2928</v>
      </c>
    </row>
    <row r="877" spans="1:10" x14ac:dyDescent="0.25">
      <c r="A877" t="s">
        <v>2929</v>
      </c>
      <c r="B877">
        <v>2026</v>
      </c>
      <c r="C877" t="s">
        <v>182</v>
      </c>
      <c r="D877" t="b">
        <f>TRUE()</f>
        <v>1</v>
      </c>
      <c r="E877" t="b">
        <f>COUNTIF(connections!A:A, A877) &gt; 0</f>
        <v>0</v>
      </c>
      <c r="G877" t="s">
        <v>2930</v>
      </c>
      <c r="J877" s="10" t="s">
        <v>2931</v>
      </c>
    </row>
    <row r="878" spans="1:10" x14ac:dyDescent="0.25">
      <c r="A878" t="s">
        <v>2932</v>
      </c>
      <c r="B878">
        <v>2025</v>
      </c>
      <c r="C878" t="s">
        <v>176</v>
      </c>
      <c r="D878" t="b">
        <f>TRUE()</f>
        <v>1</v>
      </c>
      <c r="E878" t="b">
        <f>COUNTIF(connections!A:A, A878) &gt; 0</f>
        <v>0</v>
      </c>
      <c r="G878" t="s">
        <v>2933</v>
      </c>
    </row>
    <row r="879" spans="1:10" x14ac:dyDescent="0.25">
      <c r="A879" t="s">
        <v>2934</v>
      </c>
      <c r="B879">
        <v>2023</v>
      </c>
      <c r="C879" t="s">
        <v>176</v>
      </c>
      <c r="D879" t="b">
        <f>TRUE()</f>
        <v>1</v>
      </c>
      <c r="E879" t="b">
        <f>COUNTIF(connections!A:A, A879) &gt; 0</f>
        <v>0</v>
      </c>
      <c r="F879" t="s">
        <v>458</v>
      </c>
      <c r="G879" t="s">
        <v>2935</v>
      </c>
      <c r="H879" t="s">
        <v>187</v>
      </c>
      <c r="I879" t="s">
        <v>2936</v>
      </c>
      <c r="J879" s="1" t="s">
        <v>2937</v>
      </c>
    </row>
    <row r="880" spans="1:10" x14ac:dyDescent="0.25">
      <c r="A880" t="s">
        <v>2938</v>
      </c>
      <c r="B880">
        <v>2024</v>
      </c>
      <c r="C880" t="s">
        <v>182</v>
      </c>
      <c r="D880" t="b">
        <f>TRUE()</f>
        <v>1</v>
      </c>
      <c r="E880" t="b">
        <f>COUNTIF(connections!A:A, A880) &gt; 0</f>
        <v>0</v>
      </c>
      <c r="F880" t="s">
        <v>1077</v>
      </c>
      <c r="G880" t="s">
        <v>2939</v>
      </c>
      <c r="H880" t="s">
        <v>187</v>
      </c>
      <c r="I880" t="s">
        <v>2940</v>
      </c>
      <c r="J880" s="1" t="s">
        <v>2941</v>
      </c>
    </row>
    <row r="881" spans="1:10" x14ac:dyDescent="0.25">
      <c r="A881" t="s">
        <v>2942</v>
      </c>
      <c r="B881">
        <v>2017</v>
      </c>
      <c r="C881" t="s">
        <v>179</v>
      </c>
      <c r="D881" t="b">
        <f>TRUE()</f>
        <v>1</v>
      </c>
      <c r="E881" t="b">
        <f>COUNTIF(connections!A:A, A881) &gt; 0</f>
        <v>0</v>
      </c>
      <c r="G881" t="s">
        <v>2943</v>
      </c>
    </row>
    <row r="882" spans="1:10" x14ac:dyDescent="0.25">
      <c r="A882" t="s">
        <v>2944</v>
      </c>
      <c r="B882">
        <v>2010</v>
      </c>
      <c r="C882" t="s">
        <v>179</v>
      </c>
      <c r="D882" t="b">
        <f>TRUE()</f>
        <v>1</v>
      </c>
      <c r="E882" t="b">
        <f>COUNTIF(connections!A:A, A882) &gt; 0</f>
        <v>1</v>
      </c>
      <c r="G882" t="s">
        <v>2945</v>
      </c>
      <c r="H882" t="s">
        <v>187</v>
      </c>
      <c r="I882" t="s">
        <v>2946</v>
      </c>
      <c r="J882" s="10" t="s">
        <v>2947</v>
      </c>
    </row>
    <row r="883" spans="1:10" x14ac:dyDescent="0.25">
      <c r="A883" t="s">
        <v>2948</v>
      </c>
      <c r="B883">
        <v>1994</v>
      </c>
      <c r="C883" t="s">
        <v>179</v>
      </c>
      <c r="D883" t="b">
        <f>TRUE()</f>
        <v>1</v>
      </c>
      <c r="E883" t="b">
        <f>COUNTIF(connections!A:A, A883) &gt; 0</f>
        <v>1</v>
      </c>
      <c r="G883" t="s">
        <v>2949</v>
      </c>
      <c r="H883" t="s">
        <v>187</v>
      </c>
      <c r="I883" t="s">
        <v>2950</v>
      </c>
    </row>
    <row r="884" spans="1:10" x14ac:dyDescent="0.25">
      <c r="A884" t="s">
        <v>2951</v>
      </c>
      <c r="B884">
        <v>2024</v>
      </c>
      <c r="C884" t="s">
        <v>182</v>
      </c>
      <c r="D884" t="b">
        <f>TRUE()</f>
        <v>1</v>
      </c>
      <c r="E884" t="b">
        <f>COUNTIF(connections!A:A, A884) &gt; 0</f>
        <v>0</v>
      </c>
      <c r="F884" t="s">
        <v>274</v>
      </c>
      <c r="G884" t="s">
        <v>2952</v>
      </c>
      <c r="H884" t="s">
        <v>187</v>
      </c>
      <c r="I884" t="s">
        <v>2953</v>
      </c>
      <c r="J884" s="1" t="s">
        <v>2954</v>
      </c>
    </row>
    <row r="885" spans="1:10" x14ac:dyDescent="0.25">
      <c r="A885" t="s">
        <v>2955</v>
      </c>
      <c r="B885">
        <v>2014</v>
      </c>
      <c r="C885" t="s">
        <v>176</v>
      </c>
      <c r="D885" t="b">
        <f>TRUE()</f>
        <v>1</v>
      </c>
      <c r="E885" t="b">
        <f>COUNTIF(connections!A:A, A885) &gt; 0</f>
        <v>1</v>
      </c>
      <c r="G885" t="s">
        <v>2956</v>
      </c>
      <c r="H885" t="s">
        <v>187</v>
      </c>
      <c r="I885" t="s">
        <v>2957</v>
      </c>
      <c r="J885" s="1" t="s">
        <v>2958</v>
      </c>
    </row>
    <row r="886" spans="1:10" x14ac:dyDescent="0.25">
      <c r="A886" t="s">
        <v>2959</v>
      </c>
      <c r="B886">
        <v>2020</v>
      </c>
      <c r="C886" t="s">
        <v>176</v>
      </c>
      <c r="D886" t="b">
        <f>TRUE()</f>
        <v>1</v>
      </c>
      <c r="E886" t="b">
        <f>COUNTIF(connections!A:A, A886) &gt; 0</f>
        <v>0</v>
      </c>
      <c r="G886" t="s">
        <v>2960</v>
      </c>
      <c r="H886" t="s">
        <v>187</v>
      </c>
      <c r="I886" t="s">
        <v>2961</v>
      </c>
      <c r="J886" s="1" t="s">
        <v>2962</v>
      </c>
    </row>
    <row r="887" spans="1:10" x14ac:dyDescent="0.25">
      <c r="A887" t="s">
        <v>2963</v>
      </c>
      <c r="B887">
        <v>2025</v>
      </c>
      <c r="C887" t="s">
        <v>179</v>
      </c>
      <c r="D887" t="b">
        <f>TRUE()</f>
        <v>1</v>
      </c>
      <c r="E887" t="b">
        <f>COUNTIF(connections!A:A, A887) &gt; 0</f>
        <v>0</v>
      </c>
      <c r="G887" t="s">
        <v>2964</v>
      </c>
      <c r="H887" t="s">
        <v>187</v>
      </c>
      <c r="I887" t="s">
        <v>2965</v>
      </c>
    </row>
    <row r="888" spans="1:10" x14ac:dyDescent="0.25">
      <c r="A888" t="s">
        <v>2966</v>
      </c>
      <c r="B888">
        <v>2023</v>
      </c>
      <c r="C888" t="s">
        <v>182</v>
      </c>
      <c r="D888" t="b">
        <f>TRUE()</f>
        <v>1</v>
      </c>
      <c r="E888" t="b">
        <f>COUNTIF(connections!A:A, A888) &gt; 0</f>
        <v>1</v>
      </c>
      <c r="G888" t="s">
        <v>2967</v>
      </c>
      <c r="H888" t="s">
        <v>187</v>
      </c>
      <c r="I888" t="s">
        <v>2968</v>
      </c>
      <c r="J888" s="1" t="s">
        <v>2969</v>
      </c>
    </row>
    <row r="889" spans="1:10" x14ac:dyDescent="0.25">
      <c r="A889" t="s">
        <v>2970</v>
      </c>
      <c r="B889">
        <v>2026</v>
      </c>
      <c r="C889" t="s">
        <v>182</v>
      </c>
      <c r="D889" t="b">
        <f>TRUE()</f>
        <v>1</v>
      </c>
      <c r="E889" t="b">
        <f>COUNTIF(connections!A:A, A889) &gt; 0</f>
        <v>0</v>
      </c>
      <c r="G889" t="s">
        <v>2971</v>
      </c>
      <c r="J889" s="10" t="s">
        <v>2972</v>
      </c>
    </row>
    <row r="890" spans="1:10" x14ac:dyDescent="0.25">
      <c r="A890" t="s">
        <v>2973</v>
      </c>
      <c r="B890">
        <v>2022</v>
      </c>
      <c r="C890" t="s">
        <v>179</v>
      </c>
      <c r="D890" t="b">
        <f>TRUE()</f>
        <v>1</v>
      </c>
      <c r="E890" t="b">
        <f>COUNTIF(connections!A:A, A890) &gt; 0</f>
        <v>0</v>
      </c>
      <c r="G890" t="s">
        <v>2974</v>
      </c>
      <c r="H890" t="s">
        <v>187</v>
      </c>
      <c r="I890" t="s">
        <v>2975</v>
      </c>
      <c r="J890"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4" r:id="rId479" xr:uid="{00000000-0004-0000-0000-0000DE010000}"/>
    <hyperlink ref="J785" r:id="rId480" xr:uid="{00000000-0004-0000-0000-0000DF010000}"/>
    <hyperlink ref="J788" r:id="rId481" xr:uid="{00000000-0004-0000-0000-0000E0010000}"/>
    <hyperlink ref="J789" r:id="rId482" xr:uid="{00000000-0004-0000-0000-0000E1010000}"/>
    <hyperlink ref="J791" r:id="rId483" xr:uid="{00000000-0004-0000-0000-0000E2010000}"/>
    <hyperlink ref="J794" r:id="rId484" xr:uid="{00000000-0004-0000-0000-0000E3010000}"/>
    <hyperlink ref="J795" r:id="rId485" xr:uid="{00000000-0004-0000-0000-0000E4010000}"/>
    <hyperlink ref="J797" r:id="rId486" xr:uid="{00000000-0004-0000-0000-0000E5010000}"/>
    <hyperlink ref="J798" r:id="rId487" xr:uid="{00000000-0004-0000-0000-0000E6010000}"/>
    <hyperlink ref="J799" r:id="rId488" xr:uid="{00000000-0004-0000-0000-0000E7010000}"/>
    <hyperlink ref="J802" r:id="rId489" xr:uid="{00000000-0004-0000-0000-0000E8010000}"/>
    <hyperlink ref="J806" r:id="rId490" xr:uid="{00000000-0004-0000-0000-0000E9010000}"/>
    <hyperlink ref="J807" r:id="rId491" xr:uid="{00000000-0004-0000-0000-0000EA010000}"/>
    <hyperlink ref="J808" r:id="rId492" xr:uid="{00000000-0004-0000-0000-0000EB010000}"/>
    <hyperlink ref="J811" r:id="rId493" xr:uid="{00000000-0004-0000-0000-0000EC010000}"/>
    <hyperlink ref="J813" r:id="rId494" xr:uid="{00000000-0004-0000-0000-0000ED010000}"/>
    <hyperlink ref="J814" r:id="rId495" xr:uid="{00000000-0004-0000-0000-0000EE010000}"/>
    <hyperlink ref="J815" r:id="rId496" xr:uid="{00000000-0004-0000-0000-0000EF010000}"/>
    <hyperlink ref="J818" r:id="rId497" xr:uid="{00000000-0004-0000-0000-0000F0010000}"/>
    <hyperlink ref="J819" r:id="rId498" xr:uid="{00000000-0004-0000-0000-0000F1010000}"/>
    <hyperlink ref="J820" r:id="rId499" xr:uid="{00000000-0004-0000-0000-0000F2010000}"/>
    <hyperlink ref="J821" r:id="rId500" xr:uid="{00000000-0004-0000-0000-0000F3010000}"/>
    <hyperlink ref="J823" r:id="rId501" xr:uid="{00000000-0004-0000-0000-0000F4010000}"/>
    <hyperlink ref="J825" r:id="rId502" xr:uid="{00000000-0004-0000-0000-0000F5010000}"/>
    <hyperlink ref="J827" r:id="rId503" xr:uid="{00000000-0004-0000-0000-0000F6010000}"/>
    <hyperlink ref="J831" r:id="rId504" xr:uid="{00000000-0004-0000-0000-0000F7010000}"/>
    <hyperlink ref="J834" r:id="rId505" xr:uid="{00000000-0004-0000-0000-0000F8010000}"/>
    <hyperlink ref="J835" r:id="rId506" xr:uid="{00000000-0004-0000-0000-0000F9010000}"/>
    <hyperlink ref="J836" r:id="rId507" xr:uid="{00000000-0004-0000-0000-0000FA010000}"/>
    <hyperlink ref="J838" r:id="rId508" xr:uid="{00000000-0004-0000-0000-0000FB010000}"/>
    <hyperlink ref="J842" r:id="rId509" xr:uid="{00000000-0004-0000-0000-0000FC010000}"/>
    <hyperlink ref="J843" r:id="rId510" xr:uid="{00000000-0004-0000-0000-0000FD010000}"/>
    <hyperlink ref="J845" r:id="rId511" xr:uid="{00000000-0004-0000-0000-0000FE010000}"/>
    <hyperlink ref="J847" r:id="rId512" xr:uid="{00000000-0004-0000-0000-0000FF010000}"/>
    <hyperlink ref="J849" r:id="rId513" xr:uid="{00000000-0004-0000-0000-000000020000}"/>
    <hyperlink ref="J854" r:id="rId514" xr:uid="{00000000-0004-0000-0000-000001020000}"/>
    <hyperlink ref="J855" r:id="rId515" xr:uid="{00000000-0004-0000-0000-000002020000}"/>
    <hyperlink ref="J857" r:id="rId516" xr:uid="{00000000-0004-0000-0000-000003020000}"/>
    <hyperlink ref="J858" r:id="rId517" xr:uid="{00000000-0004-0000-0000-000004020000}"/>
    <hyperlink ref="J859" r:id="rId518" xr:uid="{00000000-0004-0000-0000-000005020000}"/>
    <hyperlink ref="J860" r:id="rId519" xr:uid="{00000000-0004-0000-0000-000006020000}"/>
    <hyperlink ref="J865" r:id="rId520" xr:uid="{00000000-0004-0000-0000-000007020000}"/>
    <hyperlink ref="J868" r:id="rId521" xr:uid="{00000000-0004-0000-0000-000008020000}"/>
    <hyperlink ref="J869" r:id="rId522" xr:uid="{00000000-0004-0000-0000-000009020000}"/>
    <hyperlink ref="J871" r:id="rId523" xr:uid="{00000000-0004-0000-0000-00000A020000}"/>
    <hyperlink ref="J872" r:id="rId524" xr:uid="{00000000-0004-0000-0000-00000B020000}"/>
    <hyperlink ref="J873" r:id="rId525" xr:uid="{00000000-0004-0000-0000-00000C020000}"/>
    <hyperlink ref="J875" r:id="rId526" xr:uid="{00000000-0004-0000-0000-00000D020000}"/>
    <hyperlink ref="J876" r:id="rId527" xr:uid="{00000000-0004-0000-0000-00000E020000}"/>
    <hyperlink ref="J877" r:id="rId528" xr:uid="{00000000-0004-0000-0000-00000F020000}"/>
    <hyperlink ref="J879" r:id="rId529" xr:uid="{00000000-0004-0000-0000-000010020000}"/>
    <hyperlink ref="J880" r:id="rId530" xr:uid="{00000000-0004-0000-0000-000011020000}"/>
    <hyperlink ref="J882" r:id="rId531" xr:uid="{00000000-0004-0000-0000-000012020000}"/>
    <hyperlink ref="J884" r:id="rId532" xr:uid="{00000000-0004-0000-0000-000013020000}"/>
    <hyperlink ref="J885" r:id="rId533" xr:uid="{00000000-0004-0000-0000-000014020000}"/>
    <hyperlink ref="J886" r:id="rId534" xr:uid="{00000000-0004-0000-0000-000015020000}"/>
    <hyperlink ref="J888" r:id="rId535" xr:uid="{00000000-0004-0000-0000-000016020000}"/>
    <hyperlink ref="J889" r:id="rId536" xr:uid="{00000000-0004-0000-0000-000017020000}"/>
    <hyperlink ref="J890" r:id="rId537" xr:uid="{00000000-0004-0000-0000-000018020000}"/>
    <hyperlink ref="J141" r:id="rId538" xr:uid="{08E49B8B-AB87-44CE-BD88-6A72072643F3}"/>
    <hyperlink ref="J556" r:id="rId539" xr:uid="{613E919C-99D5-4936-BD6E-E1B66FD364CC}"/>
    <hyperlink ref="J824"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1"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6"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7" r:id="rId573" xr:uid="{AC413CB7-944C-4B86-A1CE-939EF2BC8A8E}"/>
    <hyperlink ref="J553" r:id="rId574" xr:uid="{C8542F65-93AB-4E4A-A5D5-765CA6631289}"/>
  </hyperlinks>
  <pageMargins left="0.7" right="0.7" top="0.75" bottom="0.75" header="0.511811023622047" footer="0.511811023622047"/>
  <pageSetup orientation="portrait" horizontalDpi="300" verticalDpi="300"/>
  <tableParts count="1">
    <tablePart r:id="rId57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4"/>
  <sheetViews>
    <sheetView topLeftCell="A1253" zoomScaleNormal="100" workbookViewId="0">
      <selection activeCell="A1305" sqref="A130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8008</v>
      </c>
      <c r="C82">
        <v>2023</v>
      </c>
      <c r="E82" s="10" t="s">
        <v>8007</v>
      </c>
    </row>
    <row r="83" spans="1:5" x14ac:dyDescent="0.25">
      <c r="A83" t="s">
        <v>353</v>
      </c>
      <c r="B83" t="s">
        <v>8008</v>
      </c>
      <c r="C83">
        <v>2023</v>
      </c>
      <c r="E83" s="10" t="s">
        <v>8007</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8012</v>
      </c>
      <c r="C89">
        <v>2023</v>
      </c>
      <c r="E89" s="10" t="s">
        <v>8011</v>
      </c>
    </row>
    <row r="90" spans="1:5" x14ac:dyDescent="0.25">
      <c r="A90" t="s">
        <v>353</v>
      </c>
      <c r="B90" t="s">
        <v>8012</v>
      </c>
      <c r="C90">
        <v>2023</v>
      </c>
      <c r="E90" s="10" t="s">
        <v>8011</v>
      </c>
    </row>
    <row r="91" spans="1:5" x14ac:dyDescent="0.25">
      <c r="A91" t="s">
        <v>353</v>
      </c>
      <c r="B91" t="s">
        <v>8016</v>
      </c>
      <c r="C91">
        <v>2023</v>
      </c>
      <c r="E91" s="10" t="s">
        <v>8015</v>
      </c>
    </row>
    <row r="92" spans="1:5" x14ac:dyDescent="0.25">
      <c r="A92" t="s">
        <v>353</v>
      </c>
      <c r="B92" t="s">
        <v>8016</v>
      </c>
      <c r="C92">
        <v>2023</v>
      </c>
      <c r="E92" s="10" t="s">
        <v>8015</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7953</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8003</v>
      </c>
      <c r="C127">
        <v>1998</v>
      </c>
      <c r="E127" s="10" t="s">
        <v>8006</v>
      </c>
    </row>
    <row r="128" spans="1:5" x14ac:dyDescent="0.25">
      <c r="A128" t="s">
        <v>379</v>
      </c>
      <c r="B128" t="s">
        <v>8003</v>
      </c>
      <c r="C128">
        <v>1998</v>
      </c>
      <c r="E128" s="10" t="s">
        <v>8006</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8144</v>
      </c>
      <c r="C153">
        <v>2022</v>
      </c>
      <c r="E153" s="10" t="s">
        <v>8153</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8138</v>
      </c>
      <c r="C203">
        <v>2015</v>
      </c>
      <c r="E203" s="10" t="s">
        <v>8151</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8135</v>
      </c>
      <c r="C224">
        <v>2015</v>
      </c>
      <c r="E224" s="10" t="s">
        <v>8150</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7945</v>
      </c>
      <c r="C265">
        <v>2012</v>
      </c>
      <c r="E265" s="10" t="s">
        <v>7946</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7944</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7935</v>
      </c>
      <c r="C285">
        <v>1996</v>
      </c>
      <c r="E285" s="10" t="s">
        <v>7934</v>
      </c>
    </row>
    <row r="286" spans="1:5" x14ac:dyDescent="0.25">
      <c r="A286" t="s">
        <v>848</v>
      </c>
      <c r="B286" t="s">
        <v>2108</v>
      </c>
      <c r="C286">
        <v>1996</v>
      </c>
      <c r="E286" t="s">
        <v>3142</v>
      </c>
    </row>
    <row r="287" spans="1:5" x14ac:dyDescent="0.25">
      <c r="A287" t="s">
        <v>848</v>
      </c>
      <c r="B287" t="inlineStr">
        <is>
          <t xml:space="preserve">Stolen Realm Survivors</t>
        </is>
      </c>
      <c r="C287">
        <v>1996</v>
      </c>
      <c r="E287" s="10" t="s">
        <v>8149</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8135</v>
      </c>
      <c r="C306">
        <v>2013</v>
      </c>
      <c r="E306" s="10" t="s">
        <v>8150</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7941</v>
      </c>
      <c r="C379">
        <v>2016</v>
      </c>
      <c r="E379" s="10" t="s">
        <v>7940</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8132</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8135</v>
      </c>
      <c r="C448">
        <v>2020</v>
      </c>
      <c r="E448" s="10" t="s">
        <v>8150</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7931</v>
      </c>
      <c r="C452">
        <v>2020</v>
      </c>
      <c r="E452" s="10" t="s">
        <v>7930</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7972</v>
      </c>
      <c r="C455">
        <v>2020</v>
      </c>
      <c r="E455" s="10" t="s">
        <v>7975</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7935</v>
      </c>
      <c r="C500">
        <v>2019</v>
      </c>
      <c r="E500" s="10" t="s">
        <v>7934</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8135</v>
      </c>
      <c r="C504">
        <v>2019</v>
      </c>
      <c r="E504" s="10" t="s">
        <v>8150</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7976</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7958</v>
      </c>
      <c r="C520">
        <v>2023</v>
      </c>
      <c r="E520" s="10" t="s">
        <v>7956</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7965</v>
      </c>
      <c r="C541">
        <v>2021</v>
      </c>
      <c r="E541" s="10" t="s">
        <v>7964</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8138</v>
      </c>
      <c r="C544">
        <v>2018</v>
      </c>
      <c r="E544" s="10" t="s">
        <v>8151</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8141</v>
      </c>
      <c r="C564">
        <v>2018</v>
      </c>
      <c r="E564" s="10" t="s">
        <v>8152</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7944</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7982</v>
      </c>
      <c r="C683">
        <v>2019</v>
      </c>
      <c r="E683" s="10" t="s">
        <v>7981</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7931</v>
      </c>
      <c r="C686">
        <v>2015</v>
      </c>
      <c r="E686" s="10" t="s">
        <v>7930</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7969</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7972</v>
      </c>
      <c r="C762">
        <v>2020</v>
      </c>
      <c r="E762" s="10" t="s">
        <v>7975</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7950</v>
      </c>
      <c r="C771">
        <v>2020</v>
      </c>
      <c r="E771" s="10" t="s">
        <v>7949</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7931</v>
      </c>
      <c r="C778">
        <v>2020</v>
      </c>
      <c r="E778" s="10" t="s">
        <v>7930</v>
      </c>
    </row>
    <row r="779" spans="1:5" x14ac:dyDescent="0.25">
      <c r="A779" t="s">
        <v>2147</v>
      </c>
      <c r="B779" t="s">
        <v>488</v>
      </c>
      <c r="C779">
        <v>2020</v>
      </c>
      <c r="E779" t="s">
        <v>3222</v>
      </c>
    </row>
    <row r="780" spans="1:5" x14ac:dyDescent="0.25">
      <c r="A780" t="s">
        <v>2147</v>
      </c>
      <c r="B780" t="s">
        <v>7972</v>
      </c>
      <c r="C780">
        <v>2020</v>
      </c>
      <c r="E780" s="10" t="s">
        <v>7975</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7944</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8126</v>
      </c>
      <c r="C794">
        <v>1980</v>
      </c>
      <c r="E794" s="10" t="s">
        <v>8147</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7965</v>
      </c>
      <c r="C952">
        <v>2017</v>
      </c>
      <c r="E952" s="10" t="s">
        <v>7964</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7982</v>
      </c>
      <c r="C971">
        <v>2017</v>
      </c>
      <c r="E971" s="10" t="s">
        <v>7981</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8144</v>
      </c>
      <c r="C995">
        <v>2021</v>
      </c>
      <c r="E995" s="10" t="s">
        <v>8153</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7969</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7969</v>
      </c>
      <c r="C1076">
        <v>2025</v>
      </c>
      <c r="E1076" s="10" t="s">
        <v>7968</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7978</v>
      </c>
      <c r="C1236">
        <v>2021</v>
      </c>
      <c r="E1236" s="10" t="s">
        <v>7977</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7960</v>
      </c>
      <c r="C1253">
        <v>2021</v>
      </c>
      <c r="E1253" s="10" t="s">
        <v>7963</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7950</v>
      </c>
      <c r="C1256">
        <v>2021</v>
      </c>
      <c r="E1256" s="10" t="s">
        <v>7949</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inlineStr">
        <is>
          <t xml:space="preserve">Stolen Realm Survivors</t>
        </is>
      </c>
      <c r="C1267">
        <v>2021</v>
      </c>
      <c r="E1267" s="10" t="s">
        <v>8149</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7972</v>
      </c>
      <c r="C1292">
        <v>2023</v>
      </c>
      <c r="E1292" s="10" t="s">
        <v>7975</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s>
  <pageMargins left="0.7" right="0.7" top="0.75" bottom="0.75" header="0.511811023622047" footer="0.511811023622047"/>
  <pageSetup orientation="portrait" horizontalDpi="300" verticalDpi="300"/>
  <tableParts count="1">
    <tablePart r:id="rId7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8108</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8110</v>
      </c>
      <c r="N3" t="s">
        <v>8002</v>
      </c>
      <c r="O3" t="s">
        <v>3469</v>
      </c>
      <c r="P3" t="s">
        <v>3465</v>
      </c>
      <c r="Q3" t="s">
        <v>3470</v>
      </c>
    </row>
    <row r="4" spans="1:17" x14ac:dyDescent="0.25">
      <c r="A4" t="s">
        <v>3471</v>
      </c>
      <c r="B4" t="s">
        <v>90</v>
      </c>
      <c r="C4">
        <v>8</v>
      </c>
      <c r="D4">
        <v>3</v>
      </c>
      <c r="E4">
        <v>2</v>
      </c>
      <c r="F4">
        <v>0</v>
      </c>
      <c r="G4">
        <v>0</v>
      </c>
      <c r="H4">
        <v>0</v>
      </c>
      <c r="I4">
        <v>0</v>
      </c>
      <c r="J4">
        <v>0</v>
      </c>
      <c r="K4">
        <v>0</v>
      </c>
      <c r="L4">
        <v>0</v>
      </c>
      <c r="M4" t="s">
        <v>8092</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8093</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8086</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8087</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8089</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8091</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8088</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8109</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7879</v>
      </c>
      <c r="B13" t="s">
        <v>3521</v>
      </c>
      <c r="C13" t="s">
        <v>3530</v>
      </c>
      <c r="D13" t="s">
        <v>7880</v>
      </c>
      <c r="E13" t="s">
        <v>7885</v>
      </c>
      <c r="F13" t="s">
        <v>2620</v>
      </c>
      <c r="G13" t="s">
        <v>4668</v>
      </c>
      <c r="H13" t="s">
        <v>3713</v>
      </c>
      <c r="I13" t="s">
        <v>7879</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7838</v>
      </c>
      <c r="B19" t="s">
        <v>3509</v>
      </c>
      <c r="C19" t="s">
        <v>3516</v>
      </c>
      <c r="D19" t="s">
        <v>7841</v>
      </c>
      <c r="E19" t="s">
        <v>7846</v>
      </c>
      <c r="F19" t="s">
        <v>38</v>
      </c>
      <c r="G19" t="s">
        <v>3642</v>
      </c>
      <c r="H19" t="s">
        <v>3677</v>
      </c>
      <c r="I19" t="s">
        <v>7839</v>
      </c>
      <c r="J19" t="s">
        <v>3585</v>
      </c>
    </row>
    <row r="20" spans="1:10" x14ac:dyDescent="0.25">
      <c r="A20" t="s">
        <v>3592</v>
      </c>
      <c r="B20" t="s">
        <v>3509</v>
      </c>
      <c r="C20" t="s">
        <v>3530</v>
      </c>
      <c r="D20" t="s">
        <v>3593</v>
      </c>
      <c r="E20" t="s">
        <v>3594</v>
      </c>
      <c r="F20" t="s">
        <v>2620</v>
      </c>
      <c r="I20" t="s">
        <v>3595</v>
      </c>
      <c r="J20" t="s">
        <v>3596</v>
      </c>
    </row>
    <row r="21" spans="1:10" x14ac:dyDescent="0.25">
      <c r="A21" t="s">
        <v>7881</v>
      </c>
      <c r="B21" t="s">
        <v>3521</v>
      </c>
      <c r="C21" t="s">
        <v>3530</v>
      </c>
      <c r="D21" t="s">
        <v>7882</v>
      </c>
      <c r="E21" t="s">
        <v>7886</v>
      </c>
      <c r="F21" t="s">
        <v>2620</v>
      </c>
      <c r="G21" t="s">
        <v>7883</v>
      </c>
      <c r="I21" t="s">
        <v>7884</v>
      </c>
      <c r="J21" t="s">
        <v>3585</v>
      </c>
    </row>
    <row r="22" spans="1:10" x14ac:dyDescent="0.25">
      <c r="A22" t="s">
        <v>3597</v>
      </c>
      <c r="B22" t="s">
        <v>41</v>
      </c>
      <c r="C22" t="s">
        <v>3516</v>
      </c>
      <c r="D22" t="s">
        <v>3598</v>
      </c>
      <c r="E22" t="s">
        <v>3599</v>
      </c>
      <c r="F22" t="s">
        <v>1650</v>
      </c>
      <c r="G22" t="s">
        <v>3600</v>
      </c>
      <c r="I22" t="s">
        <v>3601</v>
      </c>
      <c r="J22" t="s">
        <v>3585</v>
      </c>
    </row>
    <row r="23" spans="1:10" x14ac:dyDescent="0.25">
      <c r="A23" t="s">
        <v>7852</v>
      </c>
      <c r="B23" t="s">
        <v>41</v>
      </c>
      <c r="C23" t="s">
        <v>3530</v>
      </c>
      <c r="D23" t="s">
        <v>7853</v>
      </c>
      <c r="E23" t="s">
        <v>7860</v>
      </c>
      <c r="F23" t="s">
        <v>2137</v>
      </c>
      <c r="G23" t="s">
        <v>3683</v>
      </c>
      <c r="I23" t="s">
        <v>7852</v>
      </c>
      <c r="J23" t="s">
        <v>3590</v>
      </c>
    </row>
    <row r="24" spans="1:10" x14ac:dyDescent="0.25">
      <c r="A24" t="s">
        <v>131</v>
      </c>
      <c r="B24" t="s">
        <v>0</v>
      </c>
      <c r="C24" t="s">
        <v>3530</v>
      </c>
      <c r="D24" t="s">
        <v>3602</v>
      </c>
      <c r="E24" t="s">
        <v>3603</v>
      </c>
      <c r="F24" t="s">
        <v>90</v>
      </c>
      <c r="G24" t="s">
        <v>3604</v>
      </c>
      <c r="I24" t="s">
        <v>132</v>
      </c>
      <c r="J24" t="s">
        <v>3585</v>
      </c>
    </row>
    <row r="25" spans="1:10" x14ac:dyDescent="0.25">
      <c r="A25" t="s">
        <v>3605</v>
      </c>
      <c r="B25" t="s">
        <v>41</v>
      </c>
      <c r="C25" t="s">
        <v>3522</v>
      </c>
      <c r="D25" t="s">
        <v>7856</v>
      </c>
      <c r="E25" t="s">
        <v>3606</v>
      </c>
      <c r="F25" t="s">
        <v>2805</v>
      </c>
      <c r="G25" t="s">
        <v>3607</v>
      </c>
      <c r="I25" t="s">
        <v>3608</v>
      </c>
      <c r="J25" t="s">
        <v>3448</v>
      </c>
    </row>
    <row r="26" spans="1:10" x14ac:dyDescent="0.25">
      <c r="A26" t="s">
        <v>3609</v>
      </c>
      <c r="B26" t="s">
        <v>3521</v>
      </c>
      <c r="C26" t="s">
        <v>3530</v>
      </c>
      <c r="D26" t="s">
        <v>7623</v>
      </c>
      <c r="E26" t="s">
        <v>3610</v>
      </c>
      <c r="F26" t="s">
        <v>2620</v>
      </c>
      <c r="G26" t="s">
        <v>3611</v>
      </c>
      <c r="I26" t="s">
        <v>3612</v>
      </c>
      <c r="J26" t="s">
        <v>3553</v>
      </c>
    </row>
    <row r="27" spans="1:10" x14ac:dyDescent="0.25">
      <c r="A27" t="s">
        <v>7854</v>
      </c>
      <c r="B27" t="s">
        <v>3521</v>
      </c>
      <c r="C27" t="s">
        <v>3516</v>
      </c>
      <c r="D27" t="s">
        <v>7855</v>
      </c>
      <c r="E27" t="s">
        <v>7861</v>
      </c>
      <c r="F27" t="s">
        <v>2137</v>
      </c>
      <c r="G27" t="s">
        <v>3538</v>
      </c>
      <c r="I27" t="s">
        <v>7854</v>
      </c>
      <c r="J27" t="s">
        <v>3448</v>
      </c>
    </row>
    <row r="28" spans="1:10" x14ac:dyDescent="0.25">
      <c r="A28" t="s">
        <v>3613</v>
      </c>
      <c r="B28" t="s">
        <v>0</v>
      </c>
      <c r="C28" t="s">
        <v>3614</v>
      </c>
      <c r="D28" t="s">
        <v>3615</v>
      </c>
      <c r="E28" t="s">
        <v>3616</v>
      </c>
      <c r="F28" t="s">
        <v>160</v>
      </c>
      <c r="G28" t="s">
        <v>3538</v>
      </c>
      <c r="I28" t="s">
        <v>3617</v>
      </c>
      <c r="J28" t="s">
        <v>3585</v>
      </c>
    </row>
    <row r="29" spans="1:10" x14ac:dyDescent="0.25">
      <c r="A29" t="s">
        <v>3618</v>
      </c>
      <c r="B29" t="s">
        <v>3521</v>
      </c>
      <c r="C29" t="s">
        <v>3530</v>
      </c>
      <c r="D29" t="s">
        <v>3619</v>
      </c>
      <c r="E29" t="s">
        <v>3620</v>
      </c>
      <c r="F29" t="s">
        <v>497</v>
      </c>
      <c r="G29" t="s">
        <v>3550</v>
      </c>
      <c r="I29" t="s">
        <v>3618</v>
      </c>
      <c r="J29" t="s">
        <v>3590</v>
      </c>
    </row>
    <row r="30" spans="1:10" x14ac:dyDescent="0.25">
      <c r="A30" t="s">
        <v>3621</v>
      </c>
      <c r="B30" t="s">
        <v>3566</v>
      </c>
      <c r="C30" t="s">
        <v>3530</v>
      </c>
      <c r="D30" t="s">
        <v>3622</v>
      </c>
      <c r="E30" t="s">
        <v>3623</v>
      </c>
      <c r="F30" t="s">
        <v>38</v>
      </c>
      <c r="G30" t="s">
        <v>3624</v>
      </c>
      <c r="I30" t="s">
        <v>3625</v>
      </c>
      <c r="J30" t="s">
        <v>3570</v>
      </c>
    </row>
    <row r="31" spans="1:10" x14ac:dyDescent="0.25">
      <c r="A31" t="s">
        <v>3626</v>
      </c>
      <c r="B31" t="s">
        <v>3521</v>
      </c>
      <c r="C31" t="s">
        <v>3559</v>
      </c>
      <c r="D31" t="s">
        <v>3627</v>
      </c>
      <c r="E31" t="s">
        <v>3628</v>
      </c>
      <c r="F31" t="s">
        <v>160</v>
      </c>
      <c r="G31" t="s">
        <v>3629</v>
      </c>
      <c r="I31" t="s">
        <v>3630</v>
      </c>
      <c r="J31" t="s">
        <v>3564</v>
      </c>
    </row>
    <row r="32" spans="1:10" x14ac:dyDescent="0.25">
      <c r="A32" t="s">
        <v>7840</v>
      </c>
      <c r="B32" t="s">
        <v>3521</v>
      </c>
      <c r="C32" t="s">
        <v>3516</v>
      </c>
      <c r="D32" t="s">
        <v>7842</v>
      </c>
      <c r="E32" t="s">
        <v>7847</v>
      </c>
      <c r="F32" t="s">
        <v>38</v>
      </c>
      <c r="G32" t="s">
        <v>3854</v>
      </c>
      <c r="I32" t="s">
        <v>7843</v>
      </c>
      <c r="J32" t="s">
        <v>3585</v>
      </c>
    </row>
    <row r="33" spans="1:10" x14ac:dyDescent="0.25">
      <c r="A33" t="s">
        <v>3631</v>
      </c>
      <c r="B33" t="s">
        <v>41</v>
      </c>
      <c r="C33" t="s">
        <v>3530</v>
      </c>
      <c r="D33" t="s">
        <v>3632</v>
      </c>
      <c r="E33" t="s">
        <v>3633</v>
      </c>
      <c r="F33" t="s">
        <v>1650</v>
      </c>
      <c r="G33" t="s">
        <v>3634</v>
      </c>
      <c r="I33" t="s">
        <v>3635</v>
      </c>
      <c r="J33" t="s">
        <v>3527</v>
      </c>
    </row>
    <row r="34" spans="1:10" x14ac:dyDescent="0.25">
      <c r="A34" t="s">
        <v>3636</v>
      </c>
      <c r="B34" t="s">
        <v>41</v>
      </c>
      <c r="C34" t="s">
        <v>3522</v>
      </c>
      <c r="D34" t="s">
        <v>3637</v>
      </c>
      <c r="E34" t="s">
        <v>3638</v>
      </c>
      <c r="F34" t="s">
        <v>160</v>
      </c>
      <c r="G34" t="s">
        <v>264</v>
      </c>
      <c r="I34" t="s">
        <v>3636</v>
      </c>
      <c r="J34" t="s">
        <v>3448</v>
      </c>
    </row>
    <row r="35" spans="1:10" x14ac:dyDescent="0.25">
      <c r="A35" t="s">
        <v>3639</v>
      </c>
      <c r="B35" t="s">
        <v>3509</v>
      </c>
      <c r="C35" t="s">
        <v>3522</v>
      </c>
      <c r="D35" t="s">
        <v>3640</v>
      </c>
      <c r="E35" t="s">
        <v>3641</v>
      </c>
      <c r="F35" t="s">
        <v>90</v>
      </c>
      <c r="G35" t="s">
        <v>3642</v>
      </c>
      <c r="I35" t="s">
        <v>3639</v>
      </c>
      <c r="J35" t="s">
        <v>3448</v>
      </c>
    </row>
    <row r="36" spans="1:10" x14ac:dyDescent="0.25">
      <c r="A36" t="s">
        <v>3643</v>
      </c>
      <c r="B36" t="s">
        <v>3521</v>
      </c>
      <c r="C36" t="s">
        <v>3516</v>
      </c>
      <c r="D36" t="s">
        <v>3644</v>
      </c>
      <c r="E36" t="s">
        <v>3645</v>
      </c>
      <c r="F36" t="s">
        <v>90</v>
      </c>
      <c r="G36" t="s">
        <v>3646</v>
      </c>
      <c r="I36" t="s">
        <v>3647</v>
      </c>
      <c r="J36" t="s">
        <v>3448</v>
      </c>
    </row>
    <row r="37" spans="1:10" x14ac:dyDescent="0.25">
      <c r="A37" t="s">
        <v>3648</v>
      </c>
      <c r="B37" t="s">
        <v>3521</v>
      </c>
      <c r="C37" t="s">
        <v>3530</v>
      </c>
      <c r="D37" t="s">
        <v>3649</v>
      </c>
      <c r="E37" t="s">
        <v>3650</v>
      </c>
      <c r="F37" t="s">
        <v>493</v>
      </c>
      <c r="G37" t="s">
        <v>3651</v>
      </c>
      <c r="I37" t="s">
        <v>3652</v>
      </c>
      <c r="J37" t="s">
        <v>3590</v>
      </c>
    </row>
    <row r="38" spans="1:10" x14ac:dyDescent="0.25">
      <c r="A38" t="s">
        <v>3653</v>
      </c>
      <c r="B38" t="s">
        <v>41</v>
      </c>
      <c r="C38" t="s">
        <v>3587</v>
      </c>
      <c r="D38" t="s">
        <v>3654</v>
      </c>
      <c r="E38" t="s">
        <v>3655</v>
      </c>
      <c r="F38" t="s">
        <v>160</v>
      </c>
      <c r="G38" t="s">
        <v>3656</v>
      </c>
      <c r="I38" t="s">
        <v>3657</v>
      </c>
      <c r="J38" t="s">
        <v>3596</v>
      </c>
    </row>
    <row r="39" spans="1:10" x14ac:dyDescent="0.25">
      <c r="A39" t="s">
        <v>3658</v>
      </c>
      <c r="B39" t="s">
        <v>41</v>
      </c>
      <c r="C39" t="s">
        <v>3522</v>
      </c>
      <c r="D39" t="s">
        <v>3659</v>
      </c>
      <c r="E39" t="s">
        <v>3660</v>
      </c>
      <c r="F39" t="s">
        <v>160</v>
      </c>
      <c r="G39" t="s">
        <v>3661</v>
      </c>
      <c r="I39" t="s">
        <v>3662</v>
      </c>
      <c r="J39" t="s">
        <v>3596</v>
      </c>
    </row>
    <row r="40" spans="1:10" x14ac:dyDescent="0.25">
      <c r="A40" t="s">
        <v>3663</v>
      </c>
      <c r="B40" t="s">
        <v>41</v>
      </c>
      <c r="C40" t="s">
        <v>3664</v>
      </c>
      <c r="D40" t="s">
        <v>3665</v>
      </c>
      <c r="E40" t="s">
        <v>3666</v>
      </c>
      <c r="F40" t="s">
        <v>90</v>
      </c>
      <c r="G40" t="s">
        <v>3667</v>
      </c>
      <c r="I40" t="s">
        <v>3668</v>
      </c>
      <c r="J40" t="s">
        <v>3527</v>
      </c>
    </row>
    <row r="41" spans="1:10" x14ac:dyDescent="0.25">
      <c r="A41" t="s">
        <v>4753</v>
      </c>
      <c r="B41" t="s">
        <v>3509</v>
      </c>
      <c r="C41" t="s">
        <v>3522</v>
      </c>
      <c r="D41" t="s">
        <v>7379</v>
      </c>
      <c r="E41" t="s">
        <v>7384</v>
      </c>
      <c r="F41" t="s">
        <v>90</v>
      </c>
      <c r="G41" t="s">
        <v>4661</v>
      </c>
      <c r="I41" t="s">
        <v>4756</v>
      </c>
      <c r="J41" t="s">
        <v>3585</v>
      </c>
    </row>
    <row r="42" spans="1:10" x14ac:dyDescent="0.25">
      <c r="A42" t="s">
        <v>3669</v>
      </c>
      <c r="B42" t="s">
        <v>3566</v>
      </c>
      <c r="C42" t="s">
        <v>3530</v>
      </c>
      <c r="D42" t="s">
        <v>3670</v>
      </c>
      <c r="E42" t="s">
        <v>3671</v>
      </c>
      <c r="F42" t="s">
        <v>90</v>
      </c>
      <c r="G42" t="s">
        <v>3667</v>
      </c>
      <c r="I42" t="s">
        <v>3672</v>
      </c>
      <c r="J42" t="s">
        <v>3590</v>
      </c>
    </row>
    <row r="43" spans="1:10" x14ac:dyDescent="0.25">
      <c r="A43" t="s">
        <v>3673</v>
      </c>
      <c r="B43" t="s">
        <v>3521</v>
      </c>
      <c r="C43" t="s">
        <v>3530</v>
      </c>
      <c r="D43" t="s">
        <v>3674</v>
      </c>
      <c r="E43" t="s">
        <v>3675</v>
      </c>
      <c r="F43" t="s">
        <v>2620</v>
      </c>
      <c r="G43" t="s">
        <v>3676</v>
      </c>
      <c r="H43" t="s">
        <v>3677</v>
      </c>
      <c r="I43" t="s">
        <v>3678</v>
      </c>
      <c r="J43" t="s">
        <v>3585</v>
      </c>
    </row>
    <row r="44" spans="1:10" x14ac:dyDescent="0.25">
      <c r="A44" t="s">
        <v>3488</v>
      </c>
      <c r="B44" t="s">
        <v>3521</v>
      </c>
      <c r="C44" t="s">
        <v>3516</v>
      </c>
      <c r="D44" t="s">
        <v>3555</v>
      </c>
      <c r="E44" t="s">
        <v>3556</v>
      </c>
      <c r="F44" t="s">
        <v>2805</v>
      </c>
      <c r="G44" t="s">
        <v>3607</v>
      </c>
      <c r="I44" t="s">
        <v>3488</v>
      </c>
      <c r="J44" t="s">
        <v>3448</v>
      </c>
    </row>
    <row r="45" spans="1:10" x14ac:dyDescent="0.25">
      <c r="A45" t="s">
        <v>3679</v>
      </c>
      <c r="B45" t="s">
        <v>41</v>
      </c>
      <c r="C45" t="s">
        <v>3680</v>
      </c>
      <c r="D45" t="s">
        <v>3681</v>
      </c>
      <c r="E45" t="s">
        <v>3682</v>
      </c>
      <c r="F45" t="s">
        <v>2620</v>
      </c>
      <c r="G45" t="s">
        <v>3683</v>
      </c>
      <c r="H45" t="s">
        <v>3677</v>
      </c>
      <c r="I45" t="s">
        <v>3684</v>
      </c>
      <c r="J45" t="s">
        <v>3590</v>
      </c>
    </row>
    <row r="46" spans="1:10" x14ac:dyDescent="0.25">
      <c r="A46" t="s">
        <v>7857</v>
      </c>
      <c r="B46" t="s">
        <v>3509</v>
      </c>
      <c r="C46" t="s">
        <v>3530</v>
      </c>
      <c r="D46" t="s">
        <v>7858</v>
      </c>
      <c r="E46" t="s">
        <v>7862</v>
      </c>
      <c r="F46" t="s">
        <v>2137</v>
      </c>
      <c r="I46" t="s">
        <v>7859</v>
      </c>
      <c r="J46" t="s">
        <v>3448</v>
      </c>
    </row>
    <row r="47" spans="1:10" x14ac:dyDescent="0.25">
      <c r="A47" t="s">
        <v>7371</v>
      </c>
      <c r="B47" t="s">
        <v>3521</v>
      </c>
      <c r="C47" t="s">
        <v>3516</v>
      </c>
      <c r="D47" t="s">
        <v>7372</v>
      </c>
      <c r="E47" t="s">
        <v>7385</v>
      </c>
      <c r="F47" t="s">
        <v>38</v>
      </c>
      <c r="I47" t="s">
        <v>7373</v>
      </c>
      <c r="J47" t="s">
        <v>3564</v>
      </c>
    </row>
    <row r="48" spans="1:10" x14ac:dyDescent="0.25">
      <c r="A48" t="s">
        <v>7380</v>
      </c>
      <c r="B48" t="s">
        <v>3521</v>
      </c>
      <c r="C48" t="s">
        <v>3516</v>
      </c>
      <c r="D48" t="s">
        <v>7382</v>
      </c>
      <c r="E48" t="s">
        <v>7386</v>
      </c>
      <c r="F48" t="s">
        <v>38</v>
      </c>
      <c r="I48" t="s">
        <v>7381</v>
      </c>
      <c r="J48" t="s">
        <v>3985</v>
      </c>
    </row>
    <row r="49" spans="1:10" x14ac:dyDescent="0.25">
      <c r="A49" t="s">
        <v>3689</v>
      </c>
      <c r="B49" t="s">
        <v>3566</v>
      </c>
      <c r="C49" t="s">
        <v>3530</v>
      </c>
      <c r="D49" t="s">
        <v>3690</v>
      </c>
      <c r="E49" t="s">
        <v>3691</v>
      </c>
      <c r="F49" t="s">
        <v>90</v>
      </c>
      <c r="I49" t="s">
        <v>3692</v>
      </c>
      <c r="J49" t="s">
        <v>3590</v>
      </c>
    </row>
    <row r="50" spans="1:10" x14ac:dyDescent="0.25">
      <c r="A50" t="s">
        <v>3693</v>
      </c>
      <c r="B50" t="s">
        <v>3566</v>
      </c>
      <c r="C50" t="s">
        <v>3530</v>
      </c>
      <c r="D50" t="s">
        <v>3694</v>
      </c>
      <c r="E50" t="s">
        <v>3695</v>
      </c>
      <c r="F50" t="s">
        <v>90</v>
      </c>
      <c r="G50" t="s">
        <v>3696</v>
      </c>
      <c r="I50" t="s">
        <v>3697</v>
      </c>
      <c r="J50" t="s">
        <v>3570</v>
      </c>
    </row>
    <row r="51" spans="1:10" x14ac:dyDescent="0.25">
      <c r="A51" t="s">
        <v>3698</v>
      </c>
      <c r="B51" t="s">
        <v>3521</v>
      </c>
      <c r="C51" t="s">
        <v>3516</v>
      </c>
      <c r="D51" t="s">
        <v>3699</v>
      </c>
      <c r="E51" t="s">
        <v>3700</v>
      </c>
      <c r="F51" t="s">
        <v>497</v>
      </c>
      <c r="G51" t="s">
        <v>3701</v>
      </c>
      <c r="I51" t="s">
        <v>3698</v>
      </c>
      <c r="J51" t="s">
        <v>3527</v>
      </c>
    </row>
    <row r="52" spans="1:10" x14ac:dyDescent="0.25">
      <c r="A52" t="s">
        <v>3702</v>
      </c>
      <c r="B52" t="s">
        <v>3509</v>
      </c>
      <c r="C52" t="s">
        <v>3587</v>
      </c>
      <c r="D52" t="s">
        <v>3703</v>
      </c>
      <c r="E52" t="s">
        <v>3704</v>
      </c>
      <c r="F52" t="s">
        <v>1650</v>
      </c>
      <c r="G52" t="s">
        <v>3705</v>
      </c>
      <c r="I52" t="s">
        <v>3706</v>
      </c>
      <c r="J52" t="s">
        <v>3590</v>
      </c>
    </row>
    <row r="53" spans="1:10" x14ac:dyDescent="0.25">
      <c r="A53" t="s">
        <v>3707</v>
      </c>
      <c r="B53" t="s">
        <v>3521</v>
      </c>
      <c r="C53" t="s">
        <v>3510</v>
      </c>
      <c r="D53" t="s">
        <v>7624</v>
      </c>
      <c r="E53" t="s">
        <v>7647</v>
      </c>
      <c r="F53" t="s">
        <v>2620</v>
      </c>
      <c r="G53" t="s">
        <v>3708</v>
      </c>
      <c r="I53" t="s">
        <v>3709</v>
      </c>
      <c r="J53" t="s">
        <v>3545</v>
      </c>
    </row>
    <row r="54" spans="1:10" x14ac:dyDescent="0.25">
      <c r="A54" t="s">
        <v>3710</v>
      </c>
      <c r="B54" t="s">
        <v>3521</v>
      </c>
      <c r="C54" t="s">
        <v>3522</v>
      </c>
      <c r="D54" t="s">
        <v>3711</v>
      </c>
      <c r="E54" t="s">
        <v>3712</v>
      </c>
      <c r="F54" t="s">
        <v>160</v>
      </c>
      <c r="G54" t="s">
        <v>3696</v>
      </c>
      <c r="H54" t="s">
        <v>3713</v>
      </c>
      <c r="I54" t="s">
        <v>3710</v>
      </c>
      <c r="J54" t="s">
        <v>3714</v>
      </c>
    </row>
    <row r="55" spans="1:10" x14ac:dyDescent="0.25">
      <c r="A55" t="s">
        <v>3715</v>
      </c>
      <c r="B55" t="s">
        <v>3521</v>
      </c>
      <c r="C55" t="s">
        <v>3547</v>
      </c>
      <c r="D55" t="s">
        <v>3716</v>
      </c>
      <c r="E55" t="s">
        <v>3717</v>
      </c>
      <c r="F55" t="s">
        <v>160</v>
      </c>
      <c r="G55" t="s">
        <v>3718</v>
      </c>
      <c r="H55" t="s">
        <v>3551</v>
      </c>
      <c r="I55" t="s">
        <v>3719</v>
      </c>
      <c r="J55" t="s">
        <v>3527</v>
      </c>
    </row>
    <row r="56" spans="1:10" x14ac:dyDescent="0.25">
      <c r="A56" t="s">
        <v>3720</v>
      </c>
      <c r="B56" t="s">
        <v>3521</v>
      </c>
      <c r="C56" t="s">
        <v>3530</v>
      </c>
      <c r="D56" t="s">
        <v>3721</v>
      </c>
      <c r="E56" t="s">
        <v>3722</v>
      </c>
      <c r="F56" t="s">
        <v>2620</v>
      </c>
      <c r="H56" t="s">
        <v>3677</v>
      </c>
      <c r="I56" t="s">
        <v>3723</v>
      </c>
      <c r="J56" t="s">
        <v>3527</v>
      </c>
    </row>
    <row r="57" spans="1:10" x14ac:dyDescent="0.25">
      <c r="A57" t="s">
        <v>3724</v>
      </c>
      <c r="B57" t="s">
        <v>3521</v>
      </c>
      <c r="C57" t="s">
        <v>3516</v>
      </c>
      <c r="D57" t="s">
        <v>3725</v>
      </c>
      <c r="E57" t="s">
        <v>3726</v>
      </c>
      <c r="F57" t="s">
        <v>553</v>
      </c>
      <c r="G57" t="s">
        <v>3727</v>
      </c>
      <c r="I57" t="s">
        <v>3728</v>
      </c>
      <c r="J57" t="s">
        <v>3585</v>
      </c>
    </row>
    <row r="58" spans="1:10" x14ac:dyDescent="0.25">
      <c r="A58" t="s">
        <v>3729</v>
      </c>
      <c r="B58" t="s">
        <v>41</v>
      </c>
      <c r="C58" t="s">
        <v>3664</v>
      </c>
      <c r="D58" t="s">
        <v>3730</v>
      </c>
      <c r="E58" t="s">
        <v>3731</v>
      </c>
      <c r="F58" t="s">
        <v>90</v>
      </c>
      <c r="I58" t="s">
        <v>3729</v>
      </c>
      <c r="J58" t="s">
        <v>3527</v>
      </c>
    </row>
    <row r="59" spans="1:10" x14ac:dyDescent="0.25">
      <c r="A59" t="s">
        <v>7374</v>
      </c>
      <c r="B59" t="s">
        <v>3521</v>
      </c>
      <c r="C59" t="s">
        <v>3530</v>
      </c>
      <c r="D59" t="s">
        <v>7376</v>
      </c>
      <c r="E59" t="s">
        <v>7387</v>
      </c>
      <c r="F59" t="s">
        <v>90</v>
      </c>
      <c r="G59" t="s">
        <v>7378</v>
      </c>
      <c r="I59" t="s">
        <v>7375</v>
      </c>
      <c r="J59" t="s">
        <v>3596</v>
      </c>
    </row>
    <row r="60" spans="1:10" x14ac:dyDescent="0.25">
      <c r="A60" t="s">
        <v>3737</v>
      </c>
      <c r="B60" t="s">
        <v>41</v>
      </c>
      <c r="C60" t="s">
        <v>3680</v>
      </c>
      <c r="D60" t="s">
        <v>3738</v>
      </c>
      <c r="E60" t="s">
        <v>3739</v>
      </c>
      <c r="F60" t="s">
        <v>2620</v>
      </c>
      <c r="G60" t="s">
        <v>3740</v>
      </c>
      <c r="I60" t="s">
        <v>3741</v>
      </c>
      <c r="J60"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8078</v>
      </c>
      <c r="N1" t="s">
        <v>8055</v>
      </c>
    </row>
    <row r="2" spans="1:14" x14ac:dyDescent="0.25">
      <c r="A2" t="s">
        <v>3749</v>
      </c>
      <c r="B2" t="s">
        <v>176</v>
      </c>
      <c r="C2" t="s">
        <v>3750</v>
      </c>
      <c r="D2" t="s">
        <v>3751</v>
      </c>
      <c r="E2" t="s">
        <v>160</v>
      </c>
      <c r="F2">
        <v>1</v>
      </c>
      <c r="G2">
        <v>1</v>
      </c>
      <c r="H2" t="s">
        <v>3752</v>
      </c>
      <c r="I2" t="s">
        <v>8082</v>
      </c>
      <c r="J2" t="s">
        <v>3465</v>
      </c>
      <c r="K2" t="s">
        <v>3753</v>
      </c>
      <c r="L2" t="s">
        <v>3754</v>
      </c>
      <c r="M2" t="s">
        <v>8079</v>
      </c>
      <c r="N2" t="s">
        <v>4332</v>
      </c>
    </row>
    <row r="3" spans="1:14" x14ac:dyDescent="0.25">
      <c r="A3" t="s">
        <v>3755</v>
      </c>
      <c r="B3" t="s">
        <v>176</v>
      </c>
      <c r="C3" t="s">
        <v>3750</v>
      </c>
      <c r="D3" t="s">
        <v>3751</v>
      </c>
      <c r="E3" t="s">
        <v>497</v>
      </c>
      <c r="F3">
        <v>1</v>
      </c>
      <c r="G3">
        <v>1</v>
      </c>
      <c r="H3" t="s">
        <v>3752</v>
      </c>
      <c r="I3" t="s">
        <v>3756</v>
      </c>
      <c r="J3" t="s">
        <v>3465</v>
      </c>
      <c r="K3" t="s">
        <v>3757</v>
      </c>
      <c r="L3" t="s">
        <v>3513</v>
      </c>
      <c r="M3" t="s">
        <v>8079</v>
      </c>
    </row>
    <row r="4" spans="1:14" x14ac:dyDescent="0.25">
      <c r="A4" t="s">
        <v>7895</v>
      </c>
      <c r="B4" t="s">
        <v>176</v>
      </c>
      <c r="C4" t="s">
        <v>3750</v>
      </c>
      <c r="D4" t="s">
        <v>3751</v>
      </c>
      <c r="E4" t="s">
        <v>1047</v>
      </c>
      <c r="F4">
        <v>1</v>
      </c>
      <c r="G4">
        <v>1</v>
      </c>
      <c r="H4" t="s">
        <v>3759</v>
      </c>
      <c r="I4" t="s">
        <v>7896</v>
      </c>
      <c r="J4" t="s">
        <v>3465</v>
      </c>
      <c r="K4" t="s">
        <v>7895</v>
      </c>
      <c r="L4" t="s">
        <v>7898</v>
      </c>
      <c r="M4" t="s">
        <v>8079</v>
      </c>
    </row>
    <row r="5" spans="1:14" x14ac:dyDescent="0.25">
      <c r="A5" t="s">
        <v>7364</v>
      </c>
      <c r="B5" t="s">
        <v>176</v>
      </c>
      <c r="C5" t="s">
        <v>3750</v>
      </c>
      <c r="D5" t="s">
        <v>3751</v>
      </c>
      <c r="E5" t="s">
        <v>2174</v>
      </c>
      <c r="F5">
        <v>1</v>
      </c>
      <c r="G5">
        <v>1</v>
      </c>
      <c r="H5" t="s">
        <v>3759</v>
      </c>
      <c r="I5" t="s">
        <v>7365</v>
      </c>
      <c r="J5" t="s">
        <v>3465</v>
      </c>
      <c r="K5" t="s">
        <v>7364</v>
      </c>
      <c r="L5" t="s">
        <v>7366</v>
      </c>
      <c r="M5" t="s">
        <v>8079</v>
      </c>
    </row>
    <row r="6" spans="1:14" x14ac:dyDescent="0.25">
      <c r="A6" t="s">
        <v>3758</v>
      </c>
      <c r="B6" t="s">
        <v>176</v>
      </c>
      <c r="C6" t="s">
        <v>3750</v>
      </c>
      <c r="D6" t="s">
        <v>3751</v>
      </c>
      <c r="E6" t="s">
        <v>2620</v>
      </c>
      <c r="F6">
        <v>1</v>
      </c>
      <c r="G6">
        <v>1</v>
      </c>
      <c r="H6" t="s">
        <v>3759</v>
      </c>
      <c r="I6" t="s">
        <v>3760</v>
      </c>
      <c r="J6" t="s">
        <v>7453</v>
      </c>
      <c r="K6" t="s">
        <v>3761</v>
      </c>
      <c r="L6" t="s">
        <v>3683</v>
      </c>
      <c r="M6" t="s">
        <v>8079</v>
      </c>
    </row>
    <row r="7" spans="1:14" x14ac:dyDescent="0.25">
      <c r="A7" t="s">
        <v>3762</v>
      </c>
      <c r="B7" t="s">
        <v>176</v>
      </c>
      <c r="C7" t="s">
        <v>3750</v>
      </c>
      <c r="D7" t="s">
        <v>3751</v>
      </c>
      <c r="E7" t="s">
        <v>1047</v>
      </c>
      <c r="F7">
        <v>1</v>
      </c>
      <c r="G7">
        <v>1</v>
      </c>
      <c r="H7" t="s">
        <v>3763</v>
      </c>
      <c r="I7" t="s">
        <v>8075</v>
      </c>
      <c r="J7" t="s">
        <v>3465</v>
      </c>
      <c r="K7" t="s">
        <v>3764</v>
      </c>
      <c r="L7" t="s">
        <v>7897</v>
      </c>
      <c r="M7" t="s">
        <v>8079</v>
      </c>
    </row>
    <row r="8" spans="1:14" x14ac:dyDescent="0.25">
      <c r="A8" t="s">
        <v>3765</v>
      </c>
      <c r="B8" t="s">
        <v>176</v>
      </c>
      <c r="C8" t="s">
        <v>3750</v>
      </c>
      <c r="D8" t="s">
        <v>3751</v>
      </c>
      <c r="E8" t="s">
        <v>1753</v>
      </c>
      <c r="F8">
        <v>1</v>
      </c>
      <c r="G8">
        <v>1</v>
      </c>
      <c r="H8" t="s">
        <v>3759</v>
      </c>
      <c r="I8" t="s">
        <v>3766</v>
      </c>
      <c r="J8" t="s">
        <v>3465</v>
      </c>
      <c r="K8" t="s">
        <v>3767</v>
      </c>
      <c r="M8" t="s">
        <v>8079</v>
      </c>
    </row>
    <row r="9" spans="1:14" x14ac:dyDescent="0.25">
      <c r="A9" t="s">
        <v>3768</v>
      </c>
      <c r="B9" t="s">
        <v>176</v>
      </c>
      <c r="C9" t="s">
        <v>3750</v>
      </c>
      <c r="D9" t="s">
        <v>3751</v>
      </c>
      <c r="E9" t="s">
        <v>1295</v>
      </c>
      <c r="F9">
        <v>1</v>
      </c>
      <c r="G9">
        <v>1</v>
      </c>
      <c r="H9" t="s">
        <v>3752</v>
      </c>
      <c r="I9" t="s">
        <v>3769</v>
      </c>
      <c r="J9" t="s">
        <v>3465</v>
      </c>
      <c r="K9" t="s">
        <v>3768</v>
      </c>
      <c r="L9" t="s">
        <v>3770</v>
      </c>
      <c r="M9" t="s">
        <v>8079</v>
      </c>
    </row>
    <row r="10" spans="1:14" x14ac:dyDescent="0.25">
      <c r="A10" t="s">
        <v>5090</v>
      </c>
      <c r="B10" t="s">
        <v>176</v>
      </c>
      <c r="C10" t="s">
        <v>3750</v>
      </c>
      <c r="D10" t="s">
        <v>3751</v>
      </c>
      <c r="E10" t="s">
        <v>160</v>
      </c>
      <c r="F10">
        <v>1</v>
      </c>
      <c r="G10">
        <v>1</v>
      </c>
      <c r="H10" t="s">
        <v>3752</v>
      </c>
      <c r="I10" t="s">
        <v>8001</v>
      </c>
      <c r="J10" t="s">
        <v>3465</v>
      </c>
      <c r="K10" t="s">
        <v>5090</v>
      </c>
      <c r="M10" t="s">
        <v>8079</v>
      </c>
    </row>
    <row r="11" spans="1:14" x14ac:dyDescent="0.25">
      <c r="A11" t="s">
        <v>3771</v>
      </c>
      <c r="B11" t="s">
        <v>176</v>
      </c>
      <c r="C11" t="s">
        <v>3750</v>
      </c>
      <c r="D11" t="s">
        <v>3751</v>
      </c>
      <c r="E11" t="s">
        <v>2620</v>
      </c>
      <c r="F11">
        <v>1</v>
      </c>
      <c r="G11">
        <v>1</v>
      </c>
      <c r="H11" t="s">
        <v>3759</v>
      </c>
      <c r="I11" t="s">
        <v>3772</v>
      </c>
      <c r="J11" t="s">
        <v>7459</v>
      </c>
      <c r="K11" t="s">
        <v>3773</v>
      </c>
      <c r="M11" t="s">
        <v>8079</v>
      </c>
    </row>
    <row r="12" spans="1:14" x14ac:dyDescent="0.25">
      <c r="A12" t="s">
        <v>3774</v>
      </c>
      <c r="B12" t="s">
        <v>176</v>
      </c>
      <c r="C12" t="s">
        <v>3750</v>
      </c>
      <c r="D12" t="s">
        <v>3751</v>
      </c>
      <c r="E12" t="s">
        <v>360</v>
      </c>
      <c r="F12">
        <v>1</v>
      </c>
      <c r="G12">
        <v>1</v>
      </c>
      <c r="H12" t="s">
        <v>3752</v>
      </c>
      <c r="I12" t="s">
        <v>3775</v>
      </c>
      <c r="J12" t="s">
        <v>3465</v>
      </c>
      <c r="K12" t="s">
        <v>3776</v>
      </c>
      <c r="L12" t="s">
        <v>3770</v>
      </c>
      <c r="M12" t="s">
        <v>8079</v>
      </c>
    </row>
    <row r="13" spans="1:14" x14ac:dyDescent="0.25">
      <c r="A13" t="s">
        <v>3777</v>
      </c>
      <c r="B13" t="s">
        <v>176</v>
      </c>
      <c r="C13" t="s">
        <v>3750</v>
      </c>
      <c r="D13" t="s">
        <v>3751</v>
      </c>
      <c r="E13" t="s">
        <v>160</v>
      </c>
      <c r="F13">
        <v>1</v>
      </c>
      <c r="G13">
        <v>1</v>
      </c>
      <c r="H13" t="s">
        <v>3752</v>
      </c>
      <c r="I13" t="s">
        <v>8084</v>
      </c>
      <c r="J13" t="s">
        <v>3465</v>
      </c>
      <c r="K13" t="s">
        <v>3777</v>
      </c>
      <c r="L13" t="s">
        <v>3778</v>
      </c>
      <c r="M13" t="s">
        <v>8079</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8079</v>
      </c>
    </row>
    <row r="15" spans="1:14" x14ac:dyDescent="0.25">
      <c r="A15" t="s">
        <v>3781</v>
      </c>
      <c r="B15" t="s">
        <v>176</v>
      </c>
      <c r="C15" t="s">
        <v>3750</v>
      </c>
      <c r="D15" t="s">
        <v>3751</v>
      </c>
      <c r="E15" t="s">
        <v>1295</v>
      </c>
      <c r="F15">
        <v>1</v>
      </c>
      <c r="G15">
        <v>1</v>
      </c>
      <c r="H15" t="s">
        <v>3759</v>
      </c>
      <c r="I15" t="s">
        <v>3782</v>
      </c>
      <c r="J15" t="s">
        <v>3465</v>
      </c>
      <c r="K15" t="s">
        <v>3781</v>
      </c>
      <c r="L15" t="s">
        <v>458</v>
      </c>
      <c r="M15" t="s">
        <v>8079</v>
      </c>
    </row>
    <row r="16" spans="1:14" x14ac:dyDescent="0.25">
      <c r="A16" t="s">
        <v>3783</v>
      </c>
      <c r="B16" t="s">
        <v>176</v>
      </c>
      <c r="C16" t="s">
        <v>3784</v>
      </c>
      <c r="D16" t="s">
        <v>3751</v>
      </c>
      <c r="E16" t="s">
        <v>2620</v>
      </c>
      <c r="F16">
        <v>1</v>
      </c>
      <c r="G16">
        <v>2</v>
      </c>
      <c r="H16" t="s">
        <v>3752</v>
      </c>
      <c r="I16" t="s">
        <v>8081</v>
      </c>
      <c r="J16" t="s">
        <v>7445</v>
      </c>
      <c r="K16" t="s">
        <v>3783</v>
      </c>
      <c r="L16" t="s">
        <v>3770</v>
      </c>
      <c r="M16" t="s">
        <v>8079</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8079</v>
      </c>
    </row>
    <row r="18" spans="1:14" x14ac:dyDescent="0.25">
      <c r="A18" t="s">
        <v>3787</v>
      </c>
      <c r="B18" t="s">
        <v>176</v>
      </c>
      <c r="C18" t="s">
        <v>3784</v>
      </c>
      <c r="D18" t="s">
        <v>3751</v>
      </c>
      <c r="E18" t="s">
        <v>2620</v>
      </c>
      <c r="F18">
        <v>1</v>
      </c>
      <c r="G18">
        <v>2</v>
      </c>
      <c r="H18" t="s">
        <v>3759</v>
      </c>
      <c r="I18" t="s">
        <v>3788</v>
      </c>
      <c r="J18" t="s">
        <v>3465</v>
      </c>
      <c r="K18" t="s">
        <v>3789</v>
      </c>
      <c r="L18" t="s">
        <v>3790</v>
      </c>
      <c r="M18" t="s">
        <v>8079</v>
      </c>
    </row>
    <row r="19" spans="1:14" x14ac:dyDescent="0.25">
      <c r="A19" t="s">
        <v>3791</v>
      </c>
      <c r="B19" t="s">
        <v>176</v>
      </c>
      <c r="C19" t="s">
        <v>3784</v>
      </c>
      <c r="D19" t="s">
        <v>3751</v>
      </c>
      <c r="E19" t="s">
        <v>160</v>
      </c>
      <c r="F19">
        <v>1</v>
      </c>
      <c r="G19">
        <v>2</v>
      </c>
      <c r="H19" t="s">
        <v>3752</v>
      </c>
      <c r="I19" t="s">
        <v>3792</v>
      </c>
      <c r="J19" t="s">
        <v>7463</v>
      </c>
      <c r="K19" t="s">
        <v>3793</v>
      </c>
      <c r="L19" t="s">
        <v>3683</v>
      </c>
      <c r="M19" t="s">
        <v>8079</v>
      </c>
    </row>
    <row r="20" spans="1:14" x14ac:dyDescent="0.25">
      <c r="A20" t="s">
        <v>7901</v>
      </c>
      <c r="B20" t="s">
        <v>176</v>
      </c>
      <c r="C20" t="s">
        <v>3784</v>
      </c>
      <c r="D20" t="s">
        <v>3751</v>
      </c>
      <c r="E20" t="s">
        <v>1047</v>
      </c>
      <c r="F20">
        <v>1</v>
      </c>
      <c r="G20">
        <v>2</v>
      </c>
      <c r="H20" t="s">
        <v>3759</v>
      </c>
      <c r="I20" t="s">
        <v>7902</v>
      </c>
      <c r="J20" t="s">
        <v>3465</v>
      </c>
      <c r="K20" t="s">
        <v>7901</v>
      </c>
      <c r="L20" t="s">
        <v>3815</v>
      </c>
      <c r="M20" t="s">
        <v>8079</v>
      </c>
    </row>
    <row r="21" spans="1:14" x14ac:dyDescent="0.25">
      <c r="A21" t="s">
        <v>7899</v>
      </c>
      <c r="B21" t="s">
        <v>176</v>
      </c>
      <c r="C21" t="s">
        <v>3784</v>
      </c>
      <c r="D21" t="s">
        <v>3751</v>
      </c>
      <c r="E21" t="s">
        <v>1047</v>
      </c>
      <c r="F21">
        <v>1</v>
      </c>
      <c r="G21">
        <v>2</v>
      </c>
      <c r="H21" t="s">
        <v>3759</v>
      </c>
      <c r="I21" t="s">
        <v>8105</v>
      </c>
      <c r="J21" t="s">
        <v>3465</v>
      </c>
      <c r="K21" t="s">
        <v>7900</v>
      </c>
      <c r="L21" t="s">
        <v>7898</v>
      </c>
      <c r="M21" t="s">
        <v>8079</v>
      </c>
      <c r="N21" t="s">
        <v>4330</v>
      </c>
    </row>
    <row r="22" spans="1:14" x14ac:dyDescent="0.25">
      <c r="A22" t="s">
        <v>3794</v>
      </c>
      <c r="B22" t="s">
        <v>176</v>
      </c>
      <c r="C22" t="s">
        <v>3784</v>
      </c>
      <c r="D22" t="s">
        <v>3795</v>
      </c>
      <c r="E22" t="s">
        <v>360</v>
      </c>
      <c r="F22">
        <v>1</v>
      </c>
      <c r="G22">
        <v>2</v>
      </c>
      <c r="H22" t="s">
        <v>3752</v>
      </c>
      <c r="I22" t="s">
        <v>8073</v>
      </c>
      <c r="J22" t="s">
        <v>3465</v>
      </c>
      <c r="K22" t="s">
        <v>3796</v>
      </c>
      <c r="L22" t="s">
        <v>3770</v>
      </c>
      <c r="M22" t="s">
        <v>8079</v>
      </c>
      <c r="N22" t="s">
        <v>4330</v>
      </c>
    </row>
    <row r="23" spans="1:14" x14ac:dyDescent="0.25">
      <c r="A23" t="s">
        <v>3797</v>
      </c>
      <c r="B23" t="s">
        <v>176</v>
      </c>
      <c r="C23" t="s">
        <v>3798</v>
      </c>
      <c r="D23" t="s">
        <v>3751</v>
      </c>
      <c r="E23" t="s">
        <v>2620</v>
      </c>
      <c r="F23">
        <v>1</v>
      </c>
      <c r="G23">
        <v>3</v>
      </c>
      <c r="H23" t="s">
        <v>3759</v>
      </c>
      <c r="I23" t="s">
        <v>7442</v>
      </c>
      <c r="J23" t="s">
        <v>7444</v>
      </c>
      <c r="K23" t="s">
        <v>3797</v>
      </c>
      <c r="M23" t="s">
        <v>8079</v>
      </c>
    </row>
    <row r="24" spans="1:14" x14ac:dyDescent="0.25">
      <c r="A24" t="s">
        <v>3799</v>
      </c>
      <c r="B24" t="s">
        <v>176</v>
      </c>
      <c r="C24" t="s">
        <v>3798</v>
      </c>
      <c r="D24" t="s">
        <v>3800</v>
      </c>
      <c r="E24" t="s">
        <v>1295</v>
      </c>
      <c r="F24">
        <v>1</v>
      </c>
      <c r="G24">
        <v>3</v>
      </c>
      <c r="H24" t="s">
        <v>3752</v>
      </c>
      <c r="I24" t="s">
        <v>3801</v>
      </c>
      <c r="J24" t="s">
        <v>3465</v>
      </c>
      <c r="K24" t="s">
        <v>3802</v>
      </c>
      <c r="L24" t="s">
        <v>3803</v>
      </c>
      <c r="M24" t="s">
        <v>8079</v>
      </c>
    </row>
    <row r="25" spans="1:14" x14ac:dyDescent="0.25">
      <c r="A25" t="s">
        <v>3804</v>
      </c>
      <c r="B25" t="s">
        <v>176</v>
      </c>
      <c r="C25" t="s">
        <v>3798</v>
      </c>
      <c r="D25" t="s">
        <v>3751</v>
      </c>
      <c r="E25" t="s">
        <v>1295</v>
      </c>
      <c r="F25">
        <v>1</v>
      </c>
      <c r="G25">
        <v>3</v>
      </c>
      <c r="H25" t="s">
        <v>3759</v>
      </c>
      <c r="I25" t="s">
        <v>3805</v>
      </c>
      <c r="J25" t="s">
        <v>7436</v>
      </c>
      <c r="K25" t="s">
        <v>3806</v>
      </c>
      <c r="M25" t="s">
        <v>8079</v>
      </c>
    </row>
    <row r="26" spans="1:14" x14ac:dyDescent="0.25">
      <c r="A26" t="s">
        <v>3807</v>
      </c>
      <c r="B26" t="s">
        <v>176</v>
      </c>
      <c r="C26" t="s">
        <v>3798</v>
      </c>
      <c r="D26" t="s">
        <v>3808</v>
      </c>
      <c r="E26" t="s">
        <v>360</v>
      </c>
      <c r="F26">
        <v>1</v>
      </c>
      <c r="G26">
        <v>3</v>
      </c>
      <c r="H26" t="s">
        <v>3752</v>
      </c>
      <c r="I26" t="s">
        <v>8074</v>
      </c>
      <c r="J26" t="s">
        <v>3465</v>
      </c>
      <c r="K26" t="s">
        <v>3809</v>
      </c>
      <c r="L26" t="s">
        <v>3770</v>
      </c>
      <c r="M26" t="s">
        <v>8079</v>
      </c>
      <c r="N26" t="s">
        <v>4332</v>
      </c>
    </row>
    <row r="27" spans="1:14" x14ac:dyDescent="0.25">
      <c r="A27" t="s">
        <v>3810</v>
      </c>
      <c r="B27" t="s">
        <v>182</v>
      </c>
      <c r="C27" t="s">
        <v>3750</v>
      </c>
      <c r="D27" t="s">
        <v>3751</v>
      </c>
      <c r="E27" t="s">
        <v>90</v>
      </c>
      <c r="F27">
        <v>1</v>
      </c>
      <c r="G27">
        <v>1</v>
      </c>
      <c r="H27" t="s">
        <v>3759</v>
      </c>
      <c r="I27" t="s">
        <v>3811</v>
      </c>
      <c r="J27" t="s">
        <v>5270</v>
      </c>
      <c r="K27" t="s">
        <v>3810</v>
      </c>
      <c r="M27" t="s">
        <v>8079</v>
      </c>
    </row>
    <row r="28" spans="1:14" x14ac:dyDescent="0.25">
      <c r="A28" t="s">
        <v>3812</v>
      </c>
      <c r="B28" t="s">
        <v>182</v>
      </c>
      <c r="C28" t="s">
        <v>3750</v>
      </c>
      <c r="D28" t="s">
        <v>3751</v>
      </c>
      <c r="E28" t="s">
        <v>90</v>
      </c>
      <c r="F28">
        <v>1</v>
      </c>
      <c r="G28">
        <v>1</v>
      </c>
      <c r="H28" t="s">
        <v>3759</v>
      </c>
      <c r="I28" t="s">
        <v>3813</v>
      </c>
      <c r="J28" t="s">
        <v>3465</v>
      </c>
      <c r="K28" t="s">
        <v>3814</v>
      </c>
      <c r="L28" t="s">
        <v>3815</v>
      </c>
      <c r="M28" t="s">
        <v>8079</v>
      </c>
    </row>
    <row r="29" spans="1:14" x14ac:dyDescent="0.25">
      <c r="A29" t="s">
        <v>3816</v>
      </c>
      <c r="B29" t="s">
        <v>182</v>
      </c>
      <c r="C29" t="s">
        <v>3750</v>
      </c>
      <c r="D29" t="s">
        <v>3751</v>
      </c>
      <c r="E29" t="s">
        <v>961</v>
      </c>
      <c r="F29">
        <v>1</v>
      </c>
      <c r="G29">
        <v>1</v>
      </c>
      <c r="H29" t="s">
        <v>3759</v>
      </c>
      <c r="I29" t="s">
        <v>3817</v>
      </c>
      <c r="J29" t="s">
        <v>3465</v>
      </c>
      <c r="K29" t="s">
        <v>3818</v>
      </c>
      <c r="L29" t="s">
        <v>3819</v>
      </c>
      <c r="M29" t="s">
        <v>8079</v>
      </c>
    </row>
    <row r="30" spans="1:14" x14ac:dyDescent="0.25">
      <c r="A30" t="s">
        <v>3820</v>
      </c>
      <c r="B30" t="s">
        <v>182</v>
      </c>
      <c r="C30" t="s">
        <v>3750</v>
      </c>
      <c r="D30" t="s">
        <v>3751</v>
      </c>
      <c r="E30" t="s">
        <v>961</v>
      </c>
      <c r="F30">
        <v>1</v>
      </c>
      <c r="G30">
        <v>1</v>
      </c>
      <c r="H30" t="s">
        <v>3759</v>
      </c>
      <c r="I30" t="s">
        <v>3821</v>
      </c>
      <c r="J30" t="s">
        <v>7462</v>
      </c>
      <c r="K30" t="s">
        <v>3822</v>
      </c>
      <c r="L30" t="s">
        <v>3823</v>
      </c>
      <c r="M30" t="s">
        <v>8079</v>
      </c>
    </row>
    <row r="31" spans="1:14" x14ac:dyDescent="0.25">
      <c r="A31" t="s">
        <v>3824</v>
      </c>
      <c r="B31" t="s">
        <v>182</v>
      </c>
      <c r="C31" t="s">
        <v>3750</v>
      </c>
      <c r="D31" t="s">
        <v>3751</v>
      </c>
      <c r="E31" t="s">
        <v>38</v>
      </c>
      <c r="F31">
        <v>1</v>
      </c>
      <c r="G31">
        <v>1</v>
      </c>
      <c r="H31" t="s">
        <v>3759</v>
      </c>
      <c r="I31" t="s">
        <v>3825</v>
      </c>
      <c r="J31" t="s">
        <v>3465</v>
      </c>
      <c r="K31" t="s">
        <v>3826</v>
      </c>
      <c r="L31" t="s">
        <v>3827</v>
      </c>
      <c r="M31" t="s">
        <v>8079</v>
      </c>
    </row>
    <row r="32" spans="1:14" x14ac:dyDescent="0.25">
      <c r="A32" t="s">
        <v>3828</v>
      </c>
      <c r="B32" t="s">
        <v>182</v>
      </c>
      <c r="C32" t="s">
        <v>3750</v>
      </c>
      <c r="D32" t="s">
        <v>3751</v>
      </c>
      <c r="E32" t="s">
        <v>38</v>
      </c>
      <c r="F32">
        <v>1</v>
      </c>
      <c r="G32">
        <v>1</v>
      </c>
      <c r="H32" t="s">
        <v>3759</v>
      </c>
      <c r="I32" t="s">
        <v>3829</v>
      </c>
      <c r="J32" t="s">
        <v>3465</v>
      </c>
      <c r="K32" t="s">
        <v>3830</v>
      </c>
      <c r="L32" t="s">
        <v>3831</v>
      </c>
      <c r="M32" t="s">
        <v>8079</v>
      </c>
    </row>
    <row r="33" spans="1:14" x14ac:dyDescent="0.25">
      <c r="A33" t="s">
        <v>3832</v>
      </c>
      <c r="B33" t="s">
        <v>182</v>
      </c>
      <c r="C33" t="s">
        <v>3750</v>
      </c>
      <c r="D33" t="s">
        <v>3800</v>
      </c>
      <c r="E33" t="s">
        <v>90</v>
      </c>
      <c r="F33">
        <v>1</v>
      </c>
      <c r="G33">
        <v>1</v>
      </c>
      <c r="H33" t="s">
        <v>3752</v>
      </c>
      <c r="I33" t="s">
        <v>3833</v>
      </c>
      <c r="J33" t="s">
        <v>7435</v>
      </c>
      <c r="K33" t="s">
        <v>3834</v>
      </c>
      <c r="L33" t="s">
        <v>3835</v>
      </c>
      <c r="M33" t="s">
        <v>8079</v>
      </c>
    </row>
    <row r="34" spans="1:14" x14ac:dyDescent="0.25">
      <c r="A34" t="s">
        <v>3836</v>
      </c>
      <c r="B34" t="s">
        <v>182</v>
      </c>
      <c r="C34" t="s">
        <v>3784</v>
      </c>
      <c r="D34" t="s">
        <v>3751</v>
      </c>
      <c r="E34" t="s">
        <v>90</v>
      </c>
      <c r="F34">
        <v>1</v>
      </c>
      <c r="G34">
        <v>2</v>
      </c>
      <c r="H34" t="s">
        <v>3752</v>
      </c>
      <c r="I34" t="s">
        <v>3837</v>
      </c>
      <c r="J34" t="s">
        <v>3465</v>
      </c>
      <c r="K34" t="s">
        <v>3838</v>
      </c>
      <c r="M34" t="s">
        <v>8079</v>
      </c>
    </row>
    <row r="35" spans="1:14" x14ac:dyDescent="0.25">
      <c r="A35" t="s">
        <v>3839</v>
      </c>
      <c r="B35" t="s">
        <v>182</v>
      </c>
      <c r="C35" t="s">
        <v>3784</v>
      </c>
      <c r="D35" t="s">
        <v>3751</v>
      </c>
      <c r="E35" t="s">
        <v>90</v>
      </c>
      <c r="F35">
        <v>1</v>
      </c>
      <c r="G35">
        <v>2</v>
      </c>
      <c r="H35" t="s">
        <v>3840</v>
      </c>
      <c r="I35" t="s">
        <v>8110</v>
      </c>
      <c r="J35" t="s">
        <v>3465</v>
      </c>
      <c r="K35" t="s">
        <v>3839</v>
      </c>
      <c r="M35" t="s">
        <v>8080</v>
      </c>
    </row>
    <row r="36" spans="1:14" x14ac:dyDescent="0.25">
      <c r="A36" t="s">
        <v>3841</v>
      </c>
      <c r="B36" t="s">
        <v>182</v>
      </c>
      <c r="C36" t="s">
        <v>3784</v>
      </c>
      <c r="D36" t="s">
        <v>3751</v>
      </c>
      <c r="E36" t="s">
        <v>38</v>
      </c>
      <c r="F36">
        <v>1</v>
      </c>
      <c r="G36">
        <v>2</v>
      </c>
      <c r="H36" t="s">
        <v>3759</v>
      </c>
      <c r="I36" t="s">
        <v>3842</v>
      </c>
      <c r="J36" t="s">
        <v>7472</v>
      </c>
      <c r="K36" t="s">
        <v>3843</v>
      </c>
      <c r="M36" t="s">
        <v>8079</v>
      </c>
    </row>
    <row r="37" spans="1:14" x14ac:dyDescent="0.25">
      <c r="A37" t="s">
        <v>3844</v>
      </c>
      <c r="B37" t="s">
        <v>182</v>
      </c>
      <c r="C37" t="s">
        <v>3798</v>
      </c>
      <c r="D37" t="s">
        <v>3751</v>
      </c>
      <c r="E37" t="s">
        <v>90</v>
      </c>
      <c r="F37">
        <v>1</v>
      </c>
      <c r="G37">
        <v>3</v>
      </c>
      <c r="H37" t="s">
        <v>3840</v>
      </c>
      <c r="I37" t="s">
        <v>8098</v>
      </c>
      <c r="J37" t="s">
        <v>7418</v>
      </c>
      <c r="K37" t="s">
        <v>3844</v>
      </c>
      <c r="M37" t="s">
        <v>8080</v>
      </c>
    </row>
    <row r="38" spans="1:14" x14ac:dyDescent="0.25">
      <c r="A38" t="s">
        <v>3845</v>
      </c>
      <c r="B38" t="s">
        <v>182</v>
      </c>
      <c r="C38" t="s">
        <v>3798</v>
      </c>
      <c r="D38" t="s">
        <v>3800</v>
      </c>
      <c r="E38" t="s">
        <v>90</v>
      </c>
      <c r="F38">
        <v>1</v>
      </c>
      <c r="G38">
        <v>3</v>
      </c>
      <c r="H38" t="s">
        <v>3846</v>
      </c>
      <c r="I38" t="s">
        <v>3847</v>
      </c>
      <c r="J38" t="s">
        <v>7430</v>
      </c>
      <c r="K38" t="s">
        <v>3845</v>
      </c>
      <c r="M38" t="s">
        <v>8079</v>
      </c>
    </row>
    <row r="39" spans="1:14" x14ac:dyDescent="0.25">
      <c r="A39" t="s">
        <v>3848</v>
      </c>
      <c r="B39" t="s">
        <v>222</v>
      </c>
      <c r="C39" t="s">
        <v>3750</v>
      </c>
      <c r="D39" t="s">
        <v>3751</v>
      </c>
      <c r="E39" t="s">
        <v>1650</v>
      </c>
      <c r="F39">
        <v>1</v>
      </c>
      <c r="G39">
        <v>1</v>
      </c>
      <c r="H39" t="s">
        <v>3752</v>
      </c>
      <c r="I39" t="s">
        <v>3849</v>
      </c>
      <c r="J39" t="s">
        <v>7446</v>
      </c>
      <c r="K39" t="s">
        <v>3848</v>
      </c>
      <c r="M39" t="s">
        <v>8079</v>
      </c>
    </row>
    <row r="40" spans="1:14" x14ac:dyDescent="0.25">
      <c r="A40" t="s">
        <v>7712</v>
      </c>
      <c r="B40" t="s">
        <v>222</v>
      </c>
      <c r="C40" t="s">
        <v>3750</v>
      </c>
      <c r="D40" t="s">
        <v>3751</v>
      </c>
      <c r="E40" t="s">
        <v>1650</v>
      </c>
      <c r="F40">
        <v>1</v>
      </c>
      <c r="G40">
        <v>1</v>
      </c>
      <c r="H40" t="s">
        <v>3759</v>
      </c>
      <c r="I40" t="s">
        <v>7713</v>
      </c>
      <c r="J40" t="s">
        <v>3465</v>
      </c>
      <c r="K40" t="s">
        <v>7714</v>
      </c>
      <c r="L40" t="s">
        <v>7715</v>
      </c>
      <c r="M40" t="s">
        <v>8079</v>
      </c>
    </row>
    <row r="41" spans="1:14" x14ac:dyDescent="0.25">
      <c r="A41" t="s">
        <v>3850</v>
      </c>
      <c r="B41" t="s">
        <v>222</v>
      </c>
      <c r="C41" t="s">
        <v>3750</v>
      </c>
      <c r="D41" t="s">
        <v>3751</v>
      </c>
      <c r="E41" t="s">
        <v>1202</v>
      </c>
      <c r="F41">
        <v>1</v>
      </c>
      <c r="G41">
        <v>1</v>
      </c>
      <c r="H41" t="s">
        <v>3752</v>
      </c>
      <c r="I41" t="s">
        <v>8083</v>
      </c>
      <c r="J41" t="s">
        <v>3465</v>
      </c>
      <c r="K41" t="s">
        <v>3850</v>
      </c>
      <c r="L41" t="s">
        <v>3851</v>
      </c>
      <c r="M41" t="s">
        <v>8079</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8079</v>
      </c>
    </row>
    <row r="43" spans="1:14" x14ac:dyDescent="0.25">
      <c r="A43" t="s">
        <v>3852</v>
      </c>
      <c r="B43" t="s">
        <v>222</v>
      </c>
      <c r="C43" t="s">
        <v>3750</v>
      </c>
      <c r="D43" t="s">
        <v>3751</v>
      </c>
      <c r="E43" t="s">
        <v>501</v>
      </c>
      <c r="F43">
        <v>1</v>
      </c>
      <c r="G43">
        <v>1</v>
      </c>
      <c r="H43" t="s">
        <v>3763</v>
      </c>
      <c r="I43" t="s">
        <v>3853</v>
      </c>
      <c r="J43" t="s">
        <v>3465</v>
      </c>
      <c r="K43" t="s">
        <v>3852</v>
      </c>
      <c r="L43" t="s">
        <v>3854</v>
      </c>
      <c r="M43" t="s">
        <v>8079</v>
      </c>
    </row>
    <row r="44" spans="1:14" x14ac:dyDescent="0.25">
      <c r="A44" t="s">
        <v>7701</v>
      </c>
      <c r="B44" t="s">
        <v>222</v>
      </c>
      <c r="C44" t="s">
        <v>3784</v>
      </c>
      <c r="D44" t="s">
        <v>3751</v>
      </c>
      <c r="E44" t="s">
        <v>1650</v>
      </c>
      <c r="F44">
        <v>1</v>
      </c>
      <c r="G44">
        <v>2</v>
      </c>
      <c r="H44" t="s">
        <v>3752</v>
      </c>
      <c r="I44" t="s">
        <v>7702</v>
      </c>
      <c r="J44" t="s">
        <v>3465</v>
      </c>
      <c r="K44" t="s">
        <v>7703</v>
      </c>
      <c r="L44" t="s">
        <v>7704</v>
      </c>
      <c r="M44" t="s">
        <v>8079</v>
      </c>
    </row>
    <row r="45" spans="1:14" x14ac:dyDescent="0.25">
      <c r="A45" t="s">
        <v>7996</v>
      </c>
      <c r="B45" t="s">
        <v>222</v>
      </c>
      <c r="C45" t="s">
        <v>3784</v>
      </c>
      <c r="D45" t="s">
        <v>3751</v>
      </c>
      <c r="E45" t="s">
        <v>1650</v>
      </c>
      <c r="F45">
        <v>1</v>
      </c>
      <c r="G45">
        <v>2</v>
      </c>
      <c r="H45" t="s">
        <v>3846</v>
      </c>
      <c r="I45" t="s">
        <v>7997</v>
      </c>
      <c r="J45" t="s">
        <v>8000</v>
      </c>
      <c r="K45" t="s">
        <v>7999</v>
      </c>
      <c r="M45" t="s">
        <v>8079</v>
      </c>
    </row>
    <row r="46" spans="1:14" x14ac:dyDescent="0.25">
      <c r="A46" t="s">
        <v>7985</v>
      </c>
      <c r="B46" t="s">
        <v>222</v>
      </c>
      <c r="C46" t="s">
        <v>3784</v>
      </c>
      <c r="D46" t="s">
        <v>3751</v>
      </c>
      <c r="E46" t="s">
        <v>1650</v>
      </c>
      <c r="F46">
        <v>1</v>
      </c>
      <c r="G46">
        <v>2</v>
      </c>
      <c r="H46" t="s">
        <v>3763</v>
      </c>
      <c r="I46" t="s">
        <v>7986</v>
      </c>
      <c r="J46" t="s">
        <v>3465</v>
      </c>
      <c r="K46" t="s">
        <v>7985</v>
      </c>
      <c r="L46" t="s">
        <v>7998</v>
      </c>
      <c r="M46" t="s">
        <v>8079</v>
      </c>
    </row>
    <row r="47" spans="1:14" x14ac:dyDescent="0.25">
      <c r="A47" t="s">
        <v>3855</v>
      </c>
      <c r="B47" t="s">
        <v>222</v>
      </c>
      <c r="C47" t="s">
        <v>3784</v>
      </c>
      <c r="D47" t="s">
        <v>3751</v>
      </c>
      <c r="E47" t="s">
        <v>1650</v>
      </c>
      <c r="F47">
        <v>1</v>
      </c>
      <c r="G47">
        <v>2</v>
      </c>
      <c r="H47" t="s">
        <v>3759</v>
      </c>
      <c r="I47" t="s">
        <v>3856</v>
      </c>
      <c r="J47" t="s">
        <v>7417</v>
      </c>
      <c r="K47" t="s">
        <v>3855</v>
      </c>
      <c r="M47" t="s">
        <v>8079</v>
      </c>
    </row>
    <row r="48" spans="1:14" x14ac:dyDescent="0.25">
      <c r="A48" t="s">
        <v>3857</v>
      </c>
      <c r="B48" t="s">
        <v>222</v>
      </c>
      <c r="C48" t="s">
        <v>3784</v>
      </c>
      <c r="D48" t="s">
        <v>3751</v>
      </c>
      <c r="E48" t="s">
        <v>1650</v>
      </c>
      <c r="F48">
        <v>1</v>
      </c>
      <c r="G48">
        <v>2</v>
      </c>
      <c r="H48" t="s">
        <v>3759</v>
      </c>
      <c r="I48" t="s">
        <v>3858</v>
      </c>
      <c r="J48" t="s">
        <v>7413</v>
      </c>
      <c r="K48" t="s">
        <v>3859</v>
      </c>
      <c r="L48" t="s">
        <v>3827</v>
      </c>
      <c r="M48" t="s">
        <v>8079</v>
      </c>
    </row>
    <row r="49" spans="1:13" x14ac:dyDescent="0.25">
      <c r="A49" t="s">
        <v>3860</v>
      </c>
      <c r="B49" t="s">
        <v>222</v>
      </c>
      <c r="C49" t="s">
        <v>3784</v>
      </c>
      <c r="D49" t="s">
        <v>3795</v>
      </c>
      <c r="E49" t="s">
        <v>501</v>
      </c>
      <c r="F49">
        <v>1</v>
      </c>
      <c r="G49">
        <v>2</v>
      </c>
      <c r="H49" t="s">
        <v>3759</v>
      </c>
      <c r="I49" t="s">
        <v>3861</v>
      </c>
      <c r="J49" t="s">
        <v>7410</v>
      </c>
      <c r="K49" t="s">
        <v>3860</v>
      </c>
      <c r="M49" t="s">
        <v>8079</v>
      </c>
    </row>
    <row r="50" spans="1:13" x14ac:dyDescent="0.25">
      <c r="A50" t="s">
        <v>3862</v>
      </c>
      <c r="B50" t="s">
        <v>222</v>
      </c>
      <c r="C50" t="s">
        <v>3784</v>
      </c>
      <c r="D50" t="s">
        <v>3751</v>
      </c>
      <c r="E50" t="s">
        <v>1650</v>
      </c>
      <c r="F50">
        <v>1</v>
      </c>
      <c r="G50">
        <v>2</v>
      </c>
      <c r="H50" t="s">
        <v>3752</v>
      </c>
      <c r="I50" t="s">
        <v>3863</v>
      </c>
      <c r="J50" t="s">
        <v>3465</v>
      </c>
      <c r="K50" t="s">
        <v>3862</v>
      </c>
      <c r="L50" t="s">
        <v>3864</v>
      </c>
      <c r="M50" t="s">
        <v>8079</v>
      </c>
    </row>
    <row r="51" spans="1:13" x14ac:dyDescent="0.25">
      <c r="A51" t="s">
        <v>3865</v>
      </c>
      <c r="B51" t="s">
        <v>222</v>
      </c>
      <c r="C51" t="s">
        <v>3784</v>
      </c>
      <c r="D51" t="s">
        <v>3751</v>
      </c>
      <c r="E51" t="s">
        <v>1650</v>
      </c>
      <c r="F51">
        <v>1</v>
      </c>
      <c r="G51">
        <v>2</v>
      </c>
      <c r="H51" t="s">
        <v>3759</v>
      </c>
      <c r="I51" t="s">
        <v>3866</v>
      </c>
      <c r="J51" t="s">
        <v>7697</v>
      </c>
      <c r="K51" t="s">
        <v>3865</v>
      </c>
      <c r="L51" t="s">
        <v>3867</v>
      </c>
      <c r="M51" t="s">
        <v>8079</v>
      </c>
    </row>
    <row r="52" spans="1:13" x14ac:dyDescent="0.25">
      <c r="A52" t="s">
        <v>3868</v>
      </c>
      <c r="B52" t="s">
        <v>222</v>
      </c>
      <c r="C52" t="s">
        <v>3784</v>
      </c>
      <c r="D52" t="s">
        <v>3751</v>
      </c>
      <c r="E52" t="s">
        <v>1650</v>
      </c>
      <c r="F52">
        <v>1</v>
      </c>
      <c r="G52">
        <v>2</v>
      </c>
      <c r="H52" t="s">
        <v>3759</v>
      </c>
      <c r="I52" t="s">
        <v>3869</v>
      </c>
      <c r="J52" t="s">
        <v>3465</v>
      </c>
      <c r="K52" t="s">
        <v>3870</v>
      </c>
      <c r="L52" t="s">
        <v>3871</v>
      </c>
      <c r="M52" t="s">
        <v>8079</v>
      </c>
    </row>
    <row r="53" spans="1:13" x14ac:dyDescent="0.25">
      <c r="A53" t="s">
        <v>3872</v>
      </c>
      <c r="B53" t="s">
        <v>222</v>
      </c>
      <c r="C53" t="s">
        <v>3784</v>
      </c>
      <c r="D53" t="s">
        <v>3751</v>
      </c>
      <c r="E53" t="s">
        <v>1130</v>
      </c>
      <c r="F53">
        <v>1</v>
      </c>
      <c r="G53">
        <v>2</v>
      </c>
      <c r="H53" t="s">
        <v>3846</v>
      </c>
      <c r="I53" t="s">
        <v>3873</v>
      </c>
      <c r="J53" t="s">
        <v>3465</v>
      </c>
      <c r="K53" t="s">
        <v>3872</v>
      </c>
      <c r="M53" t="s">
        <v>8079</v>
      </c>
    </row>
    <row r="54" spans="1:13" x14ac:dyDescent="0.25">
      <c r="A54" t="s">
        <v>3874</v>
      </c>
      <c r="B54" t="s">
        <v>222</v>
      </c>
      <c r="C54" t="s">
        <v>3798</v>
      </c>
      <c r="D54" t="s">
        <v>3751</v>
      </c>
      <c r="E54" t="s">
        <v>501</v>
      </c>
      <c r="F54">
        <v>1</v>
      </c>
      <c r="G54">
        <v>3</v>
      </c>
      <c r="H54" t="s">
        <v>3846</v>
      </c>
      <c r="I54" t="s">
        <v>3875</v>
      </c>
      <c r="J54" t="s">
        <v>7473</v>
      </c>
      <c r="K54" t="s">
        <v>3876</v>
      </c>
      <c r="M54" t="s">
        <v>8079</v>
      </c>
    </row>
    <row r="55" spans="1:13" x14ac:dyDescent="0.25">
      <c r="A55" t="s">
        <v>7990</v>
      </c>
      <c r="B55" t="s">
        <v>222</v>
      </c>
      <c r="C55" t="s">
        <v>3798</v>
      </c>
      <c r="D55" t="s">
        <v>3751</v>
      </c>
      <c r="E55" t="s">
        <v>1650</v>
      </c>
      <c r="F55">
        <v>1</v>
      </c>
      <c r="G55">
        <v>3</v>
      </c>
      <c r="H55" t="s">
        <v>3752</v>
      </c>
      <c r="I55" t="s">
        <v>7993</v>
      </c>
      <c r="J55" t="s">
        <v>7991</v>
      </c>
      <c r="K55" t="s">
        <v>7995</v>
      </c>
      <c r="L55" t="s">
        <v>7994</v>
      </c>
      <c r="M55" t="s">
        <v>8079</v>
      </c>
    </row>
    <row r="56" spans="1:13" x14ac:dyDescent="0.25">
      <c r="A56" t="s">
        <v>3877</v>
      </c>
      <c r="B56" t="s">
        <v>222</v>
      </c>
      <c r="C56" t="s">
        <v>3798</v>
      </c>
      <c r="D56" t="s">
        <v>3751</v>
      </c>
      <c r="E56" t="s">
        <v>1650</v>
      </c>
      <c r="F56">
        <v>1</v>
      </c>
      <c r="G56">
        <v>3</v>
      </c>
      <c r="H56" t="s">
        <v>3759</v>
      </c>
      <c r="I56" t="s">
        <v>3878</v>
      </c>
      <c r="J56" t="s">
        <v>7696</v>
      </c>
      <c r="K56" t="s">
        <v>3879</v>
      </c>
      <c r="L56" t="s">
        <v>3880</v>
      </c>
      <c r="M56" t="s">
        <v>8079</v>
      </c>
    </row>
    <row r="57" spans="1:13" x14ac:dyDescent="0.25">
      <c r="A57" t="s">
        <v>1169</v>
      </c>
      <c r="B57" t="s">
        <v>222</v>
      </c>
      <c r="C57" t="s">
        <v>3918</v>
      </c>
      <c r="D57" t="s">
        <v>3751</v>
      </c>
      <c r="E57" t="s">
        <v>1650</v>
      </c>
      <c r="F57">
        <v>1</v>
      </c>
      <c r="G57">
        <v>4</v>
      </c>
      <c r="H57" t="s">
        <v>3759</v>
      </c>
      <c r="I57" t="s">
        <v>7705</v>
      </c>
      <c r="J57" t="s">
        <v>7711</v>
      </c>
      <c r="K57" t="s">
        <v>1169</v>
      </c>
      <c r="L57" t="s">
        <v>458</v>
      </c>
      <c r="M57" t="s">
        <v>8079</v>
      </c>
    </row>
    <row r="58" spans="1:13" x14ac:dyDescent="0.25">
      <c r="A58" t="s">
        <v>7987</v>
      </c>
      <c r="B58" t="s">
        <v>222</v>
      </c>
      <c r="C58" t="s">
        <v>3918</v>
      </c>
      <c r="D58" t="s">
        <v>3751</v>
      </c>
      <c r="E58" t="s">
        <v>1650</v>
      </c>
      <c r="F58">
        <v>1</v>
      </c>
      <c r="G58">
        <v>4</v>
      </c>
      <c r="H58" t="s">
        <v>3752</v>
      </c>
      <c r="I58" t="s">
        <v>7988</v>
      </c>
      <c r="J58" t="s">
        <v>3465</v>
      </c>
      <c r="K58" t="s">
        <v>7989</v>
      </c>
      <c r="L58" t="s">
        <v>3871</v>
      </c>
      <c r="M58" t="s">
        <v>8079</v>
      </c>
    </row>
    <row r="59" spans="1:13" x14ac:dyDescent="0.25">
      <c r="A59" t="s">
        <v>7910</v>
      </c>
      <c r="B59" t="s">
        <v>179</v>
      </c>
      <c r="C59" t="s">
        <v>3750</v>
      </c>
      <c r="D59" t="s">
        <v>3751</v>
      </c>
      <c r="E59" t="s">
        <v>1796</v>
      </c>
      <c r="F59">
        <v>1</v>
      </c>
      <c r="G59">
        <v>1</v>
      </c>
      <c r="H59" t="s">
        <v>3840</v>
      </c>
      <c r="I59" t="s">
        <v>8099</v>
      </c>
      <c r="J59" t="s">
        <v>3465</v>
      </c>
      <c r="K59" t="s">
        <v>7911</v>
      </c>
      <c r="M59" t="s">
        <v>8080</v>
      </c>
    </row>
    <row r="60" spans="1:13" x14ac:dyDescent="0.25">
      <c r="A60" t="s">
        <v>3881</v>
      </c>
      <c r="B60" t="s">
        <v>179</v>
      </c>
      <c r="C60" t="s">
        <v>3750</v>
      </c>
      <c r="D60" t="s">
        <v>3751</v>
      </c>
      <c r="E60" t="s">
        <v>1796</v>
      </c>
      <c r="F60">
        <v>1</v>
      </c>
      <c r="G60">
        <v>1</v>
      </c>
      <c r="H60" t="s">
        <v>3846</v>
      </c>
      <c r="I60" t="s">
        <v>3882</v>
      </c>
      <c r="J60" t="s">
        <v>7474</v>
      </c>
      <c r="K60" t="s">
        <v>3881</v>
      </c>
      <c r="M60" t="s">
        <v>8079</v>
      </c>
    </row>
    <row r="61" spans="1:13" x14ac:dyDescent="0.25">
      <c r="A61" t="s">
        <v>7698</v>
      </c>
      <c r="B61" t="s">
        <v>179</v>
      </c>
      <c r="C61" t="s">
        <v>3750</v>
      </c>
      <c r="D61" t="s">
        <v>3751</v>
      </c>
      <c r="E61" t="s">
        <v>689</v>
      </c>
      <c r="F61">
        <v>1</v>
      </c>
      <c r="G61">
        <v>1</v>
      </c>
      <c r="H61" t="s">
        <v>3752</v>
      </c>
      <c r="I61" t="s">
        <v>7699</v>
      </c>
      <c r="J61" t="s">
        <v>3465</v>
      </c>
      <c r="K61" t="s">
        <v>7698</v>
      </c>
      <c r="L61" t="s">
        <v>7700</v>
      </c>
      <c r="M61" t="s">
        <v>8079</v>
      </c>
    </row>
    <row r="62" spans="1:13" x14ac:dyDescent="0.25">
      <c r="A62" t="s">
        <v>3883</v>
      </c>
      <c r="B62" t="s">
        <v>179</v>
      </c>
      <c r="C62" t="s">
        <v>3784</v>
      </c>
      <c r="D62" t="s">
        <v>3751</v>
      </c>
      <c r="E62" t="s">
        <v>1796</v>
      </c>
      <c r="F62">
        <v>1</v>
      </c>
      <c r="G62">
        <v>2</v>
      </c>
      <c r="H62" t="s">
        <v>3840</v>
      </c>
      <c r="I62" t="s">
        <v>8100</v>
      </c>
      <c r="J62" t="s">
        <v>7405</v>
      </c>
      <c r="K62" t="s">
        <v>3884</v>
      </c>
      <c r="M62" t="s">
        <v>8080</v>
      </c>
    </row>
    <row r="63" spans="1:13" x14ac:dyDescent="0.25">
      <c r="A63" t="s">
        <v>3885</v>
      </c>
      <c r="B63" t="s">
        <v>179</v>
      </c>
      <c r="C63" t="s">
        <v>3784</v>
      </c>
      <c r="D63" t="s">
        <v>3751</v>
      </c>
      <c r="E63" t="s">
        <v>1796</v>
      </c>
      <c r="F63">
        <v>1</v>
      </c>
      <c r="G63">
        <v>2</v>
      </c>
      <c r="H63" t="s">
        <v>3759</v>
      </c>
      <c r="I63" t="s">
        <v>3886</v>
      </c>
      <c r="J63" t="s">
        <v>7406</v>
      </c>
      <c r="K63" t="s">
        <v>3885</v>
      </c>
      <c r="M63" t="s">
        <v>8079</v>
      </c>
    </row>
    <row r="64" spans="1:13" x14ac:dyDescent="0.25">
      <c r="A64" t="s">
        <v>7907</v>
      </c>
      <c r="B64" t="s">
        <v>179</v>
      </c>
      <c r="C64" t="s">
        <v>3798</v>
      </c>
      <c r="D64" t="s">
        <v>3751</v>
      </c>
      <c r="E64" t="s">
        <v>553</v>
      </c>
      <c r="F64">
        <v>1</v>
      </c>
      <c r="G64">
        <v>3</v>
      </c>
      <c r="H64" t="s">
        <v>3759</v>
      </c>
      <c r="I64" t="s">
        <v>7908</v>
      </c>
      <c r="J64" t="s">
        <v>3465</v>
      </c>
      <c r="K64" t="s">
        <v>7909</v>
      </c>
      <c r="L64" t="s">
        <v>3827</v>
      </c>
      <c r="M64" t="s">
        <v>8079</v>
      </c>
    </row>
    <row r="65" spans="1:13" x14ac:dyDescent="0.25">
      <c r="A65" t="s">
        <v>3887</v>
      </c>
      <c r="B65" t="s">
        <v>179</v>
      </c>
      <c r="C65" t="s">
        <v>3798</v>
      </c>
      <c r="D65" t="s">
        <v>3751</v>
      </c>
      <c r="E65" t="s">
        <v>1796</v>
      </c>
      <c r="F65">
        <v>1</v>
      </c>
      <c r="G65">
        <v>3</v>
      </c>
      <c r="H65" t="s">
        <v>3759</v>
      </c>
      <c r="I65" t="s">
        <v>3888</v>
      </c>
      <c r="J65" t="s">
        <v>3465</v>
      </c>
      <c r="K65" t="s">
        <v>3887</v>
      </c>
      <c r="M65" t="s">
        <v>8079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8078</v>
      </c>
      <c r="O1" t="s">
        <v>8055</v>
      </c>
    </row>
    <row r="2" spans="1:15" x14ac:dyDescent="0.25">
      <c r="A2" t="s">
        <v>3889</v>
      </c>
      <c r="B2" t="s">
        <v>176</v>
      </c>
      <c r="C2" t="s">
        <v>3750</v>
      </c>
      <c r="D2" t="s">
        <v>3800</v>
      </c>
      <c r="E2" t="s">
        <v>1047</v>
      </c>
      <c r="F2">
        <v>1</v>
      </c>
      <c r="G2">
        <v>3</v>
      </c>
      <c r="H2" t="s">
        <v>3763</v>
      </c>
      <c r="I2" t="s">
        <v>8104</v>
      </c>
      <c r="J2" t="s">
        <v>7457</v>
      </c>
      <c r="K2" t="s">
        <v>3889</v>
      </c>
      <c r="L2" t="s">
        <v>3890</v>
      </c>
      <c r="N2" t="s">
        <v>8079</v>
      </c>
    </row>
    <row r="3" spans="1:15" x14ac:dyDescent="0.25">
      <c r="A3" t="s">
        <v>3891</v>
      </c>
      <c r="B3" t="s">
        <v>176</v>
      </c>
      <c r="C3" t="s">
        <v>3750</v>
      </c>
      <c r="D3" t="s">
        <v>3800</v>
      </c>
      <c r="E3" t="s">
        <v>1753</v>
      </c>
      <c r="F3">
        <v>1</v>
      </c>
      <c r="G3">
        <v>3</v>
      </c>
      <c r="H3" t="s">
        <v>3752</v>
      </c>
      <c r="I3" t="s">
        <v>3892</v>
      </c>
      <c r="J3" t="s">
        <v>3465</v>
      </c>
      <c r="K3" t="s">
        <v>3893</v>
      </c>
      <c r="L3" t="s">
        <v>3894</v>
      </c>
      <c r="N3" t="s">
        <v>8079</v>
      </c>
    </row>
    <row r="4" spans="1:15" x14ac:dyDescent="0.25">
      <c r="A4" t="s">
        <v>3895</v>
      </c>
      <c r="B4" t="s">
        <v>176</v>
      </c>
      <c r="C4" t="s">
        <v>3750</v>
      </c>
      <c r="D4" t="s">
        <v>3800</v>
      </c>
      <c r="E4" t="s">
        <v>2133</v>
      </c>
      <c r="F4">
        <v>1</v>
      </c>
      <c r="G4">
        <v>3</v>
      </c>
      <c r="H4" t="s">
        <v>3846</v>
      </c>
      <c r="I4" t="s">
        <v>3896</v>
      </c>
      <c r="J4" t="s">
        <v>7388</v>
      </c>
      <c r="K4" t="s">
        <v>3895</v>
      </c>
      <c r="N4" t="s">
        <v>8079</v>
      </c>
    </row>
    <row r="5" spans="1:15" x14ac:dyDescent="0.25">
      <c r="A5" t="s">
        <v>3897</v>
      </c>
      <c r="B5" t="s">
        <v>176</v>
      </c>
      <c r="C5" t="s">
        <v>3750</v>
      </c>
      <c r="D5" t="s">
        <v>3751</v>
      </c>
      <c r="E5" t="s">
        <v>160</v>
      </c>
      <c r="F5">
        <v>1</v>
      </c>
      <c r="G5">
        <v>3</v>
      </c>
      <c r="H5" t="s">
        <v>3840</v>
      </c>
      <c r="I5" t="s">
        <v>8101</v>
      </c>
      <c r="J5" t="s">
        <v>7465</v>
      </c>
      <c r="K5" t="s">
        <v>3897</v>
      </c>
      <c r="N5" t="s">
        <v>8080</v>
      </c>
    </row>
    <row r="6" spans="1:15" x14ac:dyDescent="0.25">
      <c r="A6" t="s">
        <v>7367</v>
      </c>
      <c r="B6" t="s">
        <v>176</v>
      </c>
      <c r="C6" t="s">
        <v>3750</v>
      </c>
      <c r="D6" t="s">
        <v>3800</v>
      </c>
      <c r="E6" t="s">
        <v>2174</v>
      </c>
      <c r="F6">
        <v>1</v>
      </c>
      <c r="G6">
        <v>3</v>
      </c>
      <c r="H6" t="s">
        <v>3759</v>
      </c>
      <c r="I6" t="s">
        <v>7368</v>
      </c>
      <c r="J6" t="s">
        <v>3465</v>
      </c>
      <c r="K6" t="s">
        <v>7367</v>
      </c>
      <c r="L6" t="s">
        <v>4578</v>
      </c>
      <c r="N6" t="s">
        <v>8079</v>
      </c>
    </row>
    <row r="7" spans="1:15" x14ac:dyDescent="0.25">
      <c r="A7" t="s">
        <v>3898</v>
      </c>
      <c r="B7" t="s">
        <v>176</v>
      </c>
      <c r="C7" t="s">
        <v>3750</v>
      </c>
      <c r="D7" t="s">
        <v>3800</v>
      </c>
      <c r="E7" t="s">
        <v>2620</v>
      </c>
      <c r="F7">
        <v>1</v>
      </c>
      <c r="G7">
        <v>3</v>
      </c>
      <c r="H7" t="s">
        <v>3752</v>
      </c>
      <c r="I7" t="s">
        <v>3899</v>
      </c>
      <c r="J7" t="s">
        <v>7467</v>
      </c>
      <c r="K7" t="s">
        <v>3900</v>
      </c>
      <c r="N7" t="s">
        <v>8079</v>
      </c>
    </row>
    <row r="8" spans="1:15" x14ac:dyDescent="0.25">
      <c r="A8" t="s">
        <v>3901</v>
      </c>
      <c r="B8" t="s">
        <v>176</v>
      </c>
      <c r="C8" t="s">
        <v>3750</v>
      </c>
      <c r="D8" t="s">
        <v>3751</v>
      </c>
      <c r="E8" t="s">
        <v>1295</v>
      </c>
      <c r="F8">
        <v>1</v>
      </c>
      <c r="G8">
        <v>3</v>
      </c>
      <c r="H8" t="s">
        <v>3763</v>
      </c>
      <c r="I8" t="s">
        <v>3902</v>
      </c>
      <c r="J8" t="s">
        <v>3465</v>
      </c>
      <c r="K8" t="s">
        <v>3901</v>
      </c>
      <c r="N8" t="s">
        <v>8079</v>
      </c>
    </row>
    <row r="9" spans="1:15" x14ac:dyDescent="0.25">
      <c r="A9" t="s">
        <v>3903</v>
      </c>
      <c r="B9" t="s">
        <v>176</v>
      </c>
      <c r="C9" t="s">
        <v>3750</v>
      </c>
      <c r="D9" t="s">
        <v>3751</v>
      </c>
      <c r="E9" t="s">
        <v>160</v>
      </c>
      <c r="F9">
        <v>1</v>
      </c>
      <c r="G9">
        <v>3</v>
      </c>
      <c r="H9" t="s">
        <v>3846</v>
      </c>
      <c r="I9" t="s">
        <v>3904</v>
      </c>
      <c r="J9" t="s">
        <v>3465</v>
      </c>
      <c r="K9" t="s">
        <v>3903</v>
      </c>
      <c r="N9" t="s">
        <v>8079</v>
      </c>
    </row>
    <row r="10" spans="1:15" x14ac:dyDescent="0.25">
      <c r="A10" t="s">
        <v>7920</v>
      </c>
      <c r="B10" t="s">
        <v>176</v>
      </c>
      <c r="C10" t="s">
        <v>3750</v>
      </c>
      <c r="D10" t="s">
        <v>3751</v>
      </c>
      <c r="E10" t="s">
        <v>2620</v>
      </c>
      <c r="F10">
        <v>1</v>
      </c>
      <c r="G10">
        <v>3</v>
      </c>
      <c r="H10" t="s">
        <v>3759</v>
      </c>
      <c r="I10" t="s">
        <v>7921</v>
      </c>
      <c r="J10" t="s">
        <v>3465</v>
      </c>
      <c r="K10" t="s">
        <v>7922</v>
      </c>
      <c r="N10" t="s">
        <v>8079</v>
      </c>
    </row>
    <row r="11" spans="1:15" x14ac:dyDescent="0.25">
      <c r="A11" t="s">
        <v>3905</v>
      </c>
      <c r="B11" t="s">
        <v>176</v>
      </c>
      <c r="C11" t="s">
        <v>3784</v>
      </c>
      <c r="D11" t="s">
        <v>3906</v>
      </c>
      <c r="E11" t="s">
        <v>1295</v>
      </c>
      <c r="F11">
        <v>1</v>
      </c>
      <c r="G11">
        <v>5</v>
      </c>
      <c r="H11" t="s">
        <v>3763</v>
      </c>
      <c r="I11" t="s">
        <v>3907</v>
      </c>
      <c r="J11" t="s">
        <v>3465</v>
      </c>
      <c r="K11" t="s">
        <v>3905</v>
      </c>
      <c r="N11" t="s">
        <v>8079</v>
      </c>
    </row>
    <row r="12" spans="1:15" x14ac:dyDescent="0.25">
      <c r="A12" t="s">
        <v>3908</v>
      </c>
      <c r="B12" t="s">
        <v>176</v>
      </c>
      <c r="C12" t="s">
        <v>3784</v>
      </c>
      <c r="D12" t="s">
        <v>3751</v>
      </c>
      <c r="E12" t="s">
        <v>160</v>
      </c>
      <c r="F12">
        <v>1</v>
      </c>
      <c r="G12">
        <v>5</v>
      </c>
      <c r="H12" t="s">
        <v>3759</v>
      </c>
      <c r="I12" t="s">
        <v>3909</v>
      </c>
      <c r="J12" t="s">
        <v>3465</v>
      </c>
      <c r="K12" t="s">
        <v>3910</v>
      </c>
      <c r="N12" t="s">
        <v>8079</v>
      </c>
    </row>
    <row r="13" spans="1:15" x14ac:dyDescent="0.25">
      <c r="A13" t="s">
        <v>7903</v>
      </c>
      <c r="B13" t="s">
        <v>176</v>
      </c>
      <c r="C13" t="s">
        <v>3784</v>
      </c>
      <c r="D13" t="s">
        <v>3751</v>
      </c>
      <c r="E13" t="s">
        <v>1047</v>
      </c>
      <c r="F13">
        <v>1</v>
      </c>
      <c r="G13">
        <v>5</v>
      </c>
      <c r="H13" t="s">
        <v>3759</v>
      </c>
      <c r="I13" t="s">
        <v>7904</v>
      </c>
      <c r="J13" t="s">
        <v>3465</v>
      </c>
      <c r="K13" t="s">
        <v>7905</v>
      </c>
      <c r="L13" t="s">
        <v>7906</v>
      </c>
      <c r="N13" t="s">
        <v>8079</v>
      </c>
    </row>
    <row r="14" spans="1:15" x14ac:dyDescent="0.25">
      <c r="A14" t="s">
        <v>3911</v>
      </c>
      <c r="B14" t="s">
        <v>176</v>
      </c>
      <c r="C14" t="s">
        <v>3784</v>
      </c>
      <c r="D14" t="s">
        <v>3751</v>
      </c>
      <c r="E14" t="s">
        <v>1030</v>
      </c>
      <c r="F14">
        <v>1</v>
      </c>
      <c r="G14">
        <v>5</v>
      </c>
      <c r="H14" t="s">
        <v>3759</v>
      </c>
      <c r="I14" t="s">
        <v>3912</v>
      </c>
      <c r="J14" t="s">
        <v>7455</v>
      </c>
      <c r="K14" t="s">
        <v>3913</v>
      </c>
      <c r="N14" t="s">
        <v>8079</v>
      </c>
    </row>
    <row r="15" spans="1:15" x14ac:dyDescent="0.25">
      <c r="A15" t="s">
        <v>3914</v>
      </c>
      <c r="B15" t="s">
        <v>176</v>
      </c>
      <c r="C15" t="s">
        <v>3784</v>
      </c>
      <c r="D15" t="s">
        <v>3751</v>
      </c>
      <c r="E15" t="s">
        <v>1299</v>
      </c>
      <c r="F15">
        <v>1</v>
      </c>
      <c r="G15">
        <v>5</v>
      </c>
      <c r="H15" t="s">
        <v>3759</v>
      </c>
      <c r="I15" t="s">
        <v>3915</v>
      </c>
      <c r="J15" t="s">
        <v>3465</v>
      </c>
      <c r="K15" t="s">
        <v>3914</v>
      </c>
      <c r="N15" t="s">
        <v>8079</v>
      </c>
    </row>
    <row r="16" spans="1:15" x14ac:dyDescent="0.25">
      <c r="A16" t="s">
        <v>7918</v>
      </c>
      <c r="B16" t="s">
        <v>176</v>
      </c>
      <c r="C16" t="s">
        <v>3784</v>
      </c>
      <c r="D16" t="s">
        <v>7919</v>
      </c>
      <c r="E16" t="s">
        <v>1047</v>
      </c>
      <c r="F16">
        <v>1</v>
      </c>
      <c r="G16">
        <v>5</v>
      </c>
      <c r="H16" t="s">
        <v>3759</v>
      </c>
      <c r="I16" t="s">
        <v>7917</v>
      </c>
      <c r="J16" t="s">
        <v>3465</v>
      </c>
      <c r="K16" t="s">
        <v>7918</v>
      </c>
      <c r="N16" t="s">
        <v>8079</v>
      </c>
    </row>
    <row r="17" spans="1:14" x14ac:dyDescent="0.25">
      <c r="A17" t="s">
        <v>3475</v>
      </c>
      <c r="B17" t="s">
        <v>176</v>
      </c>
      <c r="C17" t="s">
        <v>3798</v>
      </c>
      <c r="D17" t="s">
        <v>3751</v>
      </c>
      <c r="E17" t="s">
        <v>160</v>
      </c>
      <c r="F17">
        <v>1</v>
      </c>
      <c r="G17">
        <v>7</v>
      </c>
      <c r="H17" t="s">
        <v>3752</v>
      </c>
      <c r="I17" t="s">
        <v>3916</v>
      </c>
      <c r="J17" t="s">
        <v>3465</v>
      </c>
      <c r="K17" t="s">
        <v>3475</v>
      </c>
      <c r="N17" t="s">
        <v>8079</v>
      </c>
    </row>
    <row r="18" spans="1:14" x14ac:dyDescent="0.25">
      <c r="A18" t="s">
        <v>3917</v>
      </c>
      <c r="B18" t="s">
        <v>176</v>
      </c>
      <c r="C18" t="s">
        <v>3918</v>
      </c>
      <c r="D18" t="s">
        <v>3795</v>
      </c>
      <c r="E18" t="s">
        <v>1047</v>
      </c>
      <c r="F18">
        <v>1</v>
      </c>
      <c r="G18">
        <v>9</v>
      </c>
      <c r="H18" t="s">
        <v>3752</v>
      </c>
      <c r="I18" t="s">
        <v>3919</v>
      </c>
      <c r="J18" t="s">
        <v>3465</v>
      </c>
      <c r="K18" t="s">
        <v>3917</v>
      </c>
      <c r="L18" t="s">
        <v>3770</v>
      </c>
      <c r="N18" t="s">
        <v>8079</v>
      </c>
    </row>
    <row r="19" spans="1:14" x14ac:dyDescent="0.25">
      <c r="A19" t="s">
        <v>7923</v>
      </c>
      <c r="B19" t="s">
        <v>176</v>
      </c>
      <c r="C19" t="s">
        <v>3918</v>
      </c>
      <c r="D19" t="s">
        <v>3800</v>
      </c>
      <c r="E19" t="s">
        <v>709</v>
      </c>
      <c r="F19">
        <v>1</v>
      </c>
      <c r="G19">
        <v>9</v>
      </c>
      <c r="H19" t="s">
        <v>3759</v>
      </c>
      <c r="I19" t="s">
        <v>7924</v>
      </c>
      <c r="J19" t="s">
        <v>3465</v>
      </c>
      <c r="K19" t="s">
        <v>7925</v>
      </c>
      <c r="N19" t="s">
        <v>8079</v>
      </c>
    </row>
    <row r="20" spans="1:14" x14ac:dyDescent="0.25">
      <c r="A20" t="s">
        <v>7913</v>
      </c>
      <c r="B20" t="s">
        <v>182</v>
      </c>
      <c r="C20" t="s">
        <v>3750</v>
      </c>
      <c r="D20" t="s">
        <v>3751</v>
      </c>
      <c r="E20" t="s">
        <v>90</v>
      </c>
      <c r="F20">
        <v>1</v>
      </c>
      <c r="G20">
        <v>3</v>
      </c>
      <c r="H20" t="s">
        <v>3759</v>
      </c>
      <c r="I20" t="s">
        <v>7912</v>
      </c>
      <c r="J20" t="s">
        <v>3465</v>
      </c>
      <c r="K20" t="s">
        <v>7914</v>
      </c>
      <c r="N20" t="s">
        <v>8079</v>
      </c>
    </row>
    <row r="21" spans="1:14" x14ac:dyDescent="0.25">
      <c r="A21" t="s">
        <v>3920</v>
      </c>
      <c r="B21" t="s">
        <v>182</v>
      </c>
      <c r="C21" t="s">
        <v>3750</v>
      </c>
      <c r="D21" t="s">
        <v>3800</v>
      </c>
      <c r="E21" t="s">
        <v>90</v>
      </c>
      <c r="F21">
        <v>1</v>
      </c>
      <c r="G21">
        <v>3</v>
      </c>
      <c r="H21" t="s">
        <v>3759</v>
      </c>
      <c r="I21" t="s">
        <v>3921</v>
      </c>
      <c r="J21" t="s">
        <v>3465</v>
      </c>
      <c r="K21" t="s">
        <v>3922</v>
      </c>
      <c r="N21" t="s">
        <v>8079</v>
      </c>
    </row>
    <row r="22" spans="1:14" x14ac:dyDescent="0.25">
      <c r="A22" t="s">
        <v>3923</v>
      </c>
      <c r="B22" t="s">
        <v>182</v>
      </c>
      <c r="C22" t="s">
        <v>3750</v>
      </c>
      <c r="D22" t="s">
        <v>3751</v>
      </c>
      <c r="E22" t="s">
        <v>38</v>
      </c>
      <c r="F22">
        <v>1</v>
      </c>
      <c r="G22">
        <v>3</v>
      </c>
      <c r="H22" t="s">
        <v>3759</v>
      </c>
      <c r="I22" t="s">
        <v>3924</v>
      </c>
      <c r="J22" t="s">
        <v>7420</v>
      </c>
      <c r="K22" t="s">
        <v>3923</v>
      </c>
      <c r="N22" t="s">
        <v>8079</v>
      </c>
    </row>
    <row r="23" spans="1:14" x14ac:dyDescent="0.25">
      <c r="A23" t="s">
        <v>3925</v>
      </c>
      <c r="B23" t="s">
        <v>182</v>
      </c>
      <c r="C23" t="s">
        <v>3784</v>
      </c>
      <c r="D23" t="s">
        <v>3751</v>
      </c>
      <c r="E23" t="s">
        <v>353</v>
      </c>
      <c r="F23">
        <v>1</v>
      </c>
      <c r="G23">
        <v>5</v>
      </c>
      <c r="H23" t="s">
        <v>3840</v>
      </c>
      <c r="I23" t="s">
        <v>8094</v>
      </c>
      <c r="J23" t="s">
        <v>3465</v>
      </c>
      <c r="K23" t="s">
        <v>3926</v>
      </c>
      <c r="N23" t="s">
        <v>8080</v>
      </c>
    </row>
    <row r="24" spans="1:14" x14ac:dyDescent="0.25">
      <c r="A24" t="s">
        <v>3927</v>
      </c>
      <c r="B24" t="s">
        <v>182</v>
      </c>
      <c r="C24" t="s">
        <v>3784</v>
      </c>
      <c r="D24" t="s">
        <v>3751</v>
      </c>
      <c r="E24" t="s">
        <v>353</v>
      </c>
      <c r="F24">
        <v>1</v>
      </c>
      <c r="G24">
        <v>5</v>
      </c>
      <c r="H24" t="s">
        <v>3840</v>
      </c>
      <c r="I24" t="s">
        <v>8097</v>
      </c>
      <c r="J24" t="s">
        <v>3465</v>
      </c>
      <c r="K24" t="s">
        <v>3928</v>
      </c>
      <c r="N24" t="s">
        <v>8080</v>
      </c>
    </row>
    <row r="25" spans="1:14" x14ac:dyDescent="0.25">
      <c r="A25" t="s">
        <v>3929</v>
      </c>
      <c r="B25" t="s">
        <v>182</v>
      </c>
      <c r="C25" t="s">
        <v>3784</v>
      </c>
      <c r="D25" t="s">
        <v>3751</v>
      </c>
      <c r="E25" t="s">
        <v>353</v>
      </c>
      <c r="F25">
        <v>1</v>
      </c>
      <c r="G25">
        <v>5</v>
      </c>
      <c r="H25" t="s">
        <v>3840</v>
      </c>
      <c r="I25" t="s">
        <v>8095</v>
      </c>
      <c r="J25" t="s">
        <v>3465</v>
      </c>
      <c r="K25" t="s">
        <v>3930</v>
      </c>
      <c r="N25" t="s">
        <v>8080</v>
      </c>
    </row>
    <row r="26" spans="1:14" x14ac:dyDescent="0.25">
      <c r="A26" t="s">
        <v>3931</v>
      </c>
      <c r="B26" t="s">
        <v>182</v>
      </c>
      <c r="C26" t="s">
        <v>3784</v>
      </c>
      <c r="D26" t="s">
        <v>3800</v>
      </c>
      <c r="E26" t="s">
        <v>38</v>
      </c>
      <c r="F26">
        <v>1</v>
      </c>
      <c r="G26">
        <v>5</v>
      </c>
      <c r="H26" t="s">
        <v>3752</v>
      </c>
      <c r="I26" t="s">
        <v>3932</v>
      </c>
      <c r="J26" t="s">
        <v>7471</v>
      </c>
      <c r="K26" t="s">
        <v>3933</v>
      </c>
      <c r="N26" t="s">
        <v>8079</v>
      </c>
    </row>
    <row r="27" spans="1:14" x14ac:dyDescent="0.25">
      <c r="A27" t="s">
        <v>3934</v>
      </c>
      <c r="B27" t="s">
        <v>182</v>
      </c>
      <c r="C27" t="s">
        <v>3784</v>
      </c>
      <c r="D27" t="s">
        <v>3751</v>
      </c>
      <c r="E27" t="s">
        <v>353</v>
      </c>
      <c r="F27">
        <v>1</v>
      </c>
      <c r="G27">
        <v>5</v>
      </c>
      <c r="H27" t="s">
        <v>3840</v>
      </c>
      <c r="I27" t="s">
        <v>8096</v>
      </c>
      <c r="J27" t="s">
        <v>3465</v>
      </c>
      <c r="K27" t="s">
        <v>3935</v>
      </c>
      <c r="N27" t="s">
        <v>8080</v>
      </c>
    </row>
    <row r="28" spans="1:14" x14ac:dyDescent="0.25">
      <c r="A28" t="s">
        <v>3936</v>
      </c>
      <c r="B28" t="s">
        <v>182</v>
      </c>
      <c r="C28" t="s">
        <v>3798</v>
      </c>
      <c r="D28" t="s">
        <v>3751</v>
      </c>
      <c r="E28" t="s">
        <v>353</v>
      </c>
      <c r="F28">
        <v>1</v>
      </c>
      <c r="G28">
        <v>7</v>
      </c>
      <c r="H28" t="s">
        <v>3840</v>
      </c>
      <c r="I28" t="s">
        <v>8111</v>
      </c>
      <c r="J28" t="s">
        <v>3465</v>
      </c>
      <c r="K28" t="s">
        <v>3938</v>
      </c>
      <c r="N28" t="s">
        <v>8080</v>
      </c>
    </row>
    <row r="29" spans="1:14" x14ac:dyDescent="0.25">
      <c r="A29" t="s">
        <v>7915</v>
      </c>
      <c r="B29" t="s">
        <v>182</v>
      </c>
      <c r="C29" t="s">
        <v>3798</v>
      </c>
      <c r="D29" t="s">
        <v>3751</v>
      </c>
      <c r="E29" t="s">
        <v>353</v>
      </c>
      <c r="F29">
        <v>1</v>
      </c>
      <c r="G29">
        <v>7</v>
      </c>
      <c r="H29" t="s">
        <v>3840</v>
      </c>
      <c r="I29" t="s">
        <v>8102</v>
      </c>
      <c r="J29" t="s">
        <v>3465</v>
      </c>
      <c r="K29" t="s">
        <v>7916</v>
      </c>
      <c r="N29" t="s">
        <v>8080</v>
      </c>
    </row>
    <row r="30" spans="1:14" x14ac:dyDescent="0.25">
      <c r="A30" t="s">
        <v>3939</v>
      </c>
      <c r="B30" t="s">
        <v>182</v>
      </c>
      <c r="C30" t="s">
        <v>3798</v>
      </c>
      <c r="D30" t="s">
        <v>3751</v>
      </c>
      <c r="E30" t="s">
        <v>90</v>
      </c>
      <c r="F30">
        <v>1</v>
      </c>
      <c r="G30">
        <v>7</v>
      </c>
      <c r="H30" t="s">
        <v>3840</v>
      </c>
      <c r="I30" t="s">
        <v>3940</v>
      </c>
      <c r="J30" t="s">
        <v>7441</v>
      </c>
      <c r="K30" t="s">
        <v>3941</v>
      </c>
      <c r="N30" t="s">
        <v>8080</v>
      </c>
    </row>
    <row r="31" spans="1:14" x14ac:dyDescent="0.25">
      <c r="A31" t="s">
        <v>3942</v>
      </c>
      <c r="B31" t="s">
        <v>182</v>
      </c>
      <c r="C31" t="s">
        <v>3918</v>
      </c>
      <c r="D31" t="s">
        <v>3800</v>
      </c>
      <c r="E31" t="s">
        <v>90</v>
      </c>
      <c r="F31">
        <v>1</v>
      </c>
      <c r="G31">
        <v>9</v>
      </c>
      <c r="H31" t="s">
        <v>3759</v>
      </c>
      <c r="I31" t="s">
        <v>3943</v>
      </c>
      <c r="J31" t="s">
        <v>7468</v>
      </c>
      <c r="K31" t="s">
        <v>3944</v>
      </c>
      <c r="N31" t="s">
        <v>8079</v>
      </c>
    </row>
    <row r="32" spans="1:14" x14ac:dyDescent="0.25">
      <c r="A32" t="s">
        <v>3945</v>
      </c>
      <c r="B32" t="s">
        <v>222</v>
      </c>
      <c r="C32" t="s">
        <v>3750</v>
      </c>
      <c r="D32" t="s">
        <v>3800</v>
      </c>
      <c r="E32" t="s">
        <v>1130</v>
      </c>
      <c r="F32">
        <v>1</v>
      </c>
      <c r="G32">
        <v>3</v>
      </c>
      <c r="H32" t="s">
        <v>3752</v>
      </c>
      <c r="I32" t="s">
        <v>3946</v>
      </c>
      <c r="J32" t="s">
        <v>3465</v>
      </c>
      <c r="K32" t="s">
        <v>3947</v>
      </c>
      <c r="L32" t="s">
        <v>3778</v>
      </c>
      <c r="N32" t="s">
        <v>8079</v>
      </c>
    </row>
    <row r="33" spans="1:14" x14ac:dyDescent="0.25">
      <c r="A33" t="s">
        <v>3948</v>
      </c>
      <c r="B33" t="s">
        <v>222</v>
      </c>
      <c r="C33" t="s">
        <v>3750</v>
      </c>
      <c r="D33" t="s">
        <v>3751</v>
      </c>
      <c r="E33" t="s">
        <v>501</v>
      </c>
      <c r="F33">
        <v>1</v>
      </c>
      <c r="G33">
        <v>3</v>
      </c>
      <c r="H33" t="s">
        <v>3759</v>
      </c>
      <c r="I33" t="s">
        <v>3949</v>
      </c>
      <c r="J33" t="s">
        <v>7462</v>
      </c>
      <c r="K33" t="s">
        <v>3948</v>
      </c>
      <c r="L33" t="s">
        <v>3683</v>
      </c>
      <c r="N33" t="s">
        <v>8079</v>
      </c>
    </row>
    <row r="34" spans="1:14" x14ac:dyDescent="0.25">
      <c r="A34" t="s">
        <v>3950</v>
      </c>
      <c r="B34" t="s">
        <v>222</v>
      </c>
      <c r="C34" t="s">
        <v>3750</v>
      </c>
      <c r="D34" t="s">
        <v>3751</v>
      </c>
      <c r="E34" t="s">
        <v>1650</v>
      </c>
      <c r="F34">
        <v>1</v>
      </c>
      <c r="G34">
        <v>3</v>
      </c>
      <c r="H34" t="s">
        <v>3759</v>
      </c>
      <c r="I34" t="s">
        <v>3951</v>
      </c>
      <c r="J34" t="s">
        <v>3465</v>
      </c>
      <c r="K34" t="s">
        <v>3950</v>
      </c>
      <c r="L34" t="s">
        <v>3871</v>
      </c>
      <c r="N34" t="s">
        <v>8079</v>
      </c>
    </row>
    <row r="35" spans="1:14" x14ac:dyDescent="0.25">
      <c r="A35" t="s">
        <v>3952</v>
      </c>
      <c r="B35" t="s">
        <v>222</v>
      </c>
      <c r="C35" t="s">
        <v>3750</v>
      </c>
      <c r="D35" t="s">
        <v>3800</v>
      </c>
      <c r="E35" t="s">
        <v>501</v>
      </c>
      <c r="F35">
        <v>1</v>
      </c>
      <c r="G35">
        <v>3</v>
      </c>
      <c r="H35" t="s">
        <v>3763</v>
      </c>
      <c r="I35" t="s">
        <v>3953</v>
      </c>
      <c r="J35" t="s">
        <v>3465</v>
      </c>
      <c r="K35" t="s">
        <v>3952</v>
      </c>
      <c r="L35" t="s">
        <v>3854</v>
      </c>
      <c r="N35" t="s">
        <v>8079</v>
      </c>
    </row>
    <row r="36" spans="1:14" x14ac:dyDescent="0.25">
      <c r="A36" t="s">
        <v>3954</v>
      </c>
      <c r="B36" t="s">
        <v>222</v>
      </c>
      <c r="C36" t="s">
        <v>3750</v>
      </c>
      <c r="D36" t="s">
        <v>3751</v>
      </c>
      <c r="E36" t="s">
        <v>1650</v>
      </c>
      <c r="F36">
        <v>1</v>
      </c>
      <c r="G36">
        <v>3</v>
      </c>
      <c r="H36" t="s">
        <v>3759</v>
      </c>
      <c r="I36" t="s">
        <v>3955</v>
      </c>
      <c r="J36" t="s">
        <v>7454</v>
      </c>
      <c r="K36" t="s">
        <v>3954</v>
      </c>
      <c r="L36" t="s">
        <v>3871</v>
      </c>
      <c r="N36" t="s">
        <v>8079</v>
      </c>
    </row>
    <row r="37" spans="1:14" x14ac:dyDescent="0.25">
      <c r="A37" t="s">
        <v>3956</v>
      </c>
      <c r="B37" t="s">
        <v>222</v>
      </c>
      <c r="C37" t="s">
        <v>3750</v>
      </c>
      <c r="D37" t="s">
        <v>3751</v>
      </c>
      <c r="E37" t="s">
        <v>501</v>
      </c>
      <c r="F37">
        <v>1</v>
      </c>
      <c r="G37">
        <v>3</v>
      </c>
      <c r="H37" t="s">
        <v>3752</v>
      </c>
      <c r="I37" t="s">
        <v>3957</v>
      </c>
      <c r="J37" t="s">
        <v>3465</v>
      </c>
      <c r="K37" t="s">
        <v>3958</v>
      </c>
      <c r="N37" t="s">
        <v>8079</v>
      </c>
    </row>
    <row r="38" spans="1:14" x14ac:dyDescent="0.25">
      <c r="A38" t="s">
        <v>7927</v>
      </c>
      <c r="B38" t="s">
        <v>222</v>
      </c>
      <c r="C38" t="s">
        <v>3784</v>
      </c>
      <c r="D38" t="s">
        <v>3795</v>
      </c>
      <c r="E38" t="s">
        <v>1650</v>
      </c>
      <c r="F38">
        <v>1</v>
      </c>
      <c r="G38">
        <v>5</v>
      </c>
      <c r="H38" t="s">
        <v>3759</v>
      </c>
      <c r="I38" t="s">
        <v>7928</v>
      </c>
      <c r="J38" t="s">
        <v>3465</v>
      </c>
      <c r="K38" t="s">
        <v>7926</v>
      </c>
      <c r="L38" t="s">
        <v>7929</v>
      </c>
      <c r="N38" t="s">
        <v>8079</v>
      </c>
    </row>
    <row r="39" spans="1:14" x14ac:dyDescent="0.25">
      <c r="A39" t="s">
        <v>3959</v>
      </c>
      <c r="B39" t="s">
        <v>222</v>
      </c>
      <c r="C39" t="s">
        <v>3784</v>
      </c>
      <c r="D39" t="s">
        <v>3751</v>
      </c>
      <c r="E39" t="s">
        <v>1650</v>
      </c>
      <c r="F39">
        <v>1</v>
      </c>
      <c r="G39">
        <v>5</v>
      </c>
      <c r="H39" t="s">
        <v>3759</v>
      </c>
      <c r="I39" t="s">
        <v>3960</v>
      </c>
      <c r="J39" t="s">
        <v>3465</v>
      </c>
      <c r="K39" t="s">
        <v>3959</v>
      </c>
      <c r="N39" t="s">
        <v>8079</v>
      </c>
    </row>
    <row r="40" spans="1:14" x14ac:dyDescent="0.25">
      <c r="A40" t="s">
        <v>7437</v>
      </c>
      <c r="B40" t="s">
        <v>222</v>
      </c>
      <c r="C40" t="s">
        <v>3784</v>
      </c>
      <c r="D40" t="s">
        <v>3800</v>
      </c>
      <c r="E40" t="s">
        <v>1650</v>
      </c>
      <c r="F40">
        <v>1</v>
      </c>
      <c r="G40">
        <v>5</v>
      </c>
      <c r="H40" t="s">
        <v>7477</v>
      </c>
      <c r="I40" t="s">
        <v>8112</v>
      </c>
      <c r="J40" t="s">
        <v>7466</v>
      </c>
      <c r="K40" t="s">
        <v>7478</v>
      </c>
      <c r="L40" t="s">
        <v>3871</v>
      </c>
      <c r="M40">
        <v>3</v>
      </c>
      <c r="N40" t="s">
        <v>8079</v>
      </c>
    </row>
    <row r="41" spans="1:14" x14ac:dyDescent="0.25">
      <c r="A41" t="s">
        <v>3961</v>
      </c>
      <c r="B41" t="s">
        <v>222</v>
      </c>
      <c r="C41" t="s">
        <v>3784</v>
      </c>
      <c r="D41" t="s">
        <v>3906</v>
      </c>
      <c r="E41" t="s">
        <v>1650</v>
      </c>
      <c r="F41">
        <v>1</v>
      </c>
      <c r="G41">
        <v>5</v>
      </c>
      <c r="H41" t="s">
        <v>3763</v>
      </c>
      <c r="I41" t="s">
        <v>3962</v>
      </c>
      <c r="J41" t="s">
        <v>7471</v>
      </c>
      <c r="K41" t="s">
        <v>3963</v>
      </c>
      <c r="N41" t="s">
        <v>8079</v>
      </c>
    </row>
    <row r="42" spans="1:14" x14ac:dyDescent="0.25">
      <c r="A42" t="s">
        <v>3964</v>
      </c>
      <c r="B42" t="s">
        <v>222</v>
      </c>
      <c r="C42" t="s">
        <v>3784</v>
      </c>
      <c r="D42" t="s">
        <v>3751</v>
      </c>
      <c r="E42" t="s">
        <v>1650</v>
      </c>
      <c r="F42">
        <v>1</v>
      </c>
      <c r="G42">
        <v>5</v>
      </c>
      <c r="H42" t="s">
        <v>3759</v>
      </c>
      <c r="I42" t="s">
        <v>3965</v>
      </c>
      <c r="J42" t="s">
        <v>3465</v>
      </c>
      <c r="K42" t="s">
        <v>3964</v>
      </c>
      <c r="L42" t="s">
        <v>3871</v>
      </c>
      <c r="N42" t="s">
        <v>8079</v>
      </c>
    </row>
    <row r="43" spans="1:14" x14ac:dyDescent="0.25">
      <c r="A43" t="s">
        <v>3966</v>
      </c>
      <c r="B43" t="s">
        <v>222</v>
      </c>
      <c r="C43" t="s">
        <v>3798</v>
      </c>
      <c r="D43" t="s">
        <v>3967</v>
      </c>
      <c r="E43" t="s">
        <v>1650</v>
      </c>
      <c r="F43">
        <v>1</v>
      </c>
      <c r="G43">
        <v>7</v>
      </c>
      <c r="H43" t="s">
        <v>3846</v>
      </c>
      <c r="I43" t="s">
        <v>3968</v>
      </c>
      <c r="J43" t="s">
        <v>7388</v>
      </c>
      <c r="K43" t="s">
        <v>3969</v>
      </c>
      <c r="N43" t="s">
        <v>8079</v>
      </c>
    </row>
    <row r="44" spans="1:14" x14ac:dyDescent="0.25">
      <c r="A44" t="s">
        <v>3970</v>
      </c>
      <c r="B44" t="s">
        <v>222</v>
      </c>
      <c r="C44" t="s">
        <v>3798</v>
      </c>
      <c r="D44" t="s">
        <v>3800</v>
      </c>
      <c r="E44" t="s">
        <v>1650</v>
      </c>
      <c r="F44">
        <v>1</v>
      </c>
      <c r="G44">
        <v>7</v>
      </c>
      <c r="H44" t="s">
        <v>3763</v>
      </c>
      <c r="I44" t="s">
        <v>3971</v>
      </c>
      <c r="J44" t="s">
        <v>7458</v>
      </c>
      <c r="K44" t="s">
        <v>3972</v>
      </c>
      <c r="N44" t="s">
        <v>8079</v>
      </c>
    </row>
    <row r="45" spans="1:14" x14ac:dyDescent="0.25">
      <c r="A45" t="s">
        <v>3973</v>
      </c>
      <c r="B45" t="s">
        <v>222</v>
      </c>
      <c r="C45" t="s">
        <v>3918</v>
      </c>
      <c r="D45" t="s">
        <v>3800</v>
      </c>
      <c r="E45" t="s">
        <v>1650</v>
      </c>
      <c r="F45">
        <v>1</v>
      </c>
      <c r="G45">
        <v>9</v>
      </c>
      <c r="H45" t="s">
        <v>3752</v>
      </c>
      <c r="I45" t="s">
        <v>8085</v>
      </c>
      <c r="J45" t="s">
        <v>3465</v>
      </c>
      <c r="K45" t="s">
        <v>3974</v>
      </c>
      <c r="L45" t="s">
        <v>3975</v>
      </c>
      <c r="N45" t="s">
        <v>8079</v>
      </c>
    </row>
    <row r="46" spans="1:14" x14ac:dyDescent="0.25">
      <c r="A46" t="s">
        <v>3976</v>
      </c>
      <c r="B46" t="s">
        <v>179</v>
      </c>
      <c r="C46" t="s">
        <v>3750</v>
      </c>
      <c r="D46" t="s">
        <v>3751</v>
      </c>
      <c r="E46" t="s">
        <v>689</v>
      </c>
      <c r="F46">
        <v>1</v>
      </c>
      <c r="G46">
        <v>3</v>
      </c>
      <c r="H46" t="s">
        <v>3840</v>
      </c>
      <c r="I46" t="s">
        <v>8090</v>
      </c>
      <c r="J46" t="s">
        <v>3465</v>
      </c>
      <c r="K46" t="s">
        <v>3976</v>
      </c>
      <c r="N46" t="s">
        <v>8080</v>
      </c>
    </row>
    <row r="47" spans="1:14" x14ac:dyDescent="0.25">
      <c r="A47" t="s">
        <v>3977</v>
      </c>
      <c r="B47" t="s">
        <v>179</v>
      </c>
      <c r="C47" t="s">
        <v>3784</v>
      </c>
      <c r="D47" t="s">
        <v>3751</v>
      </c>
      <c r="E47" t="s">
        <v>689</v>
      </c>
      <c r="F47">
        <v>1</v>
      </c>
      <c r="G47">
        <v>5</v>
      </c>
      <c r="H47" t="s">
        <v>3840</v>
      </c>
      <c r="I47" t="s">
        <v>8090</v>
      </c>
      <c r="J47" t="s">
        <v>3465</v>
      </c>
      <c r="K47" t="s">
        <v>3978</v>
      </c>
      <c r="N47" t="s">
        <v>8080</v>
      </c>
    </row>
    <row r="48" spans="1:14" x14ac:dyDescent="0.25">
      <c r="A48" t="s">
        <v>3979</v>
      </c>
      <c r="B48" t="s">
        <v>179</v>
      </c>
      <c r="C48" t="s">
        <v>3798</v>
      </c>
      <c r="D48" t="s">
        <v>3795</v>
      </c>
      <c r="E48" t="s">
        <v>2155</v>
      </c>
      <c r="F48">
        <v>1</v>
      </c>
      <c r="G48">
        <v>7</v>
      </c>
      <c r="H48" t="s">
        <v>3752</v>
      </c>
      <c r="I48" t="s">
        <v>3980</v>
      </c>
      <c r="J48" t="s">
        <v>7464</v>
      </c>
      <c r="K48" t="s">
        <v>3979</v>
      </c>
      <c r="N48" t="s">
        <v>8079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8019</v>
      </c>
    </row>
    <row r="3" spans="1:5" x14ac:dyDescent="0.25">
      <c r="A3" t="s">
        <v>7479</v>
      </c>
      <c r="B3" t="s">
        <v>3688</v>
      </c>
      <c r="C3" t="s">
        <v>3465</v>
      </c>
      <c r="D3" t="s">
        <v>7480</v>
      </c>
      <c r="E3" t="s">
        <v>8020</v>
      </c>
    </row>
    <row r="4" spans="1:5" x14ac:dyDescent="0.25">
      <c r="A4" t="s">
        <v>7440</v>
      </c>
      <c r="B4" t="s">
        <v>3991</v>
      </c>
      <c r="C4" t="s">
        <v>7404</v>
      </c>
      <c r="D4" t="s">
        <v>7443</v>
      </c>
      <c r="E4" t="s">
        <v>8021</v>
      </c>
    </row>
    <row r="5" spans="1:5" x14ac:dyDescent="0.25">
      <c r="A5" t="s">
        <v>7410</v>
      </c>
      <c r="B5" t="s">
        <v>5294</v>
      </c>
      <c r="C5" t="s">
        <v>7399</v>
      </c>
      <c r="D5" t="s">
        <v>7412</v>
      </c>
      <c r="E5" t="s">
        <v>8022</v>
      </c>
    </row>
    <row r="6" spans="1:5" x14ac:dyDescent="0.25">
      <c r="A6" t="s">
        <v>7405</v>
      </c>
      <c r="B6" t="s">
        <v>5730</v>
      </c>
      <c r="C6" t="s">
        <v>7398</v>
      </c>
      <c r="D6" t="s">
        <v>7419</v>
      </c>
      <c r="E6" t="s">
        <v>8023</v>
      </c>
    </row>
    <row r="7" spans="1:5" x14ac:dyDescent="0.25">
      <c r="A7" t="s">
        <v>7456</v>
      </c>
      <c r="B7" t="s">
        <v>5730</v>
      </c>
      <c r="C7" t="s">
        <v>3465</v>
      </c>
      <c r="D7" t="s">
        <v>7470</v>
      </c>
      <c r="E7" t="s">
        <v>8024</v>
      </c>
    </row>
    <row r="8" spans="1:5" x14ac:dyDescent="0.25">
      <c r="A8" t="s">
        <v>7706</v>
      </c>
      <c r="B8" t="s">
        <v>5730</v>
      </c>
      <c r="C8" t="s">
        <v>7707</v>
      </c>
      <c r="D8" t="s">
        <v>7708</v>
      </c>
      <c r="E8" t="s">
        <v>8025</v>
      </c>
    </row>
    <row r="9" spans="1:5" x14ac:dyDescent="0.25">
      <c r="A9" t="s">
        <v>7709</v>
      </c>
      <c r="B9" t="s">
        <v>7392</v>
      </c>
      <c r="C9" t="s">
        <v>7394</v>
      </c>
      <c r="D9" t="s">
        <v>7710</v>
      </c>
      <c r="E9" t="s">
        <v>8026</v>
      </c>
    </row>
    <row r="10" spans="1:5" x14ac:dyDescent="0.25">
      <c r="A10" t="s">
        <v>5210</v>
      </c>
      <c r="B10" t="s">
        <v>7421</v>
      </c>
      <c r="C10" t="s">
        <v>7398</v>
      </c>
      <c r="D10" t="s">
        <v>7422</v>
      </c>
      <c r="E10" t="s">
        <v>8027</v>
      </c>
    </row>
    <row r="11" spans="1:5" x14ac:dyDescent="0.25">
      <c r="A11" t="s">
        <v>7396</v>
      </c>
      <c r="B11" t="s">
        <v>7397</v>
      </c>
      <c r="C11" t="s">
        <v>3465</v>
      </c>
      <c r="D11" t="s">
        <v>7429</v>
      </c>
      <c r="E11" t="s">
        <v>8028</v>
      </c>
    </row>
    <row r="12" spans="1:5" x14ac:dyDescent="0.25">
      <c r="A12" t="s">
        <v>1323</v>
      </c>
      <c r="B12" t="s">
        <v>3991</v>
      </c>
      <c r="C12" t="s">
        <v>7399</v>
      </c>
      <c r="D12" t="s">
        <v>7427</v>
      </c>
      <c r="E12" t="s">
        <v>8029</v>
      </c>
    </row>
    <row r="13" spans="1:5" x14ac:dyDescent="0.25">
      <c r="A13" t="s">
        <v>7418</v>
      </c>
      <c r="B13" t="s">
        <v>5730</v>
      </c>
      <c r="C13" t="s">
        <v>7398</v>
      </c>
      <c r="D13" t="s">
        <v>7481</v>
      </c>
      <c r="E13" t="s">
        <v>8030</v>
      </c>
    </row>
    <row r="14" spans="1:5" x14ac:dyDescent="0.25">
      <c r="A14" t="s">
        <v>7433</v>
      </c>
      <c r="B14" t="s">
        <v>7421</v>
      </c>
      <c r="C14" t="s">
        <v>3465</v>
      </c>
      <c r="D14" t="s">
        <v>7434</v>
      </c>
      <c r="E14" t="s">
        <v>8031</v>
      </c>
    </row>
    <row r="15" spans="1:5" x14ac:dyDescent="0.25">
      <c r="A15" t="s">
        <v>7431</v>
      </c>
      <c r="B15" t="s">
        <v>7392</v>
      </c>
      <c r="C15" t="s">
        <v>7394</v>
      </c>
      <c r="D15" t="s">
        <v>7432</v>
      </c>
      <c r="E15" t="s">
        <v>8032</v>
      </c>
    </row>
    <row r="16" spans="1:5" x14ac:dyDescent="0.25">
      <c r="A16" t="s">
        <v>7414</v>
      </c>
      <c r="B16" t="s">
        <v>3688</v>
      </c>
      <c r="C16" t="s">
        <v>3465</v>
      </c>
      <c r="D16" t="s">
        <v>7416</v>
      </c>
      <c r="E16" t="s">
        <v>8033</v>
      </c>
    </row>
    <row r="17" spans="1:5" x14ac:dyDescent="0.25">
      <c r="A17" t="s">
        <v>7460</v>
      </c>
      <c r="B17" t="s">
        <v>5730</v>
      </c>
      <c r="C17" t="s">
        <v>7404</v>
      </c>
      <c r="D17" t="s">
        <v>7461</v>
      </c>
      <c r="E17" t="s">
        <v>8034</v>
      </c>
    </row>
    <row r="18" spans="1:5" x14ac:dyDescent="0.25">
      <c r="A18" t="s">
        <v>7406</v>
      </c>
      <c r="B18" t="s">
        <v>3991</v>
      </c>
      <c r="C18" t="s">
        <v>3465</v>
      </c>
      <c r="D18" t="s">
        <v>7424</v>
      </c>
      <c r="E18" t="s">
        <v>8035</v>
      </c>
    </row>
    <row r="19" spans="1:5" x14ac:dyDescent="0.25">
      <c r="A19" t="s">
        <v>7420</v>
      </c>
      <c r="B19" t="s">
        <v>5730</v>
      </c>
      <c r="C19" t="s">
        <v>3465</v>
      </c>
      <c r="D19" t="s">
        <v>7482</v>
      </c>
      <c r="E19" t="s">
        <v>8036</v>
      </c>
    </row>
    <row r="20" spans="1:5" x14ac:dyDescent="0.25">
      <c r="A20" t="s">
        <v>7402</v>
      </c>
      <c r="B20" t="s">
        <v>5294</v>
      </c>
      <c r="C20" t="s">
        <v>7404</v>
      </c>
      <c r="D20" t="s">
        <v>7403</v>
      </c>
      <c r="E20" t="s">
        <v>8037</v>
      </c>
    </row>
    <row r="21" spans="1:5" x14ac:dyDescent="0.25">
      <c r="A21" t="s">
        <v>7395</v>
      </c>
      <c r="B21" t="s">
        <v>7392</v>
      </c>
      <c r="C21" t="s">
        <v>7398</v>
      </c>
      <c r="D21" t="s">
        <v>7426</v>
      </c>
      <c r="E21" t="s">
        <v>8038</v>
      </c>
    </row>
    <row r="22" spans="1:5" x14ac:dyDescent="0.25">
      <c r="A22" t="s">
        <v>7393</v>
      </c>
      <c r="B22" t="s">
        <v>7392</v>
      </c>
      <c r="C22" t="s">
        <v>7394</v>
      </c>
      <c r="D22" t="s">
        <v>7428</v>
      </c>
      <c r="E22" t="s">
        <v>8039</v>
      </c>
    </row>
    <row r="23" spans="1:5" x14ac:dyDescent="0.25">
      <c r="A23" t="s">
        <v>7409</v>
      </c>
      <c r="B23" t="s">
        <v>3688</v>
      </c>
      <c r="C23" t="s">
        <v>3465</v>
      </c>
      <c r="D23" t="s">
        <v>7423</v>
      </c>
      <c r="E23" t="s">
        <v>8040</v>
      </c>
    </row>
    <row r="24" spans="1:5" x14ac:dyDescent="0.25">
      <c r="A24" t="s">
        <v>5457</v>
      </c>
      <c r="B24" t="s">
        <v>5730</v>
      </c>
      <c r="C24" t="s">
        <v>7390</v>
      </c>
      <c r="D24" t="s">
        <v>7415</v>
      </c>
      <c r="E24" t="s">
        <v>8041</v>
      </c>
    </row>
    <row r="25" spans="1:5" x14ac:dyDescent="0.25">
      <c r="A25" t="s">
        <v>5270</v>
      </c>
      <c r="B25" t="s">
        <v>5294</v>
      </c>
      <c r="C25" t="s">
        <v>3465</v>
      </c>
      <c r="D25" t="s">
        <v>7411</v>
      </c>
      <c r="E25" t="s">
        <v>8042</v>
      </c>
    </row>
    <row r="26" spans="1:5" x14ac:dyDescent="0.25">
      <c r="A26" t="s">
        <v>7458</v>
      </c>
      <c r="B26" t="s">
        <v>5730</v>
      </c>
      <c r="C26" t="s">
        <v>3465</v>
      </c>
      <c r="D26" t="s">
        <v>7469</v>
      </c>
      <c r="E26" t="s">
        <v>8043</v>
      </c>
    </row>
    <row r="27" spans="1:5" x14ac:dyDescent="0.25">
      <c r="A27" t="s">
        <v>5284</v>
      </c>
      <c r="B27" t="s">
        <v>7421</v>
      </c>
      <c r="C27" t="s">
        <v>7394</v>
      </c>
      <c r="D27" t="s">
        <v>7401</v>
      </c>
      <c r="E27" t="s">
        <v>8044</v>
      </c>
    </row>
    <row r="28" spans="1:5" x14ac:dyDescent="0.25">
      <c r="A28" t="s">
        <v>7400</v>
      </c>
      <c r="B28" t="s">
        <v>3991</v>
      </c>
      <c r="C28" t="s">
        <v>7399</v>
      </c>
      <c r="D28" t="s">
        <v>7425</v>
      </c>
      <c r="E28" t="s">
        <v>8045</v>
      </c>
    </row>
    <row r="29" spans="1:5" x14ac:dyDescent="0.25">
      <c r="A29" t="s">
        <v>7408</v>
      </c>
      <c r="B29" t="s">
        <v>5294</v>
      </c>
      <c r="C29" t="s">
        <v>7407</v>
      </c>
      <c r="D29" t="s">
        <v>7483</v>
      </c>
      <c r="E29" t="s">
        <v>8046</v>
      </c>
    </row>
    <row r="30" spans="1:5" x14ac:dyDescent="0.25">
      <c r="A30" t="s">
        <v>7388</v>
      </c>
      <c r="B30" t="s">
        <v>3688</v>
      </c>
      <c r="C30" t="s">
        <v>3465</v>
      </c>
      <c r="D30" t="s">
        <v>7389</v>
      </c>
      <c r="E30" t="s">
        <v>8047</v>
      </c>
    </row>
    <row r="31" spans="1:5" x14ac:dyDescent="0.25">
      <c r="A31" t="s">
        <v>7438</v>
      </c>
      <c r="B31" t="s">
        <v>7421</v>
      </c>
      <c r="C31" t="s">
        <v>7398</v>
      </c>
      <c r="D31" t="s">
        <v>7439</v>
      </c>
      <c r="E31" t="s">
        <v>8048</v>
      </c>
    </row>
    <row r="32" spans="1:5" x14ac:dyDescent="0.25">
      <c r="A32" t="s">
        <v>7991</v>
      </c>
      <c r="B32" t="s">
        <v>7421</v>
      </c>
      <c r="C32" t="s">
        <v>3465</v>
      </c>
      <c r="D32" t="s">
        <v>7992</v>
      </c>
      <c r="E32" t="s">
        <v>8049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8113</v>
      </c>
      <c r="E2" t="s">
        <v>4011</v>
      </c>
      <c r="F2" t="s">
        <v>8114</v>
      </c>
      <c r="G2" t="s">
        <v>4012</v>
      </c>
      <c r="H2" t="s">
        <v>4013</v>
      </c>
      <c r="I2" t="s">
        <v>4004</v>
      </c>
      <c r="J2" t="s">
        <v>187</v>
      </c>
      <c r="K2" t="s">
        <v>4014</v>
      </c>
      <c r="L2" t="s">
        <v>4015</v>
      </c>
      <c r="M2" t="s">
        <v>4010</v>
      </c>
    </row>
    <row r="3" spans="1:13" x14ac:dyDescent="0.25">
      <c r="A3" t="s">
        <v>4007</v>
      </c>
      <c r="B3" t="s">
        <v>3991</v>
      </c>
      <c r="C3" t="s">
        <v>90</v>
      </c>
      <c r="D3" t="s">
        <v>8115</v>
      </c>
      <c r="E3" t="s">
        <v>7488</v>
      </c>
      <c r="F3" t="s">
        <v>8116</v>
      </c>
      <c r="G3" t="s">
        <v>7489</v>
      </c>
      <c r="H3" t="s">
        <v>4008</v>
      </c>
      <c r="I3" t="s">
        <v>3465</v>
      </c>
      <c r="J3" t="s">
        <v>187</v>
      </c>
      <c r="K3" t="s">
        <v>4009</v>
      </c>
      <c r="L3" t="s">
        <v>3994</v>
      </c>
      <c r="M3" t="s">
        <v>4007</v>
      </c>
    </row>
    <row r="4" spans="1:13" x14ac:dyDescent="0.25">
      <c r="A4" t="s">
        <v>3999</v>
      </c>
      <c r="B4" t="s">
        <v>4000</v>
      </c>
      <c r="C4" t="s">
        <v>1650</v>
      </c>
      <c r="D4" t="s">
        <v>8117</v>
      </c>
      <c r="E4" t="s">
        <v>4001</v>
      </c>
      <c r="F4" t="s">
        <v>8118</v>
      </c>
      <c r="G4" t="s">
        <v>4002</v>
      </c>
      <c r="H4" t="s">
        <v>4003</v>
      </c>
      <c r="I4" t="s">
        <v>4004</v>
      </c>
      <c r="J4" t="s">
        <v>4005</v>
      </c>
      <c r="K4" t="s">
        <v>4006</v>
      </c>
      <c r="L4" t="s">
        <v>3994</v>
      </c>
      <c r="M4" t="s">
        <v>3999</v>
      </c>
    </row>
    <row r="5" spans="1:13" x14ac:dyDescent="0.25">
      <c r="A5" t="s">
        <v>3995</v>
      </c>
      <c r="B5" t="s">
        <v>3991</v>
      </c>
      <c r="C5" t="s">
        <v>1650</v>
      </c>
      <c r="D5" t="s">
        <v>8050</v>
      </c>
      <c r="E5" t="s">
        <v>3996</v>
      </c>
      <c r="F5" t="s">
        <v>8119</v>
      </c>
      <c r="G5" t="s">
        <v>8120</v>
      </c>
      <c r="H5" t="s">
        <v>3997</v>
      </c>
      <c r="I5" t="s">
        <v>3465</v>
      </c>
      <c r="J5" t="s">
        <v>187</v>
      </c>
      <c r="K5" t="s">
        <v>3998</v>
      </c>
      <c r="L5" t="s">
        <v>3994</v>
      </c>
      <c r="M5" t="s">
        <v>3995</v>
      </c>
    </row>
    <row r="6" spans="1:13" x14ac:dyDescent="0.25">
      <c r="A6" t="s">
        <v>3990</v>
      </c>
      <c r="B6" t="s">
        <v>3991</v>
      </c>
      <c r="C6" t="s">
        <v>90</v>
      </c>
      <c r="D6" t="s">
        <v>7687</v>
      </c>
      <c r="E6" t="s">
        <v>7490</v>
      </c>
      <c r="F6" t="s">
        <v>8121</v>
      </c>
      <c r="G6" t="s">
        <v>7491</v>
      </c>
      <c r="H6" t="s">
        <v>3992</v>
      </c>
      <c r="I6" t="s">
        <v>3465</v>
      </c>
      <c r="J6" t="s">
        <v>187</v>
      </c>
      <c r="K6" t="s">
        <v>3993</v>
      </c>
      <c r="L6" t="s">
        <v>3994</v>
      </c>
      <c r="M6" t="s">
        <v>3990</v>
      </c>
    </row>
    <row r="7" spans="1:13" x14ac:dyDescent="0.25">
      <c r="A7" t="s">
        <v>5159</v>
      </c>
      <c r="B7" t="s">
        <v>4000</v>
      </c>
      <c r="C7" t="s">
        <v>1650</v>
      </c>
      <c r="D7" t="s">
        <v>8122</v>
      </c>
      <c r="E7" t="s">
        <v>7648</v>
      </c>
      <c r="F7" t="s">
        <v>8123</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3503</v>
      </c>
      <c r="E1" t="s">
        <v>7</v>
      </c>
      <c r="F1" t="s">
        <v>7501</v>
      </c>
    </row>
    <row r="2" spans="1:6" x14ac:dyDescent="0.25">
      <c r="A2" t="s">
        <v>7534</v>
      </c>
      <c r="B2" t="s">
        <v>3521</v>
      </c>
      <c r="C2" t="s">
        <v>7535</v>
      </c>
      <c r="D2" t="s">
        <v>7546</v>
      </c>
      <c r="E2" t="s">
        <v>7547</v>
      </c>
      <c r="F2" t="s">
        <v>7517</v>
      </c>
    </row>
    <row r="3" spans="1:6" x14ac:dyDescent="0.25">
      <c r="A3" t="s">
        <v>7513</v>
      </c>
      <c r="B3" t="s">
        <v>3521</v>
      </c>
      <c r="C3" t="s">
        <v>7515</v>
      </c>
      <c r="D3" t="s">
        <v>7540</v>
      </c>
      <c r="E3" t="s">
        <v>7514</v>
      </c>
      <c r="F3" t="s">
        <v>7504</v>
      </c>
    </row>
    <row r="4" spans="1:6" x14ac:dyDescent="0.25">
      <c r="A4" t="s">
        <v>7518</v>
      </c>
      <c r="B4" t="s">
        <v>3509</v>
      </c>
      <c r="C4" t="s">
        <v>7519</v>
      </c>
      <c r="D4" t="s">
        <v>7541</v>
      </c>
      <c r="E4" t="s">
        <v>7523</v>
      </c>
      <c r="F4" t="s">
        <v>7517</v>
      </c>
    </row>
    <row r="5" spans="1:6" x14ac:dyDescent="0.25">
      <c r="A5" t="s">
        <v>7520</v>
      </c>
      <c r="B5" t="s">
        <v>3509</v>
      </c>
      <c r="C5" t="s">
        <v>7521</v>
      </c>
      <c r="D5" t="s">
        <v>7542</v>
      </c>
      <c r="E5" t="s">
        <v>7522</v>
      </c>
      <c r="F5" t="s">
        <v>7517</v>
      </c>
    </row>
    <row r="6" spans="1:6" x14ac:dyDescent="0.25">
      <c r="A6" t="s">
        <v>7524</v>
      </c>
      <c r="B6" t="s">
        <v>3509</v>
      </c>
      <c r="C6" t="s">
        <v>7526</v>
      </c>
      <c r="D6" t="s">
        <v>7543</v>
      </c>
      <c r="E6" t="s">
        <v>7525</v>
      </c>
      <c r="F6" t="s">
        <v>7517</v>
      </c>
    </row>
    <row r="7" spans="1:6" x14ac:dyDescent="0.25">
      <c r="A7" t="s">
        <v>7530</v>
      </c>
      <c r="B7" t="s">
        <v>3509</v>
      </c>
      <c r="C7" t="s">
        <v>7531</v>
      </c>
      <c r="D7" t="s">
        <v>7545</v>
      </c>
      <c r="E7" t="s">
        <v>7532</v>
      </c>
      <c r="F7" t="s">
        <v>7533</v>
      </c>
    </row>
    <row r="8" spans="1:6" x14ac:dyDescent="0.25">
      <c r="A8" t="s">
        <v>3528</v>
      </c>
      <c r="B8" t="s">
        <v>3509</v>
      </c>
      <c r="C8" t="s">
        <v>7502</v>
      </c>
      <c r="D8" t="s">
        <v>7536</v>
      </c>
      <c r="E8" t="s">
        <v>3528</v>
      </c>
      <c r="F8" t="s">
        <v>7503</v>
      </c>
    </row>
    <row r="9" spans="1:6" x14ac:dyDescent="0.25">
      <c r="A9" t="s">
        <v>7725</v>
      </c>
      <c r="B9" t="s">
        <v>3509</v>
      </c>
      <c r="C9" t="s">
        <v>7728</v>
      </c>
      <c r="D9" t="s">
        <v>7863</v>
      </c>
      <c r="E9" t="s">
        <v>7726</v>
      </c>
      <c r="F9" t="s">
        <v>7727</v>
      </c>
    </row>
    <row r="10" spans="1:6" x14ac:dyDescent="0.25">
      <c r="A10" t="s">
        <v>7508</v>
      </c>
      <c r="B10" t="s">
        <v>3521</v>
      </c>
      <c r="C10" t="s">
        <v>8124</v>
      </c>
      <c r="D10" t="s">
        <v>8125</v>
      </c>
      <c r="E10" t="s">
        <v>7509</v>
      </c>
      <c r="F10" t="s">
        <v>7504</v>
      </c>
    </row>
    <row r="11" spans="1:6" x14ac:dyDescent="0.25">
      <c r="A11" t="s">
        <v>7527</v>
      </c>
      <c r="B11" t="s">
        <v>3509</v>
      </c>
      <c r="C11" t="s">
        <v>7528</v>
      </c>
      <c r="D11" t="s">
        <v>7544</v>
      </c>
      <c r="E11" t="s">
        <v>7529</v>
      </c>
      <c r="F11" t="s">
        <v>7517</v>
      </c>
    </row>
    <row r="12" spans="1:6" x14ac:dyDescent="0.25">
      <c r="A12" t="s">
        <v>3685</v>
      </c>
      <c r="B12" t="s">
        <v>3521</v>
      </c>
      <c r="C12" t="s">
        <v>3686</v>
      </c>
      <c r="D12" t="s">
        <v>7537</v>
      </c>
      <c r="E12" t="s">
        <v>3687</v>
      </c>
      <c r="F12" t="s">
        <v>7516</v>
      </c>
    </row>
    <row r="13" spans="1:6" x14ac:dyDescent="0.25">
      <c r="A13" t="s">
        <v>7505</v>
      </c>
      <c r="B13" t="s">
        <v>41</v>
      </c>
      <c r="C13" t="s">
        <v>4161</v>
      </c>
      <c r="D13" t="s">
        <v>4162</v>
      </c>
      <c r="E13" t="s">
        <v>7538</v>
      </c>
      <c r="F13" t="s">
        <v>7504</v>
      </c>
    </row>
    <row r="14" spans="1:6" x14ac:dyDescent="0.25">
      <c r="A14" t="s">
        <v>7506</v>
      </c>
      <c r="B14" t="s">
        <v>41</v>
      </c>
      <c r="C14" t="s">
        <v>4216</v>
      </c>
      <c r="D14" t="s">
        <v>4217</v>
      </c>
      <c r="E14" t="s">
        <v>7507</v>
      </c>
      <c r="F14" t="s">
        <v>7504</v>
      </c>
    </row>
    <row r="15" spans="1:6" x14ac:dyDescent="0.25">
      <c r="A15" t="s">
        <v>7510</v>
      </c>
      <c r="B15" t="s">
        <v>41</v>
      </c>
      <c r="C15" t="s">
        <v>7512</v>
      </c>
      <c r="D15" t="s">
        <v>7539</v>
      </c>
      <c r="E15" t="s">
        <v>7511</v>
      </c>
      <c r="F15"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8051</v>
      </c>
      <c r="E1" t="s">
        <v>8052</v>
      </c>
      <c r="F1" t="s">
        <v>8053</v>
      </c>
      <c r="G1" t="s">
        <v>8054</v>
      </c>
      <c r="H1" t="s">
        <v>8078</v>
      </c>
      <c r="I1" t="s">
        <v>8055</v>
      </c>
      <c r="J1" t="s">
        <v>170</v>
      </c>
    </row>
    <row r="2" spans="1:10" x14ac:dyDescent="0.25">
      <c r="A2" t="s">
        <v>3904</v>
      </c>
      <c r="B2" t="s">
        <v>3846</v>
      </c>
      <c r="C2" t="s">
        <v>3750</v>
      </c>
      <c r="D2" t="s">
        <v>8058</v>
      </c>
      <c r="E2" t="s">
        <v>3903</v>
      </c>
      <c r="G2" t="s">
        <v>8057</v>
      </c>
      <c r="H2" t="s">
        <v>8079</v>
      </c>
    </row>
    <row r="3" spans="1:10" x14ac:dyDescent="0.25">
      <c r="A3" t="s">
        <v>8072</v>
      </c>
      <c r="D3" t="s">
        <v>6467</v>
      </c>
      <c r="E3" t="s">
        <v>5288</v>
      </c>
      <c r="F3" t="s">
        <v>8068</v>
      </c>
      <c r="G3" t="s">
        <v>8069</v>
      </c>
      <c r="H3" t="s">
        <v>8080</v>
      </c>
    </row>
    <row r="4" spans="1:10" x14ac:dyDescent="0.25">
      <c r="A4" t="s">
        <v>3493</v>
      </c>
      <c r="D4" t="s">
        <v>8066</v>
      </c>
      <c r="E4" t="s">
        <v>3492</v>
      </c>
      <c r="G4" t="s">
        <v>8057</v>
      </c>
      <c r="H4" t="s">
        <v>8080</v>
      </c>
    </row>
    <row r="5" spans="1:10" x14ac:dyDescent="0.25">
      <c r="A5" t="s">
        <v>7904</v>
      </c>
      <c r="B5" t="s">
        <v>3759</v>
      </c>
      <c r="C5" t="s">
        <v>3784</v>
      </c>
      <c r="D5" t="s">
        <v>8058</v>
      </c>
      <c r="E5" t="s">
        <v>7903</v>
      </c>
      <c r="G5" t="s">
        <v>8057</v>
      </c>
      <c r="H5" t="s">
        <v>8079</v>
      </c>
    </row>
    <row r="6" spans="1:10" x14ac:dyDescent="0.25">
      <c r="A6" t="s">
        <v>8076</v>
      </c>
      <c r="D6" t="s">
        <v>6467</v>
      </c>
      <c r="E6" t="s">
        <v>5159</v>
      </c>
      <c r="F6" t="s">
        <v>8068</v>
      </c>
      <c r="G6" t="s">
        <v>8069</v>
      </c>
      <c r="H6" t="s">
        <v>8080</v>
      </c>
    </row>
    <row r="7" spans="1:10" x14ac:dyDescent="0.25">
      <c r="A7" t="s">
        <v>8077</v>
      </c>
      <c r="D7" t="s">
        <v>6467</v>
      </c>
      <c r="E7" t="s">
        <v>4010</v>
      </c>
      <c r="F7" t="s">
        <v>8068</v>
      </c>
      <c r="G7" t="s">
        <v>8069</v>
      </c>
      <c r="H7" t="s">
        <v>8080</v>
      </c>
    </row>
    <row r="8" spans="1:10" x14ac:dyDescent="0.25">
      <c r="A8" t="s">
        <v>3940</v>
      </c>
      <c r="B8" t="s">
        <v>3840</v>
      </c>
      <c r="C8" t="s">
        <v>3798</v>
      </c>
      <c r="D8" t="s">
        <v>8058</v>
      </c>
      <c r="E8" t="s">
        <v>3939</v>
      </c>
      <c r="G8" t="s">
        <v>8057</v>
      </c>
      <c r="H8" t="s">
        <v>8080</v>
      </c>
    </row>
    <row r="9" spans="1:10" x14ac:dyDescent="0.25">
      <c r="A9" t="s">
        <v>8106</v>
      </c>
      <c r="D9" t="s">
        <v>6467</v>
      </c>
      <c r="E9" t="s">
        <v>3999</v>
      </c>
      <c r="F9" t="s">
        <v>8068</v>
      </c>
      <c r="G9" t="s">
        <v>8069</v>
      </c>
      <c r="H9" t="s">
        <v>8080</v>
      </c>
    </row>
    <row r="10" spans="1:10" x14ac:dyDescent="0.25">
      <c r="A10" t="s">
        <v>3962</v>
      </c>
      <c r="B10" t="s">
        <v>3763</v>
      </c>
      <c r="C10" t="s">
        <v>3784</v>
      </c>
      <c r="D10" t="s">
        <v>8058</v>
      </c>
      <c r="E10" t="s">
        <v>3961</v>
      </c>
      <c r="G10" t="s">
        <v>8057</v>
      </c>
      <c r="H10" t="s">
        <v>8079</v>
      </c>
    </row>
    <row r="11" spans="1:10" x14ac:dyDescent="0.25">
      <c r="A11" t="s">
        <v>3886</v>
      </c>
      <c r="B11" t="s">
        <v>3759</v>
      </c>
      <c r="C11" t="s">
        <v>3784</v>
      </c>
      <c r="D11" t="s">
        <v>8056</v>
      </c>
      <c r="E11" t="s">
        <v>3885</v>
      </c>
      <c r="G11" t="s">
        <v>8057</v>
      </c>
      <c r="H11" t="s">
        <v>8079</v>
      </c>
    </row>
    <row r="12" spans="1:10" x14ac:dyDescent="0.25">
      <c r="A12" t="s">
        <v>3888</v>
      </c>
      <c r="B12" t="s">
        <v>3759</v>
      </c>
      <c r="C12" t="s">
        <v>3798</v>
      </c>
      <c r="D12" t="s">
        <v>8056</v>
      </c>
      <c r="E12" t="s">
        <v>3887</v>
      </c>
      <c r="G12" t="s">
        <v>8057</v>
      </c>
      <c r="H12" t="s">
        <v>8079</v>
      </c>
    </row>
    <row r="13" spans="1:10" x14ac:dyDescent="0.25">
      <c r="A13" t="s">
        <v>3866</v>
      </c>
      <c r="B13" t="s">
        <v>3759</v>
      </c>
      <c r="C13" t="s">
        <v>3784</v>
      </c>
      <c r="D13" t="s">
        <v>8056</v>
      </c>
      <c r="E13" t="s">
        <v>3865</v>
      </c>
      <c r="G13" t="s">
        <v>8057</v>
      </c>
      <c r="H13" t="s">
        <v>8079</v>
      </c>
    </row>
    <row r="14" spans="1:10" x14ac:dyDescent="0.25">
      <c r="A14" t="s">
        <v>3912</v>
      </c>
      <c r="B14" t="s">
        <v>3759</v>
      </c>
      <c r="C14" t="s">
        <v>3784</v>
      </c>
      <c r="D14" t="s">
        <v>8058</v>
      </c>
      <c r="E14" t="s">
        <v>3911</v>
      </c>
      <c r="G14" t="s">
        <v>8057</v>
      </c>
      <c r="H14" t="s">
        <v>8079</v>
      </c>
    </row>
    <row r="15" spans="1:10" x14ac:dyDescent="0.25">
      <c r="A15" t="s">
        <v>7442</v>
      </c>
      <c r="B15" t="s">
        <v>3759</v>
      </c>
      <c r="C15" t="s">
        <v>3798</v>
      </c>
      <c r="D15" t="s">
        <v>8056</v>
      </c>
      <c r="E15" t="s">
        <v>3797</v>
      </c>
      <c r="G15" t="s">
        <v>8057</v>
      </c>
      <c r="H15" t="s">
        <v>8079</v>
      </c>
    </row>
    <row r="16" spans="1:10" x14ac:dyDescent="0.25">
      <c r="A16" t="s">
        <v>3861</v>
      </c>
      <c r="B16" t="s">
        <v>3759</v>
      </c>
      <c r="C16" t="s">
        <v>3784</v>
      </c>
      <c r="D16" t="s">
        <v>8056</v>
      </c>
      <c r="E16" t="s">
        <v>3860</v>
      </c>
      <c r="G16" t="s">
        <v>8057</v>
      </c>
      <c r="H16" t="s">
        <v>8079</v>
      </c>
    </row>
    <row r="17" spans="1:9" x14ac:dyDescent="0.25">
      <c r="A17" t="s">
        <v>3909</v>
      </c>
      <c r="B17" t="s">
        <v>3759</v>
      </c>
      <c r="C17" t="s">
        <v>3784</v>
      </c>
      <c r="D17" t="s">
        <v>8058</v>
      </c>
      <c r="E17" t="s">
        <v>3908</v>
      </c>
      <c r="G17" t="s">
        <v>8057</v>
      </c>
      <c r="H17" t="s">
        <v>8079</v>
      </c>
    </row>
    <row r="18" spans="1:9" x14ac:dyDescent="0.25">
      <c r="A18" t="s">
        <v>3869</v>
      </c>
      <c r="B18" t="s">
        <v>3759</v>
      </c>
      <c r="C18" t="s">
        <v>3784</v>
      </c>
      <c r="D18" t="s">
        <v>8056</v>
      </c>
      <c r="E18" t="s">
        <v>3868</v>
      </c>
      <c r="G18" t="s">
        <v>8057</v>
      </c>
      <c r="H18" t="s">
        <v>8079</v>
      </c>
    </row>
    <row r="19" spans="1:9" x14ac:dyDescent="0.25">
      <c r="A19" t="s">
        <v>8086</v>
      </c>
      <c r="D19" t="s">
        <v>8066</v>
      </c>
      <c r="E19" t="s">
        <v>3479</v>
      </c>
      <c r="G19" t="s">
        <v>8057</v>
      </c>
      <c r="H19" t="s">
        <v>8080</v>
      </c>
    </row>
    <row r="20" spans="1:9" x14ac:dyDescent="0.25">
      <c r="A20" t="s">
        <v>3932</v>
      </c>
      <c r="B20" t="s">
        <v>3752</v>
      </c>
      <c r="C20" t="s">
        <v>3784</v>
      </c>
      <c r="D20" t="s">
        <v>8058</v>
      </c>
      <c r="E20" t="s">
        <v>8059</v>
      </c>
      <c r="G20" t="s">
        <v>8057</v>
      </c>
      <c r="H20" t="s">
        <v>8079</v>
      </c>
    </row>
    <row r="21" spans="1:9" x14ac:dyDescent="0.25">
      <c r="A21" t="s">
        <v>8087</v>
      </c>
      <c r="D21" t="s">
        <v>8066</v>
      </c>
      <c r="E21" t="s">
        <v>3482</v>
      </c>
      <c r="G21" t="s">
        <v>8057</v>
      </c>
      <c r="H21" t="s">
        <v>8080</v>
      </c>
    </row>
    <row r="22" spans="1:9" x14ac:dyDescent="0.25">
      <c r="A22" t="s">
        <v>3842</v>
      </c>
      <c r="B22" t="s">
        <v>3759</v>
      </c>
      <c r="C22" t="s">
        <v>3784</v>
      </c>
      <c r="D22" t="s">
        <v>8056</v>
      </c>
      <c r="E22" t="s">
        <v>3841</v>
      </c>
      <c r="G22" t="s">
        <v>8057</v>
      </c>
      <c r="H22" t="s">
        <v>8079</v>
      </c>
    </row>
    <row r="23" spans="1:9" x14ac:dyDescent="0.25">
      <c r="A23" t="s">
        <v>3902</v>
      </c>
      <c r="B23" t="s">
        <v>3763</v>
      </c>
      <c r="C23" t="s">
        <v>3750</v>
      </c>
      <c r="D23" t="s">
        <v>8058</v>
      </c>
      <c r="E23" t="s">
        <v>3901</v>
      </c>
      <c r="G23" t="s">
        <v>8057</v>
      </c>
      <c r="H23" t="s">
        <v>8079</v>
      </c>
    </row>
    <row r="24" spans="1:9" x14ac:dyDescent="0.25">
      <c r="A24" t="s">
        <v>8082</v>
      </c>
      <c r="B24" t="s">
        <v>3752</v>
      </c>
      <c r="C24" t="s">
        <v>3750</v>
      </c>
      <c r="D24" t="s">
        <v>8056</v>
      </c>
      <c r="E24" t="s">
        <v>3749</v>
      </c>
      <c r="G24" t="s">
        <v>8057</v>
      </c>
      <c r="H24" t="s">
        <v>8079</v>
      </c>
      <c r="I24">
        <v>3</v>
      </c>
    </row>
    <row r="25" spans="1:9" x14ac:dyDescent="0.25">
      <c r="A25" t="s">
        <v>8083</v>
      </c>
      <c r="B25" t="s">
        <v>3752</v>
      </c>
      <c r="C25" t="s">
        <v>3750</v>
      </c>
      <c r="D25" t="s">
        <v>8056</v>
      </c>
      <c r="E25" t="s">
        <v>3850</v>
      </c>
      <c r="G25" t="s">
        <v>8057</v>
      </c>
      <c r="H25" t="s">
        <v>8079</v>
      </c>
      <c r="I25">
        <v>3</v>
      </c>
    </row>
    <row r="26" spans="1:9" x14ac:dyDescent="0.25">
      <c r="A26" t="s">
        <v>8081</v>
      </c>
      <c r="B26" t="s">
        <v>3752</v>
      </c>
      <c r="C26" t="s">
        <v>3784</v>
      </c>
      <c r="D26" t="s">
        <v>8056</v>
      </c>
      <c r="E26" t="s">
        <v>3783</v>
      </c>
      <c r="G26" t="s">
        <v>8057</v>
      </c>
      <c r="H26" t="s">
        <v>8079</v>
      </c>
      <c r="I26">
        <v>5</v>
      </c>
    </row>
    <row r="27" spans="1:9" x14ac:dyDescent="0.25">
      <c r="A27" t="s">
        <v>8084</v>
      </c>
      <c r="B27" t="s">
        <v>3752</v>
      </c>
      <c r="C27" t="s">
        <v>3750</v>
      </c>
      <c r="D27" t="s">
        <v>8056</v>
      </c>
      <c r="E27" t="s">
        <v>3777</v>
      </c>
      <c r="G27" t="s">
        <v>8057</v>
      </c>
      <c r="H27" t="s">
        <v>8079</v>
      </c>
      <c r="I27">
        <v>3</v>
      </c>
    </row>
    <row r="28" spans="1:9" x14ac:dyDescent="0.25">
      <c r="A28" t="s">
        <v>3946</v>
      </c>
      <c r="B28" t="s">
        <v>3752</v>
      </c>
      <c r="C28" t="s">
        <v>3750</v>
      </c>
      <c r="D28" t="s">
        <v>8058</v>
      </c>
      <c r="E28" t="s">
        <v>3945</v>
      </c>
      <c r="G28" t="s">
        <v>8057</v>
      </c>
      <c r="H28" t="s">
        <v>8079</v>
      </c>
    </row>
    <row r="29" spans="1:9" x14ac:dyDescent="0.25">
      <c r="A29" t="s">
        <v>3786</v>
      </c>
      <c r="B29" t="s">
        <v>3752</v>
      </c>
      <c r="C29" t="s">
        <v>3784</v>
      </c>
      <c r="D29" t="s">
        <v>8056</v>
      </c>
      <c r="E29" t="s">
        <v>3785</v>
      </c>
      <c r="G29" t="s">
        <v>8057</v>
      </c>
      <c r="H29" t="s">
        <v>8079</v>
      </c>
    </row>
    <row r="30" spans="1:9" x14ac:dyDescent="0.25">
      <c r="A30" t="s">
        <v>3957</v>
      </c>
      <c r="B30" t="s">
        <v>3752</v>
      </c>
      <c r="C30" t="s">
        <v>3750</v>
      </c>
      <c r="D30" t="s">
        <v>8058</v>
      </c>
      <c r="E30" t="s">
        <v>3956</v>
      </c>
      <c r="G30" t="s">
        <v>8057</v>
      </c>
      <c r="H30" t="s">
        <v>8079</v>
      </c>
    </row>
    <row r="31" spans="1:9" x14ac:dyDescent="0.25">
      <c r="A31" t="s">
        <v>8001</v>
      </c>
      <c r="B31" t="s">
        <v>3752</v>
      </c>
      <c r="C31" t="s">
        <v>3750</v>
      </c>
      <c r="D31" t="s">
        <v>8056</v>
      </c>
      <c r="E31" t="s">
        <v>5090</v>
      </c>
      <c r="G31" t="s">
        <v>8057</v>
      </c>
      <c r="H31" t="s">
        <v>8079</v>
      </c>
    </row>
    <row r="32" spans="1:9" x14ac:dyDescent="0.25">
      <c r="A32" t="s">
        <v>3801</v>
      </c>
      <c r="B32" t="s">
        <v>3752</v>
      </c>
      <c r="C32" t="s">
        <v>3798</v>
      </c>
      <c r="D32" t="s">
        <v>8056</v>
      </c>
      <c r="E32" t="s">
        <v>3799</v>
      </c>
      <c r="G32" t="s">
        <v>8057</v>
      </c>
      <c r="H32" t="s">
        <v>8079</v>
      </c>
    </row>
    <row r="33" spans="1:9" x14ac:dyDescent="0.25">
      <c r="A33" t="s">
        <v>3919</v>
      </c>
      <c r="B33" t="s">
        <v>3752</v>
      </c>
      <c r="C33" t="s">
        <v>3918</v>
      </c>
      <c r="D33" t="s">
        <v>8058</v>
      </c>
      <c r="E33" t="s">
        <v>3917</v>
      </c>
      <c r="G33" t="s">
        <v>8057</v>
      </c>
      <c r="H33" t="s">
        <v>8079</v>
      </c>
    </row>
    <row r="34" spans="1:9" x14ac:dyDescent="0.25">
      <c r="A34" t="s">
        <v>7702</v>
      </c>
      <c r="B34" t="s">
        <v>3752</v>
      </c>
      <c r="C34" t="s">
        <v>3784</v>
      </c>
      <c r="D34" t="s">
        <v>8056</v>
      </c>
      <c r="E34" t="s">
        <v>7701</v>
      </c>
      <c r="G34" t="s">
        <v>8057</v>
      </c>
      <c r="H34" t="s">
        <v>8079</v>
      </c>
    </row>
    <row r="35" spans="1:9" x14ac:dyDescent="0.25">
      <c r="A35" t="s">
        <v>3863</v>
      </c>
      <c r="B35" t="s">
        <v>3752</v>
      </c>
      <c r="C35" t="s">
        <v>3784</v>
      </c>
      <c r="D35" t="s">
        <v>8056</v>
      </c>
      <c r="E35" t="s">
        <v>3862</v>
      </c>
      <c r="G35" t="s">
        <v>8057</v>
      </c>
      <c r="H35" t="s">
        <v>8079</v>
      </c>
    </row>
    <row r="36" spans="1:9" x14ac:dyDescent="0.25">
      <c r="A36" t="s">
        <v>8064</v>
      </c>
      <c r="B36" t="s">
        <v>3752</v>
      </c>
      <c r="C36" t="s">
        <v>3784</v>
      </c>
      <c r="D36" t="s">
        <v>8058</v>
      </c>
      <c r="E36" t="s">
        <v>7437</v>
      </c>
      <c r="F36" t="s">
        <v>8065</v>
      </c>
      <c r="G36" t="s">
        <v>8057</v>
      </c>
      <c r="H36" t="s">
        <v>8079</v>
      </c>
    </row>
    <row r="37" spans="1:9" x14ac:dyDescent="0.25">
      <c r="A37" t="s">
        <v>7993</v>
      </c>
      <c r="B37" t="s">
        <v>3752</v>
      </c>
      <c r="C37" t="s">
        <v>3798</v>
      </c>
      <c r="D37" t="s">
        <v>8056</v>
      </c>
      <c r="E37" t="s">
        <v>7990</v>
      </c>
      <c r="G37" t="s">
        <v>8057</v>
      </c>
      <c r="H37" t="s">
        <v>8079</v>
      </c>
    </row>
    <row r="38" spans="1:9" x14ac:dyDescent="0.25">
      <c r="A38" t="s">
        <v>3775</v>
      </c>
      <c r="B38" t="s">
        <v>3752</v>
      </c>
      <c r="C38" t="s">
        <v>3750</v>
      </c>
      <c r="D38" t="s">
        <v>8056</v>
      </c>
      <c r="E38" t="s">
        <v>3774</v>
      </c>
      <c r="G38" t="s">
        <v>8057</v>
      </c>
      <c r="H38" t="s">
        <v>8079</v>
      </c>
    </row>
    <row r="39" spans="1:9" x14ac:dyDescent="0.25">
      <c r="A39" t="s">
        <v>8073</v>
      </c>
      <c r="B39" t="s">
        <v>3752</v>
      </c>
      <c r="C39" t="s">
        <v>3784</v>
      </c>
      <c r="D39" t="s">
        <v>8056</v>
      </c>
      <c r="E39" t="s">
        <v>3794</v>
      </c>
      <c r="G39" t="s">
        <v>8057</v>
      </c>
      <c r="H39" t="s">
        <v>8079</v>
      </c>
      <c r="I39">
        <v>2</v>
      </c>
    </row>
    <row r="40" spans="1:9" x14ac:dyDescent="0.25">
      <c r="A40" t="s">
        <v>8074</v>
      </c>
      <c r="B40" t="s">
        <v>3752</v>
      </c>
      <c r="C40" t="s">
        <v>3798</v>
      </c>
      <c r="D40" t="s">
        <v>8056</v>
      </c>
      <c r="E40" t="s">
        <v>3807</v>
      </c>
      <c r="G40" t="s">
        <v>8057</v>
      </c>
      <c r="H40" t="s">
        <v>8079</v>
      </c>
      <c r="I40">
        <v>3</v>
      </c>
    </row>
    <row r="41" spans="1:9" x14ac:dyDescent="0.25">
      <c r="A41" t="s">
        <v>3769</v>
      </c>
      <c r="B41" t="s">
        <v>3752</v>
      </c>
      <c r="C41" t="s">
        <v>3750</v>
      </c>
      <c r="D41" t="s">
        <v>8056</v>
      </c>
      <c r="E41" t="s">
        <v>3768</v>
      </c>
      <c r="G41" t="s">
        <v>8057</v>
      </c>
      <c r="H41" t="s">
        <v>8079</v>
      </c>
    </row>
    <row r="42" spans="1:9" x14ac:dyDescent="0.25">
      <c r="A42" t="s">
        <v>3780</v>
      </c>
      <c r="B42" t="s">
        <v>3752</v>
      </c>
      <c r="C42" t="s">
        <v>3750</v>
      </c>
      <c r="D42" t="s">
        <v>8056</v>
      </c>
      <c r="E42" t="s">
        <v>3779</v>
      </c>
      <c r="G42" t="s">
        <v>8057</v>
      </c>
      <c r="H42" t="s">
        <v>8079</v>
      </c>
    </row>
    <row r="43" spans="1:9" x14ac:dyDescent="0.25">
      <c r="A43" t="s">
        <v>3892</v>
      </c>
      <c r="B43" t="s">
        <v>3752</v>
      </c>
      <c r="C43" t="s">
        <v>3750</v>
      </c>
      <c r="D43" t="s">
        <v>8058</v>
      </c>
      <c r="E43" t="s">
        <v>3891</v>
      </c>
      <c r="G43" t="s">
        <v>8057</v>
      </c>
      <c r="H43" t="s">
        <v>8079</v>
      </c>
    </row>
    <row r="44" spans="1:9" x14ac:dyDescent="0.25">
      <c r="A44" t="s">
        <v>7988</v>
      </c>
      <c r="B44" t="s">
        <v>3752</v>
      </c>
      <c r="C44" t="s">
        <v>3918</v>
      </c>
      <c r="D44" t="s">
        <v>8056</v>
      </c>
      <c r="E44" t="s">
        <v>7987</v>
      </c>
      <c r="G44" t="s">
        <v>8057</v>
      </c>
      <c r="H44" t="s">
        <v>8079</v>
      </c>
    </row>
    <row r="45" spans="1:9" x14ac:dyDescent="0.25">
      <c r="A45" t="s">
        <v>3756</v>
      </c>
      <c r="B45" t="s">
        <v>3752</v>
      </c>
      <c r="C45" t="s">
        <v>3750</v>
      </c>
      <c r="D45" t="s">
        <v>8056</v>
      </c>
      <c r="E45" t="s">
        <v>3755</v>
      </c>
      <c r="G45" t="s">
        <v>8057</v>
      </c>
      <c r="H45" t="s">
        <v>8079</v>
      </c>
    </row>
    <row r="46" spans="1:9" x14ac:dyDescent="0.25">
      <c r="A46" t="s">
        <v>7699</v>
      </c>
      <c r="B46" t="s">
        <v>3752</v>
      </c>
      <c r="C46" t="s">
        <v>3750</v>
      </c>
      <c r="D46" t="s">
        <v>8056</v>
      </c>
      <c r="E46" t="s">
        <v>7698</v>
      </c>
      <c r="G46" t="s">
        <v>8057</v>
      </c>
      <c r="H46" t="s">
        <v>8079</v>
      </c>
    </row>
    <row r="47" spans="1:9" x14ac:dyDescent="0.25">
      <c r="A47" t="s">
        <v>3837</v>
      </c>
      <c r="B47" t="s">
        <v>3752</v>
      </c>
      <c r="C47" t="s">
        <v>3784</v>
      </c>
      <c r="D47" t="s">
        <v>8056</v>
      </c>
      <c r="E47" t="s">
        <v>3836</v>
      </c>
      <c r="G47" t="s">
        <v>8057</v>
      </c>
      <c r="H47" t="s">
        <v>8079</v>
      </c>
    </row>
    <row r="48" spans="1:9" x14ac:dyDescent="0.25">
      <c r="A48" t="s">
        <v>3833</v>
      </c>
      <c r="B48" t="s">
        <v>3752</v>
      </c>
      <c r="C48" t="s">
        <v>3750</v>
      </c>
      <c r="D48" t="s">
        <v>8056</v>
      </c>
      <c r="E48" t="s">
        <v>3832</v>
      </c>
      <c r="G48" t="s">
        <v>8057</v>
      </c>
      <c r="H48" t="s">
        <v>8079</v>
      </c>
    </row>
    <row r="49" spans="1:8" x14ac:dyDescent="0.25">
      <c r="A49" t="s">
        <v>3792</v>
      </c>
      <c r="B49" t="s">
        <v>3752</v>
      </c>
      <c r="C49" t="s">
        <v>3784</v>
      </c>
      <c r="D49" t="s">
        <v>8056</v>
      </c>
      <c r="E49" t="s">
        <v>3791</v>
      </c>
      <c r="G49" t="s">
        <v>8057</v>
      </c>
      <c r="H49" t="s">
        <v>8079</v>
      </c>
    </row>
    <row r="50" spans="1:8" x14ac:dyDescent="0.25">
      <c r="A50" t="s">
        <v>7448</v>
      </c>
      <c r="B50" t="s">
        <v>3752</v>
      </c>
      <c r="C50" t="s">
        <v>3750</v>
      </c>
      <c r="D50" t="s">
        <v>8056</v>
      </c>
      <c r="E50" t="s">
        <v>7447</v>
      </c>
      <c r="G50" t="s">
        <v>8057</v>
      </c>
      <c r="H50" t="s">
        <v>8079</v>
      </c>
    </row>
    <row r="51" spans="1:8" x14ac:dyDescent="0.25">
      <c r="A51" t="s">
        <v>3899</v>
      </c>
      <c r="B51" t="s">
        <v>3752</v>
      </c>
      <c r="C51" t="s">
        <v>3750</v>
      </c>
      <c r="D51" t="s">
        <v>8058</v>
      </c>
      <c r="E51" t="s">
        <v>3898</v>
      </c>
      <c r="G51" t="s">
        <v>8057</v>
      </c>
      <c r="H51" t="s">
        <v>8079</v>
      </c>
    </row>
    <row r="52" spans="1:8" x14ac:dyDescent="0.25">
      <c r="A52" t="s">
        <v>3916</v>
      </c>
      <c r="B52" t="s">
        <v>3752</v>
      </c>
      <c r="C52" t="s">
        <v>3798</v>
      </c>
      <c r="D52" t="s">
        <v>8058</v>
      </c>
      <c r="E52" t="s">
        <v>3475</v>
      </c>
      <c r="G52" t="s">
        <v>8057</v>
      </c>
      <c r="H52" t="s">
        <v>8079</v>
      </c>
    </row>
    <row r="53" spans="1:8" x14ac:dyDescent="0.25">
      <c r="A53" t="s">
        <v>7713</v>
      </c>
      <c r="B53" t="s">
        <v>3759</v>
      </c>
      <c r="C53" t="s">
        <v>3750</v>
      </c>
      <c r="D53" t="s">
        <v>8056</v>
      </c>
      <c r="E53" t="s">
        <v>7712</v>
      </c>
      <c r="G53" t="s">
        <v>8057</v>
      </c>
      <c r="H53" t="s">
        <v>8079</v>
      </c>
    </row>
    <row r="54" spans="1:8" x14ac:dyDescent="0.25">
      <c r="A54" t="s">
        <v>7365</v>
      </c>
      <c r="B54" t="s">
        <v>3759</v>
      </c>
      <c r="C54" t="s">
        <v>3750</v>
      </c>
      <c r="D54" t="s">
        <v>8056</v>
      </c>
      <c r="E54" t="s">
        <v>7364</v>
      </c>
      <c r="G54" t="s">
        <v>8057</v>
      </c>
      <c r="H54" t="s">
        <v>8079</v>
      </c>
    </row>
    <row r="55" spans="1:8" x14ac:dyDescent="0.25">
      <c r="A55" t="s">
        <v>7917</v>
      </c>
      <c r="B55" t="s">
        <v>3759</v>
      </c>
      <c r="C55" t="s">
        <v>3784</v>
      </c>
      <c r="D55" t="s">
        <v>8058</v>
      </c>
      <c r="E55" t="s">
        <v>7918</v>
      </c>
      <c r="G55" t="s">
        <v>8057</v>
      </c>
      <c r="H55" t="s">
        <v>8079</v>
      </c>
    </row>
    <row r="56" spans="1:8" x14ac:dyDescent="0.25">
      <c r="A56" t="s">
        <v>3766</v>
      </c>
      <c r="B56" t="s">
        <v>3759</v>
      </c>
      <c r="C56" t="s">
        <v>3750</v>
      </c>
      <c r="D56" t="s">
        <v>8056</v>
      </c>
      <c r="E56" t="s">
        <v>3765</v>
      </c>
      <c r="G56" t="s">
        <v>8057</v>
      </c>
      <c r="H56" t="s">
        <v>8079</v>
      </c>
    </row>
    <row r="57" spans="1:8" x14ac:dyDescent="0.25">
      <c r="A57" t="s">
        <v>3849</v>
      </c>
      <c r="B57" t="s">
        <v>3752</v>
      </c>
      <c r="C57" t="s">
        <v>3750</v>
      </c>
      <c r="D57" t="s">
        <v>8056</v>
      </c>
      <c r="E57" t="s">
        <v>3848</v>
      </c>
      <c r="G57" t="s">
        <v>8057</v>
      </c>
      <c r="H57" t="s">
        <v>8079</v>
      </c>
    </row>
    <row r="58" spans="1:8" x14ac:dyDescent="0.25">
      <c r="A58" t="s">
        <v>8094</v>
      </c>
      <c r="B58" t="s">
        <v>3840</v>
      </c>
      <c r="C58" t="s">
        <v>3784</v>
      </c>
      <c r="D58" t="s">
        <v>8058</v>
      </c>
      <c r="E58" t="s">
        <v>3925</v>
      </c>
      <c r="G58" t="s">
        <v>8057</v>
      </c>
      <c r="H58" t="s">
        <v>8080</v>
      </c>
    </row>
    <row r="59" spans="1:8" x14ac:dyDescent="0.25">
      <c r="A59" t="s">
        <v>8095</v>
      </c>
      <c r="B59" t="s">
        <v>3840</v>
      </c>
      <c r="C59" t="s">
        <v>3784</v>
      </c>
      <c r="D59" t="s">
        <v>8058</v>
      </c>
      <c r="E59" t="s">
        <v>3929</v>
      </c>
      <c r="G59" t="s">
        <v>8057</v>
      </c>
      <c r="H59" t="s">
        <v>8080</v>
      </c>
    </row>
    <row r="60" spans="1:8" x14ac:dyDescent="0.25">
      <c r="A60" t="s">
        <v>8096</v>
      </c>
      <c r="B60" t="s">
        <v>3840</v>
      </c>
      <c r="C60" t="s">
        <v>3784</v>
      </c>
      <c r="D60" t="s">
        <v>8058</v>
      </c>
      <c r="E60" t="s">
        <v>3934</v>
      </c>
      <c r="G60" t="s">
        <v>8057</v>
      </c>
      <c r="H60" t="s">
        <v>8080</v>
      </c>
    </row>
    <row r="61" spans="1:8" x14ac:dyDescent="0.25">
      <c r="A61" t="s">
        <v>8097</v>
      </c>
      <c r="B61" t="s">
        <v>3840</v>
      </c>
      <c r="C61" t="s">
        <v>3784</v>
      </c>
      <c r="D61" t="s">
        <v>8058</v>
      </c>
      <c r="E61" t="s">
        <v>3927</v>
      </c>
      <c r="G61" t="s">
        <v>8057</v>
      </c>
      <c r="H61" t="s">
        <v>8080</v>
      </c>
    </row>
    <row r="62" spans="1:8" x14ac:dyDescent="0.25">
      <c r="A62" t="s">
        <v>8098</v>
      </c>
      <c r="B62" t="s">
        <v>3840</v>
      </c>
      <c r="C62" t="s">
        <v>3798</v>
      </c>
      <c r="D62" t="s">
        <v>8056</v>
      </c>
      <c r="E62" t="s">
        <v>3844</v>
      </c>
      <c r="G62" t="s">
        <v>8057</v>
      </c>
      <c r="H62" t="s">
        <v>8080</v>
      </c>
    </row>
    <row r="63" spans="1:8" x14ac:dyDescent="0.25">
      <c r="A63" t="s">
        <v>8099</v>
      </c>
      <c r="B63" t="s">
        <v>3840</v>
      </c>
      <c r="C63" t="s">
        <v>3750</v>
      </c>
      <c r="D63" t="s">
        <v>8056</v>
      </c>
      <c r="E63" t="s">
        <v>7910</v>
      </c>
      <c r="G63" t="s">
        <v>8057</v>
      </c>
      <c r="H63" t="s">
        <v>8080</v>
      </c>
    </row>
    <row r="64" spans="1:8" x14ac:dyDescent="0.25">
      <c r="A64" t="s">
        <v>8100</v>
      </c>
      <c r="B64" t="s">
        <v>3840</v>
      </c>
      <c r="C64" t="s">
        <v>3784</v>
      </c>
      <c r="D64" t="s">
        <v>8056</v>
      </c>
      <c r="E64" t="s">
        <v>3883</v>
      </c>
      <c r="G64" t="s">
        <v>8057</v>
      </c>
      <c r="H64" t="s">
        <v>8080</v>
      </c>
    </row>
    <row r="65" spans="1:8" x14ac:dyDescent="0.25">
      <c r="A65" t="s">
        <v>8101</v>
      </c>
      <c r="B65" t="s">
        <v>3840</v>
      </c>
      <c r="C65" t="s">
        <v>3750</v>
      </c>
      <c r="D65" t="s">
        <v>8058</v>
      </c>
      <c r="E65" t="s">
        <v>3897</v>
      </c>
      <c r="G65" t="s">
        <v>8057</v>
      </c>
      <c r="H65" t="s">
        <v>8080</v>
      </c>
    </row>
    <row r="66" spans="1:8" x14ac:dyDescent="0.25">
      <c r="A66" t="s">
        <v>8060</v>
      </c>
      <c r="B66" t="s">
        <v>3759</v>
      </c>
      <c r="C66" t="s">
        <v>3784</v>
      </c>
      <c r="D66" t="s">
        <v>8058</v>
      </c>
      <c r="E66" t="s">
        <v>7437</v>
      </c>
      <c r="F66" t="s">
        <v>8061</v>
      </c>
      <c r="G66" t="s">
        <v>8057</v>
      </c>
      <c r="H66" t="s">
        <v>8079</v>
      </c>
    </row>
    <row r="67" spans="1:8" x14ac:dyDescent="0.25">
      <c r="A67" t="s">
        <v>7928</v>
      </c>
      <c r="B67" t="s">
        <v>3759</v>
      </c>
      <c r="C67" t="s">
        <v>3784</v>
      </c>
      <c r="D67" t="s">
        <v>8058</v>
      </c>
      <c r="E67" t="s">
        <v>7927</v>
      </c>
      <c r="G67" t="s">
        <v>8057</v>
      </c>
      <c r="H67" t="s">
        <v>8079</v>
      </c>
    </row>
    <row r="68" spans="1:8" x14ac:dyDescent="0.25">
      <c r="A68" t="s">
        <v>7924</v>
      </c>
      <c r="B68" t="s">
        <v>3759</v>
      </c>
      <c r="C68" t="s">
        <v>3918</v>
      </c>
      <c r="D68" t="s">
        <v>8058</v>
      </c>
      <c r="E68" t="s">
        <v>7923</v>
      </c>
      <c r="G68" t="s">
        <v>8057</v>
      </c>
      <c r="H68" t="s">
        <v>8079</v>
      </c>
    </row>
    <row r="69" spans="1:8" x14ac:dyDescent="0.25">
      <c r="A69" t="s">
        <v>7986</v>
      </c>
      <c r="B69" t="s">
        <v>3763</v>
      </c>
      <c r="C69" t="s">
        <v>3784</v>
      </c>
      <c r="D69" t="s">
        <v>8056</v>
      </c>
      <c r="E69" t="s">
        <v>7985</v>
      </c>
      <c r="G69" t="s">
        <v>8057</v>
      </c>
      <c r="H69" t="s">
        <v>8079</v>
      </c>
    </row>
    <row r="70" spans="1:8" x14ac:dyDescent="0.25">
      <c r="A70" t="s">
        <v>3873</v>
      </c>
      <c r="B70" t="s">
        <v>3846</v>
      </c>
      <c r="C70" t="s">
        <v>3784</v>
      </c>
      <c r="D70" t="s">
        <v>8056</v>
      </c>
      <c r="E70" t="s">
        <v>3872</v>
      </c>
      <c r="G70" t="s">
        <v>8057</v>
      </c>
      <c r="H70" t="s">
        <v>8079</v>
      </c>
    </row>
    <row r="71" spans="1:8" x14ac:dyDescent="0.25">
      <c r="A71" t="s">
        <v>3960</v>
      </c>
      <c r="B71" t="s">
        <v>3759</v>
      </c>
      <c r="C71" t="s">
        <v>3784</v>
      </c>
      <c r="D71" t="s">
        <v>8058</v>
      </c>
      <c r="E71" t="s">
        <v>3959</v>
      </c>
      <c r="G71" t="s">
        <v>8057</v>
      </c>
      <c r="H71" t="s">
        <v>8079</v>
      </c>
    </row>
    <row r="72" spans="1:8" x14ac:dyDescent="0.25">
      <c r="A72" t="s">
        <v>3817</v>
      </c>
      <c r="B72" t="s">
        <v>3759</v>
      </c>
      <c r="C72" t="s">
        <v>3750</v>
      </c>
      <c r="D72" t="s">
        <v>8056</v>
      </c>
      <c r="E72" t="s">
        <v>3816</v>
      </c>
      <c r="G72" t="s">
        <v>8057</v>
      </c>
      <c r="H72" t="s">
        <v>8079</v>
      </c>
    </row>
    <row r="73" spans="1:8" x14ac:dyDescent="0.25">
      <c r="A73" t="s">
        <v>7908</v>
      </c>
      <c r="B73" t="s">
        <v>3759</v>
      </c>
      <c r="C73" t="s">
        <v>3798</v>
      </c>
      <c r="D73" t="s">
        <v>8056</v>
      </c>
      <c r="E73" t="s">
        <v>7907</v>
      </c>
      <c r="G73" t="s">
        <v>8057</v>
      </c>
      <c r="H73" t="s">
        <v>8079</v>
      </c>
    </row>
    <row r="74" spans="1:8" x14ac:dyDescent="0.25">
      <c r="A74" t="s">
        <v>3965</v>
      </c>
      <c r="B74" t="s">
        <v>3759</v>
      </c>
      <c r="C74" t="s">
        <v>3784</v>
      </c>
      <c r="D74" t="s">
        <v>8058</v>
      </c>
      <c r="E74" t="s">
        <v>3964</v>
      </c>
      <c r="G74" t="s">
        <v>8057</v>
      </c>
      <c r="H74" t="s">
        <v>8079</v>
      </c>
    </row>
    <row r="75" spans="1:8" x14ac:dyDescent="0.25">
      <c r="A75" t="s">
        <v>8088</v>
      </c>
      <c r="D75" t="s">
        <v>8066</v>
      </c>
      <c r="E75" t="s">
        <v>3495</v>
      </c>
      <c r="G75" t="s">
        <v>8057</v>
      </c>
      <c r="H75" t="s">
        <v>8080</v>
      </c>
    </row>
    <row r="76" spans="1:8" x14ac:dyDescent="0.25">
      <c r="A76" t="s">
        <v>3813</v>
      </c>
      <c r="B76" t="s">
        <v>3759</v>
      </c>
      <c r="C76" t="s">
        <v>3750</v>
      </c>
      <c r="D76" t="s">
        <v>8056</v>
      </c>
      <c r="E76" t="s">
        <v>3812</v>
      </c>
      <c r="G76" t="s">
        <v>8057</v>
      </c>
      <c r="H76" t="s">
        <v>8079</v>
      </c>
    </row>
    <row r="77" spans="1:8" x14ac:dyDescent="0.25">
      <c r="A77" t="s">
        <v>3875</v>
      </c>
      <c r="B77" t="s">
        <v>3846</v>
      </c>
      <c r="C77" t="s">
        <v>3798</v>
      </c>
      <c r="D77" t="s">
        <v>8056</v>
      </c>
      <c r="E77" t="s">
        <v>3874</v>
      </c>
      <c r="G77" t="s">
        <v>8057</v>
      </c>
      <c r="H77" t="s">
        <v>8079</v>
      </c>
    </row>
    <row r="78" spans="1:8" x14ac:dyDescent="0.25">
      <c r="A78" t="s">
        <v>3943</v>
      </c>
      <c r="B78" t="s">
        <v>3759</v>
      </c>
      <c r="C78" t="s">
        <v>3918</v>
      </c>
      <c r="D78" t="s">
        <v>8058</v>
      </c>
      <c r="E78" t="s">
        <v>3942</v>
      </c>
      <c r="G78" t="s">
        <v>8057</v>
      </c>
      <c r="H78" t="s">
        <v>8079</v>
      </c>
    </row>
    <row r="79" spans="1:8" x14ac:dyDescent="0.25">
      <c r="A79" t="s">
        <v>3968</v>
      </c>
      <c r="B79" t="s">
        <v>3846</v>
      </c>
      <c r="C79" t="s">
        <v>3798</v>
      </c>
      <c r="D79" t="s">
        <v>8058</v>
      </c>
      <c r="E79" t="s">
        <v>3966</v>
      </c>
      <c r="G79" t="s">
        <v>8057</v>
      </c>
      <c r="H79" t="s">
        <v>8079</v>
      </c>
    </row>
    <row r="80" spans="1:8" x14ac:dyDescent="0.25">
      <c r="A80" t="s">
        <v>3921</v>
      </c>
      <c r="B80" t="s">
        <v>3759</v>
      </c>
      <c r="C80" t="s">
        <v>3750</v>
      </c>
      <c r="D80" t="s">
        <v>8058</v>
      </c>
      <c r="E80" t="s">
        <v>3922</v>
      </c>
      <c r="G80" t="s">
        <v>8057</v>
      </c>
      <c r="H80" t="s">
        <v>8079</v>
      </c>
    </row>
    <row r="81" spans="1:8" x14ac:dyDescent="0.25">
      <c r="A81" t="s">
        <v>3782</v>
      </c>
      <c r="B81" t="s">
        <v>3759</v>
      </c>
      <c r="C81" t="s">
        <v>3750</v>
      </c>
      <c r="D81" t="s">
        <v>8056</v>
      </c>
      <c r="E81" t="s">
        <v>3781</v>
      </c>
      <c r="G81" t="s">
        <v>8057</v>
      </c>
      <c r="H81" t="s">
        <v>8079</v>
      </c>
    </row>
    <row r="82" spans="1:8" x14ac:dyDescent="0.25">
      <c r="A82" t="s">
        <v>3951</v>
      </c>
      <c r="B82" t="s">
        <v>3759</v>
      </c>
      <c r="C82" t="s">
        <v>3750</v>
      </c>
      <c r="D82" t="s">
        <v>8058</v>
      </c>
      <c r="E82" t="s">
        <v>3950</v>
      </c>
      <c r="G82" t="s">
        <v>8057</v>
      </c>
      <c r="H82" t="s">
        <v>8079</v>
      </c>
    </row>
    <row r="83" spans="1:8" x14ac:dyDescent="0.25">
      <c r="A83" t="s">
        <v>3805</v>
      </c>
      <c r="B83" t="s">
        <v>3759</v>
      </c>
      <c r="C83" t="s">
        <v>3798</v>
      </c>
      <c r="D83" t="s">
        <v>8056</v>
      </c>
      <c r="E83" t="s">
        <v>3804</v>
      </c>
      <c r="G83" t="s">
        <v>8057</v>
      </c>
      <c r="H83" t="s">
        <v>8079</v>
      </c>
    </row>
    <row r="84" spans="1:8" x14ac:dyDescent="0.25">
      <c r="A84" t="s">
        <v>8070</v>
      </c>
      <c r="D84" t="s">
        <v>6467</v>
      </c>
      <c r="E84" t="s">
        <v>3995</v>
      </c>
      <c r="F84" t="s">
        <v>8068</v>
      </c>
      <c r="G84" t="s">
        <v>8069</v>
      </c>
      <c r="H84" t="s">
        <v>8080</v>
      </c>
    </row>
    <row r="85" spans="1:8" x14ac:dyDescent="0.25">
      <c r="A85" t="s">
        <v>8071</v>
      </c>
      <c r="D85" t="s">
        <v>6467</v>
      </c>
      <c r="E85" t="s">
        <v>3990</v>
      </c>
      <c r="F85" t="s">
        <v>8068</v>
      </c>
      <c r="G85" t="s">
        <v>8069</v>
      </c>
      <c r="H85" t="s">
        <v>8080</v>
      </c>
    </row>
    <row r="86" spans="1:8" x14ac:dyDescent="0.25">
      <c r="A86" t="s">
        <v>8107</v>
      </c>
      <c r="D86" t="s">
        <v>6467</v>
      </c>
      <c r="E86" t="s">
        <v>4007</v>
      </c>
      <c r="F86" t="s">
        <v>8068</v>
      </c>
      <c r="G86" t="s">
        <v>8069</v>
      </c>
      <c r="H86" t="s">
        <v>8080</v>
      </c>
    </row>
    <row r="87" spans="1:8" x14ac:dyDescent="0.25">
      <c r="A87" t="s">
        <v>8085</v>
      </c>
      <c r="B87" t="s">
        <v>3752</v>
      </c>
      <c r="C87" t="s">
        <v>3918</v>
      </c>
      <c r="D87" t="s">
        <v>8058</v>
      </c>
      <c r="E87" t="s">
        <v>3973</v>
      </c>
      <c r="G87" t="s">
        <v>8057</v>
      </c>
      <c r="H87" t="s">
        <v>8079</v>
      </c>
    </row>
    <row r="88" spans="1:8" x14ac:dyDescent="0.25">
      <c r="A88" t="s">
        <v>8108</v>
      </c>
      <c r="D88" t="s">
        <v>8066</v>
      </c>
      <c r="E88" t="s">
        <v>3462</v>
      </c>
      <c r="G88" t="s">
        <v>8057</v>
      </c>
      <c r="H88" t="s">
        <v>8080</v>
      </c>
    </row>
    <row r="89" spans="1:8" x14ac:dyDescent="0.25">
      <c r="A89" t="s">
        <v>3949</v>
      </c>
      <c r="B89" t="s">
        <v>3759</v>
      </c>
      <c r="C89" t="s">
        <v>3750</v>
      </c>
      <c r="D89" t="s">
        <v>8058</v>
      </c>
      <c r="E89" t="s">
        <v>3948</v>
      </c>
      <c r="G89" t="s">
        <v>8057</v>
      </c>
      <c r="H89" t="s">
        <v>8079</v>
      </c>
    </row>
    <row r="90" spans="1:8" x14ac:dyDescent="0.25">
      <c r="A90" t="s">
        <v>8092</v>
      </c>
      <c r="D90" t="s">
        <v>8066</v>
      </c>
      <c r="E90" t="s">
        <v>3471</v>
      </c>
      <c r="G90" t="s">
        <v>8057</v>
      </c>
      <c r="H90" t="s">
        <v>8080</v>
      </c>
    </row>
    <row r="91" spans="1:8" x14ac:dyDescent="0.25">
      <c r="A91" t="s">
        <v>8091</v>
      </c>
      <c r="D91" t="s">
        <v>8066</v>
      </c>
      <c r="E91" t="s">
        <v>3490</v>
      </c>
      <c r="G91" t="s">
        <v>8057</v>
      </c>
      <c r="H91" t="s">
        <v>8080</v>
      </c>
    </row>
    <row r="92" spans="1:8" x14ac:dyDescent="0.25">
      <c r="A92" t="s">
        <v>8090</v>
      </c>
      <c r="B92" t="s">
        <v>3840</v>
      </c>
      <c r="C92" t="s">
        <v>3750</v>
      </c>
      <c r="D92" t="s">
        <v>8058</v>
      </c>
      <c r="E92" t="s">
        <v>3976</v>
      </c>
      <c r="G92" t="s">
        <v>8057</v>
      </c>
      <c r="H92" t="s">
        <v>8080</v>
      </c>
    </row>
    <row r="93" spans="1:8" x14ac:dyDescent="0.25">
      <c r="A93" t="s">
        <v>8090</v>
      </c>
      <c r="B93" t="s">
        <v>3840</v>
      </c>
      <c r="C93" t="s">
        <v>3784</v>
      </c>
      <c r="D93" t="s">
        <v>8058</v>
      </c>
      <c r="E93" t="s">
        <v>3977</v>
      </c>
      <c r="G93" t="s">
        <v>8057</v>
      </c>
      <c r="H93" t="s">
        <v>8080</v>
      </c>
    </row>
    <row r="94" spans="1:8" x14ac:dyDescent="0.25">
      <c r="A94" t="s">
        <v>3853</v>
      </c>
      <c r="B94" t="s">
        <v>3763</v>
      </c>
      <c r="C94" t="s">
        <v>3750</v>
      </c>
      <c r="D94" t="s">
        <v>8056</v>
      </c>
      <c r="E94" t="s">
        <v>3852</v>
      </c>
      <c r="G94" t="s">
        <v>8057</v>
      </c>
      <c r="H94" t="s">
        <v>8079</v>
      </c>
    </row>
    <row r="95" spans="1:8" x14ac:dyDescent="0.25">
      <c r="A95" t="s">
        <v>8075</v>
      </c>
      <c r="B95" t="s">
        <v>3763</v>
      </c>
      <c r="C95" t="s">
        <v>3750</v>
      </c>
      <c r="D95" t="s">
        <v>8056</v>
      </c>
      <c r="E95" t="s">
        <v>3762</v>
      </c>
      <c r="G95" t="s">
        <v>8057</v>
      </c>
      <c r="H95" t="s">
        <v>8079</v>
      </c>
    </row>
    <row r="96" spans="1:8" x14ac:dyDescent="0.25">
      <c r="A96" t="s">
        <v>8104</v>
      </c>
      <c r="B96" t="s">
        <v>3763</v>
      </c>
      <c r="C96" t="s">
        <v>3750</v>
      </c>
      <c r="D96" t="s">
        <v>8058</v>
      </c>
      <c r="E96" t="s">
        <v>3889</v>
      </c>
      <c r="G96" t="s">
        <v>8057</v>
      </c>
      <c r="H96" t="s">
        <v>8079</v>
      </c>
    </row>
    <row r="97" spans="1:9" x14ac:dyDescent="0.25">
      <c r="A97" t="s">
        <v>3953</v>
      </c>
      <c r="B97" t="s">
        <v>3763</v>
      </c>
      <c r="C97" t="s">
        <v>3750</v>
      </c>
      <c r="D97" t="s">
        <v>8058</v>
      </c>
      <c r="E97" t="s">
        <v>3952</v>
      </c>
      <c r="G97" t="s">
        <v>8057</v>
      </c>
      <c r="H97" t="s">
        <v>8079</v>
      </c>
    </row>
    <row r="98" spans="1:9" x14ac:dyDescent="0.25">
      <c r="A98" t="s">
        <v>8102</v>
      </c>
      <c r="B98" t="s">
        <v>3840</v>
      </c>
      <c r="C98" t="s">
        <v>3798</v>
      </c>
      <c r="D98" t="s">
        <v>8058</v>
      </c>
      <c r="E98" t="s">
        <v>7915</v>
      </c>
      <c r="G98" t="s">
        <v>8057</v>
      </c>
      <c r="H98" t="s">
        <v>8080</v>
      </c>
    </row>
    <row r="99" spans="1:9" x14ac:dyDescent="0.25">
      <c r="A99" t="s">
        <v>8109</v>
      </c>
      <c r="D99" t="s">
        <v>8066</v>
      </c>
      <c r="E99" t="s">
        <v>3498</v>
      </c>
      <c r="G99" t="s">
        <v>8057</v>
      </c>
      <c r="H99" t="s">
        <v>8080</v>
      </c>
    </row>
    <row r="100" spans="1:9" x14ac:dyDescent="0.25">
      <c r="A100" t="s">
        <v>3811</v>
      </c>
      <c r="B100" t="s">
        <v>3759</v>
      </c>
      <c r="C100" t="s">
        <v>3750</v>
      </c>
      <c r="D100" t="s">
        <v>8056</v>
      </c>
      <c r="E100" t="s">
        <v>3810</v>
      </c>
      <c r="G100" t="s">
        <v>8057</v>
      </c>
      <c r="H100" t="s">
        <v>8079</v>
      </c>
    </row>
    <row r="101" spans="1:9" x14ac:dyDescent="0.25">
      <c r="A101" t="s">
        <v>3915</v>
      </c>
      <c r="B101" t="s">
        <v>3759</v>
      </c>
      <c r="C101" t="s">
        <v>3784</v>
      </c>
      <c r="D101" t="s">
        <v>8058</v>
      </c>
      <c r="E101" t="s">
        <v>3914</v>
      </c>
      <c r="G101" t="s">
        <v>8057</v>
      </c>
      <c r="H101" t="s">
        <v>8079</v>
      </c>
    </row>
    <row r="102" spans="1:9" x14ac:dyDescent="0.25">
      <c r="A102" t="s">
        <v>7368</v>
      </c>
      <c r="B102" t="s">
        <v>3759</v>
      </c>
      <c r="C102" t="s">
        <v>3750</v>
      </c>
      <c r="D102" t="s">
        <v>8058</v>
      </c>
      <c r="E102" t="s">
        <v>7367</v>
      </c>
      <c r="G102" t="s">
        <v>8057</v>
      </c>
      <c r="H102" t="s">
        <v>8079</v>
      </c>
    </row>
    <row r="103" spans="1:9" x14ac:dyDescent="0.25">
      <c r="A103" t="s">
        <v>3825</v>
      </c>
      <c r="B103" t="s">
        <v>3759</v>
      </c>
      <c r="C103" t="s">
        <v>3750</v>
      </c>
      <c r="D103" t="s">
        <v>8056</v>
      </c>
      <c r="E103" t="s">
        <v>3824</v>
      </c>
      <c r="G103" t="s">
        <v>8057</v>
      </c>
      <c r="H103" t="s">
        <v>8079</v>
      </c>
    </row>
    <row r="104" spans="1:9" x14ac:dyDescent="0.25">
      <c r="A104" t="s">
        <v>3760</v>
      </c>
      <c r="B104" t="s">
        <v>3759</v>
      </c>
      <c r="C104" t="s">
        <v>3750</v>
      </c>
      <c r="D104" t="s">
        <v>8056</v>
      </c>
      <c r="E104" t="s">
        <v>3758</v>
      </c>
      <c r="G104" t="s">
        <v>8057</v>
      </c>
      <c r="H104" t="s">
        <v>8079</v>
      </c>
    </row>
    <row r="105" spans="1:9" x14ac:dyDescent="0.25">
      <c r="A105" t="s">
        <v>3955</v>
      </c>
      <c r="B105" t="s">
        <v>3759</v>
      </c>
      <c r="C105" t="s">
        <v>3750</v>
      </c>
      <c r="D105" t="s">
        <v>8058</v>
      </c>
      <c r="E105" t="s">
        <v>3954</v>
      </c>
      <c r="G105" t="s">
        <v>8057</v>
      </c>
      <c r="H105" t="s">
        <v>8079</v>
      </c>
    </row>
    <row r="106" spans="1:9" x14ac:dyDescent="0.25">
      <c r="A106" t="s">
        <v>8110</v>
      </c>
      <c r="D106" t="s">
        <v>8066</v>
      </c>
      <c r="E106" t="s">
        <v>3467</v>
      </c>
      <c r="G106" t="s">
        <v>8057</v>
      </c>
      <c r="H106" t="s">
        <v>8080</v>
      </c>
    </row>
    <row r="107" spans="1:9" x14ac:dyDescent="0.25">
      <c r="A107" t="s">
        <v>3856</v>
      </c>
      <c r="B107" t="s">
        <v>3759</v>
      </c>
      <c r="C107" t="s">
        <v>3784</v>
      </c>
      <c r="D107" t="s">
        <v>8056</v>
      </c>
      <c r="E107" t="s">
        <v>3855</v>
      </c>
      <c r="G107" t="s">
        <v>8057</v>
      </c>
      <c r="H107" t="s">
        <v>8079</v>
      </c>
    </row>
    <row r="108" spans="1:9" x14ac:dyDescent="0.25">
      <c r="A108" t="s">
        <v>3882</v>
      </c>
      <c r="B108" t="s">
        <v>3846</v>
      </c>
      <c r="C108" t="s">
        <v>3750</v>
      </c>
      <c r="D108" t="s">
        <v>8056</v>
      </c>
      <c r="E108" t="s">
        <v>3881</v>
      </c>
      <c r="G108" t="s">
        <v>8057</v>
      </c>
      <c r="H108" t="s">
        <v>8079</v>
      </c>
    </row>
    <row r="109" spans="1:9" x14ac:dyDescent="0.25">
      <c r="A109" t="s">
        <v>3788</v>
      </c>
      <c r="B109" t="s">
        <v>3759</v>
      </c>
      <c r="C109" t="s">
        <v>3784</v>
      </c>
      <c r="D109" t="s">
        <v>8056</v>
      </c>
      <c r="E109" t="s">
        <v>3787</v>
      </c>
      <c r="G109" t="s">
        <v>8057</v>
      </c>
      <c r="H109" t="s">
        <v>8079</v>
      </c>
    </row>
    <row r="110" spans="1:9" x14ac:dyDescent="0.25">
      <c r="A110" t="s">
        <v>7902</v>
      </c>
      <c r="B110" t="s">
        <v>3759</v>
      </c>
      <c r="C110" t="s">
        <v>3784</v>
      </c>
      <c r="D110" t="s">
        <v>8056</v>
      </c>
      <c r="E110" t="s">
        <v>7901</v>
      </c>
      <c r="G110" t="s">
        <v>8057</v>
      </c>
      <c r="H110" t="s">
        <v>8079</v>
      </c>
    </row>
    <row r="111" spans="1:9" x14ac:dyDescent="0.25">
      <c r="A111" t="s">
        <v>7896</v>
      </c>
      <c r="B111" t="s">
        <v>3759</v>
      </c>
      <c r="C111" t="s">
        <v>3750</v>
      </c>
      <c r="D111" t="s">
        <v>8056</v>
      </c>
      <c r="E111" t="s">
        <v>7895</v>
      </c>
      <c r="G111" t="s">
        <v>8057</v>
      </c>
      <c r="H111" t="s">
        <v>8079</v>
      </c>
    </row>
    <row r="112" spans="1:9" x14ac:dyDescent="0.25">
      <c r="A112" t="s">
        <v>8105</v>
      </c>
      <c r="B112" t="s">
        <v>3759</v>
      </c>
      <c r="C112" t="s">
        <v>3784</v>
      </c>
      <c r="D112" t="s">
        <v>8056</v>
      </c>
      <c r="E112" t="s">
        <v>7899</v>
      </c>
      <c r="G112" t="s">
        <v>8057</v>
      </c>
      <c r="H112" t="s">
        <v>8079</v>
      </c>
      <c r="I112">
        <v>2</v>
      </c>
    </row>
    <row r="113" spans="1:8" x14ac:dyDescent="0.25">
      <c r="A113" t="s">
        <v>3829</v>
      </c>
      <c r="B113" t="s">
        <v>3759</v>
      </c>
      <c r="C113" t="s">
        <v>3750</v>
      </c>
      <c r="D113" t="s">
        <v>8056</v>
      </c>
      <c r="E113" t="s">
        <v>3828</v>
      </c>
      <c r="G113" t="s">
        <v>8057</v>
      </c>
      <c r="H113" t="s">
        <v>8079</v>
      </c>
    </row>
    <row r="114" spans="1:8" x14ac:dyDescent="0.25">
      <c r="A114" t="s">
        <v>3980</v>
      </c>
      <c r="B114" t="s">
        <v>3752</v>
      </c>
      <c r="C114" t="s">
        <v>3798</v>
      </c>
      <c r="D114" t="s">
        <v>8058</v>
      </c>
      <c r="E114" t="s">
        <v>3979</v>
      </c>
      <c r="G114" t="s">
        <v>8057</v>
      </c>
      <c r="H114" t="s">
        <v>8079</v>
      </c>
    </row>
    <row r="115" spans="1:8" x14ac:dyDescent="0.25">
      <c r="A115" t="s">
        <v>3971</v>
      </c>
      <c r="B115" t="s">
        <v>3763</v>
      </c>
      <c r="C115" t="s">
        <v>3798</v>
      </c>
      <c r="D115" t="s">
        <v>8058</v>
      </c>
      <c r="E115" t="s">
        <v>3970</v>
      </c>
      <c r="G115" t="s">
        <v>8057</v>
      </c>
      <c r="H115" t="s">
        <v>8079</v>
      </c>
    </row>
    <row r="116" spans="1:8" x14ac:dyDescent="0.25">
      <c r="A116" t="s">
        <v>7705</v>
      </c>
      <c r="B116" t="s">
        <v>3759</v>
      </c>
      <c r="C116" t="s">
        <v>3918</v>
      </c>
      <c r="D116" t="s">
        <v>8056</v>
      </c>
      <c r="E116" t="s">
        <v>1169</v>
      </c>
      <c r="G116" t="s">
        <v>8057</v>
      </c>
      <c r="H116" t="s">
        <v>8079</v>
      </c>
    </row>
    <row r="117" spans="1:8" x14ac:dyDescent="0.25">
      <c r="A117" t="s">
        <v>3907</v>
      </c>
      <c r="B117" t="s">
        <v>3763</v>
      </c>
      <c r="C117" t="s">
        <v>3784</v>
      </c>
      <c r="D117" t="s">
        <v>8058</v>
      </c>
      <c r="E117" t="s">
        <v>3905</v>
      </c>
      <c r="G117" t="s">
        <v>8057</v>
      </c>
      <c r="H117" t="s">
        <v>8079</v>
      </c>
    </row>
    <row r="118" spans="1:8" x14ac:dyDescent="0.25">
      <c r="A118" t="s">
        <v>8089</v>
      </c>
      <c r="D118" t="s">
        <v>8066</v>
      </c>
      <c r="E118" t="s">
        <v>3486</v>
      </c>
      <c r="G118" t="s">
        <v>8057</v>
      </c>
      <c r="H118" t="s">
        <v>8080</v>
      </c>
    </row>
    <row r="119" spans="1:8" x14ac:dyDescent="0.25">
      <c r="A119" t="s">
        <v>7921</v>
      </c>
      <c r="B119" t="s">
        <v>3759</v>
      </c>
      <c r="C119" t="s">
        <v>3750</v>
      </c>
      <c r="D119" t="s">
        <v>8058</v>
      </c>
      <c r="E119" t="s">
        <v>7920</v>
      </c>
      <c r="G119" t="s">
        <v>8057</v>
      </c>
      <c r="H119" t="s">
        <v>8079</v>
      </c>
    </row>
    <row r="120" spans="1:8" x14ac:dyDescent="0.25">
      <c r="A120" t="s">
        <v>7912</v>
      </c>
      <c r="B120" t="s">
        <v>3759</v>
      </c>
      <c r="C120" t="s">
        <v>3750</v>
      </c>
      <c r="D120" t="s">
        <v>8058</v>
      </c>
      <c r="E120" t="s">
        <v>7913</v>
      </c>
      <c r="G120" t="s">
        <v>8057</v>
      </c>
      <c r="H120" t="s">
        <v>8079</v>
      </c>
    </row>
    <row r="121" spans="1:8" x14ac:dyDescent="0.25">
      <c r="A121" t="s">
        <v>8062</v>
      </c>
      <c r="B121" t="s">
        <v>3759</v>
      </c>
      <c r="C121" t="s">
        <v>3784</v>
      </c>
      <c r="D121" t="s">
        <v>8058</v>
      </c>
      <c r="E121" t="s">
        <v>7437</v>
      </c>
      <c r="F121" t="s">
        <v>8063</v>
      </c>
      <c r="G121" t="s">
        <v>8057</v>
      </c>
      <c r="H121" t="s">
        <v>8079</v>
      </c>
    </row>
    <row r="122" spans="1:8" x14ac:dyDescent="0.25">
      <c r="A122" t="s">
        <v>3821</v>
      </c>
      <c r="B122" t="s">
        <v>3759</v>
      </c>
      <c r="C122" t="s">
        <v>3750</v>
      </c>
      <c r="D122" t="s">
        <v>8056</v>
      </c>
      <c r="E122" t="s">
        <v>3820</v>
      </c>
      <c r="G122" t="s">
        <v>8057</v>
      </c>
      <c r="H122" t="s">
        <v>8079</v>
      </c>
    </row>
    <row r="123" spans="1:8" x14ac:dyDescent="0.25">
      <c r="A123" t="s">
        <v>3878</v>
      </c>
      <c r="B123" t="s">
        <v>3759</v>
      </c>
      <c r="C123" t="s">
        <v>3798</v>
      </c>
      <c r="D123" t="s">
        <v>8056</v>
      </c>
      <c r="E123" t="s">
        <v>3877</v>
      </c>
      <c r="G123" t="s">
        <v>8057</v>
      </c>
      <c r="H123" t="s">
        <v>8079</v>
      </c>
    </row>
    <row r="124" spans="1:8" x14ac:dyDescent="0.25">
      <c r="A124" t="s">
        <v>3772</v>
      </c>
      <c r="B124" t="s">
        <v>3759</v>
      </c>
      <c r="C124" t="s">
        <v>3750</v>
      </c>
      <c r="D124" t="s">
        <v>8056</v>
      </c>
      <c r="E124" t="s">
        <v>3771</v>
      </c>
      <c r="G124" t="s">
        <v>8057</v>
      </c>
      <c r="H124" t="s">
        <v>8079</v>
      </c>
    </row>
    <row r="125" spans="1:8" x14ac:dyDescent="0.25">
      <c r="A125" t="s">
        <v>3924</v>
      </c>
      <c r="B125" t="s">
        <v>3759</v>
      </c>
      <c r="C125" t="s">
        <v>3750</v>
      </c>
      <c r="D125" t="s">
        <v>8058</v>
      </c>
      <c r="E125" t="s">
        <v>3923</v>
      </c>
      <c r="G125" t="s">
        <v>8057</v>
      </c>
      <c r="H125" t="s">
        <v>8079</v>
      </c>
    </row>
    <row r="126" spans="1:8" x14ac:dyDescent="0.25">
      <c r="A126" t="s">
        <v>8093</v>
      </c>
      <c r="D126" t="s">
        <v>8066</v>
      </c>
      <c r="E126" t="s">
        <v>3475</v>
      </c>
      <c r="G126" t="s">
        <v>8057</v>
      </c>
      <c r="H126" t="s">
        <v>8080</v>
      </c>
    </row>
    <row r="127" spans="1:8" x14ac:dyDescent="0.25">
      <c r="A127" t="s">
        <v>3858</v>
      </c>
      <c r="B127" t="s">
        <v>3759</v>
      </c>
      <c r="C127" t="s">
        <v>3784</v>
      </c>
      <c r="D127" t="s">
        <v>8056</v>
      </c>
      <c r="E127" t="s">
        <v>3857</v>
      </c>
      <c r="G127" t="s">
        <v>8057</v>
      </c>
      <c r="H127" t="s">
        <v>8079</v>
      </c>
    </row>
    <row r="128" spans="1:8" x14ac:dyDescent="0.25">
      <c r="A128" t="s">
        <v>8103</v>
      </c>
      <c r="B128" t="s">
        <v>3840</v>
      </c>
      <c r="C128" t="s">
        <v>3798</v>
      </c>
      <c r="D128" t="s">
        <v>8058</v>
      </c>
      <c r="E128" t="s">
        <v>3936</v>
      </c>
      <c r="G128" t="s">
        <v>8057</v>
      </c>
      <c r="H128" t="s">
        <v>8080</v>
      </c>
    </row>
    <row r="129" spans="1:8" x14ac:dyDescent="0.25">
      <c r="A129" t="s">
        <v>7997</v>
      </c>
      <c r="B129" t="s">
        <v>3846</v>
      </c>
      <c r="C129" t="s">
        <v>3784</v>
      </c>
      <c r="D129" t="s">
        <v>8056</v>
      </c>
      <c r="E129" t="s">
        <v>7996</v>
      </c>
      <c r="G129" t="s">
        <v>8057</v>
      </c>
      <c r="H129" t="s">
        <v>8079</v>
      </c>
    </row>
    <row r="130" spans="1:8" x14ac:dyDescent="0.25">
      <c r="A130" t="s">
        <v>3896</v>
      </c>
      <c r="B130" t="s">
        <v>3846</v>
      </c>
      <c r="C130" t="s">
        <v>3750</v>
      </c>
      <c r="D130" t="s">
        <v>8058</v>
      </c>
      <c r="E130" t="s">
        <v>3895</v>
      </c>
      <c r="G130" t="s">
        <v>8057</v>
      </c>
      <c r="H130" t="s">
        <v>8079</v>
      </c>
    </row>
    <row r="131" spans="1:8" x14ac:dyDescent="0.25">
      <c r="A131" t="s">
        <v>3847</v>
      </c>
      <c r="B131" t="s">
        <v>3846</v>
      </c>
      <c r="C131" t="s">
        <v>3798</v>
      </c>
      <c r="D131" t="s">
        <v>8056</v>
      </c>
      <c r="E131" t="s">
        <v>3845</v>
      </c>
      <c r="G131" t="s">
        <v>8057</v>
      </c>
      <c r="H131" t="s">
        <v>8079</v>
      </c>
    </row>
    <row r="132" spans="1:8" x14ac:dyDescent="0.25">
      <c r="A132" t="s">
        <v>4258</v>
      </c>
      <c r="D132" t="s">
        <v>8067</v>
      </c>
      <c r="E132" t="s">
        <v>4257</v>
      </c>
      <c r="G132" t="s">
        <v>8057</v>
      </c>
      <c r="H132" t="s">
        <v>8080</v>
      </c>
    </row>
    <row r="133" spans="1:8" x14ac:dyDescent="0.25">
      <c r="A133" t="s">
        <v>4262</v>
      </c>
      <c r="D133" t="s">
        <v>8067</v>
      </c>
      <c r="E133" t="s">
        <v>4261</v>
      </c>
      <c r="G133" t="s">
        <v>8057</v>
      </c>
      <c r="H133" t="s">
        <v>8080</v>
      </c>
    </row>
    <row r="134" spans="1:8" x14ac:dyDescent="0.25">
      <c r="A134" t="s">
        <v>8110</v>
      </c>
      <c r="B134" t="s">
        <v>3840</v>
      </c>
      <c r="C134" t="s">
        <v>3784</v>
      </c>
      <c r="D134" t="s">
        <v>8056</v>
      </c>
      <c r="E134" t="s">
        <v>3839</v>
      </c>
      <c r="G134" t="s">
        <v>8057</v>
      </c>
      <c r="H134" t="s">
        <v>8080</v>
      </c>
    </row>
    <row r="135" spans="1:8" x14ac:dyDescent="0.25">
      <c r="A135" t="s">
        <v>4264</v>
      </c>
      <c r="D135" t="s">
        <v>8067</v>
      </c>
      <c r="E135" t="s">
        <v>4263</v>
      </c>
      <c r="G135" t="s">
        <v>8057</v>
      </c>
      <c r="H135" t="s">
        <v>8080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889</v>
      </c>
      <c r="C5" s="17" t="s">
        <v>4323</v>
      </c>
      <c r="E5" t="s">
        <v>4324</v>
      </c>
      <c r="F5">
        <f>COUNTIF('Map Calc'!$D$2:$D$950,0)</f>
        <v>81</v>
      </c>
      <c r="G5">
        <f>COUNTIFS('Map Calc'!$D$2:$D$950,0,'Map Calc'!$P$2:$P$950,"Yes")</f>
        <v>48</v>
      </c>
      <c r="I5" t="s">
        <v>176</v>
      </c>
      <c r="J5">
        <f>COUNTIF(games!$C$2:$C$950,$I5)</f>
        <v>383</v>
      </c>
      <c r="K5">
        <f>COUNTIFS(games!$C$2:$C$950,$I5,games!$H$2:$H$950,"Yes")</f>
        <v>242</v>
      </c>
      <c r="L5" s="18">
        <f>IF($J5=0,0,$K5/$J5)</f>
        <v>0.63185378590078334</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532</v>
      </c>
      <c r="C6" s="17" t="s">
        <v>4326</v>
      </c>
      <c r="E6" t="s">
        <v>4327</v>
      </c>
      <c r="F6">
        <f>COUNTIF('Map Calc'!$D$2:$D$950,1)</f>
        <v>345</v>
      </c>
      <c r="G6">
        <f>COUNTIFS('Map Calc'!$D$2:$D$950,1,'Map Calc'!$P$2:$P$950,"Yes")</f>
        <v>203</v>
      </c>
      <c r="I6" t="s">
        <v>222</v>
      </c>
      <c r="J6">
        <f>COUNTIF(games!$C$2:$C$950,$I6)</f>
        <v>155</v>
      </c>
      <c r="K6">
        <f>COUNTIFS(games!$C$2:$C$950,$I6,games!$H$2:$H$950,"Yes")</f>
        <v>93</v>
      </c>
      <c r="L6" s="18">
        <f>IF($J6=0,0,$K6/$J6)</f>
        <v>0.6</v>
      </c>
      <c r="N6">
        <v>2</v>
      </c>
      <c r="O6" t="str">
        <f>IFERROR(INDEX('Map Calc'!$A$2:$A$950,MATCH(LARGE('Map Calc'!$O$2:$O$950,2),'Map Calc'!$O$2:$O$950,0)),"")</f>
        <v>Vampire Survivors</v>
      </c>
      <c r="P6">
        <f>IFERROR(INDEX('Map Calc'!$D$2:$D$950,MATCH(LARGE('Map Calc'!$O$2:$O$950,2),'Map Calc'!$O$2:$O$950,0)),"")</f>
        <v>93</v>
      </c>
      <c r="R6">
        <v>2</v>
      </c>
      <c r="S6" t="str">
        <f>IFERROR(INDEX('Map Calc'!$A$2:$A$950,MATCH(LARGE('Map Calc'!$Q$2:$Q$950,2),'Map Calc'!$Q$2:$Q$950,0)),"")</f>
        <v>Vampire Survivors</v>
      </c>
      <c r="T6">
        <f>IFERROR(INDEX('Map Calc'!$D$2:$D$950,MATCH(LARGE('Map Calc'!$Q$2:$Q$950,2),'Map Calc'!$Q$2:$Q$950,0)),"")</f>
        <v>93</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0.59842519685039375</v>
      </c>
      <c r="C7" s="17" t="s">
        <v>4329</v>
      </c>
      <c r="E7" t="s">
        <v>4330</v>
      </c>
      <c r="F7">
        <f>COUNTIF('Map Calc'!$D$2:$D$950,2)</f>
        <v>215</v>
      </c>
      <c r="G7">
        <f>COUNTIFS('Map Calc'!$D$2:$D$950,2,'Map Calc'!$P$2:$P$950,"Yes")</f>
        <v>118</v>
      </c>
      <c r="I7" t="s">
        <v>182</v>
      </c>
      <c r="J7">
        <f>COUNTIF(games!$C$2:$C$950,$I7)</f>
        <v>185</v>
      </c>
      <c r="K7">
        <f>COUNTIFS(games!$C$2:$C$950,$I7,games!$H$2:$H$950,"Yes")</f>
        <v>92</v>
      </c>
      <c r="L7" s="18">
        <f>IF($J7=0,0,$K7/$J7)</f>
        <v>0.49729729729729732</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1303</v>
      </c>
      <c r="C8" s="17" t="s">
        <v>4331</v>
      </c>
      <c r="E8" t="s">
        <v>4332</v>
      </c>
      <c r="F8">
        <f>COUNTIF('Map Calc'!$D$2:$D$950,3)</f>
        <v>109</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2.9313835770528684</v>
      </c>
      <c r="C9" s="17" t="s">
        <v>4334</v>
      </c>
      <c r="E9" t="s">
        <v>4335</v>
      </c>
      <c r="F9">
        <f>COUNTIF('Map Calc'!$D$2:$D$950,4)</f>
        <v>52</v>
      </c>
      <c r="G9">
        <f>COUNTIFS('Map Calc'!$D$2:$D$950,4,'Map Calc'!$P$2:$P$950,"Yes")</f>
        <v>29</v>
      </c>
      <c r="I9" s="21" t="s">
        <v>39</v>
      </c>
      <c r="J9" s="21">
        <f>SUM(J5:J8)</f>
        <v>889</v>
      </c>
      <c r="K9" s="21">
        <f>SUM(K5:K8)</f>
        <v>532</v>
      </c>
      <c r="L9" s="22">
        <f>IF($J9=0,0,$K9/$J9)</f>
        <v>0.59842519685039375</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3.6390977443609023</v>
      </c>
      <c r="C10" s="17" t="s">
        <v>4337</v>
      </c>
      <c r="E10" t="s">
        <v>4338</v>
      </c>
      <c r="F10">
        <f>COUNTIF('Map Calc'!$D$2:$D$950,5)</f>
        <v>23</v>
      </c>
      <c r="G10">
        <f>COUNTIFS('Map Calc'!$D$2:$D$950,5,'Map Calc'!$P$2:$P$950,"Yes")</f>
        <v>10</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130</v>
      </c>
    </row>
    <row r="11" spans="1:28" x14ac:dyDescent="0.25">
      <c r="A11" s="15" t="s">
        <v>4339</v>
      </c>
      <c r="B11" s="16">
        <f>MEDIAN('Map Calc'!$D$2:$D$950)</f>
        <v>2</v>
      </c>
      <c r="C11" s="17" t="s">
        <v>4340</v>
      </c>
      <c r="E11" t="s">
        <v>4341</v>
      </c>
      <c r="F11">
        <f>COUNTIFS('Map Calc'!$D$2:$D$950,"&gt;=6",'Map Calc'!$D$2:$D$950,"&lt;=9")</f>
        <v>33</v>
      </c>
      <c r="G11">
        <f>COUNTIFS('Map Calc'!$D$2:$D$950,"&gt;=6",'Map Calc'!$D$2:$D$950,"&lt;=9",'Map Calc'!$P$2:$P$950,"Yes")</f>
        <v>26</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345</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81</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281</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251</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92</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1158</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167</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74</v>
      </c>
      <c r="Y50">
        <f>COUNTIF('Map Calc'!$T$2:$T$1400,$V50)</f>
        <v>93</v>
      </c>
    </row>
    <row r="51" spans="22:25" x14ac:dyDescent="0.25">
      <c r="V51">
        <v>2024</v>
      </c>
      <c r="W51">
        <f>COUNTIF(games!$B$2:$B$950,$V51)</f>
        <v>99</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106</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
      </c>
      <c r="Q53" t="str">
        <f t="shared" si="11"/>
        <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
      </c>
      <c r="Q65" t="str">
        <f t="shared" si="11"/>
        <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t="str">
        <f>IF(connections!$A287="","",IFERROR(INDEX(games!$B$2:$B$950,MATCH(connections!$B287,games!$A$2:$A$950,0)),""))</f>
        <v/>
      </c>
      <c r="V287" t="str">
        <f t="shared" si="64"/>
        <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
      </c>
      <c r="Q346" t="str">
        <f t="shared" si="76"/>
        <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0</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7.27E-4</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
      </c>
      <c r="Q740" t="str">
        <f t="shared" si="154"/>
        <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Nightmare of Druaga</v>
      </c>
      <c r="B783">
        <f>IF($A783="","",games!$B783)</f>
        <v>2004</v>
      </c>
      <c r="C783" t="str">
        <f>IF($A783="","",games!$C783)</f>
        <v>Traditional</v>
      </c>
      <c r="D783">
        <f>IF($A783="","",COUNTIF(connections!$A$2:$A$1401,$A783)+COUNTIF(connections!$B$2:$B$1401,$A783))</f>
        <v>1</v>
      </c>
      <c r="E783">
        <f t="shared" si="156"/>
        <v>4</v>
      </c>
      <c r="F783">
        <f t="shared" si="157"/>
        <v>1</v>
      </c>
      <c r="G783" t="e">
        <f t="shared" si="158"/>
        <v>#N/A</v>
      </c>
      <c r="H783" t="e">
        <f t="shared" si="159"/>
        <v>#N/A</v>
      </c>
      <c r="I783" t="e">
        <f t="shared" si="160"/>
        <v>#N/A</v>
      </c>
      <c r="J783" t="e">
        <f t="shared" si="161"/>
        <v>#N/A</v>
      </c>
      <c r="K783" t="e">
        <f t="shared" si="162"/>
        <v>#N/A</v>
      </c>
      <c r="L783" t="e">
        <f t="shared" si="163"/>
        <v>#N/A</v>
      </c>
      <c r="M783">
        <f t="shared" si="164"/>
        <v>2004</v>
      </c>
      <c r="N783">
        <f t="shared" si="165"/>
        <v>4.0229999999999997</v>
      </c>
      <c r="O783">
        <f t="shared" si="166"/>
        <v>1.000783</v>
      </c>
      <c r="P783" t="str">
        <f>IF(OR($A783="",games!$H783=""),"",games!$H783)</f>
        <v>Yes</v>
      </c>
      <c r="Q783">
        <f t="shared" si="167"/>
        <v>1.000783</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Ouroboros King</v>
      </c>
      <c r="B784">
        <f>IF($A784="","",games!$B784)</f>
        <v>2023</v>
      </c>
      <c r="C784" t="str">
        <f>IF($A784="","",games!$C784)</f>
        <v>Strategy</v>
      </c>
      <c r="D784">
        <f>IF($A784="","",COUNTIF(connections!$A$2:$A$1401,$A784)+COUNTIF(connections!$B$2:$B$1401,$A784))</f>
        <v>4</v>
      </c>
      <c r="E784">
        <f t="shared" si="156"/>
        <v>2</v>
      </c>
      <c r="F784">
        <f t="shared" si="157"/>
        <v>2</v>
      </c>
      <c r="G784" t="e">
        <f t="shared" si="158"/>
        <v>#N/A</v>
      </c>
      <c r="H784" t="e">
        <f t="shared" si="159"/>
        <v>#N/A</v>
      </c>
      <c r="I784">
        <f t="shared" si="160"/>
        <v>2023</v>
      </c>
      <c r="J784">
        <f t="shared" si="161"/>
        <v>2.0459999999999998</v>
      </c>
      <c r="K784" t="e">
        <f t="shared" si="162"/>
        <v>#N/A</v>
      </c>
      <c r="L784" t="e">
        <f t="shared" si="163"/>
        <v>#N/A</v>
      </c>
      <c r="M784" t="e">
        <f t="shared" si="164"/>
        <v>#N/A</v>
      </c>
      <c r="N784" t="e">
        <f t="shared" si="165"/>
        <v>#N/A</v>
      </c>
      <c r="O784">
        <f t="shared" si="166"/>
        <v>4.0007840000000003</v>
      </c>
      <c r="P784" t="str">
        <f>IF(OR($A784="",games!$H784=""),"",games!$H784)</f>
        <v>Yes</v>
      </c>
      <c r="Q784">
        <f t="shared" si="167"/>
        <v>4.0007840000000003</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Rogue Prince of Persia</v>
      </c>
      <c r="B785">
        <f>IF($A785="","",games!$B785)</f>
        <v>2024</v>
      </c>
      <c r="C785" t="str">
        <f>IF($A785="","",games!$C785)</f>
        <v>Action</v>
      </c>
      <c r="D785">
        <f>IF($A785="","",COUNTIF(connections!$A$2:$A$1401,$A785)+COUNTIF(connections!$B$2:$B$1401,$A785))</f>
        <v>1</v>
      </c>
      <c r="E785">
        <f t="shared" si="156"/>
        <v>1</v>
      </c>
      <c r="F785">
        <f t="shared" si="157"/>
        <v>3</v>
      </c>
      <c r="G785">
        <f t="shared" si="158"/>
        <v>2024</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Royal Writ</v>
      </c>
      <c r="B786">
        <f>IF($A786="","",games!$B786)</f>
        <v>2025</v>
      </c>
      <c r="C786" t="str">
        <f>IF($A786="","",games!$C786)</f>
        <v>Deckbuilder</v>
      </c>
      <c r="D786">
        <f>IF($A786="","",COUNTIF(connections!$A$2:$A$1401,$A786)+COUNTIF(connections!$B$2:$B$1401,$A786))</f>
        <v>5</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5.0007859999999997</v>
      </c>
      <c r="P786" t="str">
        <f>IF(OR($A786="",games!$H786=""),"",games!$H786)</f>
        <v/>
      </c>
      <c r="Q786" t="str">
        <f t="shared" si="167"/>
        <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Spell Brigade</v>
      </c>
      <c r="B787">
        <f>IF($A787="","",games!$B787)</f>
        <v>2024</v>
      </c>
      <c r="C787" t="str">
        <f>IF($A787="","",games!$C787)</f>
        <v>Action</v>
      </c>
      <c r="D787">
        <f>IF($A787="","",COUNTIF(connections!$A$2:$A$1401,$A787)+COUNTIF(connections!$B$2:$B$1401,$A787))</f>
        <v>3</v>
      </c>
      <c r="E787">
        <f t="shared" si="156"/>
        <v>1</v>
      </c>
      <c r="F787">
        <f t="shared" si="157"/>
        <v>5</v>
      </c>
      <c r="G787">
        <f t="shared" si="158"/>
        <v>2024</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
      </c>
      <c r="Q787" t="str">
        <f t="shared" si="167"/>
        <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Spirit Lift</v>
      </c>
      <c r="B788">
        <f>IF($A788="","",games!$B788)</f>
        <v>2026</v>
      </c>
      <c r="C788" t="str">
        <f>IF($A788="","",games!$C788)</f>
        <v>Deckbuilder</v>
      </c>
      <c r="D788">
        <f>IF($A788="","",COUNTIF(connections!$A$2:$A$1401,$A788)+COUNTIF(connections!$B$2:$B$1401,$A788))</f>
        <v>2</v>
      </c>
      <c r="E788">
        <f t="shared" si="156"/>
        <v>3</v>
      </c>
      <c r="F788">
        <f t="shared" si="157"/>
        <v>6</v>
      </c>
      <c r="G788" t="e">
        <f t="shared" si="158"/>
        <v>#N/A</v>
      </c>
      <c r="H788" t="e">
        <f t="shared" si="159"/>
        <v>#N/A</v>
      </c>
      <c r="I788" t="e">
        <f t="shared" si="160"/>
        <v>#N/A</v>
      </c>
      <c r="J788" t="e">
        <f t="shared" si="161"/>
        <v>#N/A</v>
      </c>
      <c r="K788">
        <f t="shared" si="162"/>
        <v>2026</v>
      </c>
      <c r="L788">
        <f t="shared" si="163"/>
        <v>3.1379999999999999</v>
      </c>
      <c r="M788" t="e">
        <f t="shared" si="164"/>
        <v>#N/A</v>
      </c>
      <c r="N788" t="e">
        <f t="shared" si="165"/>
        <v>#N/A</v>
      </c>
      <c r="O788">
        <f t="shared" si="166"/>
        <v>2.000788</v>
      </c>
      <c r="P788" t="str">
        <f>IF(OR($A788="",games!$H788=""),"",games!$H788)</f>
        <v>Yes</v>
      </c>
      <c r="Q788">
        <f t="shared" si="167"/>
        <v>2.000788</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Unliving</v>
      </c>
      <c r="B789">
        <f>IF($A789="","",games!$B789)</f>
        <v>2022</v>
      </c>
      <c r="C789" t="str">
        <f>IF($A789="","",games!$C789)</f>
        <v>Action</v>
      </c>
      <c r="D789">
        <f>IF($A789="","",COUNTIF(connections!$A$2:$A$1401,$A789)+COUNTIF(connections!$B$2:$B$1401,$A789))</f>
        <v>3</v>
      </c>
      <c r="E789">
        <f t="shared" si="156"/>
        <v>1</v>
      </c>
      <c r="F789">
        <f t="shared" si="157"/>
        <v>7</v>
      </c>
      <c r="G789">
        <f t="shared" si="158"/>
        <v>2022</v>
      </c>
      <c r="H789">
        <f t="shared" si="159"/>
        <v>1.161</v>
      </c>
      <c r="I789" t="e">
        <f t="shared" si="160"/>
        <v>#N/A</v>
      </c>
      <c r="J789" t="e">
        <f t="shared" si="161"/>
        <v>#N/A</v>
      </c>
      <c r="K789" t="e">
        <f t="shared" si="162"/>
        <v>#N/A</v>
      </c>
      <c r="L789" t="e">
        <f t="shared" si="163"/>
        <v>#N/A</v>
      </c>
      <c r="M789" t="e">
        <f t="shared" si="164"/>
        <v>#N/A</v>
      </c>
      <c r="N789" t="e">
        <f t="shared" si="165"/>
        <v>#N/A</v>
      </c>
      <c r="O789">
        <f t="shared" si="166"/>
        <v>3.0007890000000002</v>
      </c>
      <c r="P789" t="str">
        <f>IF(OR($A789="",games!$H789=""),"",games!$H789)</f>
        <v>Yes</v>
      </c>
      <c r="Q789">
        <f t="shared" si="167"/>
        <v>3.0007890000000002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Void Rains Upon Her Heart</v>
      </c>
      <c r="B790">
        <f>IF($A790="","",games!$B790)</f>
        <v>2018</v>
      </c>
      <c r="C790" t="str">
        <f>IF($A790="","",games!$C790)</f>
        <v>Action</v>
      </c>
      <c r="D790">
        <f>IF($A790="","",COUNTIF(connections!$A$2:$A$1401,$A790)+COUNTIF(connections!$B$2:$B$1401,$A790))</f>
        <v>1</v>
      </c>
      <c r="E790">
        <f t="shared" si="156"/>
        <v>1</v>
      </c>
      <c r="F790">
        <f t="shared" si="157"/>
        <v>8</v>
      </c>
      <c r="G790">
        <f t="shared" si="158"/>
        <v>2018</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World is Your Weapon</v>
      </c>
      <c r="B791">
        <f>IF($A791="","",games!$B791)</f>
        <v>2014</v>
      </c>
      <c r="C791" t="str">
        <f>IF($A791="","",games!$C791)</f>
        <v>Traditional</v>
      </c>
      <c r="D791">
        <f>IF($A791="","",COUNTIF(connections!$A$2:$A$1401,$A791)+COUNTIF(connections!$B$2:$B$1401,$A791))</f>
        <v>1</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2014</v>
      </c>
      <c r="N791">
        <f t="shared" si="165"/>
        <v>4.2069999999999999</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There Are No Orcs</v>
      </c>
      <c r="B792">
        <f>IF($A792="","",games!$B792)</f>
        <v>2025</v>
      </c>
      <c r="C792" t="str">
        <f>IF($A792="","",games!$C792)</f>
        <v>Strategy</v>
      </c>
      <c r="D792">
        <f>IF($A792="","",COUNTIF(connections!$A$2:$A$1401,$A792)+COUNTIF(connections!$B$2:$B$1401,$A792))</f>
        <v>0</v>
      </c>
      <c r="E792">
        <f t="shared" si="156"/>
        <v>2</v>
      </c>
      <c r="F792">
        <f t="shared" si="157"/>
        <v>10</v>
      </c>
      <c r="G792" t="e">
        <f t="shared" si="158"/>
        <v>#N/A</v>
      </c>
      <c r="H792" t="e">
        <f t="shared" si="159"/>
        <v>#N/A</v>
      </c>
      <c r="I792">
        <f t="shared" si="160"/>
        <v>2025</v>
      </c>
      <c r="J792">
        <f t="shared" si="161"/>
        <v>2.23</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Tic Tactic</v>
      </c>
      <c r="B793">
        <f>IF($A793="","",games!$B793)</f>
        <v>2025</v>
      </c>
      <c r="C793" t="str">
        <f>IF($A793="","",games!$C793)</f>
        <v>Deckbuilder</v>
      </c>
      <c r="D793">
        <f>IF($A793="","",COUNTIF(connections!$A$2:$A$1401,$A793)+COUNTIF(connections!$B$2:$B$1401,$A793))</f>
        <v>3</v>
      </c>
      <c r="E793">
        <f t="shared" si="156"/>
        <v>3</v>
      </c>
      <c r="F793">
        <f t="shared" si="157"/>
        <v>11</v>
      </c>
      <c r="G793" t="e">
        <f t="shared" si="158"/>
        <v>#N/A</v>
      </c>
      <c r="H793" t="e">
        <f t="shared" si="159"/>
        <v>#N/A</v>
      </c>
      <c r="I793" t="e">
        <f t="shared" si="160"/>
        <v>#N/A</v>
      </c>
      <c r="J793" t="e">
        <f t="shared" si="161"/>
        <v>#N/A</v>
      </c>
      <c r="K793">
        <f t="shared" si="162"/>
        <v>2025</v>
      </c>
      <c r="L793">
        <f t="shared" si="163"/>
        <v>3.2530000000000001</v>
      </c>
      <c r="M793" t="e">
        <f t="shared" si="164"/>
        <v>#N/A</v>
      </c>
      <c r="N793" t="e">
        <f t="shared" si="165"/>
        <v>#N/A</v>
      </c>
      <c r="O793">
        <f t="shared" si="166"/>
        <v>3.0007929999999998</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Time Survivors</v>
      </c>
      <c r="B794">
        <f>IF($A794="","",games!$B794)</f>
        <v>2023</v>
      </c>
      <c r="C794" t="str">
        <f>IF($A794="","",games!$C794)</f>
        <v>Action</v>
      </c>
      <c r="D794">
        <f>IF($A794="","",COUNTIF(connections!$A$2:$A$1401,$A794)+COUNTIF(connections!$B$2:$B$1401,$A794))</f>
        <v>1</v>
      </c>
      <c r="E794">
        <f t="shared" si="156"/>
        <v>1</v>
      </c>
      <c r="F794">
        <f t="shared" si="157"/>
        <v>12</v>
      </c>
      <c r="G794">
        <f t="shared" si="158"/>
        <v>2023</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Wasters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Tinker Shot</v>
      </c>
      <c r="B796">
        <f>IF($A796="","",games!$B796)</f>
        <v>2026</v>
      </c>
      <c r="C796" t="str">
        <f>IF($A796="","",games!$C796)</f>
        <v>Deckbuilder</v>
      </c>
      <c r="D796">
        <f>IF($A796="","",COUNTIF(connections!$A$2:$A$1401,$A796)+COUNTIF(connections!$B$2:$B$1401,$A796))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Tiny Auto Knights</v>
      </c>
      <c r="B797">
        <f>IF($A797="","",games!$B797)</f>
        <v>2025</v>
      </c>
      <c r="C797" t="str">
        <f>IF($A797="","",games!$C797)</f>
        <v>Deckbuilder</v>
      </c>
      <c r="D797">
        <f>IF($A797="","",COUNTIF(connections!$A$2:$A$1401,$A797)+COUNTIF(connections!$B$2:$B$1401,$A797))</f>
        <v>5</v>
      </c>
      <c r="E797">
        <f t="shared" si="156"/>
        <v>3</v>
      </c>
      <c r="F797">
        <f t="shared" si="157"/>
        <v>15</v>
      </c>
      <c r="G797" t="e">
        <f t="shared" si="158"/>
        <v>#N/A</v>
      </c>
      <c r="H797" t="e">
        <f t="shared" si="159"/>
        <v>#N/A</v>
      </c>
      <c r="I797" t="e">
        <f t="shared" si="160"/>
        <v>#N/A</v>
      </c>
      <c r="J797" t="e">
        <f t="shared" si="161"/>
        <v>#N/A</v>
      </c>
      <c r="K797">
        <f t="shared" si="162"/>
        <v>2025</v>
      </c>
      <c r="L797">
        <f t="shared" si="163"/>
        <v>3.3449999999999998</v>
      </c>
      <c r="M797" t="e">
        <f t="shared" si="164"/>
        <v>#N/A</v>
      </c>
      <c r="N797" t="e">
        <f t="shared" si="165"/>
        <v>#N/A</v>
      </c>
      <c r="O797">
        <f t="shared" si="166"/>
        <v>5.0007970000000004</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Rogues</v>
      </c>
      <c r="B798">
        <f>IF($A798="","",games!$B798)</f>
        <v>2022</v>
      </c>
      <c r="C798" t="str">
        <f>IF($A798="","",games!$C798)</f>
        <v>Action</v>
      </c>
      <c r="D798">
        <f>IF($A798="","",COUNTIF(connections!$A$2:$A$1401,$A798)+COUNTIF(connections!$B$2:$B$1401,$A798))</f>
        <v>6</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6.0007979999999996</v>
      </c>
      <c r="P798" t="str">
        <f>IF(OR($A798="",games!$H798=""),"",games!$H798)</f>
        <v>Yes</v>
      </c>
      <c r="Q798">
        <f t="shared" si="167"/>
        <v>6.0007979999999996</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Tinyfolks</v>
      </c>
      <c r="B799">
        <f>IF($A799="","",games!$B799)</f>
        <v>2022</v>
      </c>
      <c r="C799" t="str">
        <f>IF($A799="","",games!$C799)</f>
        <v>Strategy</v>
      </c>
      <c r="D799">
        <f>IF($A799="","",COUNTIF(connections!$A$2:$A$1401,$A799)+COUNTIF(connections!$B$2:$B$1401,$A799))</f>
        <v>1</v>
      </c>
      <c r="E799">
        <f t="shared" si="156"/>
        <v>2</v>
      </c>
      <c r="F799">
        <f t="shared" si="157"/>
        <v>17</v>
      </c>
      <c r="G799" t="e">
        <f t="shared" si="158"/>
        <v>#N/A</v>
      </c>
      <c r="H799" t="e">
        <f t="shared" si="159"/>
        <v>#N/A</v>
      </c>
      <c r="I799">
        <f t="shared" si="160"/>
        <v>2022</v>
      </c>
      <c r="J799">
        <f t="shared" si="161"/>
        <v>2.391</v>
      </c>
      <c r="K799" t="e">
        <f t="shared" si="162"/>
        <v>#N/A</v>
      </c>
      <c r="L799" t="e">
        <f t="shared" si="163"/>
        <v>#N/A</v>
      </c>
      <c r="M799" t="e">
        <f t="shared" si="164"/>
        <v>#N/A</v>
      </c>
      <c r="N799" t="e">
        <f t="shared" si="165"/>
        <v>#N/A</v>
      </c>
      <c r="O799">
        <f t="shared" si="166"/>
        <v>1.000799</v>
      </c>
      <c r="P799" t="str">
        <f>IF(OR($A799="",games!$H799=""),"",games!$H799)</f>
        <v>Yes</v>
      </c>
      <c r="Q799">
        <f t="shared" si="167"/>
        <v>1.000799</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ToeJam &amp; Earl</v>
      </c>
      <c r="B800">
        <f>IF($A800="","",games!$B800)</f>
        <v>1991</v>
      </c>
      <c r="C800" t="str">
        <f>IF($A800="","",games!$C800)</f>
        <v>Action</v>
      </c>
      <c r="D800">
        <f>IF($A800="","",COUNTIF(connections!$A$2:$A$1401,$A800)+COUNTIF(connections!$B$2:$B$1401,$A800))</f>
        <v>3</v>
      </c>
      <c r="E800">
        <f t="shared" si="156"/>
        <v>1</v>
      </c>
      <c r="F800">
        <f t="shared" si="157"/>
        <v>18</v>
      </c>
      <c r="G800">
        <f t="shared" si="158"/>
        <v>1991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3.0007999999999999</v>
      </c>
      <c r="P800" t="str">
        <f>IF(OR($A800="",games!$H800=""),"",games!$H800)</f>
        <v>Yes</v>
      </c>
      <c r="Q800">
        <f t="shared" si="167"/>
        <v>3.0007999999999999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 Back in the Groove!</v>
      </c>
      <c r="B801">
        <f>IF($A801="","",games!$B801)</f>
        <v>2019</v>
      </c>
      <c r="C801" t="str">
        <f>IF($A801="","",games!$C801)</f>
        <v>Action</v>
      </c>
      <c r="D801">
        <f>IF($A801="","",COUNTIF(connections!$A$2:$A$1401,$A801)+COUNTIF(connections!$B$2:$B$1401,$A801))</f>
        <v>1</v>
      </c>
      <c r="E801">
        <f t="shared" si="156"/>
        <v>1</v>
      </c>
      <c r="F801">
        <f t="shared" si="157"/>
        <v>19</v>
      </c>
      <c r="G801">
        <f t="shared" si="158"/>
        <v>2019</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TombStar</v>
      </c>
      <c r="B802">
        <f>IF($A802="","",games!$B802)</f>
        <v>2022</v>
      </c>
      <c r="C802" t="str">
        <f>IF($A802="","",games!$C802)</f>
        <v>Action</v>
      </c>
      <c r="D802">
        <f>IF($A802="","",COUNTIF(connections!$A$2:$A$1401,$A802)+COUNTIF(connections!$B$2:$B$1401,$A802))</f>
        <v>2</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2.0008020000000002</v>
      </c>
      <c r="P802" t="str">
        <f>IF(OR($A802="",games!$H802=""),"",games!$H802)</f>
        <v>Yes</v>
      </c>
      <c r="Q802">
        <f t="shared" si="167"/>
        <v>2.0008020000000002</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Torneko: The Last Hope</v>
      </c>
      <c r="B803">
        <f>IF($A803="","",games!$B803)</f>
        <v>1999</v>
      </c>
      <c r="C803" t="str">
        <f>IF($A803="","",games!$C803)</f>
        <v>Traditional</v>
      </c>
      <c r="D803">
        <f>IF($A803="","",COUNTIF(connections!$A$2:$A$1401,$A803)+COUNTIF(connections!$B$2:$B$1401,$A803))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1999</v>
      </c>
      <c r="N803">
        <f t="shared" si="165"/>
        <v>4.4829999999999997</v>
      </c>
      <c r="O803">
        <f t="shared" si="166"/>
        <v>3.0008029999999999</v>
      </c>
      <c r="P803" t="str">
        <f>IF(OR($A803="",games!$H803=""),"",games!$H803)</f>
        <v>Yes</v>
      </c>
      <c r="Q803">
        <f t="shared" si="167"/>
        <v>3.0008029999999999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Torneko's Great Adventure 3</v>
      </c>
      <c r="B804">
        <f>IF($A804="","",games!$B804)</f>
        <v>2002</v>
      </c>
      <c r="C804" t="str">
        <f>IF($A804="","",games!$C804)</f>
        <v>Traditional</v>
      </c>
      <c r="D804">
        <f>IF($A804="","",COUNTIF(connections!$A$2:$A$1401,$A804)+COUNTIF(connections!$B$2:$B$1401,$A804))</f>
        <v>1</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2002</v>
      </c>
      <c r="N804">
        <f t="shared" si="165"/>
        <v>4.5060000000000002</v>
      </c>
      <c r="O804">
        <f t="shared" si="166"/>
        <v>1.000804</v>
      </c>
      <c r="P804" t="str">
        <f>IF(OR($A804="",games!$H804=""),"",games!$H804)</f>
        <v>Yes</v>
      </c>
      <c r="Q804">
        <f t="shared" si="167"/>
        <v>1.000804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Mystery Dungeon</v>
      </c>
      <c r="B805">
        <f>IF($A805="","",games!$B805)</f>
        <v>1993</v>
      </c>
      <c r="C805" t="str">
        <f>IF($A805="","",games!$C805)</f>
        <v>Traditional</v>
      </c>
      <c r="D805">
        <f>IF($A805="","",COUNTIF(connections!$A$2:$A$1401,$A805)+COUNTIF(connections!$B$2:$B$1401,$A805))</f>
        <v>27</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1993</v>
      </c>
      <c r="N805">
        <f t="shared" si="165"/>
        <v>4.5289999999999999</v>
      </c>
      <c r="O805">
        <f t="shared" si="166"/>
        <v>27.000805</v>
      </c>
      <c r="P805" t="str">
        <f>IF(OR($A805="",games!$H805=""),"",games!$H805)</f>
        <v>Yes</v>
      </c>
      <c r="Q805">
        <f t="shared" si="167"/>
        <v>27.000805</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Touhou Crawl</v>
      </c>
      <c r="B806">
        <f>IF($A806="","",games!$B806)</f>
        <v>2025</v>
      </c>
      <c r="C806" t="str">
        <f>IF($A806="","",games!$C806)</f>
        <v>Traditional</v>
      </c>
      <c r="D806">
        <f>IF($A806="","",COUNTIF(connections!$A$2:$A$1401,$A806)+COUNTIF(connections!$B$2:$B$1401,$A806))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2025</v>
      </c>
      <c r="N806">
        <f t="shared" si="165"/>
        <v>4.5519999999999996</v>
      </c>
      <c r="O806">
        <f t="shared" si="166"/>
        <v>1.0008060000000001</v>
      </c>
      <c r="P806" t="str">
        <f>IF(OR($A806="",games!$H806=""),"",games!$H806)</f>
        <v>Yes</v>
      </c>
      <c r="Q806">
        <f t="shared" si="167"/>
        <v>1.0008060000000001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Genso Wanderer: Foresight</v>
      </c>
      <c r="B807">
        <f>IF($A807="","",games!$B807)</f>
        <v>2024</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2024</v>
      </c>
      <c r="N807">
        <f t="shared" si="165"/>
        <v>4.5750000000000002</v>
      </c>
      <c r="O807">
        <f t="shared" si="166"/>
        <v>1.000807</v>
      </c>
      <c r="P807" t="str">
        <f>IF(OR($A807="",games!$H807=""),"",games!$H807)</f>
        <v/>
      </c>
      <c r="Q807" t="str">
        <f t="shared" si="167"/>
        <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Lotus Labyrinth R</v>
      </c>
      <c r="B808">
        <f>IF($A808="","",games!$B808)</f>
        <v>2021</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2021</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Lost Branch of Legend</v>
      </c>
      <c r="B809">
        <f>IF($A809="","",games!$B809)</f>
        <v>2022</v>
      </c>
      <c r="C809" t="str">
        <f>IF($A809="","",games!$C809)</f>
        <v>Deckbuilder</v>
      </c>
      <c r="D809">
        <f>IF($A809="","",COUNTIF(connections!$A$2:$A$1401,$A809)+COUNTIF(connections!$B$2:$B$1401,$A809))</f>
        <v>1</v>
      </c>
      <c r="E809">
        <f t="shared" si="156"/>
        <v>3</v>
      </c>
      <c r="F809">
        <f t="shared" si="157"/>
        <v>27</v>
      </c>
      <c r="G809" t="e">
        <f t="shared" si="158"/>
        <v>#N/A</v>
      </c>
      <c r="H809" t="e">
        <f t="shared" si="159"/>
        <v>#N/A</v>
      </c>
      <c r="I809" t="e">
        <f t="shared" si="160"/>
        <v>#N/A</v>
      </c>
      <c r="J809" t="e">
        <f t="shared" si="161"/>
        <v>#N/A</v>
      </c>
      <c r="K809">
        <f t="shared" si="162"/>
        <v>2022</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Tower Dominion</v>
      </c>
      <c r="B810">
        <f>IF($A810="","",games!$B810)</f>
        <v>2025</v>
      </c>
      <c r="C810" t="str">
        <f>IF($A810="","",games!$C810)</f>
        <v>Strategy</v>
      </c>
      <c r="D810">
        <f>IF($A810="","",COUNTIF(connections!$A$2:$A$1401,$A810)+COUNTIF(connections!$B$2:$B$1401,$A810))</f>
        <v>1</v>
      </c>
      <c r="E810">
        <f t="shared" si="156"/>
        <v>2</v>
      </c>
      <c r="F810">
        <f t="shared" si="157"/>
        <v>28</v>
      </c>
      <c r="G810" t="e">
        <f t="shared" si="158"/>
        <v>#N/A</v>
      </c>
      <c r="H810" t="e">
        <f t="shared" si="159"/>
        <v>#N/A</v>
      </c>
      <c r="I810">
        <f t="shared" si="160"/>
        <v>2025</v>
      </c>
      <c r="J810">
        <f t="shared" si="161"/>
        <v>2.6440000000000001</v>
      </c>
      <c r="K810" t="e">
        <f t="shared" si="162"/>
        <v>#N/A</v>
      </c>
      <c r="L810" t="e">
        <f t="shared" si="163"/>
        <v>#N/A</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Escape</v>
      </c>
      <c r="B811">
        <f>IF($A811="","",games!$B811)</f>
        <v>2023</v>
      </c>
      <c r="C811" t="str">
        <f>IF($A811="","",games!$C811)</f>
        <v>Deckbuilder</v>
      </c>
      <c r="D811">
        <f>IF($A811="","",COUNTIF(connections!$A$2:$A$1401,$A811)+COUNTIF(connections!$B$2:$B$1401,$A811))</f>
        <v>2</v>
      </c>
      <c r="E811">
        <f t="shared" si="156"/>
        <v>3</v>
      </c>
      <c r="F811">
        <f t="shared" si="157"/>
        <v>29</v>
      </c>
      <c r="G811" t="e">
        <f t="shared" si="158"/>
        <v>#N/A</v>
      </c>
      <c r="H811" t="e">
        <f t="shared" si="159"/>
        <v>#N/A</v>
      </c>
      <c r="I811" t="e">
        <f t="shared" si="160"/>
        <v>#N/A</v>
      </c>
      <c r="J811" t="e">
        <f t="shared" si="161"/>
        <v>#N/A</v>
      </c>
      <c r="K811">
        <f t="shared" si="162"/>
        <v>2023</v>
      </c>
      <c r="L811">
        <f t="shared" si="163"/>
        <v>3.6669999999999998</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Factory</v>
      </c>
      <c r="B812">
        <f>IF($A812="","",games!$B812)</f>
        <v>2024</v>
      </c>
      <c r="C812" t="str">
        <f>IF($A812="","",games!$C812)</f>
        <v>Strategy</v>
      </c>
      <c r="D812">
        <f>IF($A812="","",COUNTIF(connections!$A$2:$A$1401,$A812)+COUNTIF(connections!$B$2:$B$1401,$A812))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Fortress</v>
      </c>
      <c r="B813">
        <f>IF($A813="","",games!$B813)</f>
        <v>2017</v>
      </c>
      <c r="C813" t="str">
        <f>IF($A813="","",games!$C813)</f>
        <v>Action</v>
      </c>
      <c r="D813">
        <f>IF($A813="","",COUNTIF(connections!$A$2:$A$1401,$A813)+COUNTIF(connections!$B$2:$B$1401,$A813))</f>
        <v>1</v>
      </c>
      <c r="E813">
        <f t="shared" si="156"/>
        <v>1</v>
      </c>
      <c r="F813">
        <f t="shared" si="157"/>
        <v>31</v>
      </c>
      <c r="G813">
        <f t="shared" si="158"/>
        <v>2017</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of Guns</v>
      </c>
      <c r="B814">
        <f>IF($A814="","",games!$B814)</f>
        <v>2014</v>
      </c>
      <c r="C814" t="str">
        <f>IF($A814="","",games!$C814)</f>
        <v>Action</v>
      </c>
      <c r="D814">
        <f>IF($A814="","",COUNTIF(connections!$A$2:$A$1401,$A814)+COUNTIF(connections!$B$2:$B$1401,$A814))</f>
        <v>2</v>
      </c>
      <c r="E814">
        <f t="shared" si="156"/>
        <v>1</v>
      </c>
      <c r="F814">
        <f t="shared" si="157"/>
        <v>32</v>
      </c>
      <c r="G814">
        <f t="shared" si="158"/>
        <v>2014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Tactics: Liberation</v>
      </c>
      <c r="B815">
        <f>IF($A815="","",games!$B815)</f>
        <v>2021</v>
      </c>
      <c r="C815" t="str">
        <f>IF($A815="","",games!$C815)</f>
        <v>Deckbuilder</v>
      </c>
      <c r="D815">
        <f>IF($A815="","",COUNTIF(connections!$A$2:$A$1401,$A815)+COUNTIF(connections!$B$2:$B$1401,$A815))</f>
        <v>3</v>
      </c>
      <c r="E815">
        <f t="shared" si="156"/>
        <v>3</v>
      </c>
      <c r="F815">
        <f t="shared" si="157"/>
        <v>33</v>
      </c>
      <c r="G815" t="e">
        <f t="shared" si="158"/>
        <v>#N/A</v>
      </c>
      <c r="H815" t="e">
        <f t="shared" si="159"/>
        <v>#N/A</v>
      </c>
      <c r="I815" t="e">
        <f t="shared" si="160"/>
        <v>#N/A</v>
      </c>
      <c r="J815" t="e">
        <f t="shared" si="161"/>
        <v>#N/A</v>
      </c>
      <c r="K815">
        <f t="shared" si="162"/>
        <v>2021</v>
      </c>
      <c r="L815">
        <f t="shared" si="163"/>
        <v>3.7589999999999999</v>
      </c>
      <c r="M815" t="e">
        <f t="shared" si="164"/>
        <v>#N/A</v>
      </c>
      <c r="N815" t="e">
        <f t="shared" si="165"/>
        <v>#N/A</v>
      </c>
      <c r="O815">
        <f t="shared" si="166"/>
        <v>3.0008149999999998</v>
      </c>
      <c r="P815" t="str">
        <f>IF(OR($A815="",games!$H815=""),"",games!$H815)</f>
        <v>Yes</v>
      </c>
      <c r="Q815">
        <f t="shared" si="167"/>
        <v>3.0008149999999998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Toy Smash Kaboom!</v>
      </c>
      <c r="B816">
        <f>IF($A816="","",games!$B816)</f>
        <v>2025</v>
      </c>
      <c r="C816" t="str">
        <f>IF($A816="","",games!$C816)</f>
        <v>Deckbuilder</v>
      </c>
      <c r="D816">
        <f>IF($A816="","",COUNTIF(connections!$A$2:$A$1401,$A816)+COUNTIF(connections!$B$2:$B$1401,$A816))</f>
        <v>1</v>
      </c>
      <c r="E816">
        <f t="shared" si="156"/>
        <v>3</v>
      </c>
      <c r="F816">
        <f t="shared" si="157"/>
        <v>0</v>
      </c>
      <c r="G816" t="e">
        <f t="shared" si="158"/>
        <v>#N/A</v>
      </c>
      <c r="H816" t="e">
        <f t="shared" si="159"/>
        <v>#N/A</v>
      </c>
      <c r="I816" t="e">
        <f t="shared" si="160"/>
        <v>#N/A</v>
      </c>
      <c r="J816" t="e">
        <f t="shared" si="161"/>
        <v>#N/A</v>
      </c>
      <c r="K816">
        <f t="shared" si="162"/>
        <v>2025</v>
      </c>
      <c r="L816">
        <f t="shared" si="163"/>
        <v>3</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Trash of the Titans</v>
      </c>
      <c r="B817">
        <f>IF($A817="","",games!$B817)</f>
        <v>2024</v>
      </c>
      <c r="C817" t="str">
        <f>IF($A817="","",games!$C817)</f>
        <v>Strategy</v>
      </c>
      <c r="D817">
        <f>IF($A817="","",COUNTIF(connections!$A$2:$A$1401,$A817)+COUNTIF(connections!$B$2:$B$1401,$A817))</f>
        <v>1</v>
      </c>
      <c r="E817">
        <f t="shared" si="156"/>
        <v>2</v>
      </c>
      <c r="F817">
        <f t="shared" si="157"/>
        <v>1</v>
      </c>
      <c r="G817" t="e">
        <f t="shared" si="158"/>
        <v>#N/A</v>
      </c>
      <c r="H817" t="e">
        <f t="shared" si="159"/>
        <v>#N/A</v>
      </c>
      <c r="I817">
        <f t="shared" si="160"/>
        <v>2024</v>
      </c>
      <c r="J817">
        <f t="shared" si="161"/>
        <v>2.0230000000000001</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Trials of Fire</v>
      </c>
      <c r="B818">
        <f>IF($A818="","",games!$B818)</f>
        <v>2019</v>
      </c>
      <c r="C818" t="str">
        <f>IF($A818="","",games!$C818)</f>
        <v>Deckbuilder</v>
      </c>
      <c r="D818">
        <f>IF($A818="","",COUNTIF(connections!$A$2:$A$1401,$A818)+COUNTIF(connections!$B$2:$B$1401,$A818))</f>
        <v>1</v>
      </c>
      <c r="E818">
        <f t="shared" si="156"/>
        <v>3</v>
      </c>
      <c r="F818">
        <f t="shared" si="157"/>
        <v>2</v>
      </c>
      <c r="G818" t="e">
        <f t="shared" si="158"/>
        <v>#N/A</v>
      </c>
      <c r="H818" t="e">
        <f t="shared" si="159"/>
        <v>#N/A</v>
      </c>
      <c r="I818" t="e">
        <f t="shared" si="160"/>
        <v>#N/A</v>
      </c>
      <c r="J818" t="e">
        <f t="shared" si="161"/>
        <v>#N/A</v>
      </c>
      <c r="K818">
        <f t="shared" si="162"/>
        <v>2019</v>
      </c>
      <c r="L818">
        <f t="shared" si="163"/>
        <v>3.0459999999999998</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TumbleSeed</v>
      </c>
      <c r="B819">
        <f>IF($A819="","",games!$B819)</f>
        <v>2017</v>
      </c>
      <c r="C819" t="str">
        <f>IF($A819="","",games!$C819)</f>
        <v>Action</v>
      </c>
      <c r="D819">
        <f>IF($A819="","",COUNTIF(connections!$A$2:$A$1401,$A819)+COUNTIF(connections!$B$2:$B$1401,$A819))</f>
        <v>3</v>
      </c>
      <c r="E819">
        <f t="shared" si="156"/>
        <v>1</v>
      </c>
      <c r="F819">
        <f t="shared" si="157"/>
        <v>3</v>
      </c>
      <c r="G819">
        <f t="shared" si="158"/>
        <v>2017</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Turnbound</v>
      </c>
      <c r="B820">
        <f>IF($A820="","",games!$B820)</f>
        <v>2026</v>
      </c>
      <c r="C820" t="str">
        <f>IF($A820="","",games!$C820)</f>
        <v>Deckbuilder</v>
      </c>
      <c r="D820">
        <f>IF($A820="","",COUNTIF(connections!$A$2:$A$1401,$A820)+COUNTIF(connections!$B$2:$B$1401,$A820))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Tyrant's Realm</v>
      </c>
      <c r="B821">
        <f>IF($A821="","",games!$B821)</f>
        <v>2025</v>
      </c>
      <c r="C821" t="str">
        <f>IF($A821="","",games!$C821)</f>
        <v>Action</v>
      </c>
      <c r="D821">
        <f>IF($A821="","",COUNTIF(connections!$A$2:$A$1401,$A821)+COUNTIF(connections!$B$2:$B$1401,$A821))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Ultima Ratio Regum</v>
      </c>
      <c r="B822">
        <f>IF($A822="","",games!$B822)</f>
        <v>2012</v>
      </c>
      <c r="C822" t="str">
        <f>IF($A822="","",games!$C822)</f>
        <v>Traditional</v>
      </c>
      <c r="D822">
        <f>IF($A822="","",COUNTIF(connections!$A$2:$A$1401,$A822)+COUNTIF(connections!$B$2:$B$1401,$A822))</f>
        <v>2</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2012</v>
      </c>
      <c r="N822">
        <f t="shared" si="165"/>
        <v>4.1379999999999999</v>
      </c>
      <c r="O822">
        <f t="shared" si="166"/>
        <v>2.0008219999999999</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Ultimate ADOM</v>
      </c>
      <c r="B823">
        <f>IF($A823="","",games!$B823)</f>
        <v>2021</v>
      </c>
      <c r="C823" t="str">
        <f>IF($A823="","",games!$C823)</f>
        <v>Traditional</v>
      </c>
      <c r="D823">
        <f>IF($A823="","",COUNTIF(connections!$A$2:$A$1401,$A823)+COUNTIF(connections!$B$2:$B$1401,$A823))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2021</v>
      </c>
      <c r="N823">
        <f t="shared" si="165"/>
        <v>4.1609999999999996</v>
      </c>
      <c r="O823">
        <f t="shared" si="166"/>
        <v>1.000823</v>
      </c>
      <c r="P823" t="str">
        <f>IF(OR($A823="",games!$H823=""),"",games!$H823)</f>
        <v>Yes</v>
      </c>
      <c r="Q823">
        <f t="shared" si="167"/>
        <v>1.000823</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Ultrapool</v>
      </c>
      <c r="B824">
        <f>IF($A824="","",games!$B824)</f>
        <v>2026</v>
      </c>
      <c r="C824" t="str">
        <f>IF($A824="","",games!$C824)</f>
        <v>Deckbuilder</v>
      </c>
      <c r="D824">
        <f>IF($A824="","",COUNTIF(connections!$A$2:$A$1401,$A824)+COUNTIF(connections!$B$2:$B$1401,$A824))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
      </c>
      <c r="Q824" t="str">
        <f t="shared" si="167"/>
        <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Uma Musume: Pretty Derby</v>
      </c>
      <c r="B825">
        <f>IF($A825="","",games!$B825)</f>
        <v>2021</v>
      </c>
      <c r="C825" t="str">
        <f>IF($A825="","",games!$C825)</f>
        <v>Strategy</v>
      </c>
      <c r="D825">
        <f>IF($A825="","",COUNTIF(connections!$A$2:$A$1401,$A825)+COUNTIF(connections!$B$2:$B$1401,$A825))</f>
        <v>0</v>
      </c>
      <c r="E825">
        <f t="shared" si="156"/>
        <v>2</v>
      </c>
      <c r="F825">
        <f t="shared" si="157"/>
        <v>9</v>
      </c>
      <c r="G825" t="e">
        <f t="shared" si="158"/>
        <v>#N/A</v>
      </c>
      <c r="H825" t="e">
        <f t="shared" si="159"/>
        <v>#N/A</v>
      </c>
      <c r="I825">
        <f t="shared" si="160"/>
        <v>2021</v>
      </c>
      <c r="J825">
        <f t="shared" si="161"/>
        <v>2.2069999999999999</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Underdogs</v>
      </c>
      <c r="B826">
        <f>IF($A826="","",games!$B826)</f>
        <v>2024</v>
      </c>
      <c r="C826" t="str">
        <f>IF($A826="","",games!$C826)</f>
        <v>Action</v>
      </c>
      <c r="D826">
        <f>IF($A826="","",COUNTIF(connections!$A$2:$A$1401,$A826)+COUNTIF(connections!$B$2:$B$1401,$A826))</f>
        <v>0</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
      </c>
      <c r="Q826" t="str">
        <f t="shared" si="167"/>
        <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UnderMine</v>
      </c>
      <c r="B827">
        <f>IF($A827="","",games!$B827)</f>
        <v>2019</v>
      </c>
      <c r="C827" t="str">
        <f>IF($A827="","",games!$C827)</f>
        <v>Action</v>
      </c>
      <c r="D827">
        <f>IF($A827="","",COUNTIF(connections!$A$2:$A$1401,$A827)+COUNTIF(connections!$B$2:$B$1401,$A827))</f>
        <v>5</v>
      </c>
      <c r="E827">
        <f t="shared" si="156"/>
        <v>1</v>
      </c>
      <c r="F827">
        <f t="shared" si="157"/>
        <v>11</v>
      </c>
      <c r="G827">
        <f t="shared" si="158"/>
        <v>2019</v>
      </c>
      <c r="H827">
        <f t="shared" si="159"/>
        <v>1.2530000000000001</v>
      </c>
      <c r="I827" t="e">
        <f t="shared" si="160"/>
        <v>#N/A</v>
      </c>
      <c r="J827" t="e">
        <f t="shared" si="161"/>
        <v>#N/A</v>
      </c>
      <c r="K827" t="e">
        <f t="shared" si="162"/>
        <v>#N/A</v>
      </c>
      <c r="L827" t="e">
        <f t="shared" si="163"/>
        <v>#N/A</v>
      </c>
      <c r="M827" t="e">
        <f t="shared" si="164"/>
        <v>#N/A</v>
      </c>
      <c r="N827" t="e">
        <f t="shared" si="165"/>
        <v>#N/A</v>
      </c>
      <c r="O827">
        <f t="shared" si="166"/>
        <v>5.0008270000000001</v>
      </c>
      <c r="P827" t="str">
        <f>IF(OR($A827="",games!$H827=""),"",games!$H827)</f>
        <v>Yes</v>
      </c>
      <c r="Q827">
        <f t="shared" si="167"/>
        <v>5.0008270000000001</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 2</v>
      </c>
      <c r="B828">
        <f>IF($A828="","",games!$B828)</f>
        <v>2025</v>
      </c>
      <c r="C828" t="str">
        <f>IF($A828="","",games!$C828)</f>
        <v>Action</v>
      </c>
      <c r="D828">
        <f>IF($A828="","",COUNTIF(connections!$A$2:$A$1401,$A828)+COUNTIF(connections!$B$2:$B$1401,$A828))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Unexplored</v>
      </c>
      <c r="B829">
        <f>IF($A829="","",games!$B829)</f>
        <v>2017</v>
      </c>
      <c r="C829" t="str">
        <f>IF($A829="","",games!$C829)</f>
        <v>Action</v>
      </c>
      <c r="D829">
        <f>IF($A829="","",COUNTIF(connections!$A$2:$A$1401,$A829)+COUNTIF(connections!$B$2:$B$1401,$A829))</f>
        <v>3</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3.000829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 2: The Wayfarer's Legacy</v>
      </c>
      <c r="B830">
        <f>IF($A830="","",games!$B830)</f>
        <v>2022</v>
      </c>
      <c r="C830" t="str">
        <f>IF($A830="","",games!$C830)</f>
        <v>Action</v>
      </c>
      <c r="D830">
        <f>IF($A830="","",COUNTIF(connections!$A$2:$A$1401,$A830)+COUNTIF(connections!$B$2:$B$1401,$A830))</f>
        <v>1</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UnReal World</v>
      </c>
      <c r="B831">
        <f>IF($A831="","",games!$B831)</f>
        <v>1992</v>
      </c>
      <c r="C831" t="str">
        <f>IF($A831="","",games!$C831)</f>
        <v>Traditional</v>
      </c>
      <c r="D831">
        <f>IF($A831="","",COUNTIF(connections!$A$2:$A$1401,$A831)+COUNTIF(connections!$B$2:$B$1401,$A831))</f>
        <v>3</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1992</v>
      </c>
      <c r="N831">
        <f t="shared" si="165"/>
        <v>4.3449999999999998</v>
      </c>
      <c r="O831">
        <f t="shared" si="166"/>
        <v>3.0008309999999998</v>
      </c>
      <c r="P831" t="str">
        <f>IF(OR($A831="",games!$H831=""),"",games!$H831)</f>
        <v>Yes</v>
      </c>
      <c r="Q831">
        <f t="shared" si="167"/>
        <v>3.0008309999999998</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Vagante</v>
      </c>
      <c r="B832">
        <f>IF($A832="","",games!$B832)</f>
        <v>2018</v>
      </c>
      <c r="C832" t="str">
        <f>IF($A832="","",games!$C832)</f>
        <v>Action</v>
      </c>
      <c r="D832">
        <f>IF($A832="","",COUNTIF(connections!$A$2:$A$1401,$A832)+COUNTIF(connections!$B$2:$B$1401,$A832))</f>
        <v>2</v>
      </c>
      <c r="E832">
        <f t="shared" si="156"/>
        <v>1</v>
      </c>
      <c r="F832">
        <f t="shared" si="157"/>
        <v>16</v>
      </c>
      <c r="G832">
        <f t="shared" si="158"/>
        <v>2018</v>
      </c>
      <c r="H832">
        <f t="shared" si="159"/>
        <v>1.3679999999999999</v>
      </c>
      <c r="I832" t="e">
        <f t="shared" si="160"/>
        <v>#N/A</v>
      </c>
      <c r="J832" t="e">
        <f t="shared" si="161"/>
        <v>#N/A</v>
      </c>
      <c r="K832" t="e">
        <f t="shared" si="162"/>
        <v>#N/A</v>
      </c>
      <c r="L832" t="e">
        <f t="shared" si="163"/>
        <v>#N/A</v>
      </c>
      <c r="M832" t="e">
        <f t="shared" si="164"/>
        <v>#N/A</v>
      </c>
      <c r="N832" t="e">
        <f t="shared" si="165"/>
        <v>#N/A</v>
      </c>
      <c r="O832">
        <f t="shared" si="166"/>
        <v>2.0008319999999999</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Vampire Crawlers</v>
      </c>
      <c r="B833">
        <f>IF($A833="","",games!$B833)</f>
        <v>2026</v>
      </c>
      <c r="C833" t="str">
        <f>IF($A833="","",games!$C833)</f>
        <v>Deckbuilder</v>
      </c>
      <c r="D833">
        <f>IF($A833="","",COUNTIF(connections!$A$2:$A$1401,$A833)+COUNTIF(connections!$B$2:$B$1401,$A833))</f>
        <v>1</v>
      </c>
      <c r="E833">
        <f t="shared" si="156"/>
        <v>3</v>
      </c>
      <c r="F833">
        <f t="shared" si="157"/>
        <v>17</v>
      </c>
      <c r="G833" t="e">
        <f t="shared" si="158"/>
        <v>#N/A</v>
      </c>
      <c r="H833" t="e">
        <f t="shared" si="159"/>
        <v>#N/A</v>
      </c>
      <c r="I833" t="e">
        <f t="shared" si="160"/>
        <v>#N/A</v>
      </c>
      <c r="J833" t="e">
        <f t="shared" si="161"/>
        <v>#N/A</v>
      </c>
      <c r="K833">
        <f t="shared" si="162"/>
        <v>2026</v>
      </c>
      <c r="L833">
        <f t="shared" si="163"/>
        <v>3.391</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Hunters</v>
      </c>
      <c r="B834">
        <f>IF($A834="","",games!$B834)</f>
        <v>2023</v>
      </c>
      <c r="C834" t="str">
        <f>IF($A834="","",games!$C834)</f>
        <v>Action</v>
      </c>
      <c r="D834">
        <f>IF($A834="","",COUNTIF(connections!$A$2:$A$1401,$A834)+COUNTIF(connections!$B$2:$B$1401,$A834))</f>
        <v>1</v>
      </c>
      <c r="E834">
        <f t="shared" ref="E834:E897" si="169">IF($A834="","",IFERROR(MATCH($C834,$R$2:$R$5,0),0))</f>
        <v>1</v>
      </c>
      <c r="F834">
        <f t="shared" ref="F834:F897" si="170">IF($A834="","",MOD(ROW(),34))</f>
        <v>18</v>
      </c>
      <c r="G834">
        <f t="shared" ref="G834:G897" si="171">IF($A834="",NA(),IF($C834="Action",$B834,NA()))</f>
        <v>2023</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Survivors</v>
      </c>
      <c r="B835">
        <f>IF($A835="","",games!$B835)</f>
        <v>2021</v>
      </c>
      <c r="C835" t="str">
        <f>IF($A835="","",games!$C835)</f>
        <v>Action</v>
      </c>
      <c r="D835">
        <f>IF($A835="","",COUNTIF(connections!$A$2:$A$1401,$A835)+COUNTIF(connections!$B$2:$B$1401,$A835))</f>
        <v>93</v>
      </c>
      <c r="E835">
        <f t="shared" si="169"/>
        <v>1</v>
      </c>
      <c r="F835">
        <f t="shared" si="170"/>
        <v>19</v>
      </c>
      <c r="G835">
        <f t="shared" si="171"/>
        <v>2021</v>
      </c>
      <c r="H835">
        <f t="shared" si="172"/>
        <v>1.4370000000000001</v>
      </c>
      <c r="I835" t="e">
        <f t="shared" si="173"/>
        <v>#N/A</v>
      </c>
      <c r="J835" t="e">
        <f t="shared" si="174"/>
        <v>#N/A</v>
      </c>
      <c r="K835" t="e">
        <f t="shared" si="175"/>
        <v>#N/A</v>
      </c>
      <c r="L835" t="e">
        <f t="shared" si="176"/>
        <v>#N/A</v>
      </c>
      <c r="M835" t="e">
        <f t="shared" si="177"/>
        <v>#N/A</v>
      </c>
      <c r="N835" t="e">
        <f t="shared" si="178"/>
        <v>#N/A</v>
      </c>
      <c r="O835">
        <f t="shared" si="179"/>
        <v>93.000834999999995</v>
      </c>
      <c r="P835" t="str">
        <f>IF(OR($A835="",games!$H835=""),"",games!$H835)</f>
        <v>Yes</v>
      </c>
      <c r="Q835">
        <f t="shared" si="180"/>
        <v>93.000834999999995</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Vault of the Void</v>
      </c>
      <c r="B836">
        <f>IF($A836="","",games!$B836)</f>
        <v>2020</v>
      </c>
      <c r="C836" t="str">
        <f>IF($A836="","",games!$C836)</f>
        <v>Deckbuilder</v>
      </c>
      <c r="D836">
        <f>IF($A836="","",COUNTIF(connections!$A$2:$A$1401,$A836)+COUNTIF(connections!$B$2:$B$1401,$A836))</f>
        <v>1</v>
      </c>
      <c r="E836">
        <f t="shared" si="169"/>
        <v>3</v>
      </c>
      <c r="F836">
        <f t="shared" si="170"/>
        <v>20</v>
      </c>
      <c r="G836" t="e">
        <f t="shared" si="171"/>
        <v>#N/A</v>
      </c>
      <c r="H836" t="e">
        <f t="shared" si="172"/>
        <v>#N/A</v>
      </c>
      <c r="I836" t="e">
        <f t="shared" si="173"/>
        <v>#N/A</v>
      </c>
      <c r="J836" t="e">
        <f t="shared" si="174"/>
        <v>#N/A</v>
      </c>
      <c r="K836">
        <f t="shared" si="175"/>
        <v>2020</v>
      </c>
      <c r="L836">
        <f t="shared" si="176"/>
        <v>3.46</v>
      </c>
      <c r="M836" t="e">
        <f t="shared" si="177"/>
        <v>#N/A</v>
      </c>
      <c r="N836" t="e">
        <f t="shared" si="178"/>
        <v>#N/A</v>
      </c>
      <c r="O836">
        <f t="shared" si="179"/>
        <v>1.0008360000000001</v>
      </c>
      <c r="P836" t="str">
        <f>IF(OR($A836="",games!$H836=""),"",games!$H836)</f>
        <v>Yes</v>
      </c>
      <c r="Q836">
        <f t="shared" si="180"/>
        <v>1.0008360000000001</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Vellum</v>
      </c>
      <c r="B837">
        <f>IF($A837="","",games!$B837)</f>
        <v>2024</v>
      </c>
      <c r="C837" t="str">
        <f>IF($A837="","",games!$C837)</f>
        <v>Action</v>
      </c>
      <c r="D837">
        <f>IF($A837="","",COUNTIF(connections!$A$2:$A$1401,$A837)+COUNTIF(connections!$B$2:$B$1401,$A837))</f>
        <v>6</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6.0008369999999998</v>
      </c>
      <c r="P837" t="str">
        <f>IF(OR($A837="",games!$H837=""),"",games!$H837)</f>
        <v/>
      </c>
      <c r="Q837" t="str">
        <f t="shared" si="180"/>
        <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Vital Shell</v>
      </c>
      <c r="B838">
        <f>IF($A838="","",games!$B838)</f>
        <v>2026</v>
      </c>
      <c r="C838" t="str">
        <f>IF($A838="","",games!$C838)</f>
        <v>Action</v>
      </c>
      <c r="D838">
        <f>IF($A838="","",COUNTIF(connections!$A$2:$A$1401,$A838)+COUNTIF(connections!$B$2:$B$1401,$A838))</f>
        <v>1</v>
      </c>
      <c r="E838">
        <f t="shared" si="169"/>
        <v>1</v>
      </c>
      <c r="F838">
        <f t="shared" si="170"/>
        <v>22</v>
      </c>
      <c r="G838">
        <f t="shared" si="171"/>
        <v>2026</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Vivid Knight</v>
      </c>
      <c r="B839">
        <f>IF($A839="","",games!$B839)</f>
        <v>2021</v>
      </c>
      <c r="C839" t="str">
        <f>IF($A839="","",games!$C839)</f>
        <v>Deckbuilder</v>
      </c>
      <c r="D839">
        <f>IF($A839="","",COUNTIF(connections!$A$2:$A$1401,$A839)+COUNTIF(connections!$B$2:$B$1401,$A839))</f>
        <v>4</v>
      </c>
      <c r="E839">
        <f t="shared" si="169"/>
        <v>3</v>
      </c>
      <c r="F839">
        <f t="shared" si="170"/>
        <v>23</v>
      </c>
      <c r="G839" t="e">
        <f t="shared" si="171"/>
        <v>#N/A</v>
      </c>
      <c r="H839" t="e">
        <f t="shared" si="172"/>
        <v>#N/A</v>
      </c>
      <c r="I839" t="e">
        <f t="shared" si="173"/>
        <v>#N/A</v>
      </c>
      <c r="J839" t="e">
        <f t="shared" si="174"/>
        <v>#N/A</v>
      </c>
      <c r="K839">
        <f t="shared" si="175"/>
        <v>2021</v>
      </c>
      <c r="L839">
        <f t="shared" si="176"/>
        <v>3.5289999999999999</v>
      </c>
      <c r="M839" t="e">
        <f t="shared" si="177"/>
        <v>#N/A</v>
      </c>
      <c r="N839" t="e">
        <f t="shared" si="178"/>
        <v>#N/A</v>
      </c>
      <c r="O839">
        <f t="shared" si="179"/>
        <v>4.000839</v>
      </c>
      <c r="P839" t="str">
        <f>IF(OR($A839="",games!$H839=""),"",games!$H839)</f>
        <v/>
      </c>
      <c r="Q839" t="str">
        <f t="shared" si="180"/>
        <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World</v>
      </c>
      <c r="B840">
        <f>IF($A840="","",games!$B840)</f>
        <v>2025</v>
      </c>
      <c r="C840" t="str">
        <f>IF($A840="","",games!$C840)</f>
        <v>Deckbuilder</v>
      </c>
      <c r="D840">
        <f>IF($A840="","",COUNTIF(connections!$A$2:$A$1401,$A840)+COUNTIF(connections!$B$2:$B$1401,$A840))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Voice of Belldona</v>
      </c>
      <c r="B841">
        <f>IF($A841="","",games!$B841)</f>
        <v>2026</v>
      </c>
      <c r="C841" t="str">
        <f>IF($A841="","",games!$C841)</f>
        <v>Deckbuilder</v>
      </c>
      <c r="D841">
        <f>IF($A841="","",COUNTIF(connections!$A$2:$A$1401,$A841)+COUNTIF(connections!$B$2:$B$1401,$A841))</f>
        <v>2</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2.0008409999999999</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Void Bastards</v>
      </c>
      <c r="B842">
        <f>IF($A842="","",games!$B842)</f>
        <v>2019</v>
      </c>
      <c r="C842" t="str">
        <f>IF($A842="","",games!$C842)</f>
        <v>Action</v>
      </c>
      <c r="D842">
        <f>IF($A842="","",COUNTIF(connections!$A$2:$A$1401,$A842)+COUNTIF(connections!$B$2:$B$1401,$A842))</f>
        <v>2</v>
      </c>
      <c r="E842">
        <f t="shared" si="169"/>
        <v>1</v>
      </c>
      <c r="F842">
        <f t="shared" si="170"/>
        <v>26</v>
      </c>
      <c r="G842">
        <f t="shared" si="171"/>
        <v>2019</v>
      </c>
      <c r="H842">
        <f t="shared" si="172"/>
        <v>1.5979999999999999</v>
      </c>
      <c r="I842" t="e">
        <f t="shared" si="173"/>
        <v>#N/A</v>
      </c>
      <c r="J842" t="e">
        <f t="shared" si="174"/>
        <v>#N/A</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Scrappers</v>
      </c>
      <c r="B843">
        <f>IF($A843="","",games!$B843)</f>
        <v>2022</v>
      </c>
      <c r="C843" t="str">
        <f>IF($A843="","",games!$C843)</f>
        <v>Action</v>
      </c>
      <c r="D843">
        <f>IF($A843="","",COUNTIF(connections!$A$2:$A$1401,$A843)+COUNTIF(connections!$B$2:$B$1401,$A843))</f>
        <v>2</v>
      </c>
      <c r="E843">
        <f t="shared" si="169"/>
        <v>1</v>
      </c>
      <c r="F843">
        <f t="shared" si="170"/>
        <v>27</v>
      </c>
      <c r="G843">
        <f t="shared" si="171"/>
        <v>2022</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War</v>
      </c>
      <c r="B844">
        <f>IF($A844="","",games!$B844)</f>
        <v>2024</v>
      </c>
      <c r="C844" t="str">
        <f>IF($A844="","",games!$C844)</f>
        <v>Strategy</v>
      </c>
      <c r="D844">
        <f>IF($A844="","",COUNTIF(connections!$A$2:$A$1401,$A844)+COUNTIF(connections!$B$2:$B$1401,$A844))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Voidigo</v>
      </c>
      <c r="B845">
        <f>IF($A845="","",games!$B845)</f>
        <v>2023</v>
      </c>
      <c r="C845" t="str">
        <f>IF($A845="","",games!$C845)</f>
        <v>Action</v>
      </c>
      <c r="D845">
        <f>IF($A845="","",COUNTIF(connections!$A$2:$A$1401,$A845)+COUNTIF(connections!$B$2:$B$1401,$A845))</f>
        <v>1</v>
      </c>
      <c r="E845">
        <f t="shared" si="169"/>
        <v>1</v>
      </c>
      <c r="F845">
        <f t="shared" si="170"/>
        <v>29</v>
      </c>
      <c r="G845">
        <f t="shared" si="171"/>
        <v>2023</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Voids Vigil</v>
      </c>
      <c r="B846">
        <f>IF($A846="","",games!$B846)</f>
        <v>2024</v>
      </c>
      <c r="C846" t="str">
        <f>IF($A846="","",games!$C846)</f>
        <v>Action</v>
      </c>
      <c r="D846">
        <f>IF($A846="","",COUNTIF(connections!$A$2:$A$1401,$A846)+COUNTIF(connections!$B$2:$B$1401,$A846))</f>
        <v>2</v>
      </c>
      <c r="E846">
        <f t="shared" si="169"/>
        <v>1</v>
      </c>
      <c r="F846">
        <f t="shared" si="170"/>
        <v>30</v>
      </c>
      <c r="G846">
        <f t="shared" si="171"/>
        <v>2024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
      </c>
      <c r="Q846" t="str">
        <f t="shared" si="180"/>
        <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Voin</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Waku Waku Puyo Puyo Dungeon</v>
      </c>
      <c r="B848">
        <f>IF($A848="","",games!$B848)</f>
        <v>1998</v>
      </c>
      <c r="C848" t="str">
        <f>IF($A848="","",games!$C848)</f>
        <v>Traditional</v>
      </c>
      <c r="D848">
        <f>IF($A848="","",COUNTIF(connections!$A$2:$A$1401,$A848)+COUNTIF(connections!$B$2:$B$1401,$A848))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1998</v>
      </c>
      <c r="N848">
        <f t="shared" si="178"/>
        <v>4.7359999999999998</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Wall World</v>
      </c>
      <c r="B849">
        <f>IF($A849="","",games!$B849)</f>
        <v>2023</v>
      </c>
      <c r="C849" t="str">
        <f>IF($A849="","",games!$C849)</f>
        <v>Strategy</v>
      </c>
      <c r="D849">
        <f>IF($A849="","",COUNTIF(connections!$A$2:$A$1401,$A849)+COUNTIF(connections!$B$2:$B$1401,$A849))</f>
        <v>2</v>
      </c>
      <c r="E849">
        <f t="shared" si="169"/>
        <v>2</v>
      </c>
      <c r="F849">
        <f t="shared" si="170"/>
        <v>33</v>
      </c>
      <c r="G849" t="e">
        <f t="shared" si="171"/>
        <v>#N/A</v>
      </c>
      <c r="H849" t="e">
        <f t="shared" si="172"/>
        <v>#N/A</v>
      </c>
      <c r="I849">
        <f t="shared" si="173"/>
        <v>2023</v>
      </c>
      <c r="J849">
        <f t="shared" si="174"/>
        <v>2.7589999999999999</v>
      </c>
      <c r="K849" t="e">
        <f t="shared" si="175"/>
        <v>#N/A</v>
      </c>
      <c r="L849" t="e">
        <f t="shared" si="176"/>
        <v>#N/A</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 2</v>
      </c>
      <c r="B850">
        <f>IF($A850="","",games!$B850)</f>
        <v>2025</v>
      </c>
      <c r="C850" t="str">
        <f>IF($A850="","",games!$C850)</f>
        <v>Strategy</v>
      </c>
      <c r="D850">
        <f>IF($A850="","",COUNTIF(connections!$A$2:$A$1401,$A850)+COUNTIF(connections!$B$2:$B$1401,$A850))</f>
        <v>1</v>
      </c>
      <c r="E850">
        <f t="shared" si="169"/>
        <v>2</v>
      </c>
      <c r="F850">
        <f t="shared" si="170"/>
        <v>0</v>
      </c>
      <c r="G850" t="e">
        <f t="shared" si="171"/>
        <v>#N/A</v>
      </c>
      <c r="H850" t="e">
        <f t="shared" si="172"/>
        <v>#N/A</v>
      </c>
      <c r="I850">
        <f t="shared" si="173"/>
        <v>2025</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Wanderburg</v>
      </c>
      <c r="B851">
        <f>IF($A851="","",games!$B851)</f>
        <v>2026</v>
      </c>
      <c r="C851" t="str">
        <f>IF($A851="","",games!$C851)</f>
        <v>Action</v>
      </c>
      <c r="D851">
        <f>IF($A851="","",COUNTIF(connections!$A$2:$A$1401,$A851)+COUNTIF(connections!$B$2:$B$1401,$A851))</f>
        <v>2</v>
      </c>
      <c r="E851">
        <f t="shared" si="169"/>
        <v>1</v>
      </c>
      <c r="F851">
        <f t="shared" si="170"/>
        <v>1</v>
      </c>
      <c r="G851">
        <f t="shared" si="171"/>
        <v>2026</v>
      </c>
      <c r="H851">
        <f t="shared" si="172"/>
        <v>1.0229999999999999</v>
      </c>
      <c r="I851" t="e">
        <f t="shared" si="173"/>
        <v>#N/A</v>
      </c>
      <c r="J851" t="e">
        <f t="shared" si="174"/>
        <v>#N/A</v>
      </c>
      <c r="K851" t="e">
        <f t="shared" si="175"/>
        <v>#N/A</v>
      </c>
      <c r="L851" t="e">
        <f t="shared" si="176"/>
        <v>#N/A</v>
      </c>
      <c r="M851" t="e">
        <f t="shared" si="177"/>
        <v>#N/A</v>
      </c>
      <c r="N851" t="e">
        <f t="shared" si="178"/>
        <v>#N/A</v>
      </c>
      <c r="O851">
        <f t="shared" si="179"/>
        <v>2.0008509999999999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Warhammer Survivors</v>
      </c>
      <c r="B852">
        <f>IF($A852="","",games!$B852)</f>
        <v>2026</v>
      </c>
      <c r="C852" t="str">
        <f>IF($A852="","",games!$C852)</f>
        <v>Action</v>
      </c>
      <c r="D852">
        <f>IF($A852="","",COUNTIF(connections!$A$2:$A$1401,$A852)+COUNTIF(connections!$B$2:$B$1401,$A852))</f>
        <v>1</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WarpVector</v>
      </c>
      <c r="B853">
        <f>IF($A853="","",games!$B853)</f>
        <v>2023</v>
      </c>
      <c r="C853" t="str">
        <f>IF($A853="","",games!$C853)</f>
        <v>Traditional</v>
      </c>
      <c r="D853">
        <f>IF($A853="","",COUNTIF(connections!$A$2:$A$1401,$A853)+COUNTIF(connections!$B$2:$B$1401,$A853))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2023</v>
      </c>
      <c r="N853">
        <f t="shared" si="178"/>
        <v>4.069</v>
      </c>
      <c r="O853">
        <f t="shared" si="179"/>
        <v>2.0008530000000002</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Warriors: Abyss</v>
      </c>
      <c r="B854">
        <f>IF($A854="","",games!$B854)</f>
        <v>2025</v>
      </c>
      <c r="C854" t="str">
        <f>IF($A854="","",games!$C854)</f>
        <v>Action</v>
      </c>
      <c r="D854">
        <f>IF($A854="","",COUNTIF(connections!$A$2:$A$1401,$A854)+COUNTIF(connections!$B$2:$B$1401,$A854))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Warsim: The Realm of Aslona</v>
      </c>
      <c r="B855">
        <f>IF($A855="","",games!$B855)</f>
        <v>2017</v>
      </c>
      <c r="C855" t="str">
        <f>IF($A855="","",games!$C855)</f>
        <v>Strategy</v>
      </c>
      <c r="D855">
        <f>IF($A855="","",COUNTIF(connections!$A$2:$A$1401,$A855)+COUNTIF(connections!$B$2:$B$1401,$A855))</f>
        <v>1</v>
      </c>
      <c r="E855">
        <f t="shared" si="169"/>
        <v>2</v>
      </c>
      <c r="F855">
        <f t="shared" si="170"/>
        <v>5</v>
      </c>
      <c r="G855" t="e">
        <f t="shared" si="171"/>
        <v>#N/A</v>
      </c>
      <c r="H855" t="e">
        <f t="shared" si="172"/>
        <v>#N/A</v>
      </c>
      <c r="I855">
        <f t="shared" si="173"/>
        <v>2017</v>
      </c>
      <c r="J855">
        <f t="shared" si="174"/>
        <v>2.1150000000000002</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Wayward</v>
      </c>
      <c r="B856">
        <f>IF($A856="","",games!$B856)</f>
        <v>2011</v>
      </c>
      <c r="C856" t="str">
        <f>IF($A856="","",games!$C856)</f>
        <v>Traditional</v>
      </c>
      <c r="D856">
        <f>IF($A856="","",COUNTIF(connections!$A$2:$A$1401,$A856)+COUNTIF(connections!$B$2:$B$1401,$A856))</f>
        <v>2</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2011</v>
      </c>
      <c r="N856">
        <f t="shared" si="178"/>
        <v>4.1379999999999999</v>
      </c>
      <c r="O856">
        <f t="shared" si="179"/>
        <v>2.0008560000000002</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WazHack</v>
      </c>
      <c r="B857">
        <f>IF($A857="","",games!$B857)</f>
        <v>2012</v>
      </c>
      <c r="C857" t="str">
        <f>IF($A857="","",games!$C857)</f>
        <v>Strategy</v>
      </c>
      <c r="D857">
        <f>IF($A857="","",COUNTIF(connections!$A$2:$A$1401,$A857)+COUNTIF(connections!$B$2:$B$1401,$A857))</f>
        <v>1</v>
      </c>
      <c r="E857">
        <f t="shared" si="169"/>
        <v>2</v>
      </c>
      <c r="F857">
        <f t="shared" si="170"/>
        <v>7</v>
      </c>
      <c r="G857" t="e">
        <f t="shared" si="171"/>
        <v>#N/A</v>
      </c>
      <c r="H857" t="e">
        <f t="shared" si="172"/>
        <v>#N/A</v>
      </c>
      <c r="I857">
        <f t="shared" si="173"/>
        <v>2012</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We Need To Go Deeper</v>
      </c>
      <c r="B858">
        <f>IF($A858="","",games!$B858)</f>
        <v>2017</v>
      </c>
      <c r="C858" t="str">
        <f>IF($A858="","",games!$C858)</f>
        <v>Action</v>
      </c>
      <c r="D858">
        <f>IF($A858="","",COUNTIF(connections!$A$2:$A$1401,$A858)+COUNTIF(connections!$B$2:$B$1401,$A858))</f>
        <v>0</v>
      </c>
      <c r="E858">
        <f t="shared" si="169"/>
        <v>1</v>
      </c>
      <c r="F858">
        <f t="shared" si="170"/>
        <v>8</v>
      </c>
      <c r="G858">
        <f t="shared" si="171"/>
        <v>2017</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Yes</v>
      </c>
      <c r="Q858">
        <f t="shared" si="180"/>
        <v>8.5800000000000004E-4</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Weird Worlds: Return to Infinite Space</v>
      </c>
      <c r="B859">
        <f>IF($A859="","",games!$B859)</f>
        <v>2005</v>
      </c>
      <c r="C859" t="str">
        <f>IF($A859="","",games!$C859)</f>
        <v>Strategy</v>
      </c>
      <c r="D859">
        <f>IF($A859="","",COUNTIF(connections!$A$2:$A$1401,$A859)+COUNTIF(connections!$B$2:$B$1401,$A859))</f>
        <v>2</v>
      </c>
      <c r="E859">
        <f t="shared" si="169"/>
        <v>2</v>
      </c>
      <c r="F859">
        <f t="shared" si="170"/>
        <v>9</v>
      </c>
      <c r="G859" t="e">
        <f t="shared" si="171"/>
        <v>#N/A</v>
      </c>
      <c r="H859" t="e">
        <f t="shared" si="172"/>
        <v>#N/A</v>
      </c>
      <c r="I859">
        <f t="shared" si="173"/>
        <v>2005</v>
      </c>
      <c r="J859">
        <f t="shared" si="174"/>
        <v>2.2069999999999999</v>
      </c>
      <c r="K859" t="e">
        <f t="shared" si="175"/>
        <v>#N/A</v>
      </c>
      <c r="L859" t="e">
        <f t="shared" si="176"/>
        <v>#N/A</v>
      </c>
      <c r="M859" t="e">
        <f t="shared" si="177"/>
        <v>#N/A</v>
      </c>
      <c r="N859" t="e">
        <f t="shared" si="178"/>
        <v>#N/A</v>
      </c>
      <c r="O859">
        <f t="shared" si="179"/>
        <v>2.0008590000000002</v>
      </c>
      <c r="P859" t="str">
        <f>IF(OR($A859="",games!$H859=""),"",games!$H859)</f>
        <v>Yes</v>
      </c>
      <c r="Q859">
        <f t="shared" si="180"/>
        <v>2.0008590000000002</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West of Dead</v>
      </c>
      <c r="B860">
        <f>IF($A860="","",games!$B860)</f>
        <v>2020</v>
      </c>
      <c r="C860" t="str">
        <f>IF($A860="","",games!$C860)</f>
        <v>Action</v>
      </c>
      <c r="D860">
        <f>IF($A860="","",COUNTIF(connections!$A$2:$A$1401,$A860)+COUNTIF(connections!$B$2:$B$1401,$A860))</f>
        <v>1</v>
      </c>
      <c r="E860">
        <f t="shared" si="169"/>
        <v>1</v>
      </c>
      <c r="F860">
        <f t="shared" si="170"/>
        <v>10</v>
      </c>
      <c r="G860">
        <f t="shared" si="171"/>
        <v>2020</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Whisker Squadron: Survivor</v>
      </c>
      <c r="B861">
        <f>IF($A861="","",games!$B861)</f>
        <v>2025</v>
      </c>
      <c r="C861" t="str">
        <f>IF($A861="","",games!$C861)</f>
        <v>Action</v>
      </c>
      <c r="D861">
        <f>IF($A861="","",COUNTIF(connections!$A$2:$A$1401,$A861)+COUNTIF(connections!$B$2:$B$1401,$A861))</f>
        <v>1</v>
      </c>
      <c r="E861">
        <f t="shared" si="169"/>
        <v>1</v>
      </c>
      <c r="F861">
        <f t="shared" si="170"/>
        <v>11</v>
      </c>
      <c r="G861">
        <f t="shared" si="171"/>
        <v>2025</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
      </c>
      <c r="Q861" t="str">
        <f t="shared" si="180"/>
        <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White Knuckle</v>
      </c>
      <c r="B862">
        <f>IF($A862="","",games!$B862)</f>
        <v>2025</v>
      </c>
      <c r="C862" t="str">
        <f>IF($A862="","",games!$C862)</f>
        <v>Action</v>
      </c>
      <c r="D862">
        <f>IF($A862="","",COUNTIF(connections!$A$2:$A$1401,$A862)+COUNTIF(connections!$B$2:$B$1401,$A862))</f>
        <v>0</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8.6200000000000003E-4</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Wild Bastards</v>
      </c>
      <c r="B863">
        <f>IF($A863="","",games!$B863)</f>
        <v>2024</v>
      </c>
      <c r="C863" t="str">
        <f>IF($A863="","",games!$C863)</f>
        <v>Action</v>
      </c>
      <c r="D863">
        <f>IF($A863="","",COUNTIF(connections!$A$2:$A$1401,$A863)+COUNTIF(connections!$B$2:$B$1401,$A863))</f>
        <v>1</v>
      </c>
      <c r="E863">
        <f t="shared" si="169"/>
        <v>1</v>
      </c>
      <c r="F863">
        <f t="shared" si="170"/>
        <v>13</v>
      </c>
      <c r="G863">
        <f t="shared" si="171"/>
        <v>2024</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Wildermyth</v>
      </c>
      <c r="B864">
        <f>IF($A864="","",games!$B864)</f>
        <v>2019</v>
      </c>
      <c r="C864" t="str">
        <f>IF($A864="","",games!$C864)</f>
        <v>Strategy</v>
      </c>
      <c r="D864">
        <f>IF($A864="","",COUNTIF(connections!$A$2:$A$1401,$A864)+COUNTIF(connections!$B$2:$B$1401,$A864))</f>
        <v>0</v>
      </c>
      <c r="E864">
        <f t="shared" si="169"/>
        <v>2</v>
      </c>
      <c r="F864">
        <f t="shared" si="170"/>
        <v>14</v>
      </c>
      <c r="G864" t="e">
        <f t="shared" si="171"/>
        <v>#N/A</v>
      </c>
      <c r="H864" t="e">
        <f t="shared" si="172"/>
        <v>#N/A</v>
      </c>
      <c r="I864">
        <f t="shared" si="173"/>
        <v>2019</v>
      </c>
      <c r="J864">
        <f t="shared" si="174"/>
        <v>2.3220000000000001</v>
      </c>
      <c r="K864" t="e">
        <f t="shared" si="175"/>
        <v>#N/A</v>
      </c>
      <c r="L864" t="e">
        <f t="shared" si="176"/>
        <v>#N/A</v>
      </c>
      <c r="M864" t="e">
        <f t="shared" si="177"/>
        <v>#N/A</v>
      </c>
      <c r="N864" t="e">
        <f t="shared" si="178"/>
        <v>#N/A</v>
      </c>
      <c r="O864">
        <f t="shared" si="179"/>
        <v>8.6399999999999997E-4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Wildfrost</v>
      </c>
      <c r="B865">
        <f>IF($A865="","",games!$B865)</f>
        <v>2023</v>
      </c>
      <c r="C865" t="str">
        <f>IF($A865="","",games!$C865)</f>
        <v>Deckbuilder</v>
      </c>
      <c r="D865">
        <f>IF($A865="","",COUNTIF(connections!$A$2:$A$1401,$A865)+COUNTIF(connections!$B$2:$B$1401,$A865))</f>
        <v>8</v>
      </c>
      <c r="E865">
        <f t="shared" si="169"/>
        <v>3</v>
      </c>
      <c r="F865">
        <f t="shared" si="170"/>
        <v>15</v>
      </c>
      <c r="G865" t="e">
        <f t="shared" si="171"/>
        <v>#N/A</v>
      </c>
      <c r="H865" t="e">
        <f t="shared" si="172"/>
        <v>#N/A</v>
      </c>
      <c r="I865" t="e">
        <f t="shared" si="173"/>
        <v>#N/A</v>
      </c>
      <c r="J865" t="e">
        <f t="shared" si="174"/>
        <v>#N/A</v>
      </c>
      <c r="K865">
        <f t="shared" si="175"/>
        <v>2023</v>
      </c>
      <c r="L865">
        <f t="shared" si="176"/>
        <v>3.3449999999999998</v>
      </c>
      <c r="M865" t="e">
        <f t="shared" si="177"/>
        <v>#N/A</v>
      </c>
      <c r="N865" t="e">
        <f t="shared" si="178"/>
        <v>#N/A</v>
      </c>
      <c r="O865">
        <f t="shared" si="179"/>
        <v>8.0008649999999992</v>
      </c>
      <c r="P865" t="str">
        <f>IF(OR($A865="",games!$H865=""),"",games!$H865)</f>
        <v>Yes</v>
      </c>
      <c r="Q865">
        <f t="shared" si="180"/>
        <v>8.0008649999999992</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Windblown</v>
      </c>
      <c r="B866">
        <f>IF($A866="","",games!$B866)</f>
        <v>2024</v>
      </c>
      <c r="C866" t="str">
        <f>IF($A866="","",games!$C866)</f>
        <v>Action</v>
      </c>
      <c r="D866">
        <f>IF($A866="","",COUNTIF(connections!$A$2:$A$1401,$A866)+COUNTIF(connections!$B$2:$B$1401,$A866))</f>
        <v>1</v>
      </c>
      <c r="E866">
        <f t="shared" si="169"/>
        <v>1</v>
      </c>
      <c r="F866">
        <f t="shared" si="170"/>
        <v>16</v>
      </c>
      <c r="G866">
        <f t="shared" si="171"/>
        <v>2024</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Winnie's Hole</v>
      </c>
      <c r="B867">
        <f>IF($A867="","",games!$B867)</f>
        <v>2026</v>
      </c>
      <c r="C867" t="str">
        <f>IF($A867="","",games!$C867)</f>
        <v>Deckbuilder</v>
      </c>
      <c r="D867">
        <f>IF($A867="","",COUNTIF(connections!$A$2:$A$1401,$A867)+COUNTIF(connections!$B$2:$B$1401,$A867))</f>
        <v>3</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3.000867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Wireworks</v>
      </c>
      <c r="B868">
        <f>IF($A868="","",games!$B868)</f>
        <v>2026</v>
      </c>
      <c r="C868" t="str">
        <f>IF($A868="","",games!$C868)</f>
        <v>Strategy</v>
      </c>
      <c r="D868">
        <f>IF($A868="","",COUNTIF(connections!$A$2:$A$1401,$A868)+COUNTIF(connections!$B$2:$B$1401,$A868))</f>
        <v>0</v>
      </c>
      <c r="E868">
        <f t="shared" si="169"/>
        <v>2</v>
      </c>
      <c r="F868">
        <f t="shared" si="170"/>
        <v>18</v>
      </c>
      <c r="G868" t="e">
        <f t="shared" si="171"/>
        <v>#N/A</v>
      </c>
      <c r="H868" t="e">
        <f t="shared" si="172"/>
        <v>#N/A</v>
      </c>
      <c r="I868">
        <f t="shared" si="173"/>
        <v>2026</v>
      </c>
      <c r="J868">
        <f t="shared" si="174"/>
        <v>2.4140000000000001</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Witchfire</v>
      </c>
      <c r="B869">
        <f>IF($A869="","",games!$B869)</f>
        <v>2023</v>
      </c>
      <c r="C869" t="str">
        <f>IF($A869="","",games!$C869)</f>
        <v>Action</v>
      </c>
      <c r="D869">
        <f>IF($A869="","",COUNTIF(connections!$A$2:$A$1401,$A869)+COUNTIF(connections!$B$2:$B$1401,$A869))</f>
        <v>3</v>
      </c>
      <c r="E869">
        <f t="shared" si="169"/>
        <v>1</v>
      </c>
      <c r="F869">
        <f t="shared" si="170"/>
        <v>19</v>
      </c>
      <c r="G869">
        <f t="shared" si="171"/>
        <v>2023</v>
      </c>
      <c r="H869">
        <f t="shared" si="172"/>
        <v>1.4370000000000001</v>
      </c>
      <c r="I869" t="e">
        <f t="shared" si="173"/>
        <v>#N/A</v>
      </c>
      <c r="J869" t="e">
        <f t="shared" si="174"/>
        <v>#N/A</v>
      </c>
      <c r="K869" t="e">
        <f t="shared" si="175"/>
        <v>#N/A</v>
      </c>
      <c r="L869" t="e">
        <f t="shared" si="176"/>
        <v>#N/A</v>
      </c>
      <c r="M869" t="e">
        <f t="shared" si="177"/>
        <v>#N/A</v>
      </c>
      <c r="N869" t="e">
        <f t="shared" si="178"/>
        <v>#N/A</v>
      </c>
      <c r="O869">
        <f t="shared" si="179"/>
        <v>3.0008689999999998</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Witch's Apocalyptic Journey</v>
      </c>
      <c r="B870">
        <f>IF($A870="","",games!$B870)</f>
        <v>2026</v>
      </c>
      <c r="C870" t="str">
        <f>IF($A870="","",games!$C870)</f>
        <v>Deckbuilder</v>
      </c>
      <c r="D870">
        <f>IF($A870="","",COUNTIF(connections!$A$2:$A$1401,$A870)+COUNTIF(connections!$B$2:$B$1401,$A870))</f>
        <v>1</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Wizard of Legend</v>
      </c>
      <c r="B871">
        <f>IF($A871="","",games!$B871)</f>
        <v>2018</v>
      </c>
      <c r="C871" t="str">
        <f>IF($A871="","",games!$C871)</f>
        <v>Action</v>
      </c>
      <c r="D871">
        <f>IF($A871="","",COUNTIF(connections!$A$2:$A$1401,$A871)+COUNTIF(connections!$B$2:$B$1401,$A871))</f>
        <v>4</v>
      </c>
      <c r="E871">
        <f t="shared" si="169"/>
        <v>1</v>
      </c>
      <c r="F871">
        <f t="shared" si="170"/>
        <v>21</v>
      </c>
      <c r="G871">
        <f t="shared" si="171"/>
        <v>2018</v>
      </c>
      <c r="H871">
        <f t="shared" si="172"/>
        <v>1.4830000000000001</v>
      </c>
      <c r="I871" t="e">
        <f t="shared" si="173"/>
        <v>#N/A</v>
      </c>
      <c r="J871" t="e">
        <f t="shared" si="174"/>
        <v>#N/A</v>
      </c>
      <c r="K871" t="e">
        <f t="shared" si="175"/>
        <v>#N/A</v>
      </c>
      <c r="L871" t="e">
        <f t="shared" si="176"/>
        <v>#N/A</v>
      </c>
      <c r="M871" t="e">
        <f t="shared" si="177"/>
        <v>#N/A</v>
      </c>
      <c r="N871" t="e">
        <f t="shared" si="178"/>
        <v>#N/A</v>
      </c>
      <c r="O871">
        <f t="shared" si="179"/>
        <v>4.0008710000000001</v>
      </c>
      <c r="P871" t="str">
        <f>IF(OR($A871="",games!$H871=""),"",games!$H871)</f>
        <v>Yes</v>
      </c>
      <c r="Q871">
        <f t="shared" si="180"/>
        <v>4.0008710000000001</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 2</v>
      </c>
      <c r="B872">
        <f>IF($A872="","",games!$B872)</f>
        <v>2024</v>
      </c>
      <c r="C872" t="str">
        <f>IF($A872="","",games!$C872)</f>
        <v>Action</v>
      </c>
      <c r="D872">
        <f>IF($A872="","",COUNTIF(connections!$A$2:$A$1401,$A872)+COUNTIF(connections!$B$2:$B$1401,$A872))</f>
        <v>1</v>
      </c>
      <c r="E872">
        <f t="shared" si="169"/>
        <v>1</v>
      </c>
      <c r="F872">
        <f t="shared" si="170"/>
        <v>22</v>
      </c>
      <c r="G872">
        <f t="shared" si="171"/>
        <v>2024</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WizardChess</v>
      </c>
      <c r="B873">
        <f>IF($A873="","",games!$B873)</f>
        <v>2021</v>
      </c>
      <c r="C873" t="str">
        <f>IF($A873="","",games!$C873)</f>
        <v>Strategy</v>
      </c>
      <c r="D873">
        <f>IF($A873="","",COUNTIF(connections!$A$2:$A$1401,$A873)+COUNTIF(connections!$B$2:$B$1401,$A873))</f>
        <v>1</v>
      </c>
      <c r="E873">
        <f t="shared" si="169"/>
        <v>2</v>
      </c>
      <c r="F873">
        <f t="shared" si="170"/>
        <v>23</v>
      </c>
      <c r="G873" t="e">
        <f t="shared" si="171"/>
        <v>#N/A</v>
      </c>
      <c r="H873" t="e">
        <f t="shared" si="172"/>
        <v>#N/A</v>
      </c>
      <c r="I873">
        <f t="shared" si="173"/>
        <v>2021</v>
      </c>
      <c r="J873">
        <f t="shared" si="174"/>
        <v>2.5289999999999999</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Word Play</v>
      </c>
      <c r="B874">
        <f>IF($A874="","",games!$B874)</f>
        <v>2025</v>
      </c>
      <c r="C874" t="str">
        <f>IF($A874="","",games!$C874)</f>
        <v>Deckbuilder</v>
      </c>
      <c r="D874">
        <f>IF($A874="","",COUNTIF(connections!$A$2:$A$1401,$A874)+COUNTIF(connections!$B$2:$B$1401,$A874))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Wordatro!</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Words Can Kill</v>
      </c>
      <c r="B876">
        <f>IF($A876="","",games!$B876)</f>
        <v>2022</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2022</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Worlds Upon The Wind</v>
      </c>
      <c r="B877">
        <f>IF($A877="","",games!$B877)</f>
        <v>2026</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2026</v>
      </c>
      <c r="L877">
        <f t="shared" si="176"/>
        <v>3.621</v>
      </c>
      <c r="M877" t="e">
        <f t="shared" si="177"/>
        <v>#N/A</v>
      </c>
      <c r="N877" t="e">
        <f t="shared" si="178"/>
        <v>#N/A</v>
      </c>
      <c r="O877">
        <f t="shared" si="179"/>
        <v>1.000877</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Yasha: Legends of the Demon Blade</v>
      </c>
      <c r="B878">
        <f>IF($A878="","",games!$B878)</f>
        <v>2025</v>
      </c>
      <c r="C878" t="str">
        <f>IF($A878="","",games!$C878)</f>
        <v>Action</v>
      </c>
      <c r="D878">
        <f>IF($A878="","",COUNTIF(connections!$A$2:$A$1401,$A878)+COUNTIF(connections!$B$2:$B$1401,$A878))</f>
        <v>1</v>
      </c>
      <c r="E878">
        <f t="shared" si="169"/>
        <v>1</v>
      </c>
      <c r="F878">
        <f t="shared" si="170"/>
        <v>28</v>
      </c>
      <c r="G878">
        <f t="shared" si="171"/>
        <v>2025</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Yet Another Zombie Survivors</v>
      </c>
      <c r="B879">
        <f>IF($A879="","",games!$B879)</f>
        <v>2023</v>
      </c>
      <c r="C879" t="str">
        <f>IF($A879="","",games!$C879)</f>
        <v>Action</v>
      </c>
      <c r="D879">
        <f>IF($A879="","",COUNTIF(connections!$A$2:$A$1401,$A879)+COUNTIF(connections!$B$2:$B$1401,$A879))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Yohane the Parhelion: Numazu in the Mirage</v>
      </c>
      <c r="B880">
        <f>IF($A880="","",games!$B880)</f>
        <v>2024</v>
      </c>
      <c r="C880" t="str">
        <f>IF($A880="","",games!$C880)</f>
        <v>Deckbuilder</v>
      </c>
      <c r="D880">
        <f>IF($A880="","",COUNTIF(connections!$A$2:$A$1401,$A880)+COUNTIF(connections!$B$2:$B$1401,$A880))</f>
        <v>1</v>
      </c>
      <c r="E880">
        <f t="shared" si="169"/>
        <v>3</v>
      </c>
      <c r="F880">
        <f t="shared" si="170"/>
        <v>30</v>
      </c>
      <c r="G880" t="e">
        <f t="shared" si="171"/>
        <v>#N/A</v>
      </c>
      <c r="H880" t="e">
        <f t="shared" si="172"/>
        <v>#N/A</v>
      </c>
      <c r="I880" t="e">
        <f t="shared" si="173"/>
        <v>#N/A</v>
      </c>
      <c r="J880" t="e">
        <f t="shared" si="174"/>
        <v>#N/A</v>
      </c>
      <c r="K880">
        <f t="shared" si="175"/>
        <v>2024</v>
      </c>
      <c r="L880">
        <f t="shared" si="176"/>
        <v>3.69</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Youdanji</v>
      </c>
      <c r="B881">
        <f>IF($A881="","",games!$B881)</f>
        <v>2017</v>
      </c>
      <c r="C881" t="str">
        <f>IF($A881="","",games!$C881)</f>
        <v>Traditional</v>
      </c>
      <c r="D881">
        <f>IF($A881="","",COUNTIF(connections!$A$2:$A$1401,$A881)+COUNTIF(connections!$B$2:$B$1401,$A881))</f>
        <v>1</v>
      </c>
      <c r="E881">
        <f t="shared" si="169"/>
        <v>4</v>
      </c>
      <c r="F881">
        <f t="shared" si="170"/>
        <v>31</v>
      </c>
      <c r="G881" t="e">
        <f t="shared" si="171"/>
        <v>#N/A</v>
      </c>
      <c r="H881" t="e">
        <f t="shared" si="172"/>
        <v>#N/A</v>
      </c>
      <c r="I881" t="e">
        <f t="shared" si="173"/>
        <v>#N/A</v>
      </c>
      <c r="J881" t="e">
        <f t="shared" si="174"/>
        <v>#N/A</v>
      </c>
      <c r="K881" t="e">
        <f t="shared" si="175"/>
        <v>#N/A</v>
      </c>
      <c r="L881" t="e">
        <f t="shared" si="176"/>
        <v>#N/A</v>
      </c>
      <c r="M881">
        <f t="shared" si="177"/>
        <v>2017</v>
      </c>
      <c r="N881">
        <f t="shared" si="178"/>
        <v>4.7130000000000001</v>
      </c>
      <c r="O881">
        <f t="shared" si="179"/>
        <v>1.0008809999999999</v>
      </c>
      <c r="P881" t="str">
        <f>IF(OR($A881="",games!$H881=""),"",games!$H881)</f>
        <v/>
      </c>
      <c r="Q881" t="str">
        <f t="shared" si="180"/>
        <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Z.H.P. Unlosing Ranger VS Darkdeath Evilman</v>
      </c>
      <c r="B882">
        <f>IF($A882="","",games!$B882)</f>
        <v>2010</v>
      </c>
      <c r="C882" t="str">
        <f>IF($A882="","",games!$C882)</f>
        <v>Traditional</v>
      </c>
      <c r="D882">
        <f>IF($A882="","",COUNTIF(connections!$A$2:$A$1401,$A882)+COUNTIF(connections!$B$2:$B$1401,$A882))</f>
        <v>2</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2010</v>
      </c>
      <c r="N882">
        <f t="shared" si="178"/>
        <v>4.7359999999999998</v>
      </c>
      <c r="O882">
        <f t="shared" si="179"/>
        <v>2.0008819999999998</v>
      </c>
      <c r="P882" t="str">
        <f>IF(OR($A882="",games!$H882=""),"",games!$H882)</f>
        <v>Yes</v>
      </c>
      <c r="Q882">
        <f t="shared" si="180"/>
        <v>2.0008819999999998</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Zangband</v>
      </c>
      <c r="B883">
        <f>IF($A883="","",games!$B883)</f>
        <v>1994</v>
      </c>
      <c r="C883" t="str">
        <f>IF($A883="","",games!$C883)</f>
        <v>Traditional</v>
      </c>
      <c r="D883">
        <f>IF($A883="","",COUNTIF(connections!$A$2:$A$1401,$A883)+COUNTIF(connections!$B$2:$B$1401,$A883))</f>
        <v>4</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1994</v>
      </c>
      <c r="N883">
        <f t="shared" si="178"/>
        <v>4.7590000000000003</v>
      </c>
      <c r="O883">
        <f t="shared" si="179"/>
        <v>4.000883</v>
      </c>
      <c r="P883" t="str">
        <f>IF(OR($A883="",games!$H883=""),"",games!$H883)</f>
        <v>Yes</v>
      </c>
      <c r="Q883">
        <f t="shared" si="180"/>
        <v>4.000883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Zet Zillions</v>
      </c>
      <c r="B884">
        <f>IF($A884="","",games!$B884)</f>
        <v>2024</v>
      </c>
      <c r="C884" t="str">
        <f>IF($A884="","",games!$C884)</f>
        <v>Deckbuilder</v>
      </c>
      <c r="D884">
        <f>IF($A884="","",COUNTIF(connections!$A$2:$A$1401,$A884)+COUNTIF(connections!$B$2:$B$1401,$A884))</f>
        <v>2</v>
      </c>
      <c r="E884">
        <f t="shared" si="169"/>
        <v>3</v>
      </c>
      <c r="F884">
        <f t="shared" si="170"/>
        <v>0</v>
      </c>
      <c r="G884" t="e">
        <f t="shared" si="171"/>
        <v>#N/A</v>
      </c>
      <c r="H884" t="e">
        <f t="shared" si="172"/>
        <v>#N/A</v>
      </c>
      <c r="I884" t="e">
        <f t="shared" si="173"/>
        <v>#N/A</v>
      </c>
      <c r="J884" t="e">
        <f t="shared" si="174"/>
        <v>#N/A</v>
      </c>
      <c r="K884">
        <f t="shared" si="175"/>
        <v>2024</v>
      </c>
      <c r="L884">
        <f t="shared" si="176"/>
        <v>3</v>
      </c>
      <c r="M884" t="e">
        <f t="shared" si="177"/>
        <v>#N/A</v>
      </c>
      <c r="N884" t="e">
        <f t="shared" si="178"/>
        <v>#N/A</v>
      </c>
      <c r="O884">
        <f t="shared" si="179"/>
        <v>2.0008840000000001</v>
      </c>
      <c r="P884" t="str">
        <f>IF(OR($A884="",games!$H884=""),"",games!$H884)</f>
        <v>Yes</v>
      </c>
      <c r="Q884">
        <f t="shared" si="180"/>
        <v>2.0008840000000001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Ziggurat</v>
      </c>
      <c r="B885">
        <f>IF($A885="","",games!$B885)</f>
        <v>2014</v>
      </c>
      <c r="C885" t="str">
        <f>IF($A885="","",games!$C885)</f>
        <v>Action</v>
      </c>
      <c r="D885">
        <f>IF($A885="","",COUNTIF(connections!$A$2:$A$1401,$A885)+COUNTIF(connections!$B$2:$B$1401,$A885))</f>
        <v>2</v>
      </c>
      <c r="E885">
        <f t="shared" si="169"/>
        <v>1</v>
      </c>
      <c r="F885">
        <f t="shared" si="170"/>
        <v>1</v>
      </c>
      <c r="G885">
        <f t="shared" si="171"/>
        <v>2014</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 2</v>
      </c>
      <c r="B886">
        <f>IF($A886="","",games!$B886)</f>
        <v>2020</v>
      </c>
      <c r="C886" t="str">
        <f>IF($A886="","",games!$C886)</f>
        <v>Action</v>
      </c>
      <c r="D886">
        <f>IF($A886="","",COUNTIF(connections!$A$2:$A$1401,$A886)+COUNTIF(connections!$B$2:$B$1401,$A886))</f>
        <v>1</v>
      </c>
      <c r="E886">
        <f t="shared" si="169"/>
        <v>1</v>
      </c>
      <c r="F886">
        <f t="shared" si="170"/>
        <v>2</v>
      </c>
      <c r="G886">
        <f t="shared" si="171"/>
        <v>2020</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ZMAngband</v>
      </c>
      <c r="B887">
        <f>IF($A887="","",games!$B887)</f>
        <v>2025</v>
      </c>
      <c r="C887" t="str">
        <f>IF($A887="","",games!$C887)</f>
        <v>Traditional</v>
      </c>
      <c r="D887">
        <f>IF($A887="","",COUNTIF(connections!$A$2:$A$1401,$A887)+COUNTIF(connections!$B$2:$B$1401,$A887))</f>
        <v>6</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2025</v>
      </c>
      <c r="N887">
        <f t="shared" si="178"/>
        <v>4.069</v>
      </c>
      <c r="O887">
        <f t="shared" si="179"/>
        <v>6.0008869999999996</v>
      </c>
      <c r="P887" t="str">
        <f>IF(OR($A887="",games!$H887=""),"",games!$H887)</f>
        <v>Yes</v>
      </c>
      <c r="Q887">
        <f t="shared" si="180"/>
        <v>6.0008869999999996</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Zoeti</v>
      </c>
      <c r="B888">
        <f>IF($A888="","",games!$B888)</f>
        <v>2023</v>
      </c>
      <c r="C888" t="str">
        <f>IF($A888="","",games!$C888)</f>
        <v>Deckbuilder</v>
      </c>
      <c r="D888">
        <f>IF($A888="","",COUNTIF(connections!$A$2:$A$1401,$A888)+COUNTIF(connections!$B$2:$B$1401,$A888))</f>
        <v>3</v>
      </c>
      <c r="E888">
        <f t="shared" si="169"/>
        <v>3</v>
      </c>
      <c r="F888">
        <f t="shared" si="170"/>
        <v>4</v>
      </c>
      <c r="G888" t="e">
        <f t="shared" si="171"/>
        <v>#N/A</v>
      </c>
      <c r="H888" t="e">
        <f t="shared" si="172"/>
        <v>#N/A</v>
      </c>
      <c r="I888" t="e">
        <f t="shared" si="173"/>
        <v>#N/A</v>
      </c>
      <c r="J888" t="e">
        <f t="shared" si="174"/>
        <v>#N/A</v>
      </c>
      <c r="K888">
        <f t="shared" si="175"/>
        <v>2023</v>
      </c>
      <c r="L888">
        <f t="shared" si="176"/>
        <v>3.0920000000000001</v>
      </c>
      <c r="M888" t="e">
        <f t="shared" si="177"/>
        <v>#N/A</v>
      </c>
      <c r="N888" t="e">
        <f t="shared" si="178"/>
        <v>#N/A</v>
      </c>
      <c r="O888">
        <f t="shared" si="179"/>
        <v>3.0008879999999998</v>
      </c>
      <c r="P888" t="str">
        <f>IF(OR($A888="",games!$H888=""),"",games!$H888)</f>
        <v>Yes</v>
      </c>
      <c r="Q888">
        <f t="shared" si="180"/>
        <v>3.0008879999999998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Zoominoes</v>
      </c>
      <c r="B889">
        <f>IF($A889="","",games!$B889)</f>
        <v>2026</v>
      </c>
      <c r="C889" t="str">
        <f>IF($A889="","",games!$C889)</f>
        <v>Deckbuilder</v>
      </c>
      <c r="D889">
        <f>IF($A889="","",COUNTIF(connections!$A$2:$A$1401,$A889)+COUNTIF(connections!$B$2:$B$1401,$A889))</f>
        <v>1</v>
      </c>
      <c r="E889">
        <f t="shared" si="169"/>
        <v>3</v>
      </c>
      <c r="F889">
        <f t="shared" si="170"/>
        <v>5</v>
      </c>
      <c r="G889" t="e">
        <f t="shared" si="171"/>
        <v>#N/A</v>
      </c>
      <c r="H889" t="e">
        <f t="shared" si="172"/>
        <v>#N/A</v>
      </c>
      <c r="I889" t="e">
        <f t="shared" si="173"/>
        <v>#N/A</v>
      </c>
      <c r="J889" t="e">
        <f t="shared" si="174"/>
        <v>#N/A</v>
      </c>
      <c r="K889">
        <f t="shared" si="175"/>
        <v>2026</v>
      </c>
      <c r="L889">
        <f t="shared" si="176"/>
        <v>3.1150000000000002</v>
      </c>
      <c r="M889" t="e">
        <f t="shared" si="177"/>
        <v>#N/A</v>
      </c>
      <c r="N889" t="e">
        <f t="shared" si="178"/>
        <v>#N/A</v>
      </c>
      <c r="O889">
        <f t="shared" si="179"/>
        <v>1.0008889999999999</v>
      </c>
      <c r="P889" t="str">
        <f>IF(OR($A889="",games!$H889=""),"",games!$H889)</f>
        <v/>
      </c>
      <c r="Q889" t="str">
        <f t="shared" si="180"/>
        <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Zorbus</v>
      </c>
      <c r="B890">
        <f>IF($A890="","",games!$B890)</f>
        <v>2022</v>
      </c>
      <c r="C890" t="str">
        <f>IF($A890="","",games!$C890)</f>
        <v>Traditional</v>
      </c>
      <c r="D890">
        <f>IF($A890="","",COUNTIF(connections!$A$2:$A$1401,$A890)+COUNTIF(connections!$B$2:$B$1401,$A890))</f>
        <v>1</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2022</v>
      </c>
      <c r="N890">
        <f t="shared" si="178"/>
        <v>4.1379999999999999</v>
      </c>
      <c r="O890">
        <f t="shared" si="179"/>
        <v>1.0008900000000001</v>
      </c>
      <c r="P890" t="str">
        <f>IF(OR($A890="",games!$H890=""),"",games!$H890)</f>
        <v>Yes</v>
      </c>
      <c r="Q890">
        <f t="shared" si="180"/>
        <v>1.0008900000000001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t="str">
        <f>IF(connections!$A1267="","",IFERROR(INDEX(games!$B$2:$B$950,MATCH(connections!$B1267,games!$A$2:$A$950,0)),""))</f>
        <v/>
      </c>
      <c r="V1266" t="str">
        <f t="shared" si="199"/>
        <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goals</vt:lpstr>
      <vt:lpstr>Map Analysis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2026-09-24T02:00:44Z</dcterms:modified>
  <dc:language>en-US</dc:language>
</cp:coreProperties>
</file>